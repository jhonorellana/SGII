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ocumentacion\"/>
    </mc:Choice>
  </mc:AlternateContent>
  <xr:revisionPtr revIDLastSave="0" documentId="13_ncr:1_{F1F93BBC-0B07-4F7D-AAC8-9E91E2416D23}" xr6:coauthVersionLast="47" xr6:coauthVersionMax="47" xr10:uidLastSave="{00000000-0000-0000-0000-000000000000}"/>
  <bookViews>
    <workbookView xWindow="-28920" yWindow="-120" windowWidth="29040" windowHeight="15720" xr2:uid="{74214364-D3E3-4C5A-A9B2-6A9359D4D1B7}"/>
  </bookViews>
  <sheets>
    <sheet name="Hoja1" sheetId="1" r:id="rId1"/>
  </sheets>
  <definedNames>
    <definedName name="_xlnm._FilterDatabase" localSheetId="0" hidden="1">Hoja1!$A$2:$K$2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<sst xmlns="http://schemas.openxmlformats.org/spreadsheetml/2006/main" count="232" uniqueCount="46">
  <si>
    <t>DESDE</t>
  </si>
  <si>
    <t>VENCIMIENTO</t>
  </si>
  <si>
    <t>Título</t>
  </si>
  <si>
    <t>Titular</t>
  </si>
  <si>
    <t>Tipo Inversión</t>
  </si>
  <si>
    <t>TASA</t>
  </si>
  <si>
    <t>Rendimiento</t>
  </si>
  <si>
    <t>INTERES</t>
  </si>
  <si>
    <t>CAPITAL</t>
  </si>
  <si>
    <t>Retención</t>
  </si>
  <si>
    <t>Operación Compra No.</t>
  </si>
  <si>
    <t>Cristian</t>
  </si>
  <si>
    <t>Jhon</t>
  </si>
  <si>
    <t>Acciones Sin Interés</t>
  </si>
  <si>
    <t>Acciones PRODUBANCO 31/12/2034</t>
  </si>
  <si>
    <t>20697_04 - VAD37</t>
  </si>
  <si>
    <t>21164 - VAD08</t>
  </si>
  <si>
    <t>23076_05 - VAD07</t>
  </si>
  <si>
    <t>24176_01 - VAD23</t>
  </si>
  <si>
    <t>24199_03 - VAD05</t>
  </si>
  <si>
    <t>24455_02 - VAD12</t>
  </si>
  <si>
    <t>24961 - VAD16</t>
  </si>
  <si>
    <t>Acciones FAVORITA 31/12/2034</t>
  </si>
  <si>
    <t>Acciones CRIDESA 31/12/2034</t>
  </si>
  <si>
    <t>Acciones BOLSA VALORES QUITO 31/12/2034</t>
  </si>
  <si>
    <t>24885_01 - VAD07</t>
  </si>
  <si>
    <t>Acciones Banco PICHINCHA 31/12/2034</t>
  </si>
  <si>
    <t>14034 - VAD14</t>
  </si>
  <si>
    <t>14035 - VAD15</t>
  </si>
  <si>
    <t>14698 - VAD02</t>
  </si>
  <si>
    <t>16087_05 - VAD16</t>
  </si>
  <si>
    <t>20425_05 - VAD13</t>
  </si>
  <si>
    <t>Acciones Banco GUAYAQUIL 31/12/2034</t>
  </si>
  <si>
    <t>SUMA TR PREVIAS</t>
  </si>
  <si>
    <t>20473 - VAD05</t>
  </si>
  <si>
    <t>21163 - VAD07</t>
  </si>
  <si>
    <t>Suscripcion</t>
  </si>
  <si>
    <t>23890 - VAD02</t>
  </si>
  <si>
    <t>Acciones BANCO BOLIVARIANO 31/12/2034</t>
  </si>
  <si>
    <t>11973 - VAD20</t>
  </si>
  <si>
    <t>24815_02 - VAD20</t>
  </si>
  <si>
    <t>Acciones BANCO AUSTRO 31/12/2034</t>
  </si>
  <si>
    <t>Acciones Banco AUSTRO 31/12/2034</t>
  </si>
  <si>
    <t>26232 - VAD08</t>
  </si>
  <si>
    <t>26296 - VAD02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</si>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</sst>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64" fontId="0" fillId="2" borderId="2" xfId="0" quotePrefix="1" applyNumberFormat="1" applyFill="1" applyBorder="1" applyAlignment="1">
      <alignment horizontal="right"/>
    </xf>
    <xf numFmtId="164" fontId="0" fillId="2" borderId="2" xfId="0" applyNumberFormat="1" applyFill="1" applyBorder="1" applyAlignment="1">
      <alignment horizontal="left"/>
    </xf>
    <xf numFmtId="4" fontId="0" fillId="2" borderId="2" xfId="0" quotePrefix="1" applyNumberFormat="1" applyFill="1" applyBorder="1" applyAlignment="1">
      <alignment horizontal="center"/>
    </xf>
    <xf numFmtId="4" fontId="0" fillId="2" borderId="2" xfId="0" quotePrefix="1" applyNumberFormat="1" applyFill="1" applyBorder="1" applyAlignment="1">
      <alignment horizontal="left"/>
    </xf>
    <xf numFmtId="4" fontId="0" fillId="2" borderId="2" xfId="0" quotePrefix="1" applyNumberFormat="1" applyFill="1" applyBorder="1"/>
    <xf numFmtId="44" fontId="0" fillId="2" borderId="2" xfId="0" quotePrefix="1" applyNumberFormat="1" applyFill="1" applyBorder="1"/>
    <xf numFmtId="44" fontId="0" fillId="2" borderId="2" xfId="0" applyNumberFormat="1" applyFill="1" applyBorder="1"/>
    <xf numFmtId="4" fontId="0" fillId="2" borderId="2" xfId="0" applyNumberFormat="1" applyFill="1" applyBorder="1"/>
    <xf numFmtId="1" fontId="0" fillId="2" borderId="2" xfId="0" applyNumberFormat="1" applyFill="1" applyBorder="1" applyAlignment="1">
      <alignment horizontal="right"/>
    </xf>
    <xf numFmtId="164" fontId="0" fillId="2" borderId="2" xfId="0" applyNumberFormat="1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44" fontId="0" fillId="4" borderId="2" xfId="0" quotePrefix="1" applyNumberFormat="1" applyFill="1" applyBorder="1"/>
    <xf numFmtId="44" fontId="0" fillId="3" borderId="2" xfId="0" quotePrefix="1" applyNumberFormat="1" applyFill="1" applyBorder="1"/>
    <xf numFmtId="44" fontId="0" fillId="3" borderId="2" xfId="0" applyNumberFormat="1" applyFill="1" applyBorder="1"/>
    <xf numFmtId="44" fontId="0" fillId="0" borderId="0" xfId="0" applyNumberFormat="1"/>
    <xf numFmtId="0" fontId="1" fillId="3" borderId="0" xfId="0" applyFont="1" applyFill="1"/>
    <xf numFmtId="4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296D-6A15-4523-AD71-1BC01165A1A1}">
  <dimension ref="A1:K68"/>
  <sheetViews>
    <sheetView tabSelected="1" workbookViewId="0">
      <selection activeCell="P10" sqref="P10"/>
    </sheetView>
  </sheetViews>
  <sheetFormatPr baseColWidth="10" defaultRowHeight="15" x14ac:dyDescent="0.25"/>
  <cols>
    <col min="1" max="1" width="10.42578125" bestFit="1" customWidth="1"/>
    <col min="5" max="5" width="40.42578125" bestFit="1" customWidth="1"/>
    <col min="9" max="9" width="12" bestFit="1" customWidth="1"/>
    <col min="11" max="11" width="25.85546875" bestFit="1" customWidth="1"/>
  </cols>
  <sheetData>
    <row r="1" spans="1:11" x14ac:dyDescent="0.25">
      <c r="H1" s="19" t="s">
        <v>45</v>
      </c>
      <c r="I1" s="20">
        <f>SUM(I3:I68)</f>
        <v>127372.31000000004</v>
      </c>
      <c r="J1" s="18"/>
      <c r="K1" s="18"/>
    </row>
    <row r="2" spans="1:11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x14ac:dyDescent="0.25">
      <c r="A3" s="3">
        <v>46123</v>
      </c>
      <c r="B3" s="3">
        <v>49309</v>
      </c>
      <c r="C3" s="4" t="s">
        <v>13</v>
      </c>
      <c r="D3" s="5" t="s">
        <v>11</v>
      </c>
      <c r="E3" s="6" t="s">
        <v>14</v>
      </c>
      <c r="F3" s="7">
        <v>1</v>
      </c>
      <c r="G3" s="7">
        <v>1</v>
      </c>
      <c r="H3" s="8">
        <v>0</v>
      </c>
      <c r="I3" s="8">
        <v>319.58999999999997</v>
      </c>
      <c r="J3" s="7"/>
      <c r="K3" s="11"/>
    </row>
    <row r="4" spans="1:11" x14ac:dyDescent="0.25">
      <c r="A4" s="3">
        <v>46123</v>
      </c>
      <c r="B4" s="3">
        <v>49309</v>
      </c>
      <c r="C4" s="4" t="s">
        <v>13</v>
      </c>
      <c r="D4" s="5" t="s">
        <v>12</v>
      </c>
      <c r="E4" s="6" t="s">
        <v>14</v>
      </c>
      <c r="F4" s="7">
        <v>1</v>
      </c>
      <c r="G4" s="7">
        <v>1</v>
      </c>
      <c r="H4" s="8">
        <v>0</v>
      </c>
      <c r="I4" s="8">
        <v>4801.6000000000004</v>
      </c>
      <c r="J4" s="7"/>
      <c r="K4" s="11"/>
    </row>
    <row r="5" spans="1:11" x14ac:dyDescent="0.25">
      <c r="A5" s="3">
        <v>46233</v>
      </c>
      <c r="B5" s="3">
        <v>49309</v>
      </c>
      <c r="C5" s="4" t="s">
        <v>13</v>
      </c>
      <c r="D5" s="5" t="s">
        <v>12</v>
      </c>
      <c r="E5" s="6" t="s">
        <v>14</v>
      </c>
      <c r="F5" s="7">
        <v>1</v>
      </c>
      <c r="G5" s="7">
        <v>1</v>
      </c>
      <c r="H5" s="8">
        <v>0</v>
      </c>
      <c r="I5" s="8">
        <v>7751.75</v>
      </c>
      <c r="J5" s="7"/>
      <c r="K5" s="11" t="s">
        <v>15</v>
      </c>
    </row>
    <row r="6" spans="1:11" x14ac:dyDescent="0.25">
      <c r="A6" s="3">
        <v>46239</v>
      </c>
      <c r="B6" s="3">
        <v>49309</v>
      </c>
      <c r="C6" s="4" t="s">
        <v>13</v>
      </c>
      <c r="D6" s="5" t="s">
        <v>12</v>
      </c>
      <c r="E6" s="6" t="s">
        <v>14</v>
      </c>
      <c r="F6" s="7">
        <v>1</v>
      </c>
      <c r="G6" s="7">
        <v>1</v>
      </c>
      <c r="H6" s="8">
        <v>0</v>
      </c>
      <c r="I6" s="8">
        <v>2439.04</v>
      </c>
      <c r="J6" s="7"/>
      <c r="K6" s="11" t="s">
        <v>16</v>
      </c>
    </row>
    <row r="7" spans="1:11" x14ac:dyDescent="0.25">
      <c r="A7" s="3">
        <v>46239</v>
      </c>
      <c r="B7" s="3">
        <v>49309</v>
      </c>
      <c r="C7" s="4" t="s">
        <v>13</v>
      </c>
      <c r="D7" s="5" t="s">
        <v>12</v>
      </c>
      <c r="E7" s="6" t="s">
        <v>14</v>
      </c>
      <c r="F7" s="7">
        <v>1</v>
      </c>
      <c r="G7" s="7">
        <v>1</v>
      </c>
      <c r="H7" s="8">
        <v>0</v>
      </c>
      <c r="I7" s="8">
        <v>13600</v>
      </c>
      <c r="J7" s="7"/>
      <c r="K7" s="11">
        <v>3723541</v>
      </c>
    </row>
    <row r="8" spans="1:11" x14ac:dyDescent="0.25">
      <c r="A8" s="3">
        <v>46266</v>
      </c>
      <c r="B8" s="3">
        <v>49309</v>
      </c>
      <c r="C8" s="4" t="s">
        <v>13</v>
      </c>
      <c r="D8" s="5" t="s">
        <v>12</v>
      </c>
      <c r="E8" s="6" t="s">
        <v>14</v>
      </c>
      <c r="F8" s="7">
        <v>1</v>
      </c>
      <c r="G8" s="7">
        <v>1</v>
      </c>
      <c r="H8" s="8">
        <v>0</v>
      </c>
      <c r="I8" s="8">
        <v>4792.97</v>
      </c>
      <c r="J8" s="7"/>
      <c r="K8" s="11" t="s">
        <v>17</v>
      </c>
    </row>
    <row r="9" spans="1:11" x14ac:dyDescent="0.25">
      <c r="A9" s="12">
        <v>46276</v>
      </c>
      <c r="B9" s="12">
        <v>49309</v>
      </c>
      <c r="C9" s="4" t="s">
        <v>13</v>
      </c>
      <c r="D9" s="13" t="s">
        <v>12</v>
      </c>
      <c r="E9" s="14" t="s">
        <v>14</v>
      </c>
      <c r="F9" s="10">
        <v>1</v>
      </c>
      <c r="G9" s="10">
        <v>1</v>
      </c>
      <c r="H9" s="9">
        <v>0</v>
      </c>
      <c r="I9" s="9">
        <v>802.65</v>
      </c>
      <c r="J9" s="10"/>
      <c r="K9" s="11">
        <v>3746592</v>
      </c>
    </row>
    <row r="10" spans="1:11" x14ac:dyDescent="0.25">
      <c r="A10" s="12">
        <v>46279</v>
      </c>
      <c r="B10" s="12">
        <v>49309</v>
      </c>
      <c r="C10" s="4" t="s">
        <v>13</v>
      </c>
      <c r="D10" s="13" t="s">
        <v>12</v>
      </c>
      <c r="E10" s="14" t="s">
        <v>14</v>
      </c>
      <c r="F10" s="10">
        <v>1</v>
      </c>
      <c r="G10" s="10">
        <v>1</v>
      </c>
      <c r="H10" s="9">
        <v>0</v>
      </c>
      <c r="I10" s="9">
        <v>376.13</v>
      </c>
      <c r="J10" s="10"/>
      <c r="K10" s="11">
        <v>374678</v>
      </c>
    </row>
    <row r="11" spans="1:11" x14ac:dyDescent="0.25">
      <c r="A11" s="12">
        <v>46280</v>
      </c>
      <c r="B11" s="12">
        <v>49309</v>
      </c>
      <c r="C11" s="4" t="s">
        <v>13</v>
      </c>
      <c r="D11" s="13" t="s">
        <v>12</v>
      </c>
      <c r="E11" s="14" t="s">
        <v>14</v>
      </c>
      <c r="F11" s="10">
        <v>1</v>
      </c>
      <c r="G11" s="10">
        <v>1</v>
      </c>
      <c r="H11" s="9">
        <v>0</v>
      </c>
      <c r="I11" s="9">
        <v>12486.2</v>
      </c>
      <c r="J11" s="10"/>
      <c r="K11" s="11" t="s">
        <v>18</v>
      </c>
    </row>
    <row r="12" spans="1:11" x14ac:dyDescent="0.25">
      <c r="A12" s="12">
        <v>46281</v>
      </c>
      <c r="B12" s="12">
        <v>49309</v>
      </c>
      <c r="C12" s="4" t="s">
        <v>13</v>
      </c>
      <c r="D12" s="13" t="s">
        <v>12</v>
      </c>
      <c r="E12" s="14" t="s">
        <v>14</v>
      </c>
      <c r="F12" s="10">
        <v>1</v>
      </c>
      <c r="G12" s="10">
        <v>1</v>
      </c>
      <c r="H12" s="9">
        <v>0</v>
      </c>
      <c r="I12" s="9">
        <v>2017.52</v>
      </c>
      <c r="J12" s="10"/>
      <c r="K12" s="11" t="s">
        <v>19</v>
      </c>
    </row>
    <row r="13" spans="1:11" x14ac:dyDescent="0.25">
      <c r="A13" s="12">
        <v>46283</v>
      </c>
      <c r="B13" s="12">
        <v>49309</v>
      </c>
      <c r="C13" s="4" t="s">
        <v>13</v>
      </c>
      <c r="D13" s="13" t="s">
        <v>12</v>
      </c>
      <c r="E13" s="14" t="s">
        <v>14</v>
      </c>
      <c r="F13" s="10">
        <v>1</v>
      </c>
      <c r="G13" s="10">
        <v>1</v>
      </c>
      <c r="H13" s="9">
        <v>0</v>
      </c>
      <c r="I13" s="9">
        <v>11146.52</v>
      </c>
      <c r="J13" s="10"/>
      <c r="K13" s="11" t="s">
        <v>20</v>
      </c>
    </row>
    <row r="14" spans="1:11" x14ac:dyDescent="0.25">
      <c r="A14" s="3">
        <v>46289</v>
      </c>
      <c r="B14" s="12">
        <v>49309</v>
      </c>
      <c r="C14" s="4" t="s">
        <v>13</v>
      </c>
      <c r="D14" s="13" t="s">
        <v>12</v>
      </c>
      <c r="E14" s="14" t="s">
        <v>14</v>
      </c>
      <c r="F14" s="10">
        <v>1</v>
      </c>
      <c r="G14" s="10">
        <v>1</v>
      </c>
      <c r="H14" s="9">
        <v>0</v>
      </c>
      <c r="I14" s="8">
        <v>6064.12</v>
      </c>
      <c r="J14" s="10"/>
      <c r="K14" s="11" t="s">
        <v>21</v>
      </c>
    </row>
    <row r="15" spans="1:11" x14ac:dyDescent="0.25">
      <c r="A15" s="3">
        <v>46123</v>
      </c>
      <c r="B15" s="3">
        <v>49309</v>
      </c>
      <c r="C15" s="4" t="s">
        <v>13</v>
      </c>
      <c r="D15" s="5" t="s">
        <v>12</v>
      </c>
      <c r="E15" s="6" t="s">
        <v>22</v>
      </c>
      <c r="F15" s="7">
        <v>1</v>
      </c>
      <c r="G15" s="7">
        <v>1</v>
      </c>
      <c r="H15" s="8">
        <v>0</v>
      </c>
      <c r="I15" s="8">
        <v>170</v>
      </c>
      <c r="J15" s="7"/>
      <c r="K15" s="11"/>
    </row>
    <row r="16" spans="1:11" x14ac:dyDescent="0.25">
      <c r="A16" s="3">
        <v>46123</v>
      </c>
      <c r="B16" s="3">
        <v>49309</v>
      </c>
      <c r="C16" s="4" t="s">
        <v>13</v>
      </c>
      <c r="D16" s="5" t="s">
        <v>11</v>
      </c>
      <c r="E16" s="6" t="s">
        <v>22</v>
      </c>
      <c r="F16" s="7">
        <v>1</v>
      </c>
      <c r="G16" s="7">
        <v>1</v>
      </c>
      <c r="H16" s="8">
        <v>0</v>
      </c>
      <c r="I16" s="8">
        <v>170</v>
      </c>
      <c r="J16" s="7"/>
      <c r="K16" s="11"/>
    </row>
    <row r="17" spans="1:11" x14ac:dyDescent="0.25">
      <c r="A17" s="3">
        <v>46127</v>
      </c>
      <c r="B17" s="3">
        <v>49309</v>
      </c>
      <c r="C17" s="4" t="s">
        <v>13</v>
      </c>
      <c r="D17" s="5" t="s">
        <v>12</v>
      </c>
      <c r="E17" s="6" t="s">
        <v>23</v>
      </c>
      <c r="F17" s="7">
        <v>1</v>
      </c>
      <c r="G17" s="7">
        <v>1</v>
      </c>
      <c r="H17" s="8">
        <v>0</v>
      </c>
      <c r="I17" s="8">
        <v>7466.8</v>
      </c>
      <c r="J17" s="7"/>
      <c r="K17" s="11"/>
    </row>
    <row r="18" spans="1:11" x14ac:dyDescent="0.25">
      <c r="A18" s="3">
        <v>46289</v>
      </c>
      <c r="B18" s="3">
        <v>49309</v>
      </c>
      <c r="C18" s="4" t="s">
        <v>13</v>
      </c>
      <c r="D18" s="5" t="s">
        <v>12</v>
      </c>
      <c r="E18" s="6" t="s">
        <v>24</v>
      </c>
      <c r="F18" s="7">
        <v>1</v>
      </c>
      <c r="G18" s="7">
        <v>1</v>
      </c>
      <c r="H18" s="8">
        <v>0</v>
      </c>
      <c r="I18" s="8">
        <v>6095.47</v>
      </c>
      <c r="J18" s="7"/>
      <c r="K18" s="11" t="s">
        <v>25</v>
      </c>
    </row>
    <row r="19" spans="1:11" x14ac:dyDescent="0.25">
      <c r="A19" s="3">
        <v>46123</v>
      </c>
      <c r="B19" s="3">
        <v>49309</v>
      </c>
      <c r="C19" s="4" t="s">
        <v>13</v>
      </c>
      <c r="D19" s="5" t="s">
        <v>11</v>
      </c>
      <c r="E19" s="6" t="s">
        <v>26</v>
      </c>
      <c r="F19" s="7">
        <v>1</v>
      </c>
      <c r="G19" s="7">
        <v>1</v>
      </c>
      <c r="H19" s="8">
        <v>0</v>
      </c>
      <c r="I19" s="8">
        <v>2252.84</v>
      </c>
      <c r="J19" s="7"/>
      <c r="K19" s="11"/>
    </row>
    <row r="20" spans="1:11" x14ac:dyDescent="0.25">
      <c r="A20" s="12">
        <v>46163</v>
      </c>
      <c r="B20" s="3">
        <v>49309</v>
      </c>
      <c r="C20" s="4" t="s">
        <v>13</v>
      </c>
      <c r="D20" s="13" t="s">
        <v>12</v>
      </c>
      <c r="E20" s="6" t="s">
        <v>26</v>
      </c>
      <c r="F20" s="7">
        <v>1</v>
      </c>
      <c r="G20" s="7">
        <v>1</v>
      </c>
      <c r="H20" s="8">
        <v>0</v>
      </c>
      <c r="I20" s="9">
        <v>902.69</v>
      </c>
      <c r="J20" s="10"/>
      <c r="K20" s="11" t="s">
        <v>27</v>
      </c>
    </row>
    <row r="21" spans="1:11" x14ac:dyDescent="0.25">
      <c r="A21" s="12">
        <v>46163</v>
      </c>
      <c r="B21" s="3">
        <v>49309</v>
      </c>
      <c r="C21" s="4" t="s">
        <v>13</v>
      </c>
      <c r="D21" s="13" t="s">
        <v>12</v>
      </c>
      <c r="E21" s="6" t="s">
        <v>26</v>
      </c>
      <c r="F21" s="7">
        <v>1</v>
      </c>
      <c r="G21" s="7">
        <v>1</v>
      </c>
      <c r="H21" s="8">
        <v>0</v>
      </c>
      <c r="I21" s="9">
        <v>5648.33</v>
      </c>
      <c r="J21" s="10"/>
      <c r="K21" s="11" t="s">
        <v>28</v>
      </c>
    </row>
    <row r="22" spans="1:11" x14ac:dyDescent="0.25">
      <c r="A22" s="12">
        <v>46171</v>
      </c>
      <c r="B22" s="12">
        <v>49309</v>
      </c>
      <c r="C22" s="4" t="s">
        <v>13</v>
      </c>
      <c r="D22" s="13" t="s">
        <v>12</v>
      </c>
      <c r="E22" s="14" t="s">
        <v>26</v>
      </c>
      <c r="F22" s="10">
        <v>1</v>
      </c>
      <c r="G22" s="10">
        <v>1</v>
      </c>
      <c r="H22" s="8">
        <v>0</v>
      </c>
      <c r="I22" s="9">
        <v>525.04</v>
      </c>
      <c r="J22" s="10"/>
      <c r="K22" s="11" t="s">
        <v>29</v>
      </c>
    </row>
    <row r="23" spans="1:11" x14ac:dyDescent="0.25">
      <c r="A23" s="12">
        <v>46188</v>
      </c>
      <c r="B23" s="12">
        <v>49309</v>
      </c>
      <c r="C23" s="4" t="s">
        <v>13</v>
      </c>
      <c r="D23" s="13" t="s">
        <v>12</v>
      </c>
      <c r="E23" s="14" t="s">
        <v>26</v>
      </c>
      <c r="F23" s="10">
        <v>1</v>
      </c>
      <c r="G23" s="10">
        <v>1</v>
      </c>
      <c r="H23" s="8">
        <v>0</v>
      </c>
      <c r="I23" s="9">
        <v>14472.99</v>
      </c>
      <c r="J23" s="10"/>
      <c r="K23" s="11" t="s">
        <v>30</v>
      </c>
    </row>
    <row r="24" spans="1:11" x14ac:dyDescent="0.25">
      <c r="A24" s="12">
        <v>46231</v>
      </c>
      <c r="B24" s="12">
        <v>49309</v>
      </c>
      <c r="C24" s="4" t="s">
        <v>13</v>
      </c>
      <c r="D24" s="13" t="s">
        <v>12</v>
      </c>
      <c r="E24" s="14" t="s">
        <v>26</v>
      </c>
      <c r="F24" s="10">
        <v>1</v>
      </c>
      <c r="G24" s="10">
        <v>1</v>
      </c>
      <c r="H24" s="8">
        <v>0</v>
      </c>
      <c r="I24" s="9">
        <v>6500</v>
      </c>
      <c r="J24" s="10"/>
      <c r="K24" s="11" t="s">
        <v>31</v>
      </c>
    </row>
    <row r="25" spans="1:11" x14ac:dyDescent="0.25">
      <c r="A25" s="12">
        <v>46232</v>
      </c>
      <c r="B25" s="12">
        <v>49309</v>
      </c>
      <c r="C25" s="4" t="s">
        <v>13</v>
      </c>
      <c r="D25" s="13" t="s">
        <v>12</v>
      </c>
      <c r="E25" s="14" t="s">
        <v>26</v>
      </c>
      <c r="F25" s="10">
        <v>1</v>
      </c>
      <c r="G25" s="10">
        <v>1</v>
      </c>
      <c r="H25" s="8">
        <v>0</v>
      </c>
      <c r="I25" s="9">
        <v>1157.1500000000001</v>
      </c>
      <c r="J25" s="10"/>
      <c r="K25" s="11">
        <v>371902</v>
      </c>
    </row>
    <row r="26" spans="1:11" x14ac:dyDescent="0.25">
      <c r="A26" s="12">
        <v>46233</v>
      </c>
      <c r="B26" s="12">
        <v>49309</v>
      </c>
      <c r="C26" s="4" t="s">
        <v>13</v>
      </c>
      <c r="D26" s="13" t="s">
        <v>12</v>
      </c>
      <c r="E26" s="14" t="s">
        <v>26</v>
      </c>
      <c r="F26" s="10">
        <v>1</v>
      </c>
      <c r="G26" s="10">
        <v>1</v>
      </c>
      <c r="H26" s="8">
        <v>0</v>
      </c>
      <c r="I26" s="9">
        <v>5529.99</v>
      </c>
      <c r="J26" s="10"/>
      <c r="K26" s="11">
        <v>371996</v>
      </c>
    </row>
    <row r="27" spans="1:11" x14ac:dyDescent="0.25">
      <c r="A27" s="12">
        <v>46238</v>
      </c>
      <c r="B27" s="12">
        <v>49309</v>
      </c>
      <c r="C27" s="4" t="s">
        <v>13</v>
      </c>
      <c r="D27" s="13" t="s">
        <v>12</v>
      </c>
      <c r="E27" s="14" t="s">
        <v>26</v>
      </c>
      <c r="F27" s="10">
        <v>1</v>
      </c>
      <c r="G27" s="10">
        <v>1</v>
      </c>
      <c r="H27" s="9">
        <v>0</v>
      </c>
      <c r="I27" s="9">
        <v>146.5</v>
      </c>
      <c r="J27" s="10"/>
      <c r="K27" s="11">
        <v>372241</v>
      </c>
    </row>
    <row r="28" spans="1:11" x14ac:dyDescent="0.25">
      <c r="A28" s="12">
        <v>46238</v>
      </c>
      <c r="B28" s="12">
        <v>49309</v>
      </c>
      <c r="C28" s="4" t="s">
        <v>13</v>
      </c>
      <c r="D28" s="13" t="s">
        <v>12</v>
      </c>
      <c r="E28" s="14" t="s">
        <v>26</v>
      </c>
      <c r="F28" s="10">
        <v>1</v>
      </c>
      <c r="G28" s="10">
        <v>1</v>
      </c>
      <c r="H28" s="9">
        <v>0</v>
      </c>
      <c r="I28" s="9">
        <v>3061.18</v>
      </c>
      <c r="J28" s="10"/>
      <c r="K28" s="11">
        <v>372253</v>
      </c>
    </row>
    <row r="29" spans="1:11" x14ac:dyDescent="0.25">
      <c r="A29" s="12">
        <v>46268</v>
      </c>
      <c r="B29" s="12">
        <v>49309</v>
      </c>
      <c r="C29" s="4" t="s">
        <v>13</v>
      </c>
      <c r="D29" s="13" t="s">
        <v>12</v>
      </c>
      <c r="E29" s="14" t="s">
        <v>26</v>
      </c>
      <c r="F29" s="10">
        <v>1</v>
      </c>
      <c r="G29" s="10">
        <v>1</v>
      </c>
      <c r="H29" s="9">
        <v>0</v>
      </c>
      <c r="I29" s="9">
        <v>6654.45</v>
      </c>
      <c r="J29" s="10"/>
      <c r="K29" s="11">
        <v>372253</v>
      </c>
    </row>
    <row r="30" spans="1:11" x14ac:dyDescent="0.25">
      <c r="A30" s="12">
        <v>46308</v>
      </c>
      <c r="B30" s="12">
        <v>49309</v>
      </c>
      <c r="C30" s="4" t="s">
        <v>13</v>
      </c>
      <c r="D30" s="13" t="s">
        <v>12</v>
      </c>
      <c r="E30" s="14" t="s">
        <v>26</v>
      </c>
      <c r="F30" s="10">
        <v>1</v>
      </c>
      <c r="G30" s="10">
        <v>1</v>
      </c>
      <c r="H30" s="9">
        <v>0</v>
      </c>
      <c r="I30" s="9">
        <v>-3233.72</v>
      </c>
      <c r="J30" s="10"/>
      <c r="K30" s="11">
        <v>376241</v>
      </c>
    </row>
    <row r="31" spans="1:11" x14ac:dyDescent="0.25">
      <c r="A31" s="3">
        <v>46123</v>
      </c>
      <c r="B31" s="3">
        <v>49309</v>
      </c>
      <c r="C31" s="4" t="s">
        <v>13</v>
      </c>
      <c r="D31" s="5" t="s">
        <v>12</v>
      </c>
      <c r="E31" s="6" t="s">
        <v>32</v>
      </c>
      <c r="F31" s="7">
        <v>1</v>
      </c>
      <c r="G31" s="7">
        <v>1</v>
      </c>
      <c r="H31" s="8">
        <v>0</v>
      </c>
      <c r="I31" s="8">
        <v>1630</v>
      </c>
      <c r="J31" s="7"/>
      <c r="K31" s="11" t="s">
        <v>33</v>
      </c>
    </row>
    <row r="32" spans="1:11" x14ac:dyDescent="0.25">
      <c r="A32" s="12">
        <v>46160</v>
      </c>
      <c r="B32" s="3">
        <v>49309</v>
      </c>
      <c r="C32" s="4" t="s">
        <v>13</v>
      </c>
      <c r="D32" s="13" t="s">
        <v>12</v>
      </c>
      <c r="E32" s="6" t="s">
        <v>32</v>
      </c>
      <c r="F32" s="10">
        <v>1</v>
      </c>
      <c r="G32" s="10">
        <v>1</v>
      </c>
      <c r="H32" s="9">
        <v>0</v>
      </c>
      <c r="I32" s="8">
        <v>1882.37</v>
      </c>
      <c r="J32" s="10"/>
      <c r="K32" s="11">
        <v>367646</v>
      </c>
    </row>
    <row r="33" spans="1:11" x14ac:dyDescent="0.25">
      <c r="A33" s="12">
        <v>46161</v>
      </c>
      <c r="B33" s="3">
        <v>49309</v>
      </c>
      <c r="C33" s="4" t="s">
        <v>13</v>
      </c>
      <c r="D33" s="13" t="s">
        <v>12</v>
      </c>
      <c r="E33" s="6" t="s">
        <v>32</v>
      </c>
      <c r="F33" s="10">
        <v>1</v>
      </c>
      <c r="G33" s="10">
        <v>1</v>
      </c>
      <c r="H33" s="9">
        <v>0</v>
      </c>
      <c r="I33" s="8">
        <v>3489.14</v>
      </c>
      <c r="J33" s="10"/>
      <c r="K33" s="11">
        <v>367646</v>
      </c>
    </row>
    <row r="34" spans="1:11" x14ac:dyDescent="0.25">
      <c r="A34" s="12">
        <v>46189</v>
      </c>
      <c r="B34" s="12">
        <v>49309</v>
      </c>
      <c r="C34" s="4" t="s">
        <v>13</v>
      </c>
      <c r="D34" s="13" t="s">
        <v>12</v>
      </c>
      <c r="E34" s="14" t="s">
        <v>32</v>
      </c>
      <c r="F34" s="10">
        <v>1</v>
      </c>
      <c r="G34" s="10">
        <v>1</v>
      </c>
      <c r="H34" s="9"/>
      <c r="I34" s="8">
        <v>1586.91</v>
      </c>
      <c r="J34" s="10"/>
      <c r="K34" s="11">
        <v>3693062</v>
      </c>
    </row>
    <row r="35" spans="1:11" x14ac:dyDescent="0.25">
      <c r="A35" s="12">
        <v>46211</v>
      </c>
      <c r="B35" s="3">
        <v>49309</v>
      </c>
      <c r="C35" s="4" t="s">
        <v>13</v>
      </c>
      <c r="D35" s="13" t="s">
        <v>12</v>
      </c>
      <c r="E35" s="6" t="s">
        <v>32</v>
      </c>
      <c r="F35" s="10">
        <v>1</v>
      </c>
      <c r="G35" s="10">
        <v>1</v>
      </c>
      <c r="H35" s="9">
        <v>0</v>
      </c>
      <c r="I35" s="8">
        <v>1754.1</v>
      </c>
      <c r="J35" s="10"/>
      <c r="K35" s="11">
        <v>3705034</v>
      </c>
    </row>
    <row r="36" spans="1:11" x14ac:dyDescent="0.25">
      <c r="A36" s="12">
        <v>46232</v>
      </c>
      <c r="B36" s="3">
        <v>49309</v>
      </c>
      <c r="C36" s="4" t="s">
        <v>13</v>
      </c>
      <c r="D36" s="13" t="s">
        <v>12</v>
      </c>
      <c r="E36" s="6" t="s">
        <v>32</v>
      </c>
      <c r="F36" s="10">
        <v>1</v>
      </c>
      <c r="G36" s="10">
        <v>1</v>
      </c>
      <c r="H36" s="9">
        <v>0</v>
      </c>
      <c r="I36" s="8">
        <v>1972.53</v>
      </c>
      <c r="J36" s="10"/>
      <c r="K36" s="11">
        <v>3718852</v>
      </c>
    </row>
    <row r="37" spans="1:11" x14ac:dyDescent="0.25">
      <c r="A37" s="12">
        <v>46232</v>
      </c>
      <c r="B37" s="3">
        <v>49309</v>
      </c>
      <c r="C37" s="4" t="s">
        <v>13</v>
      </c>
      <c r="D37" s="13" t="s">
        <v>12</v>
      </c>
      <c r="E37" s="6" t="s">
        <v>32</v>
      </c>
      <c r="F37" s="10">
        <v>1</v>
      </c>
      <c r="G37" s="10">
        <v>1</v>
      </c>
      <c r="H37" s="9">
        <v>0</v>
      </c>
      <c r="I37" s="8">
        <v>3922.92</v>
      </c>
      <c r="J37" s="10"/>
      <c r="K37" s="11" t="s">
        <v>34</v>
      </c>
    </row>
    <row r="38" spans="1:11" x14ac:dyDescent="0.25">
      <c r="A38" s="12">
        <v>46239</v>
      </c>
      <c r="B38" s="3">
        <v>49309</v>
      </c>
      <c r="C38" s="4" t="s">
        <v>13</v>
      </c>
      <c r="D38" s="13" t="s">
        <v>12</v>
      </c>
      <c r="E38" s="6" t="s">
        <v>32</v>
      </c>
      <c r="F38" s="10">
        <v>1</v>
      </c>
      <c r="G38" s="10">
        <v>1</v>
      </c>
      <c r="H38" s="9">
        <v>0</v>
      </c>
      <c r="I38" s="8">
        <v>2041.67</v>
      </c>
      <c r="J38" s="10"/>
      <c r="K38" s="11" t="s">
        <v>35</v>
      </c>
    </row>
    <row r="39" spans="1:11" x14ac:dyDescent="0.25">
      <c r="A39" s="12">
        <v>46247</v>
      </c>
      <c r="B39" s="3">
        <v>49309</v>
      </c>
      <c r="C39" s="4" t="s">
        <v>13</v>
      </c>
      <c r="D39" s="13" t="s">
        <v>12</v>
      </c>
      <c r="E39" s="6" t="s">
        <v>32</v>
      </c>
      <c r="F39" s="10">
        <v>1</v>
      </c>
      <c r="G39" s="10">
        <v>1</v>
      </c>
      <c r="H39" s="9">
        <v>0</v>
      </c>
      <c r="I39" s="8">
        <v>957</v>
      </c>
      <c r="J39" s="10"/>
      <c r="K39" s="11" t="s">
        <v>36</v>
      </c>
    </row>
    <row r="40" spans="1:11" x14ac:dyDescent="0.25">
      <c r="A40" s="12">
        <v>46276</v>
      </c>
      <c r="B40" s="3">
        <v>49309</v>
      </c>
      <c r="C40" s="4" t="s">
        <v>13</v>
      </c>
      <c r="D40" s="13" t="s">
        <v>12</v>
      </c>
      <c r="E40" s="6" t="s">
        <v>32</v>
      </c>
      <c r="F40" s="10">
        <v>1</v>
      </c>
      <c r="G40" s="10">
        <v>1</v>
      </c>
      <c r="H40" s="9">
        <v>0</v>
      </c>
      <c r="I40" s="8">
        <v>323.60000000000002</v>
      </c>
      <c r="J40" s="10"/>
      <c r="K40" s="11" t="s">
        <v>37</v>
      </c>
    </row>
    <row r="41" spans="1:11" x14ac:dyDescent="0.25">
      <c r="A41" s="12">
        <v>46287</v>
      </c>
      <c r="B41" s="3">
        <v>49309</v>
      </c>
      <c r="C41" s="4" t="s">
        <v>13</v>
      </c>
      <c r="D41" s="13" t="s">
        <v>12</v>
      </c>
      <c r="E41" s="6" t="s">
        <v>32</v>
      </c>
      <c r="F41" s="10">
        <v>1</v>
      </c>
      <c r="G41" s="10">
        <v>1</v>
      </c>
      <c r="H41" s="9">
        <v>0</v>
      </c>
      <c r="I41" s="8">
        <v>12126.78</v>
      </c>
      <c r="J41" s="10"/>
      <c r="K41" s="11">
        <v>375105</v>
      </c>
    </row>
    <row r="42" spans="1:11" x14ac:dyDescent="0.25">
      <c r="A42" s="3">
        <v>46140</v>
      </c>
      <c r="B42" s="3">
        <v>49309</v>
      </c>
      <c r="C42" s="4" t="s">
        <v>13</v>
      </c>
      <c r="D42" s="5" t="s">
        <v>12</v>
      </c>
      <c r="E42" s="6" t="s">
        <v>38</v>
      </c>
      <c r="F42" s="7">
        <v>1</v>
      </c>
      <c r="G42" s="7">
        <v>1</v>
      </c>
      <c r="H42" s="8">
        <v>0</v>
      </c>
      <c r="I42" s="8">
        <v>3700.56</v>
      </c>
      <c r="J42" s="7"/>
      <c r="K42" s="11" t="s">
        <v>39</v>
      </c>
    </row>
    <row r="43" spans="1:11" x14ac:dyDescent="0.25">
      <c r="A43" s="3">
        <v>46288</v>
      </c>
      <c r="B43" s="3">
        <v>49309</v>
      </c>
      <c r="C43" s="4" t="s">
        <v>13</v>
      </c>
      <c r="D43" s="5" t="s">
        <v>12</v>
      </c>
      <c r="E43" s="6" t="s">
        <v>38</v>
      </c>
      <c r="F43" s="7">
        <v>1</v>
      </c>
      <c r="G43" s="7">
        <v>1</v>
      </c>
      <c r="H43" s="8">
        <v>0</v>
      </c>
      <c r="I43" s="8">
        <v>1559.8</v>
      </c>
      <c r="J43" s="7"/>
      <c r="K43" s="11" t="s">
        <v>40</v>
      </c>
    </row>
    <row r="44" spans="1:11" x14ac:dyDescent="0.25">
      <c r="A44" s="3">
        <v>46289</v>
      </c>
      <c r="B44" s="3">
        <v>49309</v>
      </c>
      <c r="C44" s="4" t="s">
        <v>13</v>
      </c>
      <c r="D44" s="5" t="s">
        <v>12</v>
      </c>
      <c r="E44" s="6" t="s">
        <v>38</v>
      </c>
      <c r="F44" s="7">
        <v>1</v>
      </c>
      <c r="G44" s="7">
        <v>1</v>
      </c>
      <c r="H44" s="8">
        <v>0</v>
      </c>
      <c r="I44" s="8">
        <v>2431.85</v>
      </c>
      <c r="J44" s="7"/>
      <c r="K44" s="11">
        <v>3752452</v>
      </c>
    </row>
    <row r="45" spans="1:11" x14ac:dyDescent="0.25">
      <c r="A45" s="3">
        <v>46290</v>
      </c>
      <c r="B45" s="3">
        <v>49309</v>
      </c>
      <c r="C45" s="4" t="s">
        <v>13</v>
      </c>
      <c r="D45" s="5" t="s">
        <v>12</v>
      </c>
      <c r="E45" s="6" t="s">
        <v>38</v>
      </c>
      <c r="F45" s="7">
        <v>1</v>
      </c>
      <c r="G45" s="7">
        <v>1</v>
      </c>
      <c r="H45" s="8">
        <v>0</v>
      </c>
      <c r="I45" s="9">
        <v>4601.67</v>
      </c>
      <c r="J45" s="10"/>
      <c r="K45" s="11">
        <v>3753242</v>
      </c>
    </row>
    <row r="46" spans="1:11" x14ac:dyDescent="0.25">
      <c r="A46" s="3">
        <v>46303</v>
      </c>
      <c r="B46" s="3">
        <v>49309</v>
      </c>
      <c r="C46" s="4" t="s">
        <v>13</v>
      </c>
      <c r="D46" s="5" t="s">
        <v>12</v>
      </c>
      <c r="E46" s="6" t="s">
        <v>38</v>
      </c>
      <c r="F46" s="7">
        <v>1</v>
      </c>
      <c r="G46" s="7">
        <v>1</v>
      </c>
      <c r="H46" s="8">
        <v>0</v>
      </c>
      <c r="I46" s="9">
        <v>5521.57</v>
      </c>
      <c r="J46" s="10"/>
      <c r="K46" s="11">
        <v>3753242</v>
      </c>
    </row>
    <row r="47" spans="1:11" x14ac:dyDescent="0.25">
      <c r="A47" s="3">
        <v>46123</v>
      </c>
      <c r="B47" s="3">
        <v>49309</v>
      </c>
      <c r="C47" s="4" t="s">
        <v>13</v>
      </c>
      <c r="D47" s="5" t="s">
        <v>12</v>
      </c>
      <c r="E47" s="6" t="s">
        <v>41</v>
      </c>
      <c r="F47" s="7">
        <v>1</v>
      </c>
      <c r="G47" s="7">
        <v>1</v>
      </c>
      <c r="H47" s="8">
        <v>0</v>
      </c>
      <c r="I47" s="15">
        <v>7536.75</v>
      </c>
      <c r="J47" s="7"/>
      <c r="K47" s="11"/>
    </row>
    <row r="48" spans="1:11" x14ac:dyDescent="0.25">
      <c r="A48" s="3">
        <v>46237</v>
      </c>
      <c r="B48" s="3">
        <v>49309</v>
      </c>
      <c r="C48" s="4" t="s">
        <v>13</v>
      </c>
      <c r="D48" s="5" t="s">
        <v>12</v>
      </c>
      <c r="E48" s="6" t="s">
        <v>41</v>
      </c>
      <c r="F48" s="7">
        <v>1</v>
      </c>
      <c r="G48" s="7">
        <v>1</v>
      </c>
      <c r="H48" s="8">
        <v>0</v>
      </c>
      <c r="I48" s="16">
        <v>-1099.04</v>
      </c>
      <c r="J48" s="7"/>
      <c r="K48" s="11"/>
    </row>
    <row r="49" spans="1:11" x14ac:dyDescent="0.25">
      <c r="A49" s="3">
        <v>46237</v>
      </c>
      <c r="B49" s="3">
        <v>49309</v>
      </c>
      <c r="C49" s="4" t="s">
        <v>13</v>
      </c>
      <c r="D49" s="5" t="s">
        <v>12</v>
      </c>
      <c r="E49" s="6" t="s">
        <v>41</v>
      </c>
      <c r="F49" s="7">
        <v>1</v>
      </c>
      <c r="G49" s="7">
        <v>1</v>
      </c>
      <c r="H49" s="8">
        <v>0</v>
      </c>
      <c r="I49" s="16">
        <v>-2505.8000000000002</v>
      </c>
      <c r="J49" s="7"/>
      <c r="K49" s="11"/>
    </row>
    <row r="50" spans="1:11" x14ac:dyDescent="0.25">
      <c r="A50" s="12">
        <v>46286</v>
      </c>
      <c r="B50" s="12">
        <v>49309</v>
      </c>
      <c r="C50" s="4" t="s">
        <v>13</v>
      </c>
      <c r="D50" s="13" t="s">
        <v>12</v>
      </c>
      <c r="E50" s="14" t="s">
        <v>42</v>
      </c>
      <c r="F50" s="10">
        <v>1</v>
      </c>
      <c r="G50" s="10">
        <v>1</v>
      </c>
      <c r="H50" s="9">
        <v>0</v>
      </c>
      <c r="I50" s="9">
        <v>263.75</v>
      </c>
      <c r="J50" s="10"/>
      <c r="K50" s="11">
        <v>375044</v>
      </c>
    </row>
    <row r="51" spans="1:11" x14ac:dyDescent="0.25">
      <c r="A51" s="12">
        <v>46301</v>
      </c>
      <c r="B51" s="3">
        <v>49309</v>
      </c>
      <c r="C51" s="4" t="s">
        <v>13</v>
      </c>
      <c r="D51" s="13" t="s">
        <v>12</v>
      </c>
      <c r="E51" s="6" t="s">
        <v>32</v>
      </c>
      <c r="F51" s="10">
        <v>1</v>
      </c>
      <c r="G51" s="10">
        <v>1</v>
      </c>
      <c r="H51" s="9">
        <v>0</v>
      </c>
      <c r="I51" s="16">
        <v>-6336.91</v>
      </c>
      <c r="J51" s="10"/>
      <c r="K51" s="11">
        <v>375905</v>
      </c>
    </row>
    <row r="52" spans="1:11" x14ac:dyDescent="0.25">
      <c r="A52" s="12">
        <v>46308</v>
      </c>
      <c r="B52" s="3">
        <v>49309</v>
      </c>
      <c r="C52" s="4" t="s">
        <v>13</v>
      </c>
      <c r="D52" s="13" t="s">
        <v>12</v>
      </c>
      <c r="E52" s="14" t="s">
        <v>26</v>
      </c>
      <c r="F52" s="10">
        <v>1</v>
      </c>
      <c r="G52" s="10">
        <v>1</v>
      </c>
      <c r="H52" s="9">
        <v>0</v>
      </c>
      <c r="I52" s="16">
        <v>-3233.72</v>
      </c>
      <c r="J52" s="10"/>
      <c r="K52" s="11"/>
    </row>
    <row r="53" spans="1:11" x14ac:dyDescent="0.25">
      <c r="A53" s="12">
        <v>46308</v>
      </c>
      <c r="B53" s="3">
        <v>49309</v>
      </c>
      <c r="C53" s="4" t="s">
        <v>13</v>
      </c>
      <c r="D53" s="13" t="s">
        <v>12</v>
      </c>
      <c r="E53" s="6" t="s">
        <v>32</v>
      </c>
      <c r="F53" s="10">
        <v>1</v>
      </c>
      <c r="G53" s="10">
        <v>1</v>
      </c>
      <c r="H53" s="9">
        <v>0</v>
      </c>
      <c r="I53" s="16">
        <v>-270.7</v>
      </c>
      <c r="J53" s="10"/>
      <c r="K53" s="11">
        <v>376213</v>
      </c>
    </row>
    <row r="54" spans="1:11" x14ac:dyDescent="0.25">
      <c r="A54" s="12">
        <v>46308</v>
      </c>
      <c r="B54" s="3">
        <v>49309</v>
      </c>
      <c r="C54" s="4" t="s">
        <v>13</v>
      </c>
      <c r="D54" s="13" t="s">
        <v>12</v>
      </c>
      <c r="E54" s="6" t="s">
        <v>32</v>
      </c>
      <c r="F54" s="10">
        <v>1</v>
      </c>
      <c r="G54" s="10">
        <v>1</v>
      </c>
      <c r="H54" s="9">
        <v>0</v>
      </c>
      <c r="I54" s="16">
        <v>-433.12</v>
      </c>
      <c r="J54" s="10"/>
      <c r="K54" s="11" t="s">
        <v>43</v>
      </c>
    </row>
    <row r="55" spans="1:11" x14ac:dyDescent="0.25">
      <c r="A55" s="12">
        <v>46309</v>
      </c>
      <c r="B55" s="12">
        <v>49309</v>
      </c>
      <c r="C55" s="4" t="s">
        <v>13</v>
      </c>
      <c r="D55" s="13" t="s">
        <v>12</v>
      </c>
      <c r="E55" s="14" t="s">
        <v>26</v>
      </c>
      <c r="F55" s="10">
        <v>1</v>
      </c>
      <c r="G55" s="10">
        <v>1</v>
      </c>
      <c r="H55" s="9">
        <v>0</v>
      </c>
      <c r="I55" s="17">
        <v>-16438.05</v>
      </c>
      <c r="J55" s="10"/>
      <c r="K55" s="11" t="s">
        <v>44</v>
      </c>
    </row>
    <row r="56" spans="1:11" x14ac:dyDescent="0.25">
      <c r="A56" s="3">
        <v>46310</v>
      </c>
      <c r="B56" s="12">
        <v>49309</v>
      </c>
      <c r="C56" s="4" t="s">
        <v>13</v>
      </c>
      <c r="D56" s="13" t="s">
        <v>12</v>
      </c>
      <c r="E56" s="14" t="s">
        <v>14</v>
      </c>
      <c r="F56" s="10">
        <v>1</v>
      </c>
      <c r="G56" s="10">
        <v>1</v>
      </c>
      <c r="H56" s="9">
        <v>0</v>
      </c>
      <c r="I56" s="17">
        <v>-210.93</v>
      </c>
      <c r="J56" s="10"/>
      <c r="K56" s="11">
        <v>376353</v>
      </c>
    </row>
    <row r="57" spans="1:11" x14ac:dyDescent="0.25">
      <c r="A57" s="3">
        <v>46310</v>
      </c>
      <c r="B57" s="12">
        <v>49309</v>
      </c>
      <c r="C57" s="4" t="s">
        <v>13</v>
      </c>
      <c r="D57" s="13" t="s">
        <v>12</v>
      </c>
      <c r="E57" s="14" t="s">
        <v>14</v>
      </c>
      <c r="F57" s="10">
        <v>1</v>
      </c>
      <c r="G57" s="10">
        <v>1</v>
      </c>
      <c r="H57" s="9">
        <v>0</v>
      </c>
      <c r="I57" s="17">
        <v>-354.83</v>
      </c>
      <c r="J57" s="10"/>
      <c r="K57" s="11"/>
    </row>
    <row r="58" spans="1:11" x14ac:dyDescent="0.25">
      <c r="A58" s="3">
        <v>46310</v>
      </c>
      <c r="B58" s="12">
        <v>49309</v>
      </c>
      <c r="C58" s="4" t="s">
        <v>13</v>
      </c>
      <c r="D58" s="13" t="s">
        <v>12</v>
      </c>
      <c r="E58" s="14" t="s">
        <v>14</v>
      </c>
      <c r="F58" s="10">
        <v>1</v>
      </c>
      <c r="G58" s="10">
        <v>1</v>
      </c>
      <c r="H58" s="9">
        <v>0</v>
      </c>
      <c r="I58" s="17">
        <v>-132.08000000000001</v>
      </c>
      <c r="J58" s="10"/>
      <c r="K58" s="11"/>
    </row>
    <row r="59" spans="1:11" x14ac:dyDescent="0.25">
      <c r="A59" s="3">
        <v>46311</v>
      </c>
      <c r="B59" s="12">
        <v>49309</v>
      </c>
      <c r="C59" s="4" t="s">
        <v>13</v>
      </c>
      <c r="D59" s="13" t="s">
        <v>12</v>
      </c>
      <c r="E59" s="14" t="s">
        <v>26</v>
      </c>
      <c r="F59" s="10">
        <v>1</v>
      </c>
      <c r="G59" s="10">
        <v>1</v>
      </c>
      <c r="H59" s="9">
        <v>0</v>
      </c>
      <c r="I59" s="17">
        <v>-9431.67</v>
      </c>
      <c r="J59" s="10"/>
      <c r="K59" s="11">
        <v>376353</v>
      </c>
    </row>
    <row r="60" spans="1:11" x14ac:dyDescent="0.25">
      <c r="A60" s="3">
        <v>46311</v>
      </c>
      <c r="B60" s="12">
        <v>49309</v>
      </c>
      <c r="C60" s="4" t="s">
        <v>13</v>
      </c>
      <c r="D60" s="13" t="s">
        <v>12</v>
      </c>
      <c r="E60" s="6" t="s">
        <v>32</v>
      </c>
      <c r="F60" s="10">
        <v>1</v>
      </c>
      <c r="G60" s="10">
        <v>1</v>
      </c>
      <c r="H60" s="9">
        <v>0</v>
      </c>
      <c r="I60" s="17">
        <v>-246.09</v>
      </c>
      <c r="J60" s="10"/>
      <c r="K60" s="11">
        <v>376353</v>
      </c>
    </row>
    <row r="61" spans="1:11" x14ac:dyDescent="0.25">
      <c r="A61" s="3">
        <v>46311</v>
      </c>
      <c r="B61" s="12">
        <v>49309</v>
      </c>
      <c r="C61" s="4" t="s">
        <v>13</v>
      </c>
      <c r="D61" s="13" t="s">
        <v>12</v>
      </c>
      <c r="E61" s="6" t="s">
        <v>32</v>
      </c>
      <c r="F61" s="10">
        <v>1</v>
      </c>
      <c r="G61" s="10">
        <v>1</v>
      </c>
      <c r="H61" s="9">
        <v>0</v>
      </c>
      <c r="I61" s="17">
        <v>-1375.66</v>
      </c>
      <c r="J61" s="10"/>
      <c r="K61" s="11">
        <v>376353</v>
      </c>
    </row>
    <row r="62" spans="1:11" x14ac:dyDescent="0.25">
      <c r="A62" s="12">
        <v>46314</v>
      </c>
      <c r="B62" s="3">
        <v>49309</v>
      </c>
      <c r="C62" s="4" t="s">
        <v>13</v>
      </c>
      <c r="D62" s="13" t="s">
        <v>12</v>
      </c>
      <c r="E62" s="14" t="s">
        <v>14</v>
      </c>
      <c r="F62" s="10">
        <v>1</v>
      </c>
      <c r="G62" s="10">
        <v>1</v>
      </c>
      <c r="H62" s="9">
        <v>0</v>
      </c>
      <c r="I62" s="17">
        <v>-242.47</v>
      </c>
      <c r="J62" s="10"/>
      <c r="K62" s="11">
        <v>376533</v>
      </c>
    </row>
    <row r="63" spans="1:11" x14ac:dyDescent="0.25">
      <c r="A63" s="12">
        <v>46314</v>
      </c>
      <c r="B63" s="3">
        <v>49309</v>
      </c>
      <c r="C63" s="4" t="s">
        <v>13</v>
      </c>
      <c r="D63" s="13" t="s">
        <v>12</v>
      </c>
      <c r="E63" s="6" t="s">
        <v>32</v>
      </c>
      <c r="F63" s="10">
        <v>1</v>
      </c>
      <c r="G63" s="10">
        <v>1</v>
      </c>
      <c r="H63" s="9">
        <v>0</v>
      </c>
      <c r="I63" s="17">
        <v>-954.84</v>
      </c>
      <c r="J63" s="10"/>
      <c r="K63" s="11">
        <v>376534</v>
      </c>
    </row>
    <row r="64" spans="1:11" x14ac:dyDescent="0.25">
      <c r="A64" s="12">
        <v>46314</v>
      </c>
      <c r="B64" s="3">
        <v>49309</v>
      </c>
      <c r="C64" s="4" t="s">
        <v>13</v>
      </c>
      <c r="D64" s="13" t="s">
        <v>12</v>
      </c>
      <c r="E64" s="6" t="s">
        <v>32</v>
      </c>
      <c r="F64" s="10">
        <v>1</v>
      </c>
      <c r="G64" s="10">
        <v>1</v>
      </c>
      <c r="H64" s="9">
        <v>0</v>
      </c>
      <c r="I64" s="17">
        <v>-6504.26</v>
      </c>
      <c r="J64" s="10"/>
      <c r="K64" s="11">
        <v>376535</v>
      </c>
    </row>
    <row r="65" spans="1:11" x14ac:dyDescent="0.25">
      <c r="A65" s="12">
        <v>46314</v>
      </c>
      <c r="B65" s="3">
        <v>49309</v>
      </c>
      <c r="C65" s="4" t="s">
        <v>13</v>
      </c>
      <c r="D65" s="13" t="s">
        <v>12</v>
      </c>
      <c r="E65" s="14" t="s">
        <v>14</v>
      </c>
      <c r="F65" s="10">
        <v>1</v>
      </c>
      <c r="G65" s="10">
        <v>1</v>
      </c>
      <c r="H65" s="9">
        <v>0</v>
      </c>
      <c r="I65" s="17">
        <v>-595.33000000000004</v>
      </c>
      <c r="J65" s="10"/>
      <c r="K65" s="11">
        <v>376536</v>
      </c>
    </row>
    <row r="66" spans="1:11" x14ac:dyDescent="0.25">
      <c r="A66" s="12">
        <v>46314</v>
      </c>
      <c r="B66" s="3">
        <v>49309</v>
      </c>
      <c r="C66" s="4" t="s">
        <v>13</v>
      </c>
      <c r="D66" s="13" t="s">
        <v>12</v>
      </c>
      <c r="E66" s="6" t="s">
        <v>32</v>
      </c>
      <c r="F66" s="10">
        <v>1</v>
      </c>
      <c r="G66" s="10">
        <v>1</v>
      </c>
      <c r="H66" s="9">
        <v>0</v>
      </c>
      <c r="I66" s="17">
        <v>-917.93</v>
      </c>
      <c r="J66" s="10"/>
      <c r="K66" s="11">
        <v>376538</v>
      </c>
    </row>
    <row r="67" spans="1:11" x14ac:dyDescent="0.25">
      <c r="A67" s="12">
        <v>46314</v>
      </c>
      <c r="B67" s="3">
        <v>49309</v>
      </c>
      <c r="C67" s="4" t="s">
        <v>13</v>
      </c>
      <c r="D67" s="13" t="s">
        <v>12</v>
      </c>
      <c r="E67" s="14" t="s">
        <v>14</v>
      </c>
      <c r="F67" s="10">
        <v>1</v>
      </c>
      <c r="G67" s="10">
        <v>1</v>
      </c>
      <c r="H67" s="9">
        <v>0</v>
      </c>
      <c r="I67" s="17">
        <v>-205.01</v>
      </c>
      <c r="J67" s="10"/>
      <c r="K67" s="11">
        <v>376545</v>
      </c>
    </row>
    <row r="68" spans="1:11" x14ac:dyDescent="0.25">
      <c r="A68" s="3">
        <v>46318</v>
      </c>
      <c r="B68" s="12">
        <v>49309</v>
      </c>
      <c r="C68" s="4" t="s">
        <v>13</v>
      </c>
      <c r="D68" s="13" t="s">
        <v>12</v>
      </c>
      <c r="E68" s="14" t="s">
        <v>26</v>
      </c>
      <c r="F68" s="10">
        <v>1</v>
      </c>
      <c r="G68" s="10">
        <v>1</v>
      </c>
      <c r="H68" s="9">
        <v>0</v>
      </c>
      <c r="I68" s="17">
        <v>-2560.02</v>
      </c>
      <c r="J68" s="10"/>
      <c r="K68" s="11"/>
    </row>
  </sheetData>
  <autoFilter ref="A2:K2" xr:uid="{6C7E296D-6A15-4523-AD71-1BC01165A1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2026-10-27T13:46:42Z</dcterms:created>
  <dcterms:modified xsi:type="dcterms:W3CDTF">2026-10-27T13:49:42Z</dcterms:modified>
</cp:coreProperties>
</file>