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SIPRO_07\documentacion\"/>
    </mc:Choice>
  </mc:AlternateContent>
  <xr:revisionPtr revIDLastSave="0" documentId="13_ncr:1_{7FAA8A10-5859-4A5D-9745-EBFF7DE74AB8}" xr6:coauthVersionLast="47" xr6:coauthVersionMax="47" xr10:uidLastSave="{00000000-0000-0000-0000-000000000000}"/>
  <bookViews>
    <workbookView xWindow="-120" yWindow="-120" windowWidth="29040" windowHeight="15720" xr2:uid="{68926E65-82EE-49D5-9DD6-3A0810EA81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5" i="1" l="1"/>
</calcChain>
</file>

<file path=xl/sharedStrings.xml><?xml version="1.0" encoding="utf-8"?>
<sst xmlns="http://schemas.openxmlformats.org/spreadsheetml/2006/main" count="228" uniqueCount="54">
  <si>
    <t>DESDE</t>
  </si>
  <si>
    <t>VENCIMIENTO</t>
  </si>
  <si>
    <t>Título</t>
  </si>
  <si>
    <t>Titular</t>
  </si>
  <si>
    <t>Tipo Inversión</t>
  </si>
  <si>
    <t>TASA</t>
  </si>
  <si>
    <t>Rendimiento</t>
  </si>
  <si>
    <t>INTERES</t>
  </si>
  <si>
    <t>CAPITAL</t>
  </si>
  <si>
    <t>Retención</t>
  </si>
  <si>
    <t>Interés total</t>
  </si>
  <si>
    <t>Retención año</t>
  </si>
  <si>
    <t>Interes año</t>
  </si>
  <si>
    <t>Mensual</t>
  </si>
  <si>
    <t>Retención año2</t>
  </si>
  <si>
    <t>Interes año3</t>
  </si>
  <si>
    <t>Operación Compra No.</t>
  </si>
  <si>
    <t>CAPITAL + INTERES al Corte</t>
  </si>
  <si>
    <t>Acciones Sin Interés</t>
  </si>
  <si>
    <t>Cristian</t>
  </si>
  <si>
    <t>Acciones PRODUBANCO 31/12/2034</t>
  </si>
  <si>
    <t>Jhon</t>
  </si>
  <si>
    <t>20697_04 - VAD37</t>
  </si>
  <si>
    <t>21164 - VAD08</t>
  </si>
  <si>
    <t>23076_05 - VAD07</t>
  </si>
  <si>
    <t>24176_01 - VAD23</t>
  </si>
  <si>
    <t>24199_03 - VAD05</t>
  </si>
  <si>
    <t>24455_02 - VAD12</t>
  </si>
  <si>
    <t>24961 - VAD16</t>
  </si>
  <si>
    <t>Acciones FAVORITA 31/12/2034</t>
  </si>
  <si>
    <t>Acciones CRIDESA 31/12/2034</t>
  </si>
  <si>
    <t>Acciones BOLSA VALORES QUITO 31/12/2034</t>
  </si>
  <si>
    <t>24885_01 - VAD07</t>
  </si>
  <si>
    <t>Acciones Banco PICHINCHA 31/12/2034</t>
  </si>
  <si>
    <t>14034 - VAD14</t>
  </si>
  <si>
    <t>14035 - VAD15</t>
  </si>
  <si>
    <t>14698 - VAD02</t>
  </si>
  <si>
    <t>16087_05 - VAD16</t>
  </si>
  <si>
    <t>20425_05 - VAD13</t>
  </si>
  <si>
    <t>26296 - VAD02</t>
  </si>
  <si>
    <t>Acciones Banco GUAYAQUIL 31/12/2034</t>
  </si>
  <si>
    <t>SUMA TR PREVIAS</t>
  </si>
  <si>
    <t>20473 - VAD05</t>
  </si>
  <si>
    <t>21163 - VAD07</t>
  </si>
  <si>
    <t>Suscripcion</t>
  </si>
  <si>
    <t>23890 - VAD02</t>
  </si>
  <si>
    <t>26232 - VAD08</t>
  </si>
  <si>
    <t>Acciones BANCO BOLIVARIANO 31/12/2034</t>
  </si>
  <si>
    <t>11973 - VAD20</t>
  </si>
  <si>
    <t>24815_02 - VAD20</t>
  </si>
  <si>
    <t>Acciones BANCO AUSTRO 31/12/2034</t>
  </si>
  <si>
    <t>Acciones Banco AUSTRO 31/12/2034</t>
  </si>
  <si>
    <t xml:space="preserve"> 26457 - VAD11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</si>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</sst>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48E4-3DDF-421F-B4AF-6DA90245C861}">
  <dimension ref="A1:R65"/>
  <sheetViews>
    <sheetView tabSelected="1" topLeftCell="A30" workbookViewId="0">
      <selection activeCell="H66" sqref="H66"/>
    </sheetView>
  </sheetViews>
  <sheetFormatPr baseColWidth="10" defaultRowHeight="15" x14ac:dyDescent="0.25"/>
  <cols>
    <col min="1" max="1" width="11.42578125" style="1"/>
    <col min="2" max="2" width="13.5703125" style="1" bestFit="1" customWidth="1"/>
    <col min="3" max="3" width="18.85546875" bestFit="1" customWidth="1"/>
    <col min="5" max="5" width="40.42578125" bestFit="1" customWidth="1"/>
    <col min="9" max="9" width="11.42578125" style="2"/>
    <col min="18" max="18" width="24.85546875" style="2" bestFit="1" customWidth="1"/>
  </cols>
  <sheetData>
    <row r="1" spans="1:18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25">
      <c r="A2" s="1">
        <v>46123</v>
      </c>
      <c r="B2" s="1">
        <v>49309</v>
      </c>
      <c r="C2" t="s">
        <v>18</v>
      </c>
      <c r="D2" t="s">
        <v>19</v>
      </c>
      <c r="E2" t="s">
        <v>20</v>
      </c>
      <c r="F2">
        <v>1</v>
      </c>
      <c r="G2">
        <v>1</v>
      </c>
      <c r="H2">
        <v>0</v>
      </c>
      <c r="I2" s="2">
        <v>319.58999999999997</v>
      </c>
      <c r="K2">
        <v>0</v>
      </c>
      <c r="R2" s="2">
        <v>319.58999999999997</v>
      </c>
    </row>
    <row r="3" spans="1:18" x14ac:dyDescent="0.25">
      <c r="A3" s="1">
        <v>46123</v>
      </c>
      <c r="B3" s="1">
        <v>49309</v>
      </c>
      <c r="C3" t="s">
        <v>18</v>
      </c>
      <c r="D3" t="s">
        <v>21</v>
      </c>
      <c r="E3" t="s">
        <v>20</v>
      </c>
      <c r="F3">
        <v>1</v>
      </c>
      <c r="G3">
        <v>1</v>
      </c>
      <c r="H3">
        <v>0</v>
      </c>
      <c r="I3" s="2">
        <v>4801.6000000000004</v>
      </c>
      <c r="K3">
        <v>0</v>
      </c>
      <c r="R3" s="2">
        <v>4801.6000000000004</v>
      </c>
    </row>
    <row r="4" spans="1:18" x14ac:dyDescent="0.25">
      <c r="A4" s="1">
        <v>46233</v>
      </c>
      <c r="B4" s="1">
        <v>49309</v>
      </c>
      <c r="C4" t="s">
        <v>18</v>
      </c>
      <c r="D4" t="s">
        <v>21</v>
      </c>
      <c r="E4" t="s">
        <v>20</v>
      </c>
      <c r="F4">
        <v>1</v>
      </c>
      <c r="G4">
        <v>1</v>
      </c>
      <c r="H4">
        <v>0</v>
      </c>
      <c r="I4" s="2">
        <v>7751.75</v>
      </c>
      <c r="K4">
        <v>0</v>
      </c>
      <c r="Q4" t="s">
        <v>22</v>
      </c>
      <c r="R4" s="2">
        <v>7751.75</v>
      </c>
    </row>
    <row r="5" spans="1:18" x14ac:dyDescent="0.25">
      <c r="A5" s="1">
        <v>46239</v>
      </c>
      <c r="B5" s="1">
        <v>49309</v>
      </c>
      <c r="C5" t="s">
        <v>18</v>
      </c>
      <c r="D5" t="s">
        <v>21</v>
      </c>
      <c r="E5" t="s">
        <v>20</v>
      </c>
      <c r="F5">
        <v>1</v>
      </c>
      <c r="G5">
        <v>1</v>
      </c>
      <c r="H5">
        <v>0</v>
      </c>
      <c r="I5" s="2">
        <v>2439.04</v>
      </c>
      <c r="K5">
        <v>0</v>
      </c>
      <c r="Q5" t="s">
        <v>23</v>
      </c>
      <c r="R5" s="2">
        <v>2439.04</v>
      </c>
    </row>
    <row r="6" spans="1:18" x14ac:dyDescent="0.25">
      <c r="A6" s="1">
        <v>46239</v>
      </c>
      <c r="B6" s="1">
        <v>49309</v>
      </c>
      <c r="C6" t="s">
        <v>18</v>
      </c>
      <c r="D6" t="s">
        <v>21</v>
      </c>
      <c r="E6" t="s">
        <v>20</v>
      </c>
      <c r="F6">
        <v>1</v>
      </c>
      <c r="G6">
        <v>1</v>
      </c>
      <c r="H6">
        <v>0</v>
      </c>
      <c r="I6" s="2">
        <v>13600</v>
      </c>
      <c r="K6">
        <v>0</v>
      </c>
      <c r="Q6">
        <v>3723541</v>
      </c>
      <c r="R6" s="2">
        <v>13600</v>
      </c>
    </row>
    <row r="7" spans="1:18" x14ac:dyDescent="0.25">
      <c r="A7" s="1">
        <v>46266</v>
      </c>
      <c r="B7" s="1">
        <v>49309</v>
      </c>
      <c r="C7" t="s">
        <v>18</v>
      </c>
      <c r="D7" t="s">
        <v>21</v>
      </c>
      <c r="E7" t="s">
        <v>20</v>
      </c>
      <c r="F7">
        <v>1</v>
      </c>
      <c r="G7">
        <v>1</v>
      </c>
      <c r="H7">
        <v>0</v>
      </c>
      <c r="I7" s="2">
        <v>4792.97</v>
      </c>
      <c r="K7">
        <v>0</v>
      </c>
      <c r="Q7" t="s">
        <v>24</v>
      </c>
      <c r="R7" s="2">
        <v>4792.97</v>
      </c>
    </row>
    <row r="8" spans="1:18" x14ac:dyDescent="0.25">
      <c r="A8" s="1">
        <v>46276</v>
      </c>
      <c r="B8" s="1">
        <v>49309</v>
      </c>
      <c r="C8" t="s">
        <v>18</v>
      </c>
      <c r="D8" t="s">
        <v>21</v>
      </c>
      <c r="E8" t="s">
        <v>20</v>
      </c>
      <c r="F8">
        <v>1</v>
      </c>
      <c r="G8">
        <v>1</v>
      </c>
      <c r="H8">
        <v>0</v>
      </c>
      <c r="I8" s="2">
        <v>802.65</v>
      </c>
      <c r="K8">
        <v>0</v>
      </c>
      <c r="Q8">
        <v>3746592</v>
      </c>
      <c r="R8" s="2">
        <v>802.65</v>
      </c>
    </row>
    <row r="9" spans="1:18" x14ac:dyDescent="0.25">
      <c r="A9" s="1">
        <v>46279</v>
      </c>
      <c r="B9" s="1">
        <v>49309</v>
      </c>
      <c r="C9" t="s">
        <v>18</v>
      </c>
      <c r="D9" t="s">
        <v>21</v>
      </c>
      <c r="E9" t="s">
        <v>20</v>
      </c>
      <c r="F9">
        <v>1</v>
      </c>
      <c r="G9">
        <v>1</v>
      </c>
      <c r="H9">
        <v>0</v>
      </c>
      <c r="I9" s="2">
        <v>376.13</v>
      </c>
      <c r="K9">
        <v>0</v>
      </c>
      <c r="Q9">
        <v>374678</v>
      </c>
      <c r="R9" s="2">
        <v>376.13</v>
      </c>
    </row>
    <row r="10" spans="1:18" x14ac:dyDescent="0.25">
      <c r="A10" s="1">
        <v>46280</v>
      </c>
      <c r="B10" s="1">
        <v>49309</v>
      </c>
      <c r="C10" t="s">
        <v>18</v>
      </c>
      <c r="D10" t="s">
        <v>21</v>
      </c>
      <c r="E10" t="s">
        <v>20</v>
      </c>
      <c r="F10">
        <v>1</v>
      </c>
      <c r="G10">
        <v>1</v>
      </c>
      <c r="H10">
        <v>0</v>
      </c>
      <c r="I10" s="2">
        <v>12486.2</v>
      </c>
      <c r="K10">
        <v>0</v>
      </c>
      <c r="Q10" t="s">
        <v>25</v>
      </c>
      <c r="R10" s="2">
        <v>12486.2</v>
      </c>
    </row>
    <row r="11" spans="1:18" x14ac:dyDescent="0.25">
      <c r="A11" s="1">
        <v>46281</v>
      </c>
      <c r="B11" s="1">
        <v>49309</v>
      </c>
      <c r="C11" t="s">
        <v>18</v>
      </c>
      <c r="D11" t="s">
        <v>21</v>
      </c>
      <c r="E11" t="s">
        <v>20</v>
      </c>
      <c r="F11">
        <v>1</v>
      </c>
      <c r="G11">
        <v>1</v>
      </c>
      <c r="H11">
        <v>0</v>
      </c>
      <c r="I11" s="2">
        <v>2017.52</v>
      </c>
      <c r="K11">
        <v>0</v>
      </c>
      <c r="Q11" t="s">
        <v>26</v>
      </c>
      <c r="R11" s="2">
        <v>2017.52</v>
      </c>
    </row>
    <row r="12" spans="1:18" x14ac:dyDescent="0.25">
      <c r="A12" s="1">
        <v>46283</v>
      </c>
      <c r="B12" s="1">
        <v>49309</v>
      </c>
      <c r="C12" t="s">
        <v>18</v>
      </c>
      <c r="D12" t="s">
        <v>21</v>
      </c>
      <c r="E12" t="s">
        <v>20</v>
      </c>
      <c r="F12">
        <v>1</v>
      </c>
      <c r="G12">
        <v>1</v>
      </c>
      <c r="H12">
        <v>0</v>
      </c>
      <c r="I12" s="2">
        <v>11146.52</v>
      </c>
      <c r="K12">
        <v>0</v>
      </c>
      <c r="Q12" t="s">
        <v>27</v>
      </c>
      <c r="R12" s="2">
        <v>11146.52</v>
      </c>
    </row>
    <row r="13" spans="1:18" x14ac:dyDescent="0.25">
      <c r="A13" s="1">
        <v>46289</v>
      </c>
      <c r="B13" s="1">
        <v>49309</v>
      </c>
      <c r="C13" t="s">
        <v>18</v>
      </c>
      <c r="D13" t="s">
        <v>21</v>
      </c>
      <c r="E13" t="s">
        <v>20</v>
      </c>
      <c r="F13">
        <v>1</v>
      </c>
      <c r="G13">
        <v>1</v>
      </c>
      <c r="H13">
        <v>0</v>
      </c>
      <c r="I13" s="2">
        <v>6064.12</v>
      </c>
      <c r="K13">
        <v>0</v>
      </c>
      <c r="Q13" t="s">
        <v>28</v>
      </c>
      <c r="R13" s="2">
        <v>6064.12</v>
      </c>
    </row>
    <row r="14" spans="1:18" x14ac:dyDescent="0.25">
      <c r="A14" s="1">
        <v>46123</v>
      </c>
      <c r="B14" s="1">
        <v>49309</v>
      </c>
      <c r="C14" t="s">
        <v>18</v>
      </c>
      <c r="D14" t="s">
        <v>21</v>
      </c>
      <c r="E14" t="s">
        <v>29</v>
      </c>
      <c r="F14">
        <v>1</v>
      </c>
      <c r="G14">
        <v>1</v>
      </c>
      <c r="H14">
        <v>0</v>
      </c>
      <c r="I14" s="2">
        <v>170</v>
      </c>
      <c r="K14">
        <v>0</v>
      </c>
      <c r="R14" s="2">
        <v>170</v>
      </c>
    </row>
    <row r="15" spans="1:18" x14ac:dyDescent="0.25">
      <c r="A15" s="1">
        <v>46123</v>
      </c>
      <c r="B15" s="1">
        <v>49309</v>
      </c>
      <c r="C15" t="s">
        <v>18</v>
      </c>
      <c r="D15" t="s">
        <v>19</v>
      </c>
      <c r="E15" t="s">
        <v>29</v>
      </c>
      <c r="F15">
        <v>1</v>
      </c>
      <c r="G15">
        <v>1</v>
      </c>
      <c r="H15">
        <v>0</v>
      </c>
      <c r="I15" s="2">
        <v>170</v>
      </c>
      <c r="K15">
        <v>0</v>
      </c>
      <c r="R15" s="2">
        <v>170</v>
      </c>
    </row>
    <row r="16" spans="1:18" x14ac:dyDescent="0.25">
      <c r="A16" s="1">
        <v>46127</v>
      </c>
      <c r="B16" s="1">
        <v>49309</v>
      </c>
      <c r="C16" t="s">
        <v>18</v>
      </c>
      <c r="D16" t="s">
        <v>21</v>
      </c>
      <c r="E16" t="s">
        <v>30</v>
      </c>
      <c r="F16">
        <v>1</v>
      </c>
      <c r="G16">
        <v>1</v>
      </c>
      <c r="H16">
        <v>0</v>
      </c>
      <c r="I16" s="2">
        <v>7466.8</v>
      </c>
      <c r="K16">
        <v>0</v>
      </c>
      <c r="R16" s="2">
        <v>7466.8</v>
      </c>
    </row>
    <row r="17" spans="1:18" x14ac:dyDescent="0.25">
      <c r="A17" s="1">
        <v>46289</v>
      </c>
      <c r="B17" s="1">
        <v>49309</v>
      </c>
      <c r="C17" t="s">
        <v>18</v>
      </c>
      <c r="D17" t="s">
        <v>21</v>
      </c>
      <c r="E17" t="s">
        <v>31</v>
      </c>
      <c r="F17">
        <v>1</v>
      </c>
      <c r="G17">
        <v>1</v>
      </c>
      <c r="H17">
        <v>0</v>
      </c>
      <c r="I17" s="2">
        <v>6095.47</v>
      </c>
      <c r="K17">
        <v>0</v>
      </c>
      <c r="Q17" t="s">
        <v>32</v>
      </c>
      <c r="R17" s="2">
        <v>6095.47</v>
      </c>
    </row>
    <row r="18" spans="1:18" x14ac:dyDescent="0.25">
      <c r="A18" s="1">
        <v>46123</v>
      </c>
      <c r="B18" s="1">
        <v>49309</v>
      </c>
      <c r="C18" t="s">
        <v>18</v>
      </c>
      <c r="D18" t="s">
        <v>19</v>
      </c>
      <c r="E18" t="s">
        <v>33</v>
      </c>
      <c r="F18">
        <v>1</v>
      </c>
      <c r="G18">
        <v>1</v>
      </c>
      <c r="H18">
        <v>0</v>
      </c>
      <c r="I18" s="2">
        <v>2252.84</v>
      </c>
      <c r="K18">
        <v>0</v>
      </c>
      <c r="R18" s="2">
        <v>2252.84</v>
      </c>
    </row>
    <row r="19" spans="1:18" x14ac:dyDescent="0.25">
      <c r="A19" s="1">
        <v>46163</v>
      </c>
      <c r="B19" s="1">
        <v>49309</v>
      </c>
      <c r="C19" t="s">
        <v>18</v>
      </c>
      <c r="D19" t="s">
        <v>21</v>
      </c>
      <c r="E19" t="s">
        <v>33</v>
      </c>
      <c r="F19">
        <v>1</v>
      </c>
      <c r="G19">
        <v>1</v>
      </c>
      <c r="H19">
        <v>0</v>
      </c>
      <c r="I19" s="2">
        <v>902.69</v>
      </c>
      <c r="K19">
        <v>0</v>
      </c>
      <c r="Q19" t="s">
        <v>34</v>
      </c>
      <c r="R19" s="2">
        <v>902.69</v>
      </c>
    </row>
    <row r="20" spans="1:18" x14ac:dyDescent="0.25">
      <c r="A20" s="1">
        <v>46163</v>
      </c>
      <c r="B20" s="1">
        <v>49309</v>
      </c>
      <c r="C20" t="s">
        <v>18</v>
      </c>
      <c r="D20" t="s">
        <v>21</v>
      </c>
      <c r="E20" t="s">
        <v>33</v>
      </c>
      <c r="F20">
        <v>1</v>
      </c>
      <c r="G20">
        <v>1</v>
      </c>
      <c r="H20">
        <v>0</v>
      </c>
      <c r="I20" s="2">
        <v>5648.33</v>
      </c>
      <c r="K20">
        <v>0</v>
      </c>
      <c r="Q20" t="s">
        <v>35</v>
      </c>
      <c r="R20" s="2">
        <v>5648.33</v>
      </c>
    </row>
    <row r="21" spans="1:18" x14ac:dyDescent="0.25">
      <c r="A21" s="1">
        <v>46171</v>
      </c>
      <c r="B21" s="1">
        <v>49309</v>
      </c>
      <c r="C21" t="s">
        <v>18</v>
      </c>
      <c r="D21" t="s">
        <v>21</v>
      </c>
      <c r="E21" t="s">
        <v>33</v>
      </c>
      <c r="F21">
        <v>1</v>
      </c>
      <c r="G21">
        <v>1</v>
      </c>
      <c r="H21">
        <v>0</v>
      </c>
      <c r="I21" s="2">
        <v>525.04</v>
      </c>
      <c r="K21">
        <v>0</v>
      </c>
      <c r="Q21" t="s">
        <v>36</v>
      </c>
      <c r="R21" s="2">
        <v>525.04</v>
      </c>
    </row>
    <row r="22" spans="1:18" x14ac:dyDescent="0.25">
      <c r="A22" s="1">
        <v>46188</v>
      </c>
      <c r="B22" s="1">
        <v>49309</v>
      </c>
      <c r="C22" t="s">
        <v>18</v>
      </c>
      <c r="D22" t="s">
        <v>21</v>
      </c>
      <c r="E22" t="s">
        <v>33</v>
      </c>
      <c r="F22">
        <v>1</v>
      </c>
      <c r="G22">
        <v>1</v>
      </c>
      <c r="H22">
        <v>0</v>
      </c>
      <c r="I22" s="2">
        <v>14472.99</v>
      </c>
      <c r="K22">
        <v>0</v>
      </c>
      <c r="Q22" t="s">
        <v>37</v>
      </c>
      <c r="R22" s="2">
        <v>14472.99</v>
      </c>
    </row>
    <row r="23" spans="1:18" x14ac:dyDescent="0.25">
      <c r="A23" s="1">
        <v>46231</v>
      </c>
      <c r="B23" s="1">
        <v>49309</v>
      </c>
      <c r="C23" t="s">
        <v>18</v>
      </c>
      <c r="D23" t="s">
        <v>21</v>
      </c>
      <c r="E23" t="s">
        <v>33</v>
      </c>
      <c r="F23">
        <v>1</v>
      </c>
      <c r="G23">
        <v>1</v>
      </c>
      <c r="H23">
        <v>0</v>
      </c>
      <c r="I23" s="2">
        <v>6500</v>
      </c>
      <c r="K23">
        <v>0</v>
      </c>
      <c r="Q23" t="s">
        <v>38</v>
      </c>
      <c r="R23" s="2">
        <v>6500</v>
      </c>
    </row>
    <row r="24" spans="1:18" x14ac:dyDescent="0.25">
      <c r="A24" s="1">
        <v>46232</v>
      </c>
      <c r="B24" s="1">
        <v>49309</v>
      </c>
      <c r="C24" t="s">
        <v>18</v>
      </c>
      <c r="D24" t="s">
        <v>21</v>
      </c>
      <c r="E24" t="s">
        <v>33</v>
      </c>
      <c r="F24">
        <v>1</v>
      </c>
      <c r="G24">
        <v>1</v>
      </c>
      <c r="H24">
        <v>0</v>
      </c>
      <c r="I24" s="2">
        <v>1157.1500000000001</v>
      </c>
      <c r="K24">
        <v>0</v>
      </c>
      <c r="Q24">
        <v>371902</v>
      </c>
      <c r="R24" s="2">
        <v>1157.1500000000001</v>
      </c>
    </row>
    <row r="25" spans="1:18" x14ac:dyDescent="0.25">
      <c r="A25" s="1">
        <v>46233</v>
      </c>
      <c r="B25" s="1">
        <v>49309</v>
      </c>
      <c r="C25" t="s">
        <v>18</v>
      </c>
      <c r="D25" t="s">
        <v>21</v>
      </c>
      <c r="E25" t="s">
        <v>33</v>
      </c>
      <c r="F25">
        <v>1</v>
      </c>
      <c r="G25">
        <v>1</v>
      </c>
      <c r="H25">
        <v>0</v>
      </c>
      <c r="I25" s="2">
        <v>5529.99</v>
      </c>
      <c r="K25">
        <v>0</v>
      </c>
      <c r="Q25">
        <v>371996</v>
      </c>
      <c r="R25" s="2">
        <v>5529.99</v>
      </c>
    </row>
    <row r="26" spans="1:18" x14ac:dyDescent="0.25">
      <c r="A26" s="1">
        <v>46238</v>
      </c>
      <c r="B26" s="1">
        <v>49309</v>
      </c>
      <c r="C26" t="s">
        <v>18</v>
      </c>
      <c r="D26" t="s">
        <v>21</v>
      </c>
      <c r="E26" t="s">
        <v>33</v>
      </c>
      <c r="F26">
        <v>1</v>
      </c>
      <c r="G26">
        <v>1</v>
      </c>
      <c r="H26">
        <v>0</v>
      </c>
      <c r="I26" s="2">
        <v>146.5</v>
      </c>
      <c r="K26">
        <v>0</v>
      </c>
      <c r="Q26">
        <v>372241</v>
      </c>
      <c r="R26" s="2">
        <v>146.5</v>
      </c>
    </row>
    <row r="27" spans="1:18" x14ac:dyDescent="0.25">
      <c r="A27" s="1">
        <v>46238</v>
      </c>
      <c r="B27" s="1">
        <v>49309</v>
      </c>
      <c r="C27" t="s">
        <v>18</v>
      </c>
      <c r="D27" t="s">
        <v>21</v>
      </c>
      <c r="E27" t="s">
        <v>33</v>
      </c>
      <c r="F27">
        <v>1</v>
      </c>
      <c r="G27">
        <v>1</v>
      </c>
      <c r="H27">
        <v>0</v>
      </c>
      <c r="I27" s="2">
        <v>3061.18</v>
      </c>
      <c r="K27">
        <v>0</v>
      </c>
      <c r="Q27">
        <v>372253</v>
      </c>
      <c r="R27" s="2">
        <v>3061.18</v>
      </c>
    </row>
    <row r="28" spans="1:18" x14ac:dyDescent="0.25">
      <c r="A28" s="1">
        <v>46268</v>
      </c>
      <c r="B28" s="1">
        <v>49309</v>
      </c>
      <c r="C28" t="s">
        <v>18</v>
      </c>
      <c r="D28" t="s">
        <v>21</v>
      </c>
      <c r="E28" t="s">
        <v>33</v>
      </c>
      <c r="F28">
        <v>1</v>
      </c>
      <c r="G28">
        <v>1</v>
      </c>
      <c r="H28">
        <v>0</v>
      </c>
      <c r="I28" s="2">
        <v>6654.45</v>
      </c>
      <c r="K28">
        <v>0</v>
      </c>
      <c r="Q28">
        <v>372253</v>
      </c>
      <c r="R28" s="2">
        <v>6654.45</v>
      </c>
    </row>
    <row r="29" spans="1:18" x14ac:dyDescent="0.25">
      <c r="A29" s="1">
        <v>46308</v>
      </c>
      <c r="B29" s="1">
        <v>49309</v>
      </c>
      <c r="C29" t="s">
        <v>18</v>
      </c>
      <c r="D29" t="s">
        <v>21</v>
      </c>
      <c r="E29" t="s">
        <v>33</v>
      </c>
      <c r="F29">
        <v>1</v>
      </c>
      <c r="G29">
        <v>1</v>
      </c>
      <c r="H29">
        <v>0</v>
      </c>
      <c r="I29" s="2">
        <v>-3233.72</v>
      </c>
      <c r="K29">
        <v>0</v>
      </c>
      <c r="Q29">
        <v>376241</v>
      </c>
      <c r="R29" s="2">
        <v>-3233.72</v>
      </c>
    </row>
    <row r="30" spans="1:18" x14ac:dyDescent="0.25">
      <c r="A30" s="1">
        <v>46309</v>
      </c>
      <c r="B30" s="1">
        <v>49309</v>
      </c>
      <c r="C30" t="s">
        <v>18</v>
      </c>
      <c r="D30" t="s">
        <v>21</v>
      </c>
      <c r="E30" t="s">
        <v>33</v>
      </c>
      <c r="F30">
        <v>1</v>
      </c>
      <c r="G30">
        <v>1</v>
      </c>
      <c r="H30">
        <v>0</v>
      </c>
      <c r="I30" s="2">
        <v>-16438.05</v>
      </c>
      <c r="K30">
        <v>0</v>
      </c>
      <c r="Q30" t="s">
        <v>39</v>
      </c>
      <c r="R30" s="2">
        <v>-16438.05</v>
      </c>
    </row>
    <row r="31" spans="1:18" x14ac:dyDescent="0.25">
      <c r="A31" s="1">
        <v>46123</v>
      </c>
      <c r="B31" s="1">
        <v>49309</v>
      </c>
      <c r="C31" t="s">
        <v>18</v>
      </c>
      <c r="D31" t="s">
        <v>21</v>
      </c>
      <c r="E31" t="s">
        <v>40</v>
      </c>
      <c r="F31">
        <v>1</v>
      </c>
      <c r="G31">
        <v>1</v>
      </c>
      <c r="H31">
        <v>0</v>
      </c>
      <c r="I31" s="2">
        <v>1630</v>
      </c>
      <c r="K31">
        <v>0</v>
      </c>
      <c r="Q31" t="s">
        <v>41</v>
      </c>
      <c r="R31" s="2">
        <v>1630</v>
      </c>
    </row>
    <row r="32" spans="1:18" x14ac:dyDescent="0.25">
      <c r="A32" s="1">
        <v>46160</v>
      </c>
      <c r="B32" s="1">
        <v>49309</v>
      </c>
      <c r="C32" t="s">
        <v>18</v>
      </c>
      <c r="D32" t="s">
        <v>21</v>
      </c>
      <c r="E32" t="s">
        <v>40</v>
      </c>
      <c r="F32">
        <v>1</v>
      </c>
      <c r="G32">
        <v>1</v>
      </c>
      <c r="H32">
        <v>0</v>
      </c>
      <c r="I32" s="2">
        <v>1882.37</v>
      </c>
      <c r="K32">
        <v>0</v>
      </c>
      <c r="Q32">
        <v>367646</v>
      </c>
      <c r="R32" s="2">
        <v>1882.37</v>
      </c>
    </row>
    <row r="33" spans="1:18" x14ac:dyDescent="0.25">
      <c r="A33" s="1">
        <v>46161</v>
      </c>
      <c r="B33" s="1">
        <v>49309</v>
      </c>
      <c r="C33" t="s">
        <v>18</v>
      </c>
      <c r="D33" t="s">
        <v>21</v>
      </c>
      <c r="E33" t="s">
        <v>40</v>
      </c>
      <c r="F33">
        <v>1</v>
      </c>
      <c r="G33">
        <v>1</v>
      </c>
      <c r="H33">
        <v>0</v>
      </c>
      <c r="I33" s="2">
        <v>3489.14</v>
      </c>
      <c r="K33">
        <v>0</v>
      </c>
      <c r="Q33">
        <v>367646</v>
      </c>
      <c r="R33" s="2">
        <v>3489.14</v>
      </c>
    </row>
    <row r="34" spans="1:18" x14ac:dyDescent="0.25">
      <c r="A34" s="1">
        <v>46189</v>
      </c>
      <c r="B34" s="1">
        <v>49309</v>
      </c>
      <c r="C34" t="s">
        <v>18</v>
      </c>
      <c r="D34" t="s">
        <v>21</v>
      </c>
      <c r="E34" t="s">
        <v>40</v>
      </c>
      <c r="F34">
        <v>1</v>
      </c>
      <c r="G34">
        <v>1</v>
      </c>
      <c r="I34" s="2">
        <v>1586.91</v>
      </c>
      <c r="K34">
        <v>0</v>
      </c>
      <c r="Q34">
        <v>3693062</v>
      </c>
      <c r="R34" s="2">
        <v>1586.91</v>
      </c>
    </row>
    <row r="35" spans="1:18" x14ac:dyDescent="0.25">
      <c r="A35" s="1">
        <v>46211</v>
      </c>
      <c r="B35" s="1">
        <v>49309</v>
      </c>
      <c r="C35" t="s">
        <v>18</v>
      </c>
      <c r="D35" t="s">
        <v>21</v>
      </c>
      <c r="E35" t="s">
        <v>40</v>
      </c>
      <c r="F35">
        <v>1</v>
      </c>
      <c r="G35">
        <v>1</v>
      </c>
      <c r="H35">
        <v>0</v>
      </c>
      <c r="I35" s="2">
        <v>1754.1</v>
      </c>
      <c r="K35">
        <v>0</v>
      </c>
      <c r="Q35">
        <v>3705034</v>
      </c>
      <c r="R35" s="2">
        <v>1754.1</v>
      </c>
    </row>
    <row r="36" spans="1:18" x14ac:dyDescent="0.25">
      <c r="A36" s="1">
        <v>46232</v>
      </c>
      <c r="B36" s="1">
        <v>49309</v>
      </c>
      <c r="C36" t="s">
        <v>18</v>
      </c>
      <c r="D36" t="s">
        <v>21</v>
      </c>
      <c r="E36" t="s">
        <v>40</v>
      </c>
      <c r="F36">
        <v>1</v>
      </c>
      <c r="G36">
        <v>1</v>
      </c>
      <c r="H36">
        <v>0</v>
      </c>
      <c r="I36" s="2">
        <v>1972.53</v>
      </c>
      <c r="K36">
        <v>0</v>
      </c>
      <c r="Q36">
        <v>3718852</v>
      </c>
      <c r="R36" s="2">
        <v>1972.53</v>
      </c>
    </row>
    <row r="37" spans="1:18" x14ac:dyDescent="0.25">
      <c r="A37" s="1">
        <v>46232</v>
      </c>
      <c r="B37" s="1">
        <v>49309</v>
      </c>
      <c r="C37" t="s">
        <v>18</v>
      </c>
      <c r="D37" t="s">
        <v>21</v>
      </c>
      <c r="E37" t="s">
        <v>40</v>
      </c>
      <c r="F37">
        <v>1</v>
      </c>
      <c r="G37">
        <v>1</v>
      </c>
      <c r="H37">
        <v>0</v>
      </c>
      <c r="I37" s="2">
        <v>3922.92</v>
      </c>
      <c r="K37">
        <v>0</v>
      </c>
      <c r="Q37" t="s">
        <v>42</v>
      </c>
      <c r="R37" s="2">
        <v>3922.92</v>
      </c>
    </row>
    <row r="38" spans="1:18" x14ac:dyDescent="0.25">
      <c r="A38" s="1">
        <v>46239</v>
      </c>
      <c r="B38" s="1">
        <v>49309</v>
      </c>
      <c r="C38" t="s">
        <v>18</v>
      </c>
      <c r="D38" t="s">
        <v>21</v>
      </c>
      <c r="E38" t="s">
        <v>40</v>
      </c>
      <c r="F38">
        <v>1</v>
      </c>
      <c r="G38">
        <v>1</v>
      </c>
      <c r="H38">
        <v>0</v>
      </c>
      <c r="I38" s="2">
        <v>2041.67</v>
      </c>
      <c r="K38">
        <v>0</v>
      </c>
      <c r="Q38" t="s">
        <v>43</v>
      </c>
      <c r="R38" s="2">
        <v>2041.67</v>
      </c>
    </row>
    <row r="39" spans="1:18" x14ac:dyDescent="0.25">
      <c r="A39" s="1">
        <v>46247</v>
      </c>
      <c r="B39" s="1">
        <v>49309</v>
      </c>
      <c r="C39" t="s">
        <v>18</v>
      </c>
      <c r="D39" t="s">
        <v>21</v>
      </c>
      <c r="E39" t="s">
        <v>40</v>
      </c>
      <c r="F39">
        <v>1</v>
      </c>
      <c r="G39">
        <v>1</v>
      </c>
      <c r="H39">
        <v>0</v>
      </c>
      <c r="I39" s="2">
        <v>957</v>
      </c>
      <c r="K39">
        <v>0</v>
      </c>
      <c r="Q39" t="s">
        <v>44</v>
      </c>
      <c r="R39" s="2">
        <v>957</v>
      </c>
    </row>
    <row r="40" spans="1:18" x14ac:dyDescent="0.25">
      <c r="A40" s="1">
        <v>46276</v>
      </c>
      <c r="B40" s="1">
        <v>49309</v>
      </c>
      <c r="C40" t="s">
        <v>18</v>
      </c>
      <c r="D40" t="s">
        <v>21</v>
      </c>
      <c r="E40" t="s">
        <v>40</v>
      </c>
      <c r="F40">
        <v>1</v>
      </c>
      <c r="G40">
        <v>1</v>
      </c>
      <c r="H40">
        <v>0</v>
      </c>
      <c r="I40" s="2">
        <v>323.60000000000002</v>
      </c>
      <c r="K40">
        <v>0</v>
      </c>
      <c r="Q40" t="s">
        <v>45</v>
      </c>
      <c r="R40" s="2">
        <v>323.60000000000002</v>
      </c>
    </row>
    <row r="41" spans="1:18" x14ac:dyDescent="0.25">
      <c r="A41" s="1">
        <v>46287</v>
      </c>
      <c r="B41" s="1">
        <v>49309</v>
      </c>
      <c r="C41" t="s">
        <v>18</v>
      </c>
      <c r="D41" t="s">
        <v>21</v>
      </c>
      <c r="E41" t="s">
        <v>40</v>
      </c>
      <c r="F41">
        <v>1</v>
      </c>
      <c r="G41">
        <v>1</v>
      </c>
      <c r="H41">
        <v>0</v>
      </c>
      <c r="I41" s="2">
        <v>12126.78</v>
      </c>
      <c r="K41">
        <v>0</v>
      </c>
      <c r="Q41">
        <v>375105</v>
      </c>
      <c r="R41" s="2">
        <v>12126.78</v>
      </c>
    </row>
    <row r="42" spans="1:18" x14ac:dyDescent="0.25">
      <c r="A42" s="1">
        <v>46301</v>
      </c>
      <c r="B42" s="1">
        <v>49309</v>
      </c>
      <c r="C42" t="s">
        <v>18</v>
      </c>
      <c r="D42" t="s">
        <v>21</v>
      </c>
      <c r="E42" t="s">
        <v>40</v>
      </c>
      <c r="F42">
        <v>1</v>
      </c>
      <c r="G42">
        <v>1</v>
      </c>
      <c r="H42">
        <v>0</v>
      </c>
      <c r="I42" s="2">
        <v>-6336.91</v>
      </c>
      <c r="K42">
        <v>0</v>
      </c>
      <c r="Q42">
        <v>375905</v>
      </c>
      <c r="R42" s="2">
        <v>-6336.91</v>
      </c>
    </row>
    <row r="43" spans="1:18" x14ac:dyDescent="0.25">
      <c r="A43" s="1">
        <v>46308</v>
      </c>
      <c r="B43" s="1">
        <v>49309</v>
      </c>
      <c r="C43" t="s">
        <v>18</v>
      </c>
      <c r="D43" t="s">
        <v>21</v>
      </c>
      <c r="E43" t="s">
        <v>40</v>
      </c>
      <c r="F43">
        <v>1</v>
      </c>
      <c r="G43">
        <v>1</v>
      </c>
      <c r="H43">
        <v>0</v>
      </c>
      <c r="I43" s="2">
        <v>-433.12</v>
      </c>
      <c r="K43">
        <v>0</v>
      </c>
      <c r="Q43" t="s">
        <v>46</v>
      </c>
      <c r="R43" s="2">
        <v>-433.12</v>
      </c>
    </row>
    <row r="44" spans="1:18" x14ac:dyDescent="0.25">
      <c r="A44" s="1">
        <v>46308</v>
      </c>
      <c r="B44" s="1">
        <v>49309</v>
      </c>
      <c r="C44" t="s">
        <v>18</v>
      </c>
      <c r="D44" t="s">
        <v>21</v>
      </c>
      <c r="E44" t="s">
        <v>40</v>
      </c>
      <c r="F44">
        <v>1</v>
      </c>
      <c r="G44">
        <v>1</v>
      </c>
      <c r="H44">
        <v>0</v>
      </c>
      <c r="I44" s="2">
        <v>-270.7</v>
      </c>
      <c r="K44">
        <v>0</v>
      </c>
      <c r="Q44">
        <v>376213</v>
      </c>
      <c r="R44" s="2">
        <v>-270.7</v>
      </c>
    </row>
    <row r="45" spans="1:18" x14ac:dyDescent="0.25">
      <c r="A45" s="1">
        <v>46140</v>
      </c>
      <c r="B45" s="1">
        <v>49309</v>
      </c>
      <c r="C45" t="s">
        <v>18</v>
      </c>
      <c r="D45" t="s">
        <v>21</v>
      </c>
      <c r="E45" t="s">
        <v>47</v>
      </c>
      <c r="F45">
        <v>1</v>
      </c>
      <c r="G45">
        <v>1</v>
      </c>
      <c r="H45">
        <v>0</v>
      </c>
      <c r="I45" s="2">
        <v>3700.56</v>
      </c>
      <c r="K45">
        <v>0</v>
      </c>
      <c r="Q45" t="s">
        <v>48</v>
      </c>
      <c r="R45" s="2">
        <v>3700.56</v>
      </c>
    </row>
    <row r="46" spans="1:18" x14ac:dyDescent="0.25">
      <c r="A46" s="1">
        <v>46288</v>
      </c>
      <c r="B46" s="1">
        <v>49309</v>
      </c>
      <c r="C46" t="s">
        <v>18</v>
      </c>
      <c r="D46" t="s">
        <v>21</v>
      </c>
      <c r="E46" t="s">
        <v>47</v>
      </c>
      <c r="F46">
        <v>1</v>
      </c>
      <c r="G46">
        <v>1</v>
      </c>
      <c r="H46">
        <v>0</v>
      </c>
      <c r="I46" s="2">
        <v>1559.8</v>
      </c>
      <c r="K46">
        <v>0</v>
      </c>
      <c r="Q46" t="s">
        <v>49</v>
      </c>
      <c r="R46" s="2">
        <v>1559.8</v>
      </c>
    </row>
    <row r="47" spans="1:18" x14ac:dyDescent="0.25">
      <c r="A47" s="1">
        <v>46289</v>
      </c>
      <c r="B47" s="1">
        <v>49309</v>
      </c>
      <c r="C47" t="s">
        <v>18</v>
      </c>
      <c r="D47" t="s">
        <v>21</v>
      </c>
      <c r="E47" t="s">
        <v>47</v>
      </c>
      <c r="F47">
        <v>1</v>
      </c>
      <c r="G47">
        <v>1</v>
      </c>
      <c r="H47">
        <v>0</v>
      </c>
      <c r="I47" s="2">
        <v>2431.85</v>
      </c>
      <c r="K47">
        <v>0</v>
      </c>
      <c r="Q47">
        <v>3752452</v>
      </c>
      <c r="R47" s="2">
        <v>2431.85</v>
      </c>
    </row>
    <row r="48" spans="1:18" x14ac:dyDescent="0.25">
      <c r="A48" s="1">
        <v>46290</v>
      </c>
      <c r="B48" s="1">
        <v>49309</v>
      </c>
      <c r="C48" t="s">
        <v>18</v>
      </c>
      <c r="D48" t="s">
        <v>21</v>
      </c>
      <c r="E48" t="s">
        <v>47</v>
      </c>
      <c r="F48">
        <v>1</v>
      </c>
      <c r="G48">
        <v>1</v>
      </c>
      <c r="H48">
        <v>0</v>
      </c>
      <c r="I48" s="2">
        <v>4601.67</v>
      </c>
      <c r="K48">
        <v>0</v>
      </c>
      <c r="Q48">
        <v>3753242</v>
      </c>
      <c r="R48" s="2">
        <v>4601.67</v>
      </c>
    </row>
    <row r="49" spans="1:18" x14ac:dyDescent="0.25">
      <c r="A49" s="1">
        <v>46303</v>
      </c>
      <c r="B49" s="1">
        <v>49309</v>
      </c>
      <c r="C49" t="s">
        <v>18</v>
      </c>
      <c r="D49" t="s">
        <v>21</v>
      </c>
      <c r="E49" t="s">
        <v>47</v>
      </c>
      <c r="F49">
        <v>1</v>
      </c>
      <c r="G49">
        <v>1</v>
      </c>
      <c r="H49">
        <v>0</v>
      </c>
      <c r="I49" s="2">
        <v>5521.57</v>
      </c>
      <c r="K49">
        <v>0</v>
      </c>
      <c r="Q49">
        <v>3753242</v>
      </c>
      <c r="R49" s="2">
        <v>5521.57</v>
      </c>
    </row>
    <row r="50" spans="1:18" x14ac:dyDescent="0.25">
      <c r="A50" s="1">
        <v>46123</v>
      </c>
      <c r="B50" s="1">
        <v>49309</v>
      </c>
      <c r="C50" t="s">
        <v>18</v>
      </c>
      <c r="D50" t="s">
        <v>21</v>
      </c>
      <c r="E50" t="s">
        <v>50</v>
      </c>
      <c r="F50">
        <v>1</v>
      </c>
      <c r="G50">
        <v>1</v>
      </c>
      <c r="H50">
        <v>0</v>
      </c>
      <c r="I50" s="2">
        <v>3931.91</v>
      </c>
      <c r="K50">
        <v>0</v>
      </c>
      <c r="R50" s="2">
        <v>3931.91</v>
      </c>
    </row>
    <row r="51" spans="1:18" x14ac:dyDescent="0.25">
      <c r="A51" s="1">
        <v>46286</v>
      </c>
      <c r="B51" s="1">
        <v>49309</v>
      </c>
      <c r="C51" t="s">
        <v>18</v>
      </c>
      <c r="D51" t="s">
        <v>21</v>
      </c>
      <c r="E51" t="s">
        <v>51</v>
      </c>
      <c r="F51">
        <v>1</v>
      </c>
      <c r="G51">
        <v>1</v>
      </c>
      <c r="H51">
        <v>0</v>
      </c>
      <c r="I51" s="2">
        <v>263.75</v>
      </c>
      <c r="K51">
        <v>0</v>
      </c>
      <c r="Q51">
        <v>375044</v>
      </c>
      <c r="R51" s="2">
        <v>263.75</v>
      </c>
    </row>
    <row r="52" spans="1:18" x14ac:dyDescent="0.25">
      <c r="A52" s="1">
        <v>46310</v>
      </c>
      <c r="B52" s="1">
        <v>49309</v>
      </c>
      <c r="C52" t="s">
        <v>18</v>
      </c>
      <c r="D52" t="s">
        <v>21</v>
      </c>
      <c r="E52" t="s">
        <v>20</v>
      </c>
      <c r="F52">
        <v>1</v>
      </c>
      <c r="G52">
        <v>1</v>
      </c>
      <c r="H52">
        <v>0</v>
      </c>
      <c r="I52" s="2">
        <v>-165.82</v>
      </c>
      <c r="K52">
        <v>0</v>
      </c>
      <c r="Q52" t="s">
        <v>52</v>
      </c>
      <c r="R52" s="2">
        <v>-165.82</v>
      </c>
    </row>
    <row r="53" spans="1:18" x14ac:dyDescent="0.25">
      <c r="A53" s="1">
        <v>46310</v>
      </c>
      <c r="B53" s="1">
        <v>49309</v>
      </c>
      <c r="C53" t="s">
        <v>18</v>
      </c>
      <c r="D53" t="s">
        <v>21</v>
      </c>
      <c r="E53" t="s">
        <v>20</v>
      </c>
      <c r="F53">
        <v>1</v>
      </c>
      <c r="G53">
        <v>1</v>
      </c>
      <c r="H53">
        <v>0</v>
      </c>
      <c r="I53" s="2">
        <v>-445.5</v>
      </c>
      <c r="K53">
        <v>0</v>
      </c>
      <c r="Q53">
        <v>376350</v>
      </c>
      <c r="R53" s="2">
        <v>-445.5</v>
      </c>
    </row>
    <row r="54" spans="1:18" x14ac:dyDescent="0.25">
      <c r="A54" s="1">
        <v>46310</v>
      </c>
      <c r="B54" s="1">
        <v>49309</v>
      </c>
      <c r="C54" t="s">
        <v>18</v>
      </c>
      <c r="D54" t="s">
        <v>21</v>
      </c>
      <c r="E54" t="s">
        <v>20</v>
      </c>
      <c r="F54">
        <v>1</v>
      </c>
      <c r="G54">
        <v>1</v>
      </c>
      <c r="H54">
        <v>0</v>
      </c>
      <c r="I54" s="2">
        <v>-264.82</v>
      </c>
      <c r="K54">
        <v>0</v>
      </c>
      <c r="Q54">
        <v>376353</v>
      </c>
      <c r="R54" s="2">
        <v>-264.82</v>
      </c>
    </row>
    <row r="55" spans="1:18" x14ac:dyDescent="0.25">
      <c r="A55" s="1">
        <v>46311</v>
      </c>
      <c r="B55" s="1">
        <v>49309</v>
      </c>
      <c r="C55" t="s">
        <v>18</v>
      </c>
      <c r="D55" t="s">
        <v>21</v>
      </c>
      <c r="E55" t="s">
        <v>33</v>
      </c>
      <c r="F55">
        <v>1</v>
      </c>
      <c r="G55">
        <v>1</v>
      </c>
      <c r="H55">
        <v>0</v>
      </c>
      <c r="I55" s="2">
        <v>-13049.46</v>
      </c>
      <c r="K55">
        <v>0</v>
      </c>
      <c r="Q55">
        <v>376353</v>
      </c>
      <c r="R55" s="2">
        <v>-13049.46</v>
      </c>
    </row>
    <row r="56" spans="1:18" x14ac:dyDescent="0.25">
      <c r="A56" s="1">
        <v>46311</v>
      </c>
      <c r="B56" s="1">
        <v>49309</v>
      </c>
      <c r="C56" t="s">
        <v>18</v>
      </c>
      <c r="D56" t="s">
        <v>21</v>
      </c>
      <c r="E56" t="s">
        <v>40</v>
      </c>
      <c r="F56">
        <v>1</v>
      </c>
      <c r="G56">
        <v>1</v>
      </c>
      <c r="H56">
        <v>0</v>
      </c>
      <c r="I56" s="2">
        <v>-297</v>
      </c>
      <c r="K56">
        <v>0</v>
      </c>
      <c r="Q56">
        <v>376353</v>
      </c>
      <c r="R56" s="2">
        <v>-297</v>
      </c>
    </row>
    <row r="57" spans="1:18" x14ac:dyDescent="0.25">
      <c r="A57" s="1">
        <v>46311</v>
      </c>
      <c r="B57" s="1">
        <v>49309</v>
      </c>
      <c r="C57" t="s">
        <v>18</v>
      </c>
      <c r="D57" t="s">
        <v>21</v>
      </c>
      <c r="E57" t="s">
        <v>40</v>
      </c>
      <c r="F57">
        <v>1</v>
      </c>
      <c r="G57">
        <v>1</v>
      </c>
      <c r="H57">
        <v>0</v>
      </c>
      <c r="I57" s="2">
        <v>-1655.84</v>
      </c>
      <c r="K57">
        <v>0</v>
      </c>
      <c r="Q57">
        <v>376353</v>
      </c>
      <c r="R57" s="2">
        <v>-1655.84</v>
      </c>
    </row>
    <row r="58" spans="1:18" x14ac:dyDescent="0.25">
      <c r="A58" s="1">
        <v>46314</v>
      </c>
      <c r="B58" s="1">
        <v>49309</v>
      </c>
      <c r="C58" t="s">
        <v>18</v>
      </c>
      <c r="D58" t="s">
        <v>21</v>
      </c>
      <c r="E58" t="s">
        <v>20</v>
      </c>
      <c r="F58">
        <v>1</v>
      </c>
      <c r="G58">
        <v>1</v>
      </c>
      <c r="H58">
        <v>0</v>
      </c>
      <c r="I58" s="2">
        <v>-305.19</v>
      </c>
      <c r="K58">
        <v>0</v>
      </c>
      <c r="Q58">
        <v>376533</v>
      </c>
      <c r="R58" s="2">
        <v>-305.19</v>
      </c>
    </row>
    <row r="59" spans="1:18" x14ac:dyDescent="0.25">
      <c r="A59" s="1">
        <v>46314</v>
      </c>
      <c r="B59" s="1">
        <v>49309</v>
      </c>
      <c r="C59" t="s">
        <v>18</v>
      </c>
      <c r="D59" t="s">
        <v>21</v>
      </c>
      <c r="E59" t="s">
        <v>40</v>
      </c>
      <c r="F59">
        <v>1</v>
      </c>
      <c r="G59">
        <v>1</v>
      </c>
      <c r="H59">
        <v>0</v>
      </c>
      <c r="I59" s="2">
        <v>-1132.02</v>
      </c>
      <c r="K59">
        <v>0</v>
      </c>
      <c r="Q59">
        <v>376534</v>
      </c>
      <c r="R59" s="2">
        <v>-1132.02</v>
      </c>
    </row>
    <row r="60" spans="1:18" x14ac:dyDescent="0.25">
      <c r="A60" s="1">
        <v>46314</v>
      </c>
      <c r="B60" s="1">
        <v>49309</v>
      </c>
      <c r="C60" t="s">
        <v>18</v>
      </c>
      <c r="D60" t="s">
        <v>21</v>
      </c>
      <c r="E60" t="s">
        <v>40</v>
      </c>
      <c r="F60">
        <v>1</v>
      </c>
      <c r="G60">
        <v>1</v>
      </c>
      <c r="H60">
        <v>0</v>
      </c>
      <c r="I60" s="2">
        <v>-7731.35</v>
      </c>
      <c r="K60">
        <v>0</v>
      </c>
      <c r="Q60">
        <v>376535</v>
      </c>
      <c r="R60" s="2">
        <v>-7731.35</v>
      </c>
    </row>
    <row r="61" spans="1:18" x14ac:dyDescent="0.25">
      <c r="A61" s="1">
        <v>46314</v>
      </c>
      <c r="B61" s="1">
        <v>49309</v>
      </c>
      <c r="C61" t="s">
        <v>18</v>
      </c>
      <c r="D61" t="s">
        <v>21</v>
      </c>
      <c r="E61" t="s">
        <v>20</v>
      </c>
      <c r="F61">
        <v>1</v>
      </c>
      <c r="G61">
        <v>1</v>
      </c>
      <c r="H61">
        <v>0</v>
      </c>
      <c r="I61" s="2">
        <v>-742.34</v>
      </c>
      <c r="K61">
        <v>0</v>
      </c>
      <c r="Q61">
        <v>376536</v>
      </c>
      <c r="R61" s="2">
        <v>-742.34</v>
      </c>
    </row>
    <row r="62" spans="1:18" x14ac:dyDescent="0.25">
      <c r="A62" s="1">
        <v>46314</v>
      </c>
      <c r="B62" s="1">
        <v>49309</v>
      </c>
      <c r="C62" t="s">
        <v>18</v>
      </c>
      <c r="D62" t="s">
        <v>21</v>
      </c>
      <c r="E62" t="s">
        <v>40</v>
      </c>
      <c r="F62">
        <v>1</v>
      </c>
      <c r="G62">
        <v>1</v>
      </c>
      <c r="H62">
        <v>0</v>
      </c>
      <c r="I62" s="2">
        <v>-1088.0999999999999</v>
      </c>
      <c r="K62">
        <v>0</v>
      </c>
      <c r="Q62">
        <v>376538</v>
      </c>
      <c r="R62" s="2">
        <v>-1088.0999999999999</v>
      </c>
    </row>
    <row r="63" spans="1:18" x14ac:dyDescent="0.25">
      <c r="A63" s="1">
        <v>46314</v>
      </c>
      <c r="B63" s="1">
        <v>49309</v>
      </c>
      <c r="C63" t="s">
        <v>18</v>
      </c>
      <c r="D63" t="s">
        <v>21</v>
      </c>
      <c r="E63" t="s">
        <v>20</v>
      </c>
      <c r="F63">
        <v>1</v>
      </c>
      <c r="G63">
        <v>1</v>
      </c>
      <c r="H63">
        <v>0</v>
      </c>
      <c r="I63" s="2">
        <v>-258.05</v>
      </c>
      <c r="K63">
        <v>0</v>
      </c>
      <c r="Q63">
        <v>376545</v>
      </c>
      <c r="R63" s="2">
        <v>-258.05</v>
      </c>
    </row>
    <row r="65" spans="8:9" x14ac:dyDescent="0.25">
      <c r="H65" t="s">
        <v>53</v>
      </c>
      <c r="I65" s="3">
        <f>SUM(I2:I63)</f>
        <v>127201.65999999999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Orellana</dc:creator>
  <cp:lastModifiedBy>Jhon Orellana</cp:lastModifiedBy>
  <dcterms:created xsi:type="dcterms:W3CDTF">2026-10-27T05:28:42Z</dcterms:created>
  <dcterms:modified xsi:type="dcterms:W3CDTF">2026-10-27T05:31:16Z</dcterms:modified>
</cp:coreProperties>
</file>