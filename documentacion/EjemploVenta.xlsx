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IPRO_07\documentacion\"/>
    </mc:Choice>
  </mc:AlternateContent>
  <xr:revisionPtr revIDLastSave="0" documentId="13_ncr:1_{40950C3E-43EF-4F25-9A6D-798918B46BAA}" xr6:coauthVersionLast="47" xr6:coauthVersionMax="47" xr10:uidLastSave="{00000000-0000-0000-0000-000000000000}"/>
  <bookViews>
    <workbookView xWindow="-120" yWindow="-120" windowWidth="29040" windowHeight="15720" xr2:uid="{61F106E6-B575-4EC4-BC00-461AB029E22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" i="1" l="1"/>
  <c r="AI4" i="1" s="1"/>
  <c r="AM3" i="1"/>
  <c r="R5" i="1"/>
  <c r="AQ4" i="1"/>
  <c r="AM4" i="1"/>
  <c r="AA4" i="1"/>
  <c r="V4" i="1"/>
  <c r="W4" i="1" s="1"/>
  <c r="U4" i="1"/>
  <c r="O4" i="1"/>
  <c r="M4" i="1"/>
  <c r="N4" i="1" s="1"/>
  <c r="AQ3" i="1"/>
  <c r="AF3" i="1"/>
  <c r="AI3" i="1" s="1"/>
  <c r="AA3" i="1"/>
  <c r="V3" i="1"/>
  <c r="W3" i="1" s="1"/>
  <c r="U3" i="1"/>
  <c r="O3" i="1"/>
  <c r="M3" i="1"/>
  <c r="AJ3" i="1" l="1"/>
  <c r="K3" i="1"/>
  <c r="AK4" i="1"/>
  <c r="AJ4" i="1"/>
  <c r="AK3" i="1"/>
  <c r="Q4" i="1"/>
  <c r="N3" i="1"/>
  <c r="Q3" i="1" s="1"/>
  <c r="K4" i="1"/>
  <c r="AL4" i="1" l="1"/>
  <c r="AO4" i="1" s="1"/>
  <c r="AL3" i="1"/>
  <c r="AO3" i="1" s="1"/>
  <c r="AN3" i="1" l="1"/>
  <c r="AP3" i="1" s="1"/>
  <c r="AN4" i="1"/>
  <c r="AP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" authorId="0" shapeId="0" xr:uid="{556404D0-DB33-46B8-935B-415D9731DFFD}">
      <text>
        <r>
          <rPr>
            <sz val="9"/>
            <color indexed="81"/>
            <rFont val="Tahoma"/>
            <family val="2"/>
          </rPr>
          <t xml:space="preserve">o Fecha Transacción
</t>
        </r>
      </text>
    </comment>
    <comment ref="AP2" authorId="0" shapeId="0" xr:uid="{6784D901-3BAC-44D8-ACE7-4212C21BF03E}">
      <text>
        <r>
          <rPr>
            <b/>
            <sz val="9"/>
            <color indexed="81"/>
            <rFont val="Tahoma"/>
            <family val="2"/>
          </rPr>
          <t>=(1 + ROI)^(365 / Días) - 1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<sst xmlns="http://schemas.openxmlformats.org/spreadsheetml/2006/main" count="56" uniqueCount="49">
  <si>
    <t>Fecha Venta</t>
  </si>
  <si>
    <t>Título</t>
  </si>
  <si>
    <t>Titular</t>
  </si>
  <si>
    <t>Fecha de 
Compra</t>
  </si>
  <si>
    <t>Fecha Primer Pago</t>
  </si>
  <si>
    <t>Fecha de 
Emisión</t>
  </si>
  <si>
    <t>Fecha de 
Vencim.</t>
  </si>
  <si>
    <t>Tasa 
Mensual</t>
  </si>
  <si>
    <t>Tasa Mensual Real</t>
  </si>
  <si>
    <t>Rendim.</t>
  </si>
  <si>
    <t>Interés
Mensual</t>
  </si>
  <si>
    <t>Interés Primer Mes</t>
  </si>
  <si>
    <t>Períodos Recibidos</t>
  </si>
  <si>
    <t>Interés al Vencimiento</t>
  </si>
  <si>
    <t>Interés 
Recibido</t>
  </si>
  <si>
    <t>Valor 
Nominal</t>
  </si>
  <si>
    <t>% Precio Comprado</t>
  </si>
  <si>
    <t>% Precio Neto Comprado</t>
  </si>
  <si>
    <t>Valor 
Comprado Sin Comisión</t>
  </si>
  <si>
    <t>Valor Comprado Con Comisión</t>
  </si>
  <si>
    <t>PAGADO
incluye interés acumulado</t>
  </si>
  <si>
    <t>Interés
Acumulado 
Previo</t>
  </si>
  <si>
    <t>Comisión Santa Fé
Compra</t>
  </si>
  <si>
    <t>Comisión
Bolsa Compra</t>
  </si>
  <si>
    <t>Total 
Comisiones</t>
  </si>
  <si>
    <t>Operación Compra No.</t>
  </si>
  <si>
    <t>% Precio Vendido</t>
  </si>
  <si>
    <t>% Precio Neto Vendido</t>
  </si>
  <si>
    <t xml:space="preserve">Interes Previo Transacción </t>
  </si>
  <si>
    <t>Comisión Santa Fe
Venta</t>
  </si>
  <si>
    <t>Comisión
Bolsa Venta</t>
  </si>
  <si>
    <t>Valor Venta Con Comisión</t>
  </si>
  <si>
    <t>Utilidad Sin 
Considerar Comisión</t>
  </si>
  <si>
    <t>Utilidad Considera 
Comisión
(Ganancia de Capital)</t>
  </si>
  <si>
    <t>Utilidad / Pérdida
(Rendimiento Total)</t>
  </si>
  <si>
    <t>Dias 
Transcurridos</t>
  </si>
  <si>
    <t>Tasa de Rentabilidad Porcentual (ROI)</t>
  </si>
  <si>
    <t>% Ganancia Anual estimado</t>
  </si>
  <si>
    <t>Tasa Anualizada</t>
  </si>
  <si>
    <t>Total Comisiones
Santa Fe</t>
  </si>
  <si>
    <t>Bono Estado</t>
  </si>
  <si>
    <t>Jhon</t>
  </si>
  <si>
    <t>DATOS DE COMPRA</t>
  </si>
  <si>
    <t>Dato a recolectar en pantalla</t>
  </si>
  <si>
    <t>TOTAL</t>
  </si>
  <si>
    <t>Valor Efectivo</t>
  </si>
  <si>
    <t>DATOS DE VENTA</t>
  </si>
  <si>
    <t>LIQUIDACION</t>
  </si>
  <si>
    <t>INV_ID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</si>
</sst>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yyyy\-mm\-dd;@"/>
    <numFmt numFmtId="165" formatCode="0_ ;\-0\ "/>
    <numFmt numFmtId="166" formatCode="0.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64" fontId="0" fillId="5" borderId="1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44" fontId="0" fillId="5" borderId="1" xfId="0" applyNumberFormat="1" applyFill="1" applyBorder="1"/>
    <xf numFmtId="2" fontId="0" fillId="4" borderId="1" xfId="0" applyNumberFormat="1" applyFill="1" applyBorder="1"/>
    <xf numFmtId="44" fontId="0" fillId="4" borderId="1" xfId="0" applyNumberFormat="1" applyFill="1" applyBorder="1"/>
    <xf numFmtId="0" fontId="0" fillId="4" borderId="1" xfId="0" applyFill="1" applyBorder="1"/>
    <xf numFmtId="10" fontId="0" fillId="4" borderId="1" xfId="1" applyNumberFormat="1" applyFont="1" applyFill="1" applyBorder="1"/>
    <xf numFmtId="166" fontId="2" fillId="3" borderId="1" xfId="0" applyNumberFormat="1" applyFont="1" applyFill="1" applyBorder="1" applyAlignment="1">
      <alignment vertical="center" wrapText="1"/>
    </xf>
    <xf numFmtId="166" fontId="0" fillId="0" borderId="0" xfId="0" applyNumberFormat="1"/>
    <xf numFmtId="166" fontId="0" fillId="5" borderId="1" xfId="0" applyNumberFormat="1" applyFill="1" applyBorder="1"/>
    <xf numFmtId="0" fontId="0" fillId="6" borderId="1" xfId="0" applyFill="1" applyBorder="1"/>
    <xf numFmtId="44" fontId="2" fillId="6" borderId="1" xfId="0" applyNumberFormat="1" applyFont="1" applyFill="1" applyBorder="1"/>
    <xf numFmtId="166" fontId="0" fillId="6" borderId="1" xfId="0" applyNumberFormat="1" applyFill="1" applyBorder="1"/>
    <xf numFmtId="165" fontId="0" fillId="5" borderId="2" xfId="0" applyNumberFormat="1" applyFill="1" applyBorder="1"/>
    <xf numFmtId="0" fontId="0" fillId="6" borderId="2" xfId="0" applyFill="1" applyBorder="1"/>
    <xf numFmtId="166" fontId="2" fillId="3" borderId="6" xfId="0" applyNumberFormat="1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166" fontId="0" fillId="4" borderId="6" xfId="0" applyNumberFormat="1" applyFill="1" applyBorder="1"/>
    <xf numFmtId="44" fontId="0" fillId="4" borderId="7" xfId="1" applyNumberFormat="1" applyFont="1" applyFill="1" applyBorder="1"/>
    <xf numFmtId="2" fontId="0" fillId="6" borderId="8" xfId="0" applyNumberFormat="1" applyFill="1" applyBorder="1" applyAlignment="1">
      <alignment wrapText="1"/>
    </xf>
    <xf numFmtId="0" fontId="0" fillId="6" borderId="9" xfId="0" applyFill="1" applyBorder="1"/>
    <xf numFmtId="2" fontId="0" fillId="6" borderId="9" xfId="0" applyNumberFormat="1" applyFill="1" applyBorder="1" applyAlignment="1">
      <alignment wrapText="1"/>
    </xf>
    <xf numFmtId="0" fontId="0" fillId="6" borderId="10" xfId="0" applyFill="1" applyBorder="1"/>
    <xf numFmtId="166" fontId="2" fillId="3" borderId="2" xfId="0" applyNumberFormat="1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44" fontId="2" fillId="2" borderId="11" xfId="0" applyNumberFormat="1" applyFont="1" applyFill="1" applyBorder="1" applyAlignment="1">
      <alignment vertical="center" wrapText="1"/>
    </xf>
    <xf numFmtId="166" fontId="2" fillId="2" borderId="11" xfId="0" applyNumberFormat="1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per\DATOS\100_COMPARTIDO\Inversiones\INV_Inversiones_2026_05-22.xlsm" TargetMode="External"/><Relationship Id="rId1" Type="http://schemas.openxmlformats.org/officeDocument/2006/relationships/externalLinkPath" Target="/Users/super/DATOS/100_COMPARTIDO/Inversiones/INV_Inversiones_2026_05-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RT1"/>
      <sheetName val="CERTIFICADOS"/>
      <sheetName val="INVERSIONES"/>
      <sheetName val="Interes Por Semana"/>
      <sheetName val="OTROS FONDOS"/>
      <sheetName val="&gt;&gt;Vistas Consolidadas"/>
      <sheetName val="Bonos Activos"/>
      <sheetName val="Títulos Vendidos"/>
      <sheetName val="Ventas Totales"/>
      <sheetName val="Base Títulos"/>
      <sheetName val="Vista de OperacionesReales"/>
      <sheetName val="Base OperacionesReales"/>
      <sheetName val="GRAFICO"/>
      <sheetName val="Valores Clasificados"/>
      <sheetName val="ROBOTICS"/>
      <sheetName val="2013_2019"/>
      <sheetName val="CONTRALORIA"/>
      <sheetName val="Familiar"/>
      <sheetName val="GastosAutos"/>
      <sheetName val="Herramientas"/>
      <sheetName val="INV_Inversiones_2026_05-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800B-0C8A-4C80-8ADE-43650974D16B}">
  <dimension ref="A1:AQ5"/>
  <sheetViews>
    <sheetView tabSelected="1" workbookViewId="0">
      <selection activeCell="K25" sqref="K25"/>
    </sheetView>
  </sheetViews>
  <sheetFormatPr baseColWidth="10" defaultRowHeight="15" x14ac:dyDescent="0.25"/>
  <cols>
    <col min="1" max="2" width="15.7109375" customWidth="1"/>
    <col min="3" max="3" width="17.140625" customWidth="1"/>
    <col min="19" max="20" width="11.42578125" style="13"/>
    <col min="29" max="29" width="11.42578125" style="13"/>
  </cols>
  <sheetData>
    <row r="1" spans="1:43" ht="30.75" thickBot="1" x14ac:dyDescent="0.3">
      <c r="B1" t="s">
        <v>48</v>
      </c>
      <c r="C1" s="28" t="s">
        <v>42</v>
      </c>
      <c r="D1" s="36" t="s">
        <v>42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8"/>
      <c r="AC1" s="33" t="s">
        <v>46</v>
      </c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5"/>
    </row>
    <row r="2" spans="1:43" s="1" customFormat="1" ht="75" x14ac:dyDescent="0.25">
      <c r="A2" s="1" t="s">
        <v>47</v>
      </c>
      <c r="C2" s="12" t="s">
        <v>0</v>
      </c>
      <c r="D2" s="29" t="s">
        <v>1</v>
      </c>
      <c r="E2" s="29" t="s">
        <v>2</v>
      </c>
      <c r="F2" s="29" t="s">
        <v>3</v>
      </c>
      <c r="G2" s="29" t="s">
        <v>4</v>
      </c>
      <c r="H2" s="29" t="s">
        <v>5</v>
      </c>
      <c r="I2" s="29" t="s">
        <v>6</v>
      </c>
      <c r="J2" s="29" t="s">
        <v>7</v>
      </c>
      <c r="K2" s="29" t="s">
        <v>8</v>
      </c>
      <c r="L2" s="29" t="s">
        <v>9</v>
      </c>
      <c r="M2" s="29" t="s">
        <v>10</v>
      </c>
      <c r="N2" s="29" t="s">
        <v>11</v>
      </c>
      <c r="O2" s="29" t="s">
        <v>12</v>
      </c>
      <c r="P2" s="29" t="s">
        <v>13</v>
      </c>
      <c r="Q2" s="30" t="s">
        <v>14</v>
      </c>
      <c r="R2" s="30" t="s">
        <v>15</v>
      </c>
      <c r="S2" s="31" t="s">
        <v>16</v>
      </c>
      <c r="T2" s="31" t="s">
        <v>17</v>
      </c>
      <c r="U2" s="29" t="s">
        <v>18</v>
      </c>
      <c r="V2" s="30" t="s">
        <v>19</v>
      </c>
      <c r="W2" s="30" t="s">
        <v>20</v>
      </c>
      <c r="X2" s="30" t="s">
        <v>21</v>
      </c>
      <c r="Y2" s="30" t="s">
        <v>22</v>
      </c>
      <c r="Z2" s="30" t="s">
        <v>23</v>
      </c>
      <c r="AA2" s="30" t="s">
        <v>24</v>
      </c>
      <c r="AB2" s="32" t="s">
        <v>25</v>
      </c>
      <c r="AC2" s="20" t="s">
        <v>26</v>
      </c>
      <c r="AD2" s="2" t="s">
        <v>27</v>
      </c>
      <c r="AE2" s="2" t="s">
        <v>28</v>
      </c>
      <c r="AF2" s="2" t="s">
        <v>45</v>
      </c>
      <c r="AG2" s="2" t="s">
        <v>29</v>
      </c>
      <c r="AH2" s="2" t="s">
        <v>30</v>
      </c>
      <c r="AI2" s="2" t="s">
        <v>31</v>
      </c>
      <c r="AJ2" s="2" t="s">
        <v>32</v>
      </c>
      <c r="AK2" s="2" t="s">
        <v>33</v>
      </c>
      <c r="AL2" s="2" t="s">
        <v>34</v>
      </c>
      <c r="AM2" s="2" t="s">
        <v>35</v>
      </c>
      <c r="AN2" s="2" t="s">
        <v>36</v>
      </c>
      <c r="AO2" s="3" t="s">
        <v>37</v>
      </c>
      <c r="AP2" s="2" t="s">
        <v>38</v>
      </c>
      <c r="AQ2" s="21" t="s">
        <v>39</v>
      </c>
    </row>
    <row r="3" spans="1:43" x14ac:dyDescent="0.25">
      <c r="A3">
        <v>333313</v>
      </c>
      <c r="B3">
        <v>241</v>
      </c>
      <c r="C3" s="4">
        <v>46121</v>
      </c>
      <c r="D3" s="4" t="s">
        <v>40</v>
      </c>
      <c r="E3" s="5" t="s">
        <v>41</v>
      </c>
      <c r="F3" s="4">
        <v>45587</v>
      </c>
      <c r="G3" s="4">
        <v>45608</v>
      </c>
      <c r="H3" s="4">
        <v>45455</v>
      </c>
      <c r="I3" s="4">
        <v>47646</v>
      </c>
      <c r="J3" s="6">
        <v>5.36</v>
      </c>
      <c r="K3" s="6">
        <f t="shared" ref="K3:K4" si="0">M3*12/V3*100</f>
        <v>7.6568367166648414</v>
      </c>
      <c r="L3" s="6">
        <v>13.25</v>
      </c>
      <c r="M3" s="7">
        <f t="shared" ref="M3:M4" si="1">R3*J3/100/12</f>
        <v>30.998666666666669</v>
      </c>
      <c r="N3" s="7">
        <f t="shared" ref="N3:N4" si="2">M3-X3</f>
        <v>20.668666666666667</v>
      </c>
      <c r="O3" s="5">
        <f t="shared" ref="O3:O4" si="3">IF(G3="", 0, IF(C3&gt;G3,INT((C3-G3)/30),0))</f>
        <v>17</v>
      </c>
      <c r="P3" s="7"/>
      <c r="Q3" s="7">
        <f t="shared" ref="Q3:Q4" si="4">M3*O3+N3+IF(C3&gt;I3,P3,0)</f>
        <v>547.64600000000007</v>
      </c>
      <c r="R3" s="7">
        <v>6940</v>
      </c>
      <c r="S3" s="14">
        <v>69.740839129999998</v>
      </c>
      <c r="T3" s="14">
        <v>70.002798784178665</v>
      </c>
      <c r="U3" s="7">
        <f t="shared" ref="U3:U4" si="5">R3*S3/100</f>
        <v>4840.0142356219994</v>
      </c>
      <c r="V3" s="7">
        <f t="shared" ref="V3:V4" si="6">R3*T3/100</f>
        <v>4858.1942356219988</v>
      </c>
      <c r="W3" s="7">
        <f t="shared" ref="W3:W4" si="7">V3+X3</f>
        <v>4868.5242356219987</v>
      </c>
      <c r="X3" s="7">
        <v>10.33</v>
      </c>
      <c r="Y3" s="7">
        <v>14.18</v>
      </c>
      <c r="Z3" s="7">
        <v>4</v>
      </c>
      <c r="AA3" s="7">
        <f t="shared" ref="AA3:AA4" si="8">Y3+Z3</f>
        <v>18.18</v>
      </c>
      <c r="AB3" s="18"/>
      <c r="AC3" s="22">
        <v>89.245310000000003</v>
      </c>
      <c r="AD3" s="8"/>
      <c r="AE3" s="9">
        <v>27.898661338661341</v>
      </c>
      <c r="AF3" s="9">
        <f t="shared" ref="AF3" si="9">AC3*R3/100</f>
        <v>6193.6245140000001</v>
      </c>
      <c r="AG3" s="9">
        <v>61.93308691308691</v>
      </c>
      <c r="AH3" s="9">
        <v>3.0990809190809192</v>
      </c>
      <c r="AI3" s="9">
        <f t="shared" ref="AI3:AI4" si="10">AF3-AG3-AH3</f>
        <v>6128.5923461678321</v>
      </c>
      <c r="AJ3" s="9">
        <f t="shared" ref="AJ3:AJ4" si="11">AF3-U3</f>
        <v>1353.6102783780007</v>
      </c>
      <c r="AK3" s="9">
        <f t="shared" ref="AK3:AK4" si="12">AI3-V3</f>
        <v>1270.3981105458333</v>
      </c>
      <c r="AL3" s="9">
        <f t="shared" ref="AL3:AL4" si="13">AK3+Q3+AE3</f>
        <v>1845.942771884495</v>
      </c>
      <c r="AM3" s="10">
        <f>C3-F3</f>
        <v>534</v>
      </c>
      <c r="AN3" s="11">
        <f t="shared" ref="AN3:AN4" si="14">AL3/V3</f>
        <v>0.37996479398649596</v>
      </c>
      <c r="AO3" s="11">
        <f t="shared" ref="AO3:AO4" si="15">AL3/V3*365/AM3</f>
        <v>0.25971376367990828</v>
      </c>
      <c r="AP3" s="11">
        <f t="shared" ref="AP3:AP4" si="16">POWER((1+AN3),(365/AM3))-1</f>
        <v>0.24624280434490431</v>
      </c>
      <c r="AQ3" s="23" t="e">
        <f>[1]!TitulosVendidos[[#This Row],[Comisión Santa Fe
Venta]]+[1]!TitulosVendidos[[#This Row],[Comisión Santa Fé
Compra]]</f>
        <v>#REF!</v>
      </c>
    </row>
    <row r="4" spans="1:43" x14ac:dyDescent="0.25">
      <c r="A4">
        <v>333555</v>
      </c>
      <c r="B4">
        <v>244</v>
      </c>
      <c r="C4" s="4">
        <v>46121</v>
      </c>
      <c r="D4" s="4" t="s">
        <v>40</v>
      </c>
      <c r="E4" s="5" t="s">
        <v>41</v>
      </c>
      <c r="F4" s="4">
        <v>45590</v>
      </c>
      <c r="G4" s="4">
        <v>45608</v>
      </c>
      <c r="H4" s="4">
        <v>45455</v>
      </c>
      <c r="I4" s="4">
        <v>47646</v>
      </c>
      <c r="J4" s="6">
        <v>5.36</v>
      </c>
      <c r="K4" s="6">
        <f t="shared" si="0"/>
        <v>7.6321760849195632</v>
      </c>
      <c r="L4" s="6">
        <v>13.25</v>
      </c>
      <c r="M4" s="7">
        <f t="shared" si="1"/>
        <v>13.712666666666669</v>
      </c>
      <c r="N4" s="7">
        <f t="shared" si="2"/>
        <v>7.7726666666666686</v>
      </c>
      <c r="O4" s="5">
        <f t="shared" si="3"/>
        <v>17</v>
      </c>
      <c r="P4" s="7"/>
      <c r="Q4" s="7">
        <f t="shared" si="4"/>
        <v>240.88800000000006</v>
      </c>
      <c r="R4" s="7">
        <v>3070</v>
      </c>
      <c r="S4" s="14">
        <v>69.772961589999994</v>
      </c>
      <c r="T4" s="14">
        <v>70.228987648631929</v>
      </c>
      <c r="U4" s="7">
        <f t="shared" si="5"/>
        <v>2142.029920813</v>
      </c>
      <c r="V4" s="7">
        <f t="shared" si="6"/>
        <v>2156.0299208130004</v>
      </c>
      <c r="W4" s="7">
        <f t="shared" si="7"/>
        <v>2161.9699208130005</v>
      </c>
      <c r="X4" s="7">
        <v>5.94</v>
      </c>
      <c r="Y4" s="7">
        <v>10</v>
      </c>
      <c r="Z4" s="7">
        <v>4</v>
      </c>
      <c r="AA4" s="7">
        <f t="shared" si="8"/>
        <v>14</v>
      </c>
      <c r="AB4" s="18"/>
      <c r="AC4" s="22">
        <v>89.245310000000003</v>
      </c>
      <c r="AD4" s="8"/>
      <c r="AE4" s="9">
        <v>12.341338661338662</v>
      </c>
      <c r="AF4" s="9">
        <f>AC4*R4/100</f>
        <v>2739.831017</v>
      </c>
      <c r="AG4" s="9">
        <v>27.396913086913084</v>
      </c>
      <c r="AH4" s="9">
        <v>1.370919080919081</v>
      </c>
      <c r="AI4" s="9">
        <f t="shared" si="10"/>
        <v>2711.0631848321677</v>
      </c>
      <c r="AJ4" s="9">
        <f t="shared" si="11"/>
        <v>597.80109618699998</v>
      </c>
      <c r="AK4" s="9">
        <f t="shared" si="12"/>
        <v>555.03326401916729</v>
      </c>
      <c r="AL4" s="9">
        <f t="shared" si="13"/>
        <v>808.26260268050601</v>
      </c>
      <c r="AM4" s="10">
        <f t="shared" ref="AM4" si="17">C4-F4</f>
        <v>531</v>
      </c>
      <c r="AN4" s="11">
        <f t="shared" si="14"/>
        <v>0.37488468730328406</v>
      </c>
      <c r="AO4" s="11">
        <f t="shared" si="15"/>
        <v>0.25768909767551545</v>
      </c>
      <c r="AP4" s="11">
        <f t="shared" si="16"/>
        <v>0.24463437049247494</v>
      </c>
      <c r="AQ4" s="23" t="e">
        <f>[1]!TitulosVendidos[[#This Row],[Comisión Santa Fe
Venta]]+[1]!TitulosVendidos[[#This Row],[Comisión Santa Fé
Compra]]</f>
        <v>#REF!</v>
      </c>
    </row>
    <row r="5" spans="1:43" ht="51" customHeight="1" thickBot="1" x14ac:dyDescent="0.3">
      <c r="A5">
        <v>365280</v>
      </c>
      <c r="C5" s="15" t="s">
        <v>44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>
        <f>SUM(R3:R4)</f>
        <v>10010</v>
      </c>
      <c r="S5" s="17"/>
      <c r="T5" s="17"/>
      <c r="U5" s="15"/>
      <c r="V5" s="15"/>
      <c r="W5" s="15"/>
      <c r="X5" s="15"/>
      <c r="Y5" s="15"/>
      <c r="Z5" s="15"/>
      <c r="AA5" s="15"/>
      <c r="AB5" s="19"/>
      <c r="AC5" s="24" t="s">
        <v>43</v>
      </c>
      <c r="AD5" s="25"/>
      <c r="AE5" s="26" t="s">
        <v>43</v>
      </c>
      <c r="AF5" s="26"/>
      <c r="AG5" s="26" t="s">
        <v>43</v>
      </c>
      <c r="AH5" s="26" t="s">
        <v>43</v>
      </c>
      <c r="AI5" s="26" t="s">
        <v>43</v>
      </c>
      <c r="AJ5" s="25"/>
      <c r="AK5" s="25"/>
      <c r="AL5" s="25"/>
      <c r="AM5" s="25"/>
      <c r="AN5" s="25"/>
      <c r="AO5" s="25"/>
      <c r="AP5" s="25"/>
      <c r="AQ5" s="27"/>
    </row>
  </sheetData>
  <mergeCells count="2">
    <mergeCell ref="AC1:AQ1"/>
    <mergeCell ref="D1:A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Orellana</dc:creator>
  <cp:lastModifiedBy>Jhon Orellana</cp:lastModifiedBy>
  <dcterms:created xsi:type="dcterms:W3CDTF">2026-06-01T00:09:31Z</dcterms:created>
  <dcterms:modified xsi:type="dcterms:W3CDTF">2026-06-06T12:58:51Z</dcterms:modified>
</cp:coreProperties>
</file>