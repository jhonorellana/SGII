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C:\PROYECTOS\SIPRO_07\documentacion\"/>
    </mc:Choice>
  </mc:AlternateContent>
  <xr:revisionPtr revIDLastSave="0" documentId="13_ncr:1_{AB3FB19E-4B44-4E66-9C14-52109B458379}" xr6:coauthVersionLast="47" xr6:coauthVersionMax="47" xr10:uidLastSave="{00000000-0000-0000-0000-000000000000}"/>
  <bookViews>
    <workbookView xWindow="-120" yWindow="-120" windowWidth="29040" windowHeight="15720" xr2:uid="{00000000-000D-0000-FFFF-FFFF00000000}"/>
  </bookViews>
  <sheets>
    <sheet name="Hoja1" sheetId="1" r:id="rId1"/>
    <sheet name="Hoja2" sheetId="2" r:id="rId2"/>
  </sheets>
  <definedNames>
    <definedName name="_xlnm._FilterDatabase" localSheetId="0" hidden="1">Hoja1!$A$1:$G$36</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69" i="1" l="1"/>
  <c r="E59" i="1"/>
</calcChain>
</file>

<file path=xl/sharedStrings.xml><?xml version="1.0" encoding="utf-8"?>
<sst xmlns="http://schemas.openxmlformats.org/spreadsheetml/2006/main" count="125" uniqueCount="71">
  <si>
    <t>Implementar registro de acciones</t>
  </si>
  <si>
    <t>Cambiar el codigo de las acciones - 73 - este solo debe servir para BRIKAPITAL</t>
  </si>
  <si>
    <t>Añadir funcionalidad relacionada con el registro de las utilidades por otro tipo de transacciones - venta bonos - venta acciones - venta notas credito</t>
  </si>
  <si>
    <t>Corregir error de calculo en la generación de amortizacion</t>
  </si>
  <si>
    <t>Registrar las ganancias por otras actividades como venta de acciones</t>
  </si>
  <si>
    <t>Registrar las ganancias por otras actividades como venta de notas de crédito</t>
  </si>
  <si>
    <t>Grafico solapado de los precios de las acciones de todos los años para poder visualizar comportamiento ciclico de las acciones de una empresa</t>
  </si>
  <si>
    <t>id</t>
  </si>
  <si>
    <t>Módulo</t>
  </si>
  <si>
    <t>Descripción</t>
  </si>
  <si>
    <t>Prioridad</t>
  </si>
  <si>
    <t>Estado</t>
  </si>
  <si>
    <t>Registro</t>
  </si>
  <si>
    <t>Finalizado</t>
  </si>
  <si>
    <t>Acciones</t>
  </si>
  <si>
    <t>Dashboard</t>
  </si>
  <si>
    <t>Contabilidad</t>
  </si>
  <si>
    <t>Utilidades</t>
  </si>
  <si>
    <t>Amortizaciones</t>
  </si>
  <si>
    <t>Pendiente</t>
  </si>
  <si>
    <t>Listo</t>
  </si>
  <si>
    <t>Implementar la lectura de archivos PDF desde el mismo sistema para carga de notas de crédito</t>
  </si>
  <si>
    <t>Corregir la contabilidad con los movimientos - ahorita toma información de la tabla de inversiones</t>
  </si>
  <si>
    <t>Notas Credito</t>
  </si>
  <si>
    <t>Pedir documentacion de los parametros creados como se los debe utilizar</t>
  </si>
  <si>
    <t>Actualizar gráfico relacionado con ganancias por otro tipo de utilidades</t>
  </si>
  <si>
    <t>Revisar el calculo de las utilidadespor venta de bonos, venta de acciones, venta de notas de crédito</t>
  </si>
  <si>
    <t>Parametrizacion</t>
  </si>
  <si>
    <t>Cuando se crea un Papel Comercial se debe crear una amortizacion automáticamente</t>
  </si>
  <si>
    <t>PapelComercial</t>
  </si>
  <si>
    <t>Finalizar la funcionalidad de la relacion de las transacciones historicas con venta inversion</t>
  </si>
  <si>
    <t>Dividir en el excel Brikapital de las otras acciones</t>
  </si>
  <si>
    <t>Implementar el dashboard con los mejores indicadores</t>
  </si>
  <si>
    <t>Validar si los ultimos bonos vendidos aparecen en el resumen de utilidades por ventas</t>
  </si>
  <si>
    <t>Revisar el listado de venta de notas de crédito - se debe validar de donde está saliendo la informacion, falta el valor nominal</t>
  </si>
  <si>
    <t>Actualizar archivo manual de acciones compradas</t>
  </si>
  <si>
    <t>Ventas</t>
  </si>
  <si>
    <t>Parece que al migrar las ventas del archivo original, cargué el campo equivocado en el campo ganancia anual. Se debio cargar "% Ganancia Anual estimado", esta cargado "Tasa Anualizada" - actualizado manualmente en para notas de credito … falta actualizar para las otras ventas
select fecha_venta, liquidacion_venta, ganancia_perdida, rendimiento_total, dias_transcurridos, roi, ganancia_anual from venta_inversion where id_tipo_venta = 195 order by fecha_venta
select * from venta_inversion where id_tipo_venta = 195 order by fecha_venta</t>
  </si>
  <si>
    <t>a ultranza</t>
  </si>
  <si>
    <t>En la tabla de Ventas no hay el campo valor nominal - entre "Fecha Venta" y "Precio Venta" añade valor nominal</t>
  </si>
  <si>
    <t>Como actuó al vender acciones?</t>
  </si>
  <si>
    <t>Adicionalmente el porcentaje de las ventas parece que está mal</t>
  </si>
  <si>
    <t>La imagen es para el 4 de agosto … la cantidad de transacciones esta mal … hubieron mas transacciones ese día …</t>
  </si>
  <si>
    <t>en el gráfico solapado los puntos corresponden a distintas fechas</t>
  </si>
  <si>
    <t>id_inversion</t>
  </si>
  <si>
    <t>id_venta_inversion</t>
  </si>
  <si>
    <t>Permitir actualizar la fecha de amortizacion desde flujo de capital</t>
  </si>
  <si>
    <t>Crear opción para sacar el snapshot de todos los indicadores y luego sacar gráficos</t>
  </si>
  <si>
    <t>Preguntar que tipo de graficos se pueden sacar con la nueva información de Indicadores</t>
  </si>
  <si>
    <r>
      <t>1.</t>
    </r>
    <r>
      <rPr>
        <sz val="7"/>
        <color theme="1"/>
        <rFont val="Times New Roman"/>
        <family val="1"/>
      </rPr>
      <t xml:space="preserve">       </t>
    </r>
    <r>
      <rPr>
        <sz val="11"/>
        <color theme="1"/>
        <rFont val="Calibri"/>
        <family val="2"/>
        <scheme val="minor"/>
      </rPr>
      <t>¿En qué más podrías utilizar esta información histórica?</t>
    </r>
  </si>
  <si>
    <t>Además de crear gráficos de líneas o barras para ver la variación en el tiempo (que de por sí ya es muy valioso), tener este historial te abre la puerta a funcionalidades muy avanzadas:</t>
  </si>
  <si>
    <r>
      <t>1. Cálculo de Crecimiento Porcentual (MoM / YoY):</t>
    </r>
    <r>
      <rPr>
        <sz val="11"/>
        <color theme="1"/>
        <rFont val="Calibri"/>
        <family val="2"/>
        <scheme val="minor"/>
      </rPr>
      <t> Podrás comparar automáticamente cuánto creció tu Patrimonio Consolidado o tus Intereses Esperados respecto al mes anterior (Month-over-Month) o al mismo mes del año pasado (Year-over-Year). Por ejemplo: </t>
    </r>
    <r>
      <rPr>
        <i/>
        <sz val="11"/>
        <color theme="1"/>
        <rFont val="Calibri"/>
        <family val="2"/>
        <scheme val="minor"/>
      </rPr>
      <t>"Tu patrimonio creció un 4.5% este mes"</t>
    </r>
    <r>
      <rPr>
        <sz val="11"/>
        <color theme="1"/>
        <rFont val="Calibri"/>
        <family val="2"/>
        <scheme val="minor"/>
      </rPr>
      <t>.</t>
    </r>
  </si>
  <si>
    <r>
      <t>2. Desviación de Proyecciones:</t>
    </r>
    <r>
      <rPr>
        <sz val="11"/>
        <color theme="1"/>
        <rFont val="Calibri"/>
        <family val="2"/>
        <scheme val="minor"/>
      </rPr>
      <t> Actualmente el sistema calcula tu "Proyección a 1 año". Si guardas el historial, podrás comparar si el crecimiento real de tu patrimonio cumplió con la proyección que habías hecho hace 1 año.</t>
    </r>
  </si>
  <si>
    <r>
      <t>3. Auditoría y Conciliación a Fin de Mes:</t>
    </r>
    <r>
      <rPr>
        <sz val="11"/>
        <color theme="1"/>
        <rFont val="Calibri"/>
        <family val="2"/>
        <scheme val="minor"/>
      </rPr>
      <t> Al tener una instantánea de cómo cerró tu portafolio el último día del mes, puedes usar ese registro exacto para conciliarlo contra tus estados de cuenta bancarios o de las casas de valores sin miedo a que una transacción ingresada tarde te mueva los números del pasado.</t>
    </r>
  </si>
  <si>
    <r>
      <t>4. Alertas de Caídas de Liquidez o Valor:</t>
    </r>
    <r>
      <rPr>
        <sz val="11"/>
        <color theme="1"/>
        <rFont val="Calibri"/>
        <family val="2"/>
        <scheme val="minor"/>
      </rPr>
      <t> Si el sistema detecta que tu "Total Corriente" o "Patrimonio Consolidado" cae drásticamente en comparación con la instantánea de la semana pasada, podría generar una alerta.</t>
    </r>
  </si>
  <si>
    <r>
      <t>5. Reportes Históricos en PDF:</t>
    </r>
    <r>
      <rPr>
        <sz val="11"/>
        <color theme="1"/>
        <rFont val="Calibri"/>
        <family val="2"/>
        <scheme val="minor"/>
      </rPr>
      <t> Podrías generar un reporte automático que te muestre la evolución patrimonial de todo un año fiscal, ideal para declaraciones o cierres contables.</t>
    </r>
  </si>
  <si>
    <r>
      <t>6. Análisis de Composición del Portafolio:</t>
    </r>
    <r>
      <rPr>
        <sz val="11"/>
        <color theme="1"/>
        <rFont val="Calibri"/>
        <family val="2"/>
        <scheme val="minor"/>
      </rPr>
      <t> Guardando también los datos de "Distribución de Capital", podrás ver en un gráfico de áreas apiladas cómo ha ido cambiando tu perfil de riesgo con el tiempo (por ejemplo, ver cómo pasaste de tener 80% en Renta Fija a 60% Renta Fija y 40% Acciones a lo largo de 3 años).</t>
    </r>
  </si>
  <si>
    <t>La funcionalidad de notas de crédito debe cambiarse, no necesitamos la amortizacion</t>
  </si>
  <si>
    <t>Crear end point para llamar y enviar mensajes del saldo y las notas de crédito</t>
  </si>
  <si>
    <t>https://www.youtube.com/live/h0WhYGR7pdA?t=523s - Dejar de trabajar a los 57</t>
  </si>
  <si>
    <t>Investigar como automatizar cosas con Power Automate</t>
  </si>
  <si>
    <t>Automatizacion</t>
  </si>
  <si>
    <t>Personal</t>
  </si>
  <si>
    <t>CargaDiaria</t>
  </si>
  <si>
    <t>Crear interfaz de analisis de archivos descargados</t>
  </si>
  <si>
    <t>Carga de datos de archivos diarios de BVQ desde el sistema</t>
  </si>
  <si>
    <t>Crear funcionalidad de descarga de Ofertas y Demandas a las 4:30</t>
  </si>
  <si>
    <t>Revisar la propuesta_explotacion_vector_precios_bvq.md.. Está implementada la opcion A … pendiente el resto</t>
  </si>
  <si>
    <t>Actualizar el limpiador de textos, que las frases completas vayan al inicio</t>
  </si>
  <si>
    <t>VectorPrecios</t>
  </si>
  <si>
    <t>Cleaner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</si>
</sst>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7"/>
      <color theme="1"/>
      <name val="Times New Roman"/>
      <family val="1"/>
    </font>
    <font>
      <i/>
      <sz val="11"/>
      <color theme="1"/>
      <name val="Calibri"/>
      <family val="2"/>
      <scheme val="minor"/>
    </font>
    <font>
      <u/>
      <sz val="11"/>
      <color theme="1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13">
    <xf numFmtId="0" fontId="0" fillId="0" borderId="0" xfId="0"/>
    <xf numFmtId="0" fontId="1" fillId="0" borderId="1" xfId="0" applyFont="1" applyBorder="1"/>
    <xf numFmtId="0" fontId="0" fillId="0" borderId="1" xfId="0" applyBorder="1"/>
    <xf numFmtId="14" fontId="0" fillId="0" borderId="1" xfId="0" applyNumberFormat="1" applyBorder="1"/>
    <xf numFmtId="0" fontId="1" fillId="0" borderId="1" xfId="0" applyFont="1" applyBorder="1" applyAlignment="1">
      <alignment wrapText="1"/>
    </xf>
    <xf numFmtId="0" fontId="0" fillId="0" borderId="1" xfId="0" applyBorder="1" applyAlignment="1">
      <alignment wrapText="1"/>
    </xf>
    <xf numFmtId="0" fontId="0" fillId="0" borderId="0" xfId="0" applyAlignment="1">
      <alignment wrapText="1"/>
    </xf>
    <xf numFmtId="0" fontId="0" fillId="2" borderId="0" xfId="0" applyFill="1"/>
    <xf numFmtId="0" fontId="0" fillId="3" borderId="0" xfId="0" applyFill="1" applyAlignment="1">
      <alignment wrapText="1"/>
    </xf>
    <xf numFmtId="0" fontId="0" fillId="3" borderId="0" xfId="0" applyFill="1" applyAlignment="1">
      <alignment horizontal="left" vertical="center" indent="5"/>
    </xf>
    <xf numFmtId="0" fontId="0" fillId="3" borderId="0" xfId="0" applyFill="1" applyAlignment="1">
      <alignment vertical="center"/>
    </xf>
    <xf numFmtId="0" fontId="1" fillId="3" borderId="0" xfId="0" applyFont="1" applyFill="1" applyAlignment="1">
      <alignment horizontal="left" vertical="center" indent="1"/>
    </xf>
    <xf numFmtId="0" fontId="4" fillId="0" borderId="1" xfId="1" applyBorder="1" applyAlignment="1">
      <alignment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57</xdr:row>
      <xdr:rowOff>0</xdr:rowOff>
    </xdr:from>
    <xdr:to>
      <xdr:col>2</xdr:col>
      <xdr:colOff>304800</xdr:colOff>
      <xdr:row>58</xdr:row>
      <xdr:rowOff>114300</xdr:rowOff>
    </xdr:to>
    <xdr:sp macro="" textlink="">
      <xdr:nvSpPr>
        <xdr:cNvPr id="1025" name="AutoShape 1">
          <a:extLst>
            <a:ext uri="{FF2B5EF4-FFF2-40B4-BE49-F238E27FC236}">
              <a16:creationId xmlns:a16="http://schemas.microsoft.com/office/drawing/2014/main" id="{275299FC-8F7D-AA02-FF2F-F5590C4DC724}"/>
            </a:ext>
          </a:extLst>
        </xdr:cNvPr>
        <xdr:cNvSpPr>
          <a:spLocks noChangeAspect="1" noChangeArrowheads="1"/>
        </xdr:cNvSpPr>
      </xdr:nvSpPr>
      <xdr:spPr bwMode="auto">
        <a:xfrm>
          <a:off x="1181100" y="438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110557</xdr:colOff>
      <xdr:row>46</xdr:row>
      <xdr:rowOff>93550</xdr:rowOff>
    </xdr:from>
    <xdr:to>
      <xdr:col>2</xdr:col>
      <xdr:colOff>3967700</xdr:colOff>
      <xdr:row>64</xdr:row>
      <xdr:rowOff>97211</xdr:rowOff>
    </xdr:to>
    <xdr:pic>
      <xdr:nvPicPr>
        <xdr:cNvPr id="2" name="Imagen 1">
          <a:extLst>
            <a:ext uri="{FF2B5EF4-FFF2-40B4-BE49-F238E27FC236}">
              <a16:creationId xmlns:a16="http://schemas.microsoft.com/office/drawing/2014/main" id="{A1453126-DB7F-FC19-2407-EF0E6205E0F6}"/>
            </a:ext>
          </a:extLst>
        </xdr:cNvPr>
        <xdr:cNvPicPr>
          <a:picLocks noChangeAspect="1"/>
        </xdr:cNvPicPr>
      </xdr:nvPicPr>
      <xdr:blipFill>
        <a:blip xmlns:r="http://schemas.openxmlformats.org/officeDocument/2006/relationships" r:embed="rId1"/>
        <a:stretch>
          <a:fillRect/>
        </a:stretch>
      </xdr:blipFill>
      <xdr:spPr>
        <a:xfrm>
          <a:off x="1292678" y="4975113"/>
          <a:ext cx="3857143" cy="33714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2</xdr:col>
      <xdr:colOff>0</xdr:colOff>
      <xdr:row>0</xdr:row>
      <xdr:rowOff>0</xdr:rowOff>
    </xdr:from>
    <xdr:ext cx="304800" cy="301398"/>
    <xdr:sp macro="" textlink="">
      <xdr:nvSpPr>
        <xdr:cNvPr id="3" name="AutoShape 2">
          <a:extLst>
            <a:ext uri="{FF2B5EF4-FFF2-40B4-BE49-F238E27FC236}">
              <a16:creationId xmlns:a16="http://schemas.microsoft.com/office/drawing/2014/main" id="{7CC6E37B-FEAE-402D-AA91-515035F6A5D9}"/>
            </a:ext>
          </a:extLst>
        </xdr:cNvPr>
        <xdr:cNvSpPr>
          <a:spLocks noChangeAspect="1" noChangeArrowheads="1"/>
        </xdr:cNvSpPr>
      </xdr:nvSpPr>
      <xdr:spPr bwMode="auto">
        <a:xfrm>
          <a:off x="1181100" y="2857500"/>
          <a:ext cx="304800" cy="30139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youtube.com/live/h0WhYGR7pdA?t=523s%20-%20Dejar%20de%20trabajar%20a%20los%2057"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G76"/>
  <sheetViews>
    <sheetView tabSelected="1" zoomScale="118" zoomScaleNormal="118" workbookViewId="0">
      <selection activeCell="C43" sqref="C43"/>
    </sheetView>
  </sheetViews>
  <sheetFormatPr baseColWidth="10" defaultColWidth="9.140625" defaultRowHeight="15" x14ac:dyDescent="0.25"/>
  <cols>
    <col min="1" max="1" width="5" bestFit="1" customWidth="1"/>
    <col min="2" max="2" width="14.7109375" bestFit="1" customWidth="1"/>
    <col min="3" max="3" width="133.5703125" style="6" bestFit="1" customWidth="1"/>
    <col min="5" max="5" width="17.140625" bestFit="1" customWidth="1"/>
    <col min="6" max="6" width="14" customWidth="1"/>
    <col min="7" max="7" width="12.28515625" bestFit="1" customWidth="1"/>
  </cols>
  <sheetData>
    <row r="1" spans="1:7" x14ac:dyDescent="0.25">
      <c r="A1" s="1" t="s">
        <v>7</v>
      </c>
      <c r="B1" s="1" t="s">
        <v>8</v>
      </c>
      <c r="C1" s="4" t="s">
        <v>9</v>
      </c>
      <c r="D1" s="1" t="s">
        <v>10</v>
      </c>
      <c r="E1" s="1" t="s">
        <v>11</v>
      </c>
      <c r="F1" s="1" t="s">
        <v>12</v>
      </c>
      <c r="G1" s="1" t="s">
        <v>13</v>
      </c>
    </row>
    <row r="2" spans="1:7" hidden="1" x14ac:dyDescent="0.25">
      <c r="A2" s="2">
        <v>1</v>
      </c>
      <c r="B2" s="2" t="s">
        <v>14</v>
      </c>
      <c r="C2" s="2" t="s">
        <v>0</v>
      </c>
      <c r="D2" s="2">
        <v>1</v>
      </c>
      <c r="E2" s="2" t="s">
        <v>20</v>
      </c>
      <c r="F2" s="3">
        <v>46193</v>
      </c>
      <c r="G2" s="3">
        <v>46194</v>
      </c>
    </row>
    <row r="3" spans="1:7" hidden="1" x14ac:dyDescent="0.25">
      <c r="A3" s="2">
        <v>2</v>
      </c>
      <c r="B3" s="2" t="s">
        <v>14</v>
      </c>
      <c r="C3" s="2" t="s">
        <v>1</v>
      </c>
      <c r="D3" s="2">
        <v>2</v>
      </c>
      <c r="E3" s="2" t="s">
        <v>20</v>
      </c>
      <c r="F3" s="3">
        <v>46193</v>
      </c>
      <c r="G3" s="3">
        <v>46207</v>
      </c>
    </row>
    <row r="4" spans="1:7" hidden="1" x14ac:dyDescent="0.25">
      <c r="A4" s="2">
        <v>3</v>
      </c>
      <c r="B4" s="2" t="s">
        <v>15</v>
      </c>
      <c r="C4" s="5" t="s">
        <v>32</v>
      </c>
      <c r="D4" s="2">
        <v>2</v>
      </c>
      <c r="E4" s="2" t="s">
        <v>20</v>
      </c>
      <c r="F4" s="3">
        <v>46193</v>
      </c>
      <c r="G4" s="3">
        <v>46235</v>
      </c>
    </row>
    <row r="5" spans="1:7" x14ac:dyDescent="0.25">
      <c r="A5" s="2">
        <v>4</v>
      </c>
      <c r="B5" s="2" t="s">
        <v>16</v>
      </c>
      <c r="C5" s="5" t="s">
        <v>22</v>
      </c>
      <c r="D5" s="2">
        <v>1</v>
      </c>
      <c r="E5" s="2" t="s">
        <v>19</v>
      </c>
      <c r="F5" s="3">
        <v>46193</v>
      </c>
      <c r="G5" s="2"/>
    </row>
    <row r="6" spans="1:7" hidden="1" x14ac:dyDescent="0.25">
      <c r="A6" s="2">
        <v>5</v>
      </c>
      <c r="B6" s="2" t="s">
        <v>17</v>
      </c>
      <c r="C6" s="2" t="s">
        <v>2</v>
      </c>
      <c r="D6" s="2">
        <v>1</v>
      </c>
      <c r="E6" s="2" t="s">
        <v>20</v>
      </c>
      <c r="F6" s="3">
        <v>46193</v>
      </c>
      <c r="G6" s="3">
        <v>46207</v>
      </c>
    </row>
    <row r="7" spans="1:7" hidden="1" x14ac:dyDescent="0.25">
      <c r="A7" s="2">
        <v>6</v>
      </c>
      <c r="B7" s="2" t="s">
        <v>18</v>
      </c>
      <c r="C7" s="5" t="s">
        <v>3</v>
      </c>
      <c r="D7" s="2">
        <v>1</v>
      </c>
      <c r="E7" s="2" t="s">
        <v>20</v>
      </c>
      <c r="F7" s="3">
        <v>46193</v>
      </c>
      <c r="G7" s="3">
        <v>46249</v>
      </c>
    </row>
    <row r="8" spans="1:7" hidden="1" x14ac:dyDescent="0.25">
      <c r="A8" s="2">
        <v>7</v>
      </c>
      <c r="B8" s="2" t="s">
        <v>17</v>
      </c>
      <c r="C8" s="2" t="s">
        <v>4</v>
      </c>
      <c r="D8" s="2">
        <v>1</v>
      </c>
      <c r="E8" s="2" t="s">
        <v>20</v>
      </c>
      <c r="F8" s="3">
        <v>46193</v>
      </c>
      <c r="G8" s="2"/>
    </row>
    <row r="9" spans="1:7" hidden="1" x14ac:dyDescent="0.25">
      <c r="A9" s="2">
        <v>8</v>
      </c>
      <c r="B9" s="2" t="s">
        <v>17</v>
      </c>
      <c r="C9" s="2" t="s">
        <v>5</v>
      </c>
      <c r="D9" s="2">
        <v>1</v>
      </c>
      <c r="E9" s="2" t="s">
        <v>20</v>
      </c>
      <c r="F9" s="3">
        <v>46193</v>
      </c>
      <c r="G9" s="2"/>
    </row>
    <row r="10" spans="1:7" hidden="1" x14ac:dyDescent="0.25">
      <c r="A10" s="2">
        <v>9</v>
      </c>
      <c r="B10" s="2" t="s">
        <v>14</v>
      </c>
      <c r="C10" s="2" t="s">
        <v>6</v>
      </c>
      <c r="D10" s="2">
        <v>2</v>
      </c>
      <c r="E10" s="2" t="s">
        <v>20</v>
      </c>
      <c r="F10" s="3">
        <v>46193</v>
      </c>
      <c r="G10" s="3">
        <v>46207</v>
      </c>
    </row>
    <row r="11" spans="1:7" x14ac:dyDescent="0.25">
      <c r="A11" s="2">
        <v>10</v>
      </c>
      <c r="B11" s="2" t="s">
        <v>23</v>
      </c>
      <c r="C11" s="5" t="s">
        <v>21</v>
      </c>
      <c r="D11" s="2">
        <v>1</v>
      </c>
      <c r="E11" s="2" t="s">
        <v>19</v>
      </c>
      <c r="F11" s="3">
        <v>46194</v>
      </c>
      <c r="G11" s="2"/>
    </row>
    <row r="12" spans="1:7" hidden="1" x14ac:dyDescent="0.25">
      <c r="A12" s="2">
        <v>11</v>
      </c>
      <c r="B12" s="2" t="s">
        <v>27</v>
      </c>
      <c r="C12" s="2" t="s">
        <v>24</v>
      </c>
      <c r="D12" s="2">
        <v>1</v>
      </c>
      <c r="E12" s="2" t="s">
        <v>20</v>
      </c>
      <c r="F12" s="3">
        <v>46194</v>
      </c>
      <c r="G12" s="3">
        <v>46200</v>
      </c>
    </row>
    <row r="13" spans="1:7" hidden="1" x14ac:dyDescent="0.25">
      <c r="A13" s="2">
        <v>12</v>
      </c>
      <c r="B13" s="2" t="s">
        <v>17</v>
      </c>
      <c r="C13" s="2" t="s">
        <v>25</v>
      </c>
      <c r="D13" s="2">
        <v>1</v>
      </c>
      <c r="E13" s="2" t="s">
        <v>20</v>
      </c>
      <c r="F13" s="3">
        <v>46194</v>
      </c>
      <c r="G13" s="3">
        <v>46207</v>
      </c>
    </row>
    <row r="14" spans="1:7" hidden="1" x14ac:dyDescent="0.25">
      <c r="A14" s="2">
        <v>13</v>
      </c>
      <c r="B14" s="2" t="s">
        <v>17</v>
      </c>
      <c r="C14" s="2" t="s">
        <v>26</v>
      </c>
      <c r="D14" s="2">
        <v>1</v>
      </c>
      <c r="E14" s="2" t="s">
        <v>20</v>
      </c>
      <c r="F14" s="3">
        <v>46194</v>
      </c>
      <c r="G14" s="3">
        <v>46207</v>
      </c>
    </row>
    <row r="15" spans="1:7" hidden="1" x14ac:dyDescent="0.25">
      <c r="A15" s="2">
        <v>14</v>
      </c>
      <c r="B15" s="2" t="s">
        <v>29</v>
      </c>
      <c r="C15" s="5" t="s">
        <v>28</v>
      </c>
      <c r="D15" s="2">
        <v>1</v>
      </c>
      <c r="E15" s="2" t="s">
        <v>20</v>
      </c>
      <c r="F15" s="3">
        <v>46204</v>
      </c>
      <c r="G15" s="3">
        <v>46249</v>
      </c>
    </row>
    <row r="16" spans="1:7" hidden="1" x14ac:dyDescent="0.25">
      <c r="A16" s="2">
        <v>15</v>
      </c>
      <c r="B16" s="2" t="s">
        <v>17</v>
      </c>
      <c r="C16" s="2" t="s">
        <v>30</v>
      </c>
      <c r="D16" s="2">
        <v>1</v>
      </c>
      <c r="E16" s="2" t="s">
        <v>20</v>
      </c>
      <c r="F16" s="3">
        <v>46204</v>
      </c>
      <c r="G16" s="3">
        <v>46207</v>
      </c>
    </row>
    <row r="17" spans="1:7" hidden="1" x14ac:dyDescent="0.25">
      <c r="A17" s="2">
        <v>16</v>
      </c>
      <c r="B17" s="2" t="s">
        <v>17</v>
      </c>
      <c r="C17" s="5" t="s">
        <v>31</v>
      </c>
      <c r="D17" s="2">
        <v>1</v>
      </c>
      <c r="E17" s="2" t="s">
        <v>20</v>
      </c>
      <c r="F17" s="3">
        <v>46204</v>
      </c>
      <c r="G17" s="3">
        <v>46256</v>
      </c>
    </row>
    <row r="18" spans="1:7" hidden="1" x14ac:dyDescent="0.25">
      <c r="A18" s="2">
        <v>17</v>
      </c>
      <c r="B18" s="2" t="s">
        <v>17</v>
      </c>
      <c r="C18" s="5" t="s">
        <v>33</v>
      </c>
      <c r="D18" s="2">
        <v>1</v>
      </c>
      <c r="E18" s="2" t="s">
        <v>20</v>
      </c>
      <c r="F18" s="3">
        <v>46204</v>
      </c>
      <c r="G18" s="3">
        <v>46322</v>
      </c>
    </row>
    <row r="19" spans="1:7" hidden="1" x14ac:dyDescent="0.25">
      <c r="A19" s="2">
        <v>18</v>
      </c>
      <c r="B19" s="2" t="s">
        <v>23</v>
      </c>
      <c r="C19" s="5" t="s">
        <v>34</v>
      </c>
      <c r="D19" s="2">
        <v>1</v>
      </c>
      <c r="E19" s="2" t="s">
        <v>20</v>
      </c>
      <c r="F19" s="3">
        <v>46204</v>
      </c>
      <c r="G19" s="3">
        <v>46249</v>
      </c>
    </row>
    <row r="20" spans="1:7" hidden="1" x14ac:dyDescent="0.25">
      <c r="A20" s="2">
        <v>19</v>
      </c>
      <c r="B20" s="2" t="s">
        <v>14</v>
      </c>
      <c r="C20" s="5" t="s">
        <v>35</v>
      </c>
      <c r="D20" s="2">
        <v>1</v>
      </c>
      <c r="E20" s="2" t="s">
        <v>20</v>
      </c>
      <c r="F20" s="3">
        <v>46215</v>
      </c>
      <c r="G20" s="3">
        <v>46249</v>
      </c>
    </row>
    <row r="21" spans="1:7" ht="75" hidden="1" x14ac:dyDescent="0.25">
      <c r="A21" s="2">
        <v>20</v>
      </c>
      <c r="B21" s="2" t="s">
        <v>36</v>
      </c>
      <c r="C21" s="5" t="s">
        <v>37</v>
      </c>
      <c r="D21" s="2">
        <v>1</v>
      </c>
      <c r="E21" s="2" t="s">
        <v>20</v>
      </c>
      <c r="F21" s="3">
        <v>46249</v>
      </c>
      <c r="G21" s="3">
        <v>46322</v>
      </c>
    </row>
    <row r="22" spans="1:7" hidden="1" x14ac:dyDescent="0.25">
      <c r="A22" s="2">
        <v>21</v>
      </c>
      <c r="B22" s="2" t="s">
        <v>15</v>
      </c>
      <c r="C22" s="5" t="s">
        <v>47</v>
      </c>
      <c r="D22" s="2">
        <v>1</v>
      </c>
      <c r="E22" s="2" t="s">
        <v>20</v>
      </c>
      <c r="F22" s="3">
        <v>46249</v>
      </c>
      <c r="G22" s="3">
        <v>46250</v>
      </c>
    </row>
    <row r="23" spans="1:7" hidden="1" x14ac:dyDescent="0.25">
      <c r="A23" s="2">
        <v>22</v>
      </c>
      <c r="B23" s="2" t="s">
        <v>18</v>
      </c>
      <c r="C23" s="5" t="s">
        <v>46</v>
      </c>
      <c r="D23" s="2">
        <v>1</v>
      </c>
      <c r="E23" s="2" t="s">
        <v>20</v>
      </c>
      <c r="F23" s="3">
        <v>46249</v>
      </c>
      <c r="G23" s="3">
        <v>46250</v>
      </c>
    </row>
    <row r="24" spans="1:7" hidden="1" x14ac:dyDescent="0.25">
      <c r="A24" s="2">
        <v>23</v>
      </c>
      <c r="B24" s="2" t="s">
        <v>36</v>
      </c>
      <c r="C24" s="5" t="s">
        <v>39</v>
      </c>
      <c r="D24" s="2">
        <v>1</v>
      </c>
      <c r="E24" s="2" t="s">
        <v>20</v>
      </c>
      <c r="F24" s="3">
        <v>46249</v>
      </c>
      <c r="G24" s="3">
        <v>46322</v>
      </c>
    </row>
    <row r="25" spans="1:7" hidden="1" x14ac:dyDescent="0.25">
      <c r="A25" s="2">
        <v>24</v>
      </c>
      <c r="B25" s="2" t="s">
        <v>36</v>
      </c>
      <c r="C25" s="5" t="s">
        <v>40</v>
      </c>
      <c r="D25" s="2">
        <v>1</v>
      </c>
      <c r="E25" s="2" t="s">
        <v>20</v>
      </c>
      <c r="F25" s="3">
        <v>46249</v>
      </c>
      <c r="G25" s="3">
        <v>46322</v>
      </c>
    </row>
    <row r="26" spans="1:7" x14ac:dyDescent="0.25">
      <c r="A26" s="2">
        <v>25</v>
      </c>
      <c r="B26" s="2" t="s">
        <v>36</v>
      </c>
      <c r="C26" s="5" t="s">
        <v>41</v>
      </c>
      <c r="D26" s="2">
        <v>1</v>
      </c>
      <c r="E26" s="2" t="s">
        <v>19</v>
      </c>
      <c r="F26" s="3">
        <v>46249</v>
      </c>
      <c r="G26" s="2"/>
    </row>
    <row r="27" spans="1:7" x14ac:dyDescent="0.25">
      <c r="A27" s="2">
        <v>26</v>
      </c>
      <c r="B27" s="2" t="s">
        <v>14</v>
      </c>
      <c r="C27" s="5" t="s">
        <v>42</v>
      </c>
      <c r="D27" s="2">
        <v>1</v>
      </c>
      <c r="E27" s="2" t="s">
        <v>19</v>
      </c>
      <c r="F27" s="3">
        <v>46249</v>
      </c>
      <c r="G27" s="2"/>
    </row>
    <row r="28" spans="1:7" x14ac:dyDescent="0.25">
      <c r="A28" s="2">
        <v>27</v>
      </c>
      <c r="B28" s="2" t="s">
        <v>23</v>
      </c>
      <c r="C28" s="5" t="s">
        <v>57</v>
      </c>
      <c r="D28" s="2">
        <v>1</v>
      </c>
      <c r="E28" s="2" t="s">
        <v>19</v>
      </c>
      <c r="F28" s="3">
        <v>46255</v>
      </c>
      <c r="G28" s="2"/>
    </row>
    <row r="29" spans="1:7" hidden="1" x14ac:dyDescent="0.25">
      <c r="A29" s="2">
        <v>28</v>
      </c>
      <c r="B29" s="2" t="s">
        <v>61</v>
      </c>
      <c r="C29" s="5" t="s">
        <v>58</v>
      </c>
      <c r="D29" s="2">
        <v>1</v>
      </c>
      <c r="E29" s="2" t="s">
        <v>20</v>
      </c>
      <c r="F29" s="3">
        <v>46285</v>
      </c>
      <c r="G29" s="3">
        <v>46299</v>
      </c>
    </row>
    <row r="30" spans="1:7" x14ac:dyDescent="0.25">
      <c r="A30" s="2">
        <v>29</v>
      </c>
      <c r="B30" s="2" t="s">
        <v>61</v>
      </c>
      <c r="C30" s="5" t="s">
        <v>60</v>
      </c>
      <c r="D30" s="2">
        <v>1</v>
      </c>
      <c r="E30" s="2" t="s">
        <v>19</v>
      </c>
      <c r="F30" s="3">
        <v>46285</v>
      </c>
      <c r="G30" s="2"/>
    </row>
    <row r="31" spans="1:7" x14ac:dyDescent="0.25">
      <c r="A31" s="2">
        <v>30</v>
      </c>
      <c r="B31" s="2" t="s">
        <v>62</v>
      </c>
      <c r="C31" s="12" t="s">
        <v>59</v>
      </c>
      <c r="D31" s="2">
        <v>1</v>
      </c>
      <c r="E31" s="2" t="s">
        <v>19</v>
      </c>
      <c r="F31" s="3">
        <v>46285</v>
      </c>
      <c r="G31" s="2"/>
    </row>
    <row r="32" spans="1:7" hidden="1" x14ac:dyDescent="0.25">
      <c r="A32" s="2">
        <v>31</v>
      </c>
      <c r="B32" s="2" t="s">
        <v>63</v>
      </c>
      <c r="C32" s="5" t="s">
        <v>65</v>
      </c>
      <c r="D32" s="2">
        <v>1</v>
      </c>
      <c r="E32" s="2" t="s">
        <v>20</v>
      </c>
      <c r="F32" s="3">
        <v>46285</v>
      </c>
      <c r="G32" s="3">
        <v>46299</v>
      </c>
    </row>
    <row r="33" spans="1:7" x14ac:dyDescent="0.25">
      <c r="A33" s="2">
        <v>32</v>
      </c>
      <c r="B33" s="2" t="s">
        <v>63</v>
      </c>
      <c r="C33" s="5" t="s">
        <v>64</v>
      </c>
      <c r="D33" s="2">
        <v>1</v>
      </c>
      <c r="E33" s="2" t="s">
        <v>19</v>
      </c>
      <c r="F33" s="3">
        <v>46293</v>
      </c>
      <c r="G33" s="2"/>
    </row>
    <row r="34" spans="1:7" x14ac:dyDescent="0.25">
      <c r="A34" s="2">
        <v>33</v>
      </c>
      <c r="B34" s="2" t="s">
        <v>63</v>
      </c>
      <c r="C34" s="5" t="s">
        <v>66</v>
      </c>
      <c r="D34" s="2">
        <v>1</v>
      </c>
      <c r="E34" s="2" t="s">
        <v>19</v>
      </c>
      <c r="F34" s="3">
        <v>46293</v>
      </c>
      <c r="G34" s="2"/>
    </row>
    <row r="35" spans="1:7" hidden="1" x14ac:dyDescent="0.25">
      <c r="A35" s="2">
        <v>34</v>
      </c>
      <c r="B35" s="2" t="s">
        <v>69</v>
      </c>
      <c r="C35" s="5" t="s">
        <v>67</v>
      </c>
      <c r="D35" s="2">
        <v>1</v>
      </c>
      <c r="E35" s="2" t="s">
        <v>20</v>
      </c>
      <c r="F35" s="3">
        <v>46307</v>
      </c>
      <c r="G35" s="3">
        <v>46309</v>
      </c>
    </row>
    <row r="36" spans="1:7" hidden="1" x14ac:dyDescent="0.25">
      <c r="A36" s="2">
        <v>35</v>
      </c>
      <c r="B36" s="2" t="s">
        <v>70</v>
      </c>
      <c r="C36" s="5" t="s">
        <v>68</v>
      </c>
      <c r="D36" s="2">
        <v>1</v>
      </c>
      <c r="E36" s="2" t="s">
        <v>20</v>
      </c>
      <c r="F36" s="3">
        <v>46307</v>
      </c>
      <c r="G36" s="3">
        <v>46309</v>
      </c>
    </row>
    <row r="57" spans="3:6" x14ac:dyDescent="0.25">
      <c r="E57">
        <v>28401.05</v>
      </c>
    </row>
    <row r="58" spans="3:6" x14ac:dyDescent="0.25">
      <c r="C58"/>
      <c r="E58" s="7">
        <v>28374.3</v>
      </c>
    </row>
    <row r="59" spans="3:6" x14ac:dyDescent="0.25">
      <c r="E59">
        <f>E57-E58</f>
        <v>26.75</v>
      </c>
    </row>
    <row r="64" spans="3:6" x14ac:dyDescent="0.25">
      <c r="E64" t="s">
        <v>44</v>
      </c>
      <c r="F64">
        <v>696</v>
      </c>
    </row>
    <row r="65" spans="3:6" x14ac:dyDescent="0.25">
      <c r="E65" t="s">
        <v>45</v>
      </c>
      <c r="F65">
        <v>146</v>
      </c>
    </row>
    <row r="68" spans="3:6" x14ac:dyDescent="0.25">
      <c r="E68">
        <v>752.79</v>
      </c>
      <c r="F68">
        <v>26.75</v>
      </c>
    </row>
    <row r="69" spans="3:6" x14ac:dyDescent="0.25">
      <c r="E69">
        <v>100</v>
      </c>
      <c r="F69">
        <f>E69*F68/E68</f>
        <v>3.5534478406992656</v>
      </c>
    </row>
    <row r="74" spans="3:6" x14ac:dyDescent="0.25">
      <c r="C74" s="6" t="s">
        <v>43</v>
      </c>
    </row>
    <row r="76" spans="3:6" x14ac:dyDescent="0.25">
      <c r="C76" s="6" t="s">
        <v>38</v>
      </c>
    </row>
  </sheetData>
  <autoFilter ref="A1:G36" xr:uid="{00000000-0001-0000-0000-000000000000}">
    <filterColumn colId="4">
      <filters>
        <filter val="Pendiente"/>
      </filters>
    </filterColumn>
  </autoFilter>
  <hyperlinks>
    <hyperlink ref="C31" r:id="rId1" xr:uid="{3C22A885-07EB-43DB-A866-EAD7FAA5DC07}"/>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89EDA-31BE-4A34-91D4-C557DE541979}">
  <dimension ref="C2:C23"/>
  <sheetViews>
    <sheetView workbookViewId="0">
      <selection activeCell="E20" sqref="E20"/>
    </sheetView>
  </sheetViews>
  <sheetFormatPr baseColWidth="10" defaultRowHeight="15" x14ac:dyDescent="0.25"/>
  <sheetData>
    <row r="2" spans="3:3" ht="135" x14ac:dyDescent="0.25">
      <c r="C2" s="8" t="s">
        <v>48</v>
      </c>
    </row>
    <row r="3" spans="3:3" x14ac:dyDescent="0.25">
      <c r="C3" s="9" t="s">
        <v>49</v>
      </c>
    </row>
    <row r="4" spans="3:3" x14ac:dyDescent="0.25">
      <c r="C4" s="10" t="s">
        <v>50</v>
      </c>
    </row>
    <row r="5" spans="3:3" x14ac:dyDescent="0.25">
      <c r="C5" s="11" t="s">
        <v>51</v>
      </c>
    </row>
    <row r="6" spans="3:3" x14ac:dyDescent="0.25">
      <c r="C6" s="11" t="s">
        <v>52</v>
      </c>
    </row>
    <row r="7" spans="3:3" x14ac:dyDescent="0.25">
      <c r="C7" s="11" t="s">
        <v>53</v>
      </c>
    </row>
    <row r="8" spans="3:3" x14ac:dyDescent="0.25">
      <c r="C8" s="11" t="s">
        <v>54</v>
      </c>
    </row>
    <row r="9" spans="3:3" x14ac:dyDescent="0.25">
      <c r="C9" s="11" t="s">
        <v>55</v>
      </c>
    </row>
    <row r="10" spans="3:3" x14ac:dyDescent="0.25">
      <c r="C10" s="11" t="s">
        <v>56</v>
      </c>
    </row>
    <row r="11" spans="3:3" x14ac:dyDescent="0.25">
      <c r="C11" s="8"/>
    </row>
    <row r="12" spans="3:3" x14ac:dyDescent="0.25">
      <c r="C12" s="8"/>
    </row>
    <row r="13" spans="3:3" x14ac:dyDescent="0.25">
      <c r="C13" s="8"/>
    </row>
    <row r="14" spans="3:3" x14ac:dyDescent="0.25">
      <c r="C14" s="8"/>
    </row>
    <row r="15" spans="3:3" x14ac:dyDescent="0.25">
      <c r="C15" s="8"/>
    </row>
    <row r="16" spans="3:3" x14ac:dyDescent="0.25">
      <c r="C16" s="8"/>
    </row>
    <row r="17" spans="3:3" x14ac:dyDescent="0.25">
      <c r="C17" s="8"/>
    </row>
    <row r="18" spans="3:3" x14ac:dyDescent="0.25">
      <c r="C18" s="8"/>
    </row>
    <row r="19" spans="3:3" x14ac:dyDescent="0.25">
      <c r="C19" s="8"/>
    </row>
    <row r="20" spans="3:3" x14ac:dyDescent="0.25">
      <c r="C20" s="8"/>
    </row>
    <row r="21" spans="3:3" x14ac:dyDescent="0.25">
      <c r="C21" s="8"/>
    </row>
    <row r="22" spans="3:3" x14ac:dyDescent="0.25">
      <c r="C22" s="8"/>
    </row>
    <row r="23" spans="3:3" x14ac:dyDescent="0.25">
      <c r="C23" s="8"/>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Hoja2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Jhon Alfredo Orellana Ocaña</dc:creator>
  <cp:lastModifiedBy>Jhon Orellana</cp:lastModifiedBy>
  <dcterms:created xsi:type="dcterms:W3CDTF">2015-06-05T18:19:34Z</dcterms:created>
  <dcterms:modified xsi:type="dcterms:W3CDTF">2026-10-28T01:50:28Z</dcterms:modified>
</cp:coreProperties>
</file>