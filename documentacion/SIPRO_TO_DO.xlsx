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4D006FF2-AD8C-49DA-B33E-B20AAB57B437}"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Hoja1!$A$1:$G$36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9" i="1" l="1"/>
  <c r="E59" i="1"/>
</calcChain>
</file>

<file path=xl/sharedStrings.xml><?xml version="1.0" encoding="utf-8"?>
<sst xmlns="http://schemas.openxmlformats.org/spreadsheetml/2006/main" count="125" uniqueCount="71">
  <si>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</si>
  <si>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</si>
  <si>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</si>
  <si>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</si>
  <si>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</si>
  <si>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</si>
  <si>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</si>
  <si>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</si>
  <si>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</si>
  <si>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</si>
  <si>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</si>
  <si>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</si>
  <si>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</si>
  <si>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</si>
  <si>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</si>
  <si>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</si>
  <si>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</si>
  <si>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</si>
  <si>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</si>
  <si>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</si>
  <si>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</si>
  <si>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</si>
  <si>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</si>
  <si>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</si>
  <si>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</si>
  <si>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</si>
  <si>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</si>
  <si>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</si>
  <si>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</si>
  <si>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</si>
  <si>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</si>
  <si>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</si>
  <si>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</si>
  <si>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</si>
  <si>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</si>
  <si>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</si>
  <si>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</si>
  <si>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</si>
  <si>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</si>
  <si>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</si>
  <si>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</si>
  <si>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</si>
  <si>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</si>
  <si>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</si>
  <si>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</si>
  <si>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</si>
  <si>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</si>
  <si>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</si>
  <si>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</si>
  <si>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</si>
  <si>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</si>
  <si>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</si>
  <si>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</si>
  <si>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</si>
  <si>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</si>
  <si>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</si>
  <si>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</si>
  <si>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</si>
  <si>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</si>
  <si>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</si>
  <si>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</si>
  <si>
    <t>Automatizacion</t>
  </si>
  <si>
    <t>Personal</t>
  </si>
  <si>
    <t>CargaDiaria</t>
  </si>
  <si>
    <t>Crear interfaz de analisis de archivos descargados</t>
  </si>
  <si>
    <t>Carga de datos de archivos diarios de BVQ desde el sistema</t>
  </si>
  <si>
    <t>Crear funcionalidad de descarga de Ofertas y Demandas a las 4:30</t>
  </si>
  <si>
    <t>Revisar la propuesta_explotacion_vector_precios_bvq.md.. Está implementada la opcion A … pendiente el resto</t>
  </si>
  <si>
    <t>Actualizar el limpiador de textos, que las frases completas vayan al inicio</t>
  </si>
  <si>
    <t>VectorPrecios</t>
  </si>
  <si>
    <t>Cleaner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</si>
</sst>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4" fillId="0" borderId="1" xfId="1" applyBorder="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57</xdr:row>
      <xdr:rowOff>0</xdr:rowOff>
    </xdr:from>
    <xdr:to>
      <xdr:col>2</xdr:col>
      <xdr:colOff>304800</xdr:colOff>
      <xdr:row>58</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46</xdr:row>
      <xdr:rowOff>93550</xdr:rowOff>
    </xdr:from>
    <xdr:to>
      <xdr:col>2</xdr:col>
      <xdr:colOff>3967700</xdr:colOff>
      <xdr:row>64</xdr:row>
      <xdr:rowOff>97211</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6"/>
  <sheetViews>
    <sheetView tabSelected="1" zoomScale="112" zoomScaleNormal="112" workbookViewId="0">
      <selection activeCell="C43" sqref="C43"/>
    </sheetView>
  </sheetViews>
  <sheetFormatPr baseColWidth="10" defaultColWidth="9.140625" defaultRowHeight="15" x14ac:dyDescent="0.25"/>
  <cols>
    <col min="1" max="1" width="5" bestFit="1" customWidth="1"/>
    <col min="2" max="2" width="14.7109375" bestFit="1" customWidth="1"/>
    <col min="3" max="3" width="133.5703125" style="6" bestFit="1" customWidth="1"/>
    <col min="5" max="5" width="17.140625" bestFit="1" customWidth="1"/>
    <col min="6" max="6" width="14" customWidth="1"/>
    <col min="7" max="7" width="10.7109375"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hidden="1"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18</v>
      </c>
      <c r="B19" s="2" t="s">
        <v>23</v>
      </c>
      <c r="C19" s="5" t="s">
        <v>34</v>
      </c>
      <c r="D19" s="2">
        <v>1</v>
      </c>
      <c r="E19" s="2" t="s">
        <v>20</v>
      </c>
      <c r="F19" s="3">
        <v>46204</v>
      </c>
      <c r="G19" s="3">
        <v>46249</v>
      </c>
    </row>
    <row r="20" spans="1:7" hidden="1" x14ac:dyDescent="0.25">
      <c r="A20" s="2">
        <v>19</v>
      </c>
      <c r="B20" s="2" t="s">
        <v>14</v>
      </c>
      <c r="C20" s="5" t="s">
        <v>35</v>
      </c>
      <c r="D20" s="2">
        <v>1</v>
      </c>
      <c r="E20" s="2" t="s">
        <v>20</v>
      </c>
      <c r="F20" s="3">
        <v>46215</v>
      </c>
      <c r="G20" s="3">
        <v>46249</v>
      </c>
    </row>
    <row r="21" spans="1:7" ht="75" x14ac:dyDescent="0.25">
      <c r="A21" s="2">
        <v>20</v>
      </c>
      <c r="B21" s="2" t="s">
        <v>36</v>
      </c>
      <c r="C21" s="5" t="s">
        <v>37</v>
      </c>
      <c r="D21" s="2">
        <v>1</v>
      </c>
      <c r="E21" s="2" t="s">
        <v>19</v>
      </c>
      <c r="F21" s="3">
        <v>46249</v>
      </c>
      <c r="G21" s="2"/>
    </row>
    <row r="22" spans="1:7" hidden="1" x14ac:dyDescent="0.25">
      <c r="A22" s="2">
        <v>21</v>
      </c>
      <c r="B22" s="2" t="s">
        <v>15</v>
      </c>
      <c r="C22" s="5" t="s">
        <v>47</v>
      </c>
      <c r="D22" s="2">
        <v>1</v>
      </c>
      <c r="E22" s="2" t="s">
        <v>20</v>
      </c>
      <c r="F22" s="3">
        <v>46249</v>
      </c>
      <c r="G22" s="3">
        <v>46250</v>
      </c>
    </row>
    <row r="23" spans="1:7" hidden="1" x14ac:dyDescent="0.25">
      <c r="A23" s="2">
        <v>22</v>
      </c>
      <c r="B23" s="2" t="s">
        <v>18</v>
      </c>
      <c r="C23" s="5" t="s">
        <v>46</v>
      </c>
      <c r="D23" s="2">
        <v>1</v>
      </c>
      <c r="E23" s="2" t="s">
        <v>20</v>
      </c>
      <c r="F23" s="3">
        <v>46249</v>
      </c>
      <c r="G23" s="3">
        <v>46250</v>
      </c>
    </row>
    <row r="24" spans="1:7" x14ac:dyDescent="0.25">
      <c r="A24" s="2">
        <v>23</v>
      </c>
      <c r="B24" s="2" t="s">
        <v>36</v>
      </c>
      <c r="C24" s="5" t="s">
        <v>39</v>
      </c>
      <c r="D24" s="2">
        <v>1</v>
      </c>
      <c r="E24" s="2" t="s">
        <v>19</v>
      </c>
      <c r="F24" s="3">
        <v>46249</v>
      </c>
      <c r="G24" s="2"/>
    </row>
    <row r="25" spans="1:7" x14ac:dyDescent="0.25">
      <c r="A25" s="2">
        <v>24</v>
      </c>
      <c r="B25" s="2" t="s">
        <v>36</v>
      </c>
      <c r="C25" s="5" t="s">
        <v>40</v>
      </c>
      <c r="D25" s="2">
        <v>1</v>
      </c>
      <c r="E25" s="2" t="s">
        <v>19</v>
      </c>
      <c r="F25" s="3">
        <v>46249</v>
      </c>
      <c r="G25" s="2"/>
    </row>
    <row r="26" spans="1:7" x14ac:dyDescent="0.25">
      <c r="A26" s="2">
        <v>25</v>
      </c>
      <c r="B26" s="2" t="s">
        <v>36</v>
      </c>
      <c r="C26" s="5" t="s">
        <v>41</v>
      </c>
      <c r="D26" s="2">
        <v>1</v>
      </c>
      <c r="E26" s="2" t="s">
        <v>19</v>
      </c>
      <c r="F26" s="3">
        <v>46249</v>
      </c>
      <c r="G26" s="2"/>
    </row>
    <row r="27" spans="1:7" x14ac:dyDescent="0.25">
      <c r="A27" s="2">
        <v>26</v>
      </c>
      <c r="B27" s="2" t="s">
        <v>14</v>
      </c>
      <c r="C27" s="5" t="s">
        <v>42</v>
      </c>
      <c r="D27" s="2">
        <v>1</v>
      </c>
      <c r="E27" s="2" t="s">
        <v>19</v>
      </c>
      <c r="F27" s="3">
        <v>46249</v>
      </c>
      <c r="G27" s="2"/>
    </row>
    <row r="28" spans="1:7" x14ac:dyDescent="0.25">
      <c r="A28" s="2">
        <v>27</v>
      </c>
      <c r="B28" s="2" t="s">
        <v>23</v>
      </c>
      <c r="C28" s="5" t="s">
        <v>57</v>
      </c>
      <c r="D28" s="2">
        <v>1</v>
      </c>
      <c r="E28" s="2" t="s">
        <v>19</v>
      </c>
      <c r="F28" s="3">
        <v>46255</v>
      </c>
      <c r="G28" s="2"/>
    </row>
    <row r="29" spans="1:7" hidden="1" x14ac:dyDescent="0.25">
      <c r="A29" s="2">
        <v>28</v>
      </c>
      <c r="B29" s="2" t="s">
        <v>61</v>
      </c>
      <c r="C29" s="5" t="s">
        <v>58</v>
      </c>
      <c r="D29" s="2">
        <v>1</v>
      </c>
      <c r="E29" s="2" t="s">
        <v>20</v>
      </c>
      <c r="F29" s="3">
        <v>46285</v>
      </c>
      <c r="G29" s="3">
        <v>46299</v>
      </c>
    </row>
    <row r="30" spans="1:7" x14ac:dyDescent="0.25">
      <c r="A30" s="2">
        <v>29</v>
      </c>
      <c r="B30" s="2" t="s">
        <v>61</v>
      </c>
      <c r="C30" s="5" t="s">
        <v>60</v>
      </c>
      <c r="D30" s="2">
        <v>1</v>
      </c>
      <c r="E30" s="2" t="s">
        <v>19</v>
      </c>
      <c r="F30" s="3">
        <v>46285</v>
      </c>
      <c r="G30" s="2"/>
    </row>
    <row r="31" spans="1:7" x14ac:dyDescent="0.25">
      <c r="A31" s="2">
        <v>30</v>
      </c>
      <c r="B31" s="2" t="s">
        <v>62</v>
      </c>
      <c r="C31" s="12" t="s">
        <v>59</v>
      </c>
      <c r="D31" s="2">
        <v>1</v>
      </c>
      <c r="E31" s="2" t="s">
        <v>19</v>
      </c>
      <c r="F31" s="3">
        <v>46285</v>
      </c>
      <c r="G31" s="2"/>
    </row>
    <row r="32" spans="1:7" hidden="1" x14ac:dyDescent="0.25">
      <c r="A32" s="2">
        <v>31</v>
      </c>
      <c r="B32" s="2" t="s">
        <v>63</v>
      </c>
      <c r="C32" s="5" t="s">
        <v>65</v>
      </c>
      <c r="D32" s="2">
        <v>1</v>
      </c>
      <c r="E32" s="2" t="s">
        <v>20</v>
      </c>
      <c r="F32" s="3">
        <v>46285</v>
      </c>
      <c r="G32" s="3">
        <v>46299</v>
      </c>
    </row>
    <row r="33" spans="1:7" x14ac:dyDescent="0.25">
      <c r="A33" s="2">
        <v>32</v>
      </c>
      <c r="B33" s="2" t="s">
        <v>63</v>
      </c>
      <c r="C33" s="5" t="s">
        <v>64</v>
      </c>
      <c r="D33" s="2">
        <v>1</v>
      </c>
      <c r="E33" s="2" t="s">
        <v>19</v>
      </c>
      <c r="F33" s="3">
        <v>46293</v>
      </c>
      <c r="G33" s="2"/>
    </row>
    <row r="34" spans="1:7" x14ac:dyDescent="0.25">
      <c r="A34" s="2">
        <v>33</v>
      </c>
      <c r="B34" s="2" t="s">
        <v>63</v>
      </c>
      <c r="C34" s="5" t="s">
        <v>66</v>
      </c>
      <c r="D34" s="2">
        <v>1</v>
      </c>
      <c r="E34" s="2" t="s">
        <v>19</v>
      </c>
      <c r="F34" s="3">
        <v>46293</v>
      </c>
      <c r="G34" s="2"/>
    </row>
    <row r="35" spans="1:7" x14ac:dyDescent="0.25">
      <c r="A35" s="2">
        <v>34</v>
      </c>
      <c r="B35" s="2" t="s">
        <v>69</v>
      </c>
      <c r="C35" s="5" t="s">
        <v>67</v>
      </c>
      <c r="D35" s="2">
        <v>1</v>
      </c>
      <c r="E35" s="2" t="s">
        <v>19</v>
      </c>
      <c r="F35" s="3">
        <v>46307</v>
      </c>
      <c r="G35" s="2"/>
    </row>
    <row r="36" spans="1:7" x14ac:dyDescent="0.25">
      <c r="A36" s="2">
        <v>35</v>
      </c>
      <c r="B36" s="2" t="s">
        <v>70</v>
      </c>
      <c r="C36" s="5" t="s">
        <v>68</v>
      </c>
      <c r="D36" s="2">
        <v>1</v>
      </c>
      <c r="E36" s="2" t="s">
        <v>20</v>
      </c>
      <c r="F36" s="3">
        <v>46307</v>
      </c>
      <c r="G36" s="3">
        <v>46309</v>
      </c>
    </row>
    <row r="57" spans="3:6" x14ac:dyDescent="0.25">
      <c r="E57">
        <v>28401.05</v>
      </c>
    </row>
    <row r="58" spans="3:6" x14ac:dyDescent="0.25">
      <c r="C58"/>
      <c r="E58" s="7">
        <v>28374.3</v>
      </c>
    </row>
    <row r="59" spans="3:6" x14ac:dyDescent="0.25">
      <c r="E59">
        <f>E57-E58</f>
        <v>26.75</v>
      </c>
    </row>
    <row r="64" spans="3:6" x14ac:dyDescent="0.25">
      <c r="E64" t="s">
        <v>44</v>
      </c>
      <c r="F64">
        <v>696</v>
      </c>
    </row>
    <row r="65" spans="3:6" x14ac:dyDescent="0.25">
      <c r="E65" t="s">
        <v>45</v>
      </c>
      <c r="F65">
        <v>146</v>
      </c>
    </row>
    <row r="68" spans="3:6" x14ac:dyDescent="0.25">
      <c r="E68">
        <v>752.79</v>
      </c>
      <c r="F68">
        <v>26.75</v>
      </c>
    </row>
    <row r="69" spans="3:6" x14ac:dyDescent="0.25">
      <c r="E69">
        <v>100</v>
      </c>
      <c r="F69">
        <f>E69*F68/E68</f>
        <v>3.5534478406992656</v>
      </c>
    </row>
    <row r="74" spans="3:6" x14ac:dyDescent="0.25">
      <c r="C74" s="6" t="s">
        <v>43</v>
      </c>
    </row>
    <row r="76" spans="3:6" x14ac:dyDescent="0.25">
      <c r="C76" s="6" t="s">
        <v>38</v>
      </c>
    </row>
  </sheetData>
  <autoFilter ref="A1:G36" xr:uid="{00000000-0001-0000-0000-000000000000}">
    <filterColumn colId="4">
      <filters>
        <filter val="Pendiente"/>
      </filters>
    </filterColumn>
  </autoFilter>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2026-10-27T16:57:22Z</dcterms:modified>
</cp:coreProperties>
</file>