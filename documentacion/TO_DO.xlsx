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PROYECTOS\SIPRO_07\documentacion\"/>
    </mc:Choice>
  </mc:AlternateContent>
  <xr:revisionPtr revIDLastSave="0" documentId="13_ncr:1_{F4FD8370-39EA-4F95-AFB6-D044C04C7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Hoja1!$A$1:$G$27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" l="1"/>
  <c r="E32" i="1"/>
</calcChain>
</file>

<file path=xl/sharedStrings.xml><?xml version="1.0" encoding="utf-8"?>
<sst xmlns="http://schemas.openxmlformats.org/spreadsheetml/2006/main" count="89" uniqueCount="48">
  <si>
    <t>Implementar registro de acciones</t>
  </si>
  <si>
    <t>Cambiar el codigo de las acciones - 73 - este solo debe servir para BRIKAPITAL</t>
  </si>
  <si>
    <t>Añadir funcionalidad relacionada con el registro de las utilidades por otro tipo de transacciones - venta bonos - venta acciones - venta notas credito</t>
  </si>
  <si>
    <t>Corregir error de calculo en la generación de amortizacion</t>
  </si>
  <si>
    <t>Registrar las ganancias por otras actividades como venta de acciones</t>
  </si>
  <si>
    <t>Registrar las ganancias por otras actividades como venta de notas de crédito</t>
  </si>
  <si>
    <t>Grafico solapado de los precios de las acciones de todos los años para poder visualizar comportamiento ciclico de las acciones de una empresa</t>
  </si>
  <si>
    <t>id</t>
  </si>
  <si>
    <t>Módulo</t>
  </si>
  <si>
    <t>Descripción</t>
  </si>
  <si>
    <t>Prioridad</t>
  </si>
  <si>
    <t>Estado</t>
  </si>
  <si>
    <t>Registro</t>
  </si>
  <si>
    <t>Finalizado</t>
  </si>
  <si>
    <t>Acciones</t>
  </si>
  <si>
    <t>Dashboard</t>
  </si>
  <si>
    <t>Contabilidad</t>
  </si>
  <si>
    <t>Utilidades</t>
  </si>
  <si>
    <t>Amortizaciones</t>
  </si>
  <si>
    <t>Pendiente</t>
  </si>
  <si>
    <t>Listo</t>
  </si>
  <si>
    <t>Implementar la lectura de archivos PDF desde el mismo sistema para carga de notas de crédito</t>
  </si>
  <si>
    <t>Corregir la contabilidad con los movimientos - ahorita toma información de la tabla de inversiones</t>
  </si>
  <si>
    <t>Notas Credito</t>
  </si>
  <si>
    <t>Pedir documentacion de los parametros creados como se los debe utilizar</t>
  </si>
  <si>
    <t>Actualizar gráfico relacionado con ganancias por otro tipo de utilidades</t>
  </si>
  <si>
    <t>Revisar el calculo de las utilidadespor venta de bonos, venta de acciones, venta de notas de crédito</t>
  </si>
  <si>
    <t>Parametrizacion</t>
  </si>
  <si>
    <t>Cuando se crea un Papel Comercial se debe crear una amortizacion automáticamente</t>
  </si>
  <si>
    <t>PapelComercial</t>
  </si>
  <si>
    <t>Finalizar la funcionalidad de la relacion de las transacciones historicas con venta inversion</t>
  </si>
  <si>
    <t>Dividir en el excel Brikapital de las otras acciones</t>
  </si>
  <si>
    <t>Implementar el dashboard con los mejores indicadores</t>
  </si>
  <si>
    <t>Validar si los ultimos bonos vendidos aparecen en el resumen de utilidades por ventas</t>
  </si>
  <si>
    <t>Revisar el listado de venta de notas de crédito - se debe validar de donde está saliendo la informacion, falta el valor nominal</t>
  </si>
  <si>
    <t>Actualizar archivo manual de acciones compradas</t>
  </si>
  <si>
    <t>Ventas</t>
  </si>
  <si>
    <t>Parece que al migrar las ventas del archivo original, cargué el campo equivocado en el campo ganancia anual. Se debio cargar "% Ganancia Anual estimado", esta cargado "Tasa Anualizada" - actualizado manualmente en para notas de credito … falta actualizar para las otras ventas
select fecha_venta, liquidacion_venta, ganancia_perdida, rendimiento_total, dias_transcurridos, roi, ganancia_anual from venta_inversion where id_tipo_venta = 195 order by fecha_venta
select * from venta_inversion where id_tipo_venta = 195 order by fecha_venta</t>
  </si>
  <si>
    <t>a ultranza</t>
  </si>
  <si>
    <t>En la tabla de Ventas no hay el campo valor nominal - entre "Fecha Venta" y "Precio Venta" añade valor nominal</t>
  </si>
  <si>
    <t>Como actuó al vender acciones?</t>
  </si>
  <si>
    <t>Adicionalmente el porcentaje de las ventas parece que está mal</t>
  </si>
  <si>
    <t>La imagen es para el 4 de agosto … la cantidad de transacciones esta mal … hubieron mas transacciones ese día …</t>
  </si>
  <si>
    <t>en el gráfico solapado los puntos corresponden a distintas fechas</t>
  </si>
  <si>
    <t>id_inversion</t>
  </si>
  <si>
    <t>id_venta_inversion</t>
  </si>
  <si>
    <t>Permitir actualizar la fecha de amortizacion desde flujo de capital</t>
  </si>
  <si>
    <t>Crear opción para sacar el snapshot de todos los indicadores y luego sacar 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</si>
</sst>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75299FC-8F7D-AA02-FF2F-F5590C4DC72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84F955B-FE31-4790-B273-2F6834EAA45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3857143</xdr:colOff>
      <xdr:row>46</xdr:row>
      <xdr:rowOff>3662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453126-DB7F-FC19-2407-EF0E6205E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21" y="3946071"/>
          <a:ext cx="3857143" cy="3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9"/>
  <sheetViews>
    <sheetView tabSelected="1" zoomScale="112" zoomScaleNormal="112" workbookViewId="0">
      <selection activeCell="C30" sqref="C30"/>
    </sheetView>
  </sheetViews>
  <sheetFormatPr baseColWidth="10" defaultColWidth="9.140625" defaultRowHeight="15" x14ac:dyDescent="0.25"/>
  <cols>
    <col min="1" max="1" width="3" bestFit="1" customWidth="1"/>
    <col min="2" max="2" width="14.7109375" bestFit="1" customWidth="1"/>
    <col min="3" max="3" width="133.5703125" style="6" bestFit="1" customWidth="1"/>
    <col min="5" max="5" width="17.140625" bestFit="1" customWidth="1"/>
    <col min="6" max="6" width="14" customWidth="1"/>
    <col min="7" max="7" width="10" bestFit="1" customWidth="1"/>
  </cols>
  <sheetData>
    <row r="1" spans="1:7" x14ac:dyDescent="0.25">
      <c r="A1" s="1" t="s">
        <v>7</v>
      </c>
      <c r="B1" s="1" t="s">
        <v>8</v>
      </c>
      <c r="C1" s="4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hidden="1" x14ac:dyDescent="0.25">
      <c r="A2" s="2">
        <v>1</v>
      </c>
      <c r="B2" s="2" t="s">
        <v>14</v>
      </c>
      <c r="C2" s="2" t="s">
        <v>0</v>
      </c>
      <c r="D2" s="2">
        <v>1</v>
      </c>
      <c r="E2" s="2" t="s">
        <v>20</v>
      </c>
      <c r="F2" s="3">
        <v>46193</v>
      </c>
      <c r="G2" s="3">
        <v>46194</v>
      </c>
    </row>
    <row r="3" spans="1:7" hidden="1" x14ac:dyDescent="0.25">
      <c r="A3" s="2">
        <v>2</v>
      </c>
      <c r="B3" s="2" t="s">
        <v>14</v>
      </c>
      <c r="C3" s="2" t="s">
        <v>1</v>
      </c>
      <c r="D3" s="2">
        <v>2</v>
      </c>
      <c r="E3" s="2" t="s">
        <v>20</v>
      </c>
      <c r="F3" s="3">
        <v>46193</v>
      </c>
      <c r="G3" s="3">
        <v>46207</v>
      </c>
    </row>
    <row r="4" spans="1:7" hidden="1" x14ac:dyDescent="0.25">
      <c r="A4" s="2">
        <v>3</v>
      </c>
      <c r="B4" s="2" t="s">
        <v>15</v>
      </c>
      <c r="C4" s="5" t="s">
        <v>32</v>
      </c>
      <c r="D4" s="2">
        <v>2</v>
      </c>
      <c r="E4" s="2" t="s">
        <v>20</v>
      </c>
      <c r="F4" s="3">
        <v>46193</v>
      </c>
      <c r="G4" s="3">
        <v>46235</v>
      </c>
    </row>
    <row r="5" spans="1:7" x14ac:dyDescent="0.25">
      <c r="A5" s="2">
        <v>4</v>
      </c>
      <c r="B5" s="2" t="s">
        <v>16</v>
      </c>
      <c r="C5" s="5" t="s">
        <v>22</v>
      </c>
      <c r="D5" s="2">
        <v>1</v>
      </c>
      <c r="E5" s="2" t="s">
        <v>19</v>
      </c>
      <c r="F5" s="3">
        <v>46193</v>
      </c>
      <c r="G5" s="2"/>
    </row>
    <row r="6" spans="1:7" hidden="1" x14ac:dyDescent="0.25">
      <c r="A6" s="2">
        <v>5</v>
      </c>
      <c r="B6" s="2" t="s">
        <v>17</v>
      </c>
      <c r="C6" s="2" t="s">
        <v>2</v>
      </c>
      <c r="D6" s="2">
        <v>1</v>
      </c>
      <c r="E6" s="2" t="s">
        <v>20</v>
      </c>
      <c r="F6" s="3">
        <v>46193</v>
      </c>
      <c r="G6" s="3">
        <v>46207</v>
      </c>
    </row>
    <row r="7" spans="1:7" hidden="1" x14ac:dyDescent="0.25">
      <c r="A7" s="2">
        <v>6</v>
      </c>
      <c r="B7" s="2" t="s">
        <v>18</v>
      </c>
      <c r="C7" s="5" t="s">
        <v>3</v>
      </c>
      <c r="D7" s="2">
        <v>1</v>
      </c>
      <c r="E7" s="2" t="s">
        <v>20</v>
      </c>
      <c r="F7" s="3">
        <v>46193</v>
      </c>
      <c r="G7" s="3">
        <v>46249</v>
      </c>
    </row>
    <row r="8" spans="1:7" hidden="1" x14ac:dyDescent="0.25">
      <c r="A8" s="2">
        <v>7</v>
      </c>
      <c r="B8" s="2" t="s">
        <v>17</v>
      </c>
      <c r="C8" s="2" t="s">
        <v>4</v>
      </c>
      <c r="D8" s="2">
        <v>1</v>
      </c>
      <c r="E8" s="2" t="s">
        <v>20</v>
      </c>
      <c r="F8" s="3">
        <v>46193</v>
      </c>
      <c r="G8" s="2"/>
    </row>
    <row r="9" spans="1:7" hidden="1" x14ac:dyDescent="0.25">
      <c r="A9" s="2">
        <v>8</v>
      </c>
      <c r="B9" s="2" t="s">
        <v>17</v>
      </c>
      <c r="C9" s="2" t="s">
        <v>5</v>
      </c>
      <c r="D9" s="2">
        <v>1</v>
      </c>
      <c r="E9" s="2" t="s">
        <v>20</v>
      </c>
      <c r="F9" s="3">
        <v>46193</v>
      </c>
      <c r="G9" s="2"/>
    </row>
    <row r="10" spans="1:7" hidden="1" x14ac:dyDescent="0.25">
      <c r="A10" s="2">
        <v>9</v>
      </c>
      <c r="B10" s="2" t="s">
        <v>14</v>
      </c>
      <c r="C10" s="2" t="s">
        <v>6</v>
      </c>
      <c r="D10" s="2">
        <v>2</v>
      </c>
      <c r="E10" s="2" t="s">
        <v>20</v>
      </c>
      <c r="F10" s="3">
        <v>46193</v>
      </c>
      <c r="G10" s="3">
        <v>46207</v>
      </c>
    </row>
    <row r="11" spans="1:7" x14ac:dyDescent="0.25">
      <c r="A11" s="2">
        <v>10</v>
      </c>
      <c r="B11" s="2" t="s">
        <v>23</v>
      </c>
      <c r="C11" s="5" t="s">
        <v>21</v>
      </c>
      <c r="D11" s="2">
        <v>1</v>
      </c>
      <c r="E11" s="2" t="s">
        <v>19</v>
      </c>
      <c r="F11" s="3">
        <v>46194</v>
      </c>
      <c r="G11" s="2"/>
    </row>
    <row r="12" spans="1:7" hidden="1" x14ac:dyDescent="0.25">
      <c r="A12" s="2">
        <v>11</v>
      </c>
      <c r="B12" s="2" t="s">
        <v>27</v>
      </c>
      <c r="C12" s="2" t="s">
        <v>24</v>
      </c>
      <c r="D12" s="2">
        <v>1</v>
      </c>
      <c r="E12" s="2" t="s">
        <v>20</v>
      </c>
      <c r="F12" s="3">
        <v>46194</v>
      </c>
      <c r="G12" s="3">
        <v>46200</v>
      </c>
    </row>
    <row r="13" spans="1:7" hidden="1" x14ac:dyDescent="0.25">
      <c r="A13" s="2">
        <v>12</v>
      </c>
      <c r="B13" s="2" t="s">
        <v>17</v>
      </c>
      <c r="C13" s="2" t="s">
        <v>25</v>
      </c>
      <c r="D13" s="2">
        <v>1</v>
      </c>
      <c r="E13" s="2" t="s">
        <v>20</v>
      </c>
      <c r="F13" s="3">
        <v>46194</v>
      </c>
      <c r="G13" s="3">
        <v>46207</v>
      </c>
    </row>
    <row r="14" spans="1:7" hidden="1" x14ac:dyDescent="0.25">
      <c r="A14" s="2">
        <v>13</v>
      </c>
      <c r="B14" s="2" t="s">
        <v>17</v>
      </c>
      <c r="C14" s="2" t="s">
        <v>26</v>
      </c>
      <c r="D14" s="2">
        <v>1</v>
      </c>
      <c r="E14" s="2" t="s">
        <v>20</v>
      </c>
      <c r="F14" s="3">
        <v>46194</v>
      </c>
      <c r="G14" s="3">
        <v>46207</v>
      </c>
    </row>
    <row r="15" spans="1:7" hidden="1" x14ac:dyDescent="0.25">
      <c r="A15" s="2">
        <v>14</v>
      </c>
      <c r="B15" s="2" t="s">
        <v>29</v>
      </c>
      <c r="C15" s="5" t="s">
        <v>28</v>
      </c>
      <c r="D15" s="2">
        <v>1</v>
      </c>
      <c r="E15" s="2" t="s">
        <v>20</v>
      </c>
      <c r="F15" s="3">
        <v>46204</v>
      </c>
      <c r="G15" s="3">
        <v>46249</v>
      </c>
    </row>
    <row r="16" spans="1:7" hidden="1" x14ac:dyDescent="0.25">
      <c r="A16" s="2">
        <v>15</v>
      </c>
      <c r="B16" s="2" t="s">
        <v>17</v>
      </c>
      <c r="C16" s="2" t="s">
        <v>30</v>
      </c>
      <c r="D16" s="2">
        <v>1</v>
      </c>
      <c r="E16" s="2" t="s">
        <v>20</v>
      </c>
      <c r="F16" s="3">
        <v>46204</v>
      </c>
      <c r="G16" s="3">
        <v>46207</v>
      </c>
    </row>
    <row r="17" spans="1:7" x14ac:dyDescent="0.25">
      <c r="A17" s="2">
        <v>16</v>
      </c>
      <c r="B17" s="2" t="s">
        <v>17</v>
      </c>
      <c r="C17" s="5" t="s">
        <v>31</v>
      </c>
      <c r="D17" s="2">
        <v>1</v>
      </c>
      <c r="E17" s="2" t="s">
        <v>19</v>
      </c>
      <c r="F17" s="3">
        <v>46204</v>
      </c>
      <c r="G17" s="2"/>
    </row>
    <row r="18" spans="1:7" x14ac:dyDescent="0.25">
      <c r="A18" s="2">
        <v>17</v>
      </c>
      <c r="B18" s="2" t="s">
        <v>17</v>
      </c>
      <c r="C18" s="5" t="s">
        <v>33</v>
      </c>
      <c r="D18" s="2">
        <v>1</v>
      </c>
      <c r="E18" s="2" t="s">
        <v>19</v>
      </c>
      <c r="F18" s="3">
        <v>46204</v>
      </c>
      <c r="G18" s="2"/>
    </row>
    <row r="19" spans="1:7" hidden="1" x14ac:dyDescent="0.25">
      <c r="A19" s="2">
        <v>19</v>
      </c>
      <c r="B19" s="2" t="s">
        <v>23</v>
      </c>
      <c r="C19" s="5" t="s">
        <v>34</v>
      </c>
      <c r="D19" s="2">
        <v>1</v>
      </c>
      <c r="E19" s="2" t="s">
        <v>20</v>
      </c>
      <c r="F19" s="3">
        <v>46204</v>
      </c>
      <c r="G19" s="3">
        <v>46249</v>
      </c>
    </row>
    <row r="20" spans="1:7" hidden="1" x14ac:dyDescent="0.25">
      <c r="A20" s="2">
        <v>20</v>
      </c>
      <c r="B20" s="2" t="s">
        <v>14</v>
      </c>
      <c r="C20" s="5" t="s">
        <v>35</v>
      </c>
      <c r="D20" s="2">
        <v>1</v>
      </c>
      <c r="E20" s="2" t="s">
        <v>20</v>
      </c>
      <c r="F20" s="3">
        <v>46215</v>
      </c>
      <c r="G20" s="3">
        <v>46249</v>
      </c>
    </row>
    <row r="21" spans="1:7" ht="75" x14ac:dyDescent="0.25">
      <c r="A21" s="2">
        <v>21</v>
      </c>
      <c r="B21" s="2" t="s">
        <v>36</v>
      </c>
      <c r="C21" s="5" t="s">
        <v>37</v>
      </c>
      <c r="D21" s="2">
        <v>1</v>
      </c>
      <c r="E21" s="2" t="s">
        <v>19</v>
      </c>
      <c r="F21" s="3">
        <v>46249</v>
      </c>
      <c r="G21" s="2"/>
    </row>
    <row r="22" spans="1:7" x14ac:dyDescent="0.25">
      <c r="A22" s="2">
        <v>22</v>
      </c>
      <c r="B22" s="8" t="s">
        <v>15</v>
      </c>
      <c r="C22" s="5" t="s">
        <v>47</v>
      </c>
      <c r="D22" s="2">
        <v>1</v>
      </c>
      <c r="E22" s="2" t="s">
        <v>19</v>
      </c>
      <c r="F22" s="3">
        <v>46249</v>
      </c>
      <c r="G22" s="2"/>
    </row>
    <row r="23" spans="1:7" x14ac:dyDescent="0.25">
      <c r="A23" s="2">
        <v>23</v>
      </c>
      <c r="B23" s="8" t="s">
        <v>18</v>
      </c>
      <c r="C23" s="5" t="s">
        <v>46</v>
      </c>
      <c r="D23" s="2">
        <v>1</v>
      </c>
      <c r="E23" s="2" t="s">
        <v>19</v>
      </c>
      <c r="F23" s="3">
        <v>46249</v>
      </c>
      <c r="G23" s="2"/>
    </row>
    <row r="24" spans="1:7" x14ac:dyDescent="0.25">
      <c r="A24" s="2">
        <v>24</v>
      </c>
      <c r="B24" s="8" t="s">
        <v>36</v>
      </c>
      <c r="C24" s="5" t="s">
        <v>39</v>
      </c>
      <c r="D24" s="2">
        <v>1</v>
      </c>
      <c r="E24" s="2" t="s">
        <v>19</v>
      </c>
      <c r="F24" s="3">
        <v>46249</v>
      </c>
      <c r="G24" s="2"/>
    </row>
    <row r="25" spans="1:7" x14ac:dyDescent="0.25">
      <c r="A25" s="2">
        <v>25</v>
      </c>
      <c r="B25" s="8" t="s">
        <v>36</v>
      </c>
      <c r="C25" s="5" t="s">
        <v>40</v>
      </c>
      <c r="D25" s="2">
        <v>1</v>
      </c>
      <c r="E25" s="2" t="s">
        <v>19</v>
      </c>
      <c r="F25" s="3">
        <v>46249</v>
      </c>
      <c r="G25" s="2"/>
    </row>
    <row r="26" spans="1:7" x14ac:dyDescent="0.25">
      <c r="A26" s="2">
        <v>26</v>
      </c>
      <c r="B26" s="8" t="s">
        <v>36</v>
      </c>
      <c r="C26" s="5" t="s">
        <v>41</v>
      </c>
      <c r="D26" s="2">
        <v>1</v>
      </c>
      <c r="E26" s="2" t="s">
        <v>19</v>
      </c>
      <c r="F26" s="3">
        <v>46249</v>
      </c>
      <c r="G26" s="2"/>
    </row>
    <row r="27" spans="1:7" x14ac:dyDescent="0.25">
      <c r="A27" s="2">
        <v>27</v>
      </c>
      <c r="B27" s="8" t="s">
        <v>14</v>
      </c>
      <c r="C27" s="5" t="s">
        <v>42</v>
      </c>
      <c r="D27" s="2">
        <v>1</v>
      </c>
      <c r="E27" s="2" t="s">
        <v>19</v>
      </c>
      <c r="F27" s="3">
        <v>46249</v>
      </c>
      <c r="G27" s="2"/>
    </row>
    <row r="30" spans="1:7" x14ac:dyDescent="0.25">
      <c r="E30">
        <v>28401.05</v>
      </c>
    </row>
    <row r="31" spans="1:7" x14ac:dyDescent="0.25">
      <c r="C31"/>
      <c r="E31" s="7">
        <v>28374.3</v>
      </c>
    </row>
    <row r="32" spans="1:7" x14ac:dyDescent="0.25">
      <c r="E32">
        <f>E30-E31</f>
        <v>26.75</v>
      </c>
    </row>
    <row r="37" spans="3:6" x14ac:dyDescent="0.25">
      <c r="E37" t="s">
        <v>44</v>
      </c>
      <c r="F37">
        <v>696</v>
      </c>
    </row>
    <row r="38" spans="3:6" x14ac:dyDescent="0.25">
      <c r="E38" t="s">
        <v>45</v>
      </c>
      <c r="F38">
        <v>146</v>
      </c>
    </row>
    <row r="41" spans="3:6" x14ac:dyDescent="0.25">
      <c r="E41">
        <v>752.79</v>
      </c>
      <c r="F41">
        <v>26.75</v>
      </c>
    </row>
    <row r="42" spans="3:6" x14ac:dyDescent="0.25">
      <c r="E42">
        <v>100</v>
      </c>
      <c r="F42">
        <f>E42*F41/E41</f>
        <v>3.5534478406992656</v>
      </c>
    </row>
    <row r="47" spans="3:6" x14ac:dyDescent="0.25">
      <c r="C47" s="6" t="s">
        <v>43</v>
      </c>
    </row>
    <row r="49" spans="3:3" x14ac:dyDescent="0.25">
      <c r="C49" s="6" t="s">
        <v>38</v>
      </c>
    </row>
  </sheetData>
  <autoFilter ref="A1:G27" xr:uid="{00000000-0001-0000-0000-000000000000}">
    <filterColumn colId="4">
      <filters blank="1">
        <filter val="Pendiente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Alfredo Orellana Ocaña</dc:creator>
  <cp:lastModifiedBy>Jhon Orellana</cp:lastModifiedBy>
  <dcterms:created xsi:type="dcterms:W3CDTF">2015-06-05T18:19:34Z</dcterms:created>
  <dcterms:modified xsi:type="dcterms:W3CDTF">2026-08-15T11:20:05Z</dcterms:modified>
</cp:coreProperties>
</file>