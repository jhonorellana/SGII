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pivotTables/pivotTable7.xml" ContentType="application/vnd.openxmlformats-officedocument.spreadsheetml.pivot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pivotTables/pivotTable8.xml" ContentType="application/vnd.openxmlformats-officedocument.spreadsheetml.pivot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YECTOS\SIPRO_07\documentacion\"/>
    </mc:Choice>
  </mc:AlternateContent>
  <xr:revisionPtr revIDLastSave="0" documentId="13_ncr:1_{6154ACC4-542E-43FA-879E-6E48290148EA}" xr6:coauthVersionLast="47" xr6:coauthVersionMax="47" xr10:uidLastSave="{00000000-0000-0000-0000-000000000000}"/>
  <bookViews>
    <workbookView xWindow="-120" yWindow="-120" windowWidth="29040" windowHeight="15720" tabRatio="811" firstSheet="2" activeTab="2" xr2:uid="{00000000-000D-0000-FFFF-FFFF00000000}"/>
  </bookViews>
  <sheets>
    <sheet name="CERT1" sheetId="1" state="hidden" r:id="rId1"/>
    <sheet name="CERTIFICADOS" sheetId="2" state="hidden" r:id="rId2"/>
    <sheet name="INVERSIONES" sheetId="3" r:id="rId3"/>
    <sheet name="Interes Por Semana" sheetId="4" r:id="rId4"/>
    <sheet name="OTROS FONDOS" sheetId="5" r:id="rId5"/>
    <sheet name="&gt;&gt;Vistas Consolidadas" sheetId="6" r:id="rId6"/>
    <sheet name="Bonos Activos" sheetId="7" r:id="rId7"/>
    <sheet name="Títulos Vendidos" sheetId="8" r:id="rId8"/>
    <sheet name="Ventas Totales" sheetId="9" r:id="rId9"/>
    <sheet name="Base Títulos" sheetId="10" r:id="rId10"/>
    <sheet name="Vista de OperacionesReales" sheetId="11" r:id="rId11"/>
    <sheet name="Base OperacionesReales" sheetId="12" r:id="rId12"/>
    <sheet name="Titulos Vencidos" sheetId="13" r:id="rId13"/>
    <sheet name="GRAFICO" sheetId="14" r:id="rId14"/>
    <sheet name="Valores Clasificados" sheetId="15" r:id="rId15"/>
    <sheet name="ROBOTICS" sheetId="16" r:id="rId16"/>
    <sheet name="2013_2019" sheetId="17" state="hidden" r:id="rId17"/>
    <sheet name="CONTRALORIA" sheetId="18" r:id="rId18"/>
    <sheet name="Familiar" sheetId="19" r:id="rId19"/>
    <sheet name="GastosAutos" sheetId="20" r:id="rId20"/>
    <sheet name="Herramientas" sheetId="21" r:id="rId21"/>
  </sheets>
  <calcPr calcId="191029"/>
  <pivotCaches>
    <pivotCache cacheId="6460" r:id="rId22"/>
    <pivotCache cacheId="6461" r:id="rId23"/>
    <pivotCache cacheId="6462" r:id="rId24"/>
    <pivotCache cacheId="6463" r:id="rId25"/>
    <pivotCache cacheId="6464" r:id="rId26"/>
    <pivotCache cacheId="6465" r:id="rId27"/>
  </pivotCaches>
</workbook>
</file>

<file path=xl/calcChain.xml><?xml version="1.0" encoding="utf-8"?>
<calcChain xmlns="http://schemas.openxmlformats.org/spreadsheetml/2006/main">
  <c r="J1060" i="3" l="1"/>
  <c r="H574" i="12" l="1"/>
  <c r="W1121" i="3"/>
  <c r="L1121" i="3"/>
  <c r="H573" i="12"/>
  <c r="O25" i="6"/>
  <c r="H572" i="12"/>
  <c r="W1110" i="3"/>
  <c r="W1111" i="3"/>
  <c r="W1112" i="3"/>
  <c r="W1113" i="3"/>
  <c r="W1114" i="3"/>
  <c r="W1115" i="3"/>
  <c r="W1116" i="3"/>
  <c r="W1117" i="3"/>
  <c r="W1118" i="3"/>
  <c r="W1119" i="3"/>
  <c r="W1120" i="3"/>
  <c r="L1118" i="3"/>
  <c r="L1119" i="3"/>
  <c r="L1120" i="3"/>
  <c r="L1112" i="3"/>
  <c r="L1113" i="3"/>
  <c r="L1114" i="3"/>
  <c r="L1115" i="3"/>
  <c r="L1116" i="3"/>
  <c r="L1117" i="3"/>
  <c r="L1111" i="3"/>
  <c r="L1110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748" i="3"/>
  <c r="Z40" i="7"/>
  <c r="T40" i="7"/>
  <c r="U40" i="7" s="1"/>
  <c r="L40" i="7"/>
  <c r="M40" i="7" s="1"/>
  <c r="B40" i="7"/>
  <c r="N40" i="7" s="1"/>
  <c r="H571" i="12"/>
  <c r="H568" i="12"/>
  <c r="H569" i="12"/>
  <c r="H570" i="12"/>
  <c r="H567" i="12"/>
  <c r="H566" i="12"/>
  <c r="H565" i="12"/>
  <c r="H564" i="12"/>
  <c r="C38" i="20"/>
  <c r="K18" i="20"/>
  <c r="E11" i="20"/>
  <c r="E1" i="20"/>
  <c r="I62" i="19"/>
  <c r="G62" i="19"/>
  <c r="B56" i="19"/>
  <c r="G55" i="19"/>
  <c r="F55" i="19"/>
  <c r="E55" i="19"/>
  <c r="H55" i="19" s="1"/>
  <c r="D55" i="19"/>
  <c r="G54" i="19"/>
  <c r="G56" i="19" s="1"/>
  <c r="D54" i="19"/>
  <c r="D56" i="19" s="1"/>
  <c r="B48" i="19"/>
  <c r="G47" i="19"/>
  <c r="D47" i="19"/>
  <c r="E47" i="19" s="1"/>
  <c r="G46" i="19"/>
  <c r="D46" i="19"/>
  <c r="E46" i="19" s="1"/>
  <c r="B35" i="19"/>
  <c r="G34" i="19"/>
  <c r="E34" i="19"/>
  <c r="H34" i="19" s="1"/>
  <c r="D34" i="19"/>
  <c r="E33" i="19"/>
  <c r="D33" i="19"/>
  <c r="G32" i="19"/>
  <c r="D32" i="19"/>
  <c r="D27" i="19"/>
  <c r="E27" i="19" s="1"/>
  <c r="E25" i="19"/>
  <c r="D25" i="19"/>
  <c r="D23" i="19"/>
  <c r="E23" i="19" s="1"/>
  <c r="B13" i="19"/>
  <c r="D5" i="19"/>
  <c r="D6" i="19" s="1"/>
  <c r="B5" i="19"/>
  <c r="D1" i="19"/>
  <c r="D2" i="19" s="1"/>
  <c r="C261" i="18"/>
  <c r="C259" i="18"/>
  <c r="C257" i="18"/>
  <c r="D252" i="18"/>
  <c r="B249" i="18"/>
  <c r="F248" i="18"/>
  <c r="D247" i="18"/>
  <c r="B246" i="18"/>
  <c r="B263" i="18" s="1"/>
  <c r="I245" i="18"/>
  <c r="B245" i="18"/>
  <c r="I242" i="18"/>
  <c r="J241" i="18"/>
  <c r="J239" i="18"/>
  <c r="H239" i="18"/>
  <c r="C235" i="18"/>
  <c r="C233" i="18"/>
  <c r="C231" i="18"/>
  <c r="B223" i="18"/>
  <c r="D226" i="18" s="1"/>
  <c r="D221" i="18"/>
  <c r="B220" i="18"/>
  <c r="H253" i="18" s="1"/>
  <c r="B219" i="18"/>
  <c r="D207" i="18"/>
  <c r="D199" i="18"/>
  <c r="B194" i="18"/>
  <c r="D192" i="18"/>
  <c r="B192" i="18"/>
  <c r="D190" i="18"/>
  <c r="E190" i="18" s="1"/>
  <c r="F190" i="18" s="1"/>
  <c r="H189" i="18"/>
  <c r="I187" i="18"/>
  <c r="I184" i="18"/>
  <c r="B181" i="18"/>
  <c r="C179" i="18"/>
  <c r="I178" i="18"/>
  <c r="I177" i="18"/>
  <c r="C177" i="18"/>
  <c r="I175" i="18"/>
  <c r="C175" i="18"/>
  <c r="I174" i="18"/>
  <c r="I173" i="18"/>
  <c r="B170" i="18"/>
  <c r="H169" i="18"/>
  <c r="H179" i="18" s="1"/>
  <c r="D168" i="18"/>
  <c r="B168" i="18"/>
  <c r="I164" i="18"/>
  <c r="I179" i="18" s="1"/>
  <c r="D158" i="18"/>
  <c r="K151" i="18"/>
  <c r="B151" i="18"/>
  <c r="C153" i="18" s="1"/>
  <c r="D150" i="18"/>
  <c r="D149" i="18"/>
  <c r="C149" i="18"/>
  <c r="I147" i="18"/>
  <c r="C147" i="18"/>
  <c r="C145" i="18"/>
  <c r="I136" i="18"/>
  <c r="J141" i="18" s="1"/>
  <c r="F127" i="18"/>
  <c r="B127" i="18"/>
  <c r="C128" i="18" s="1"/>
  <c r="C125" i="18"/>
  <c r="C123" i="18"/>
  <c r="C121" i="18"/>
  <c r="B117" i="18"/>
  <c r="B116" i="18"/>
  <c r="B115" i="18"/>
  <c r="C112" i="18"/>
  <c r="H109" i="18"/>
  <c r="C104" i="18"/>
  <c r="B103" i="18"/>
  <c r="C101" i="18"/>
  <c r="C99" i="18"/>
  <c r="D97" i="18"/>
  <c r="C97" i="18"/>
  <c r="C93" i="18"/>
  <c r="C92" i="18"/>
  <c r="D92" i="18" s="1"/>
  <c r="G79" i="18"/>
  <c r="F79" i="18"/>
  <c r="E79" i="18"/>
  <c r="J78" i="18"/>
  <c r="G78" i="18"/>
  <c r="F78" i="18"/>
  <c r="B76" i="18"/>
  <c r="C67" i="18"/>
  <c r="B57" i="18"/>
  <c r="B29" i="18"/>
  <c r="B19" i="18"/>
  <c r="B33" i="18" s="1"/>
  <c r="B58" i="18" s="1"/>
  <c r="C13" i="18"/>
  <c r="C5" i="18"/>
  <c r="C3" i="18"/>
  <c r="K43" i="16"/>
  <c r="K42" i="16"/>
  <c r="K41" i="16"/>
  <c r="K40" i="16"/>
  <c r="K39" i="16"/>
  <c r="K38" i="16"/>
  <c r="K37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K28" i="16"/>
  <c r="L27" i="16"/>
  <c r="K27" i="16"/>
  <c r="K26" i="16"/>
  <c r="K25" i="16"/>
  <c r="L24" i="16"/>
  <c r="K24" i="16"/>
  <c r="M24" i="16" s="1"/>
  <c r="M23" i="16"/>
  <c r="L23" i="16"/>
  <c r="K23" i="16"/>
  <c r="L22" i="16"/>
  <c r="L46" i="16" s="1"/>
  <c r="K22" i="16"/>
  <c r="K46" i="16" s="1"/>
  <c r="C20" i="16"/>
  <c r="K18" i="16"/>
  <c r="K19" i="16" s="1"/>
  <c r="K17" i="16"/>
  <c r="K16" i="16"/>
  <c r="C11" i="16"/>
  <c r="C4" i="16"/>
  <c r="H322" i="15"/>
  <c r="H321" i="15"/>
  <c r="H320" i="15"/>
  <c r="H319" i="15"/>
  <c r="H318" i="15"/>
  <c r="H317" i="15"/>
  <c r="H316" i="15"/>
  <c r="H315" i="15"/>
  <c r="H314" i="15"/>
  <c r="H313" i="15"/>
  <c r="H312" i="15"/>
  <c r="H311" i="15"/>
  <c r="H310" i="15"/>
  <c r="H309" i="15"/>
  <c r="H308" i="15"/>
  <c r="H307" i="15"/>
  <c r="H306" i="15"/>
  <c r="H305" i="15"/>
  <c r="H304" i="15"/>
  <c r="H303" i="15"/>
  <c r="H302" i="15"/>
  <c r="H301" i="15"/>
  <c r="H300" i="15"/>
  <c r="H299" i="15"/>
  <c r="H298" i="15"/>
  <c r="H297" i="15"/>
  <c r="H296" i="15"/>
  <c r="H295" i="15"/>
  <c r="H294" i="15"/>
  <c r="H293" i="15"/>
  <c r="H292" i="15"/>
  <c r="H291" i="15"/>
  <c r="H290" i="15"/>
  <c r="H289" i="15"/>
  <c r="H288" i="15"/>
  <c r="H287" i="15"/>
  <c r="H286" i="15"/>
  <c r="H285" i="15"/>
  <c r="H284" i="15"/>
  <c r="H283" i="15"/>
  <c r="H282" i="15"/>
  <c r="H281" i="15"/>
  <c r="H280" i="15"/>
  <c r="H279" i="15"/>
  <c r="H278" i="15"/>
  <c r="H277" i="15"/>
  <c r="H276" i="15"/>
  <c r="H275" i="15"/>
  <c r="H274" i="15"/>
  <c r="H273" i="15"/>
  <c r="H272" i="15"/>
  <c r="H271" i="15"/>
  <c r="H270" i="15"/>
  <c r="H269" i="15"/>
  <c r="H268" i="15"/>
  <c r="H267" i="15"/>
  <c r="H266" i="15"/>
  <c r="H265" i="15"/>
  <c r="H264" i="15"/>
  <c r="H263" i="15"/>
  <c r="H262" i="15"/>
  <c r="H261" i="15"/>
  <c r="H260" i="15"/>
  <c r="H259" i="15"/>
  <c r="H258" i="15"/>
  <c r="H257" i="15"/>
  <c r="H256" i="15"/>
  <c r="H255" i="15"/>
  <c r="H254" i="15"/>
  <c r="H253" i="15"/>
  <c r="H252" i="15"/>
  <c r="H251" i="15"/>
  <c r="H250" i="15"/>
  <c r="H249" i="15"/>
  <c r="H248" i="15"/>
  <c r="H247" i="15"/>
  <c r="H246" i="15"/>
  <c r="H245" i="15"/>
  <c r="H244" i="15"/>
  <c r="H243" i="15"/>
  <c r="H242" i="15"/>
  <c r="H241" i="15"/>
  <c r="H240" i="15"/>
  <c r="H239" i="15"/>
  <c r="H238" i="15"/>
  <c r="H237" i="15"/>
  <c r="H236" i="15"/>
  <c r="H235" i="15"/>
  <c r="H234" i="15"/>
  <c r="H233" i="15"/>
  <c r="H232" i="15"/>
  <c r="H231" i="15"/>
  <c r="H230" i="15"/>
  <c r="H229" i="15"/>
  <c r="H228" i="15"/>
  <c r="H227" i="15"/>
  <c r="H226" i="15"/>
  <c r="H225" i="15"/>
  <c r="H224" i="15"/>
  <c r="H223" i="15"/>
  <c r="H222" i="15"/>
  <c r="H221" i="15"/>
  <c r="H220" i="15"/>
  <c r="H219" i="15"/>
  <c r="H218" i="15"/>
  <c r="H217" i="15"/>
  <c r="H216" i="15"/>
  <c r="H215" i="15"/>
  <c r="H214" i="15"/>
  <c r="H213" i="15"/>
  <c r="H212" i="15"/>
  <c r="H211" i="15"/>
  <c r="H210" i="15"/>
  <c r="H209" i="15"/>
  <c r="H208" i="15"/>
  <c r="H207" i="15"/>
  <c r="H206" i="15"/>
  <c r="H205" i="15"/>
  <c r="H204" i="15"/>
  <c r="H203" i="15"/>
  <c r="H202" i="15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Z9" i="13"/>
  <c r="T9" i="13"/>
  <c r="M9" i="13"/>
  <c r="L9" i="13"/>
  <c r="B9" i="13"/>
  <c r="N9" i="13" s="1"/>
  <c r="Z2" i="13"/>
  <c r="V2" i="13"/>
  <c r="T2" i="13"/>
  <c r="N2" i="13"/>
  <c r="L2" i="13"/>
  <c r="B2" i="13"/>
  <c r="H563" i="12"/>
  <c r="H562" i="12"/>
  <c r="H561" i="12"/>
  <c r="H560" i="12"/>
  <c r="H559" i="12"/>
  <c r="H558" i="12"/>
  <c r="H557" i="12"/>
  <c r="H556" i="12"/>
  <c r="H555" i="12"/>
  <c r="H554" i="12"/>
  <c r="H553" i="12"/>
  <c r="H552" i="12"/>
  <c r="H551" i="12"/>
  <c r="H550" i="12"/>
  <c r="H549" i="12"/>
  <c r="H548" i="12"/>
  <c r="H547" i="12"/>
  <c r="H546" i="12"/>
  <c r="H545" i="12"/>
  <c r="H544" i="12"/>
  <c r="H543" i="12"/>
  <c r="H542" i="12"/>
  <c r="H541" i="12"/>
  <c r="H540" i="12"/>
  <c r="H539" i="12"/>
  <c r="H538" i="12"/>
  <c r="H537" i="12"/>
  <c r="H536" i="12"/>
  <c r="H535" i="12"/>
  <c r="H534" i="12"/>
  <c r="H531" i="12"/>
  <c r="H529" i="12"/>
  <c r="H528" i="12"/>
  <c r="H527" i="12"/>
  <c r="H526" i="12"/>
  <c r="H525" i="12"/>
  <c r="H524" i="12"/>
  <c r="H523" i="12"/>
  <c r="H522" i="12"/>
  <c r="H521" i="12"/>
  <c r="H520" i="12"/>
  <c r="H519" i="12"/>
  <c r="H513" i="12"/>
  <c r="H512" i="12"/>
  <c r="H511" i="12"/>
  <c r="H510" i="12"/>
  <c r="H509" i="12"/>
  <c r="H508" i="12"/>
  <c r="H507" i="12"/>
  <c r="H506" i="12"/>
  <c r="H505" i="12"/>
  <c r="H504" i="12"/>
  <c r="H503" i="12"/>
  <c r="H502" i="12"/>
  <c r="H501" i="12"/>
  <c r="H500" i="12"/>
  <c r="H499" i="12"/>
  <c r="H498" i="12"/>
  <c r="H497" i="12"/>
  <c r="H496" i="12"/>
  <c r="H495" i="12"/>
  <c r="H494" i="12"/>
  <c r="H493" i="12"/>
  <c r="H492" i="12"/>
  <c r="H491" i="12"/>
  <c r="H490" i="12"/>
  <c r="H489" i="12"/>
  <c r="H488" i="12"/>
  <c r="H487" i="12"/>
  <c r="H486" i="12"/>
  <c r="H485" i="12"/>
  <c r="H484" i="12"/>
  <c r="H483" i="12"/>
  <c r="H482" i="12"/>
  <c r="H481" i="12"/>
  <c r="H480" i="12"/>
  <c r="H479" i="12"/>
  <c r="H478" i="12"/>
  <c r="H477" i="12"/>
  <c r="H476" i="12"/>
  <c r="H475" i="12"/>
  <c r="H474" i="12"/>
  <c r="H473" i="12"/>
  <c r="H472" i="12"/>
  <c r="H471" i="12"/>
  <c r="H470" i="12"/>
  <c r="H469" i="12"/>
  <c r="H468" i="12"/>
  <c r="H467" i="12"/>
  <c r="H466" i="12"/>
  <c r="H465" i="12"/>
  <c r="H464" i="12"/>
  <c r="H463" i="12"/>
  <c r="H462" i="12"/>
  <c r="H461" i="12"/>
  <c r="H460" i="12"/>
  <c r="H459" i="12"/>
  <c r="H458" i="12"/>
  <c r="H457" i="12"/>
  <c r="H456" i="12"/>
  <c r="H455" i="12"/>
  <c r="H454" i="12"/>
  <c r="H453" i="12"/>
  <c r="H452" i="12"/>
  <c r="H451" i="12"/>
  <c r="H450" i="12"/>
  <c r="H449" i="12"/>
  <c r="H448" i="12"/>
  <c r="H447" i="12"/>
  <c r="H446" i="12"/>
  <c r="H445" i="12"/>
  <c r="H444" i="12"/>
  <c r="H443" i="12"/>
  <c r="H442" i="12"/>
  <c r="H441" i="12"/>
  <c r="H440" i="12"/>
  <c r="H439" i="12"/>
  <c r="H438" i="12"/>
  <c r="H437" i="12"/>
  <c r="H436" i="12"/>
  <c r="H435" i="12"/>
  <c r="H434" i="12"/>
  <c r="H433" i="12"/>
  <c r="H432" i="12"/>
  <c r="H431" i="12"/>
  <c r="H430" i="12"/>
  <c r="H429" i="12"/>
  <c r="H428" i="12"/>
  <c r="H427" i="12"/>
  <c r="H426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11" i="12"/>
  <c r="H410" i="12"/>
  <c r="H409" i="12"/>
  <c r="H408" i="12"/>
  <c r="H407" i="12"/>
  <c r="H406" i="12"/>
  <c r="H405" i="12"/>
  <c r="H404" i="12"/>
  <c r="H403" i="12"/>
  <c r="H402" i="12"/>
  <c r="H401" i="12"/>
  <c r="H400" i="12"/>
  <c r="H399" i="12"/>
  <c r="H398" i="12"/>
  <c r="H397" i="12"/>
  <c r="H396" i="12"/>
  <c r="H395" i="12"/>
  <c r="H394" i="12"/>
  <c r="H393" i="12"/>
  <c r="H392" i="12"/>
  <c r="H391" i="12"/>
  <c r="H390" i="12"/>
  <c r="H389" i="12"/>
  <c r="H388" i="12"/>
  <c r="H387" i="12"/>
  <c r="H386" i="12"/>
  <c r="H385" i="12"/>
  <c r="H384" i="12"/>
  <c r="H383" i="12"/>
  <c r="H382" i="12"/>
  <c r="H381" i="12"/>
  <c r="H380" i="12"/>
  <c r="H379" i="12"/>
  <c r="H378" i="12"/>
  <c r="H377" i="12"/>
  <c r="H376" i="12"/>
  <c r="H375" i="12"/>
  <c r="H374" i="12"/>
  <c r="H373" i="12"/>
  <c r="H372" i="12"/>
  <c r="H371" i="12"/>
  <c r="H370" i="12"/>
  <c r="H369" i="12"/>
  <c r="H368" i="12"/>
  <c r="H367" i="12"/>
  <c r="H366" i="12"/>
  <c r="H365" i="12"/>
  <c r="H364" i="12"/>
  <c r="H363" i="12"/>
  <c r="H362" i="12"/>
  <c r="H361" i="12"/>
  <c r="H360" i="12"/>
  <c r="H359" i="12"/>
  <c r="H358" i="12"/>
  <c r="H357" i="12"/>
  <c r="H356" i="12"/>
  <c r="H355" i="12"/>
  <c r="H354" i="12"/>
  <c r="H353" i="12"/>
  <c r="H352" i="12"/>
  <c r="H351" i="12"/>
  <c r="H350" i="12"/>
  <c r="H349" i="12"/>
  <c r="H348" i="12"/>
  <c r="H347" i="12"/>
  <c r="H346" i="12"/>
  <c r="H345" i="12"/>
  <c r="H344" i="12"/>
  <c r="H343" i="12"/>
  <c r="H342" i="12"/>
  <c r="H341" i="12"/>
  <c r="H340" i="12"/>
  <c r="H339" i="12"/>
  <c r="H338" i="12"/>
  <c r="H337" i="12"/>
  <c r="H336" i="12"/>
  <c r="H335" i="12"/>
  <c r="H334" i="12"/>
  <c r="H333" i="12"/>
  <c r="H332" i="12"/>
  <c r="H331" i="12"/>
  <c r="H330" i="12"/>
  <c r="H329" i="12"/>
  <c r="H328" i="12"/>
  <c r="H327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H314" i="12"/>
  <c r="H313" i="12"/>
  <c r="H312" i="12"/>
  <c r="H311" i="12"/>
  <c r="H310" i="12"/>
  <c r="H309" i="12"/>
  <c r="H308" i="12"/>
  <c r="H307" i="12"/>
  <c r="H306" i="12"/>
  <c r="H305" i="12"/>
  <c r="H304" i="12"/>
  <c r="H303" i="12"/>
  <c r="H302" i="12"/>
  <c r="H301" i="12"/>
  <c r="H300" i="12"/>
  <c r="H299" i="12"/>
  <c r="H298" i="12"/>
  <c r="H297" i="12"/>
  <c r="H296" i="12"/>
  <c r="H295" i="12"/>
  <c r="H294" i="12"/>
  <c r="H293" i="12"/>
  <c r="H292" i="12"/>
  <c r="H291" i="12"/>
  <c r="H290" i="12"/>
  <c r="H289" i="12"/>
  <c r="H288" i="12"/>
  <c r="H287" i="12"/>
  <c r="H286" i="12"/>
  <c r="H285" i="12"/>
  <c r="H284" i="12"/>
  <c r="H283" i="12"/>
  <c r="H282" i="12"/>
  <c r="H281" i="12"/>
  <c r="H280" i="12"/>
  <c r="H279" i="12"/>
  <c r="H278" i="12"/>
  <c r="H277" i="12"/>
  <c r="H276" i="12"/>
  <c r="H275" i="12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F55" i="12"/>
  <c r="H54" i="12"/>
  <c r="F54" i="12"/>
  <c r="H53" i="12"/>
  <c r="F53" i="12"/>
  <c r="H52" i="12"/>
  <c r="F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Z377" i="10"/>
  <c r="U377" i="10"/>
  <c r="V377" i="10" s="1"/>
  <c r="T377" i="10"/>
  <c r="N377" i="10"/>
  <c r="L377" i="10"/>
  <c r="J377" i="10"/>
  <c r="B377" i="10"/>
  <c r="Z376" i="10"/>
  <c r="U376" i="10"/>
  <c r="V376" i="10" s="1"/>
  <c r="T376" i="10"/>
  <c r="N376" i="10"/>
  <c r="L376" i="10"/>
  <c r="B376" i="10"/>
  <c r="Z375" i="10"/>
  <c r="V375" i="10"/>
  <c r="U375" i="10"/>
  <c r="T375" i="10"/>
  <c r="N375" i="10"/>
  <c r="L375" i="10"/>
  <c r="J375" i="10"/>
  <c r="B375" i="10"/>
  <c r="Z374" i="10"/>
  <c r="U374" i="10"/>
  <c r="J374" i="10" s="1"/>
  <c r="T374" i="10"/>
  <c r="N374" i="10"/>
  <c r="L374" i="10"/>
  <c r="B374" i="10"/>
  <c r="P374" i="10" s="1"/>
  <c r="Z373" i="10"/>
  <c r="U373" i="10"/>
  <c r="V373" i="10" s="1"/>
  <c r="T373" i="10"/>
  <c r="N373" i="10"/>
  <c r="L373" i="10"/>
  <c r="J373" i="10"/>
  <c r="B373" i="10"/>
  <c r="P373" i="10" s="1"/>
  <c r="Z372" i="10"/>
  <c r="V372" i="10"/>
  <c r="U372" i="10"/>
  <c r="T372" i="10"/>
  <c r="N372" i="10"/>
  <c r="L372" i="10"/>
  <c r="J372" i="10"/>
  <c r="B372" i="10"/>
  <c r="Z371" i="10"/>
  <c r="V371" i="10"/>
  <c r="U371" i="10"/>
  <c r="T371" i="10"/>
  <c r="N371" i="10"/>
  <c r="L371" i="10"/>
  <c r="J371" i="10"/>
  <c r="B371" i="10"/>
  <c r="P371" i="10" s="1"/>
  <c r="Z370" i="10"/>
  <c r="U370" i="10"/>
  <c r="V370" i="10" s="1"/>
  <c r="T370" i="10"/>
  <c r="N370" i="10"/>
  <c r="L370" i="10"/>
  <c r="J370" i="10"/>
  <c r="B370" i="10"/>
  <c r="P370" i="10" s="1"/>
  <c r="Z369" i="10"/>
  <c r="U369" i="10"/>
  <c r="V369" i="10" s="1"/>
  <c r="T369" i="10"/>
  <c r="N369" i="10"/>
  <c r="L369" i="10"/>
  <c r="B369" i="10"/>
  <c r="Z368" i="10"/>
  <c r="V368" i="10"/>
  <c r="U368" i="10"/>
  <c r="J368" i="10" s="1"/>
  <c r="T368" i="10"/>
  <c r="N368" i="10"/>
  <c r="L368" i="10"/>
  <c r="B368" i="10"/>
  <c r="Z367" i="10"/>
  <c r="V367" i="10"/>
  <c r="U367" i="10"/>
  <c r="T367" i="10"/>
  <c r="N367" i="10"/>
  <c r="L367" i="10"/>
  <c r="J367" i="10"/>
  <c r="B367" i="10"/>
  <c r="Z366" i="10"/>
  <c r="U366" i="10"/>
  <c r="V366" i="10" s="1"/>
  <c r="T366" i="10"/>
  <c r="N366" i="10"/>
  <c r="L366" i="10"/>
  <c r="J366" i="10"/>
  <c r="B366" i="10"/>
  <c r="P366" i="10" s="1"/>
  <c r="Z365" i="10"/>
  <c r="U365" i="10"/>
  <c r="V365" i="10" s="1"/>
  <c r="T365" i="10"/>
  <c r="N365" i="10"/>
  <c r="L365" i="10"/>
  <c r="B365" i="10"/>
  <c r="Z364" i="10"/>
  <c r="U364" i="10"/>
  <c r="T364" i="10"/>
  <c r="N364" i="10"/>
  <c r="L364" i="10"/>
  <c r="B364" i="10"/>
  <c r="Z363" i="10"/>
  <c r="V363" i="10"/>
  <c r="U363" i="10"/>
  <c r="T363" i="10"/>
  <c r="N363" i="10"/>
  <c r="L363" i="10"/>
  <c r="J363" i="10"/>
  <c r="B363" i="10"/>
  <c r="Z362" i="10"/>
  <c r="U362" i="10"/>
  <c r="V362" i="10" s="1"/>
  <c r="T362" i="10"/>
  <c r="N362" i="10"/>
  <c r="L362" i="10"/>
  <c r="J362" i="10"/>
  <c r="B362" i="10"/>
  <c r="P362" i="10" s="1"/>
  <c r="Z361" i="10"/>
  <c r="U361" i="10"/>
  <c r="T361" i="10"/>
  <c r="N361" i="10"/>
  <c r="L361" i="10"/>
  <c r="B361" i="10"/>
  <c r="P361" i="10" s="1"/>
  <c r="Z360" i="10"/>
  <c r="V360" i="10"/>
  <c r="U360" i="10"/>
  <c r="T360" i="10"/>
  <c r="N360" i="10"/>
  <c r="L360" i="10"/>
  <c r="J360" i="10"/>
  <c r="B360" i="10"/>
  <c r="Z359" i="10"/>
  <c r="V359" i="10"/>
  <c r="U359" i="10"/>
  <c r="T359" i="10"/>
  <c r="N359" i="10"/>
  <c r="L359" i="10"/>
  <c r="J359" i="10"/>
  <c r="B359" i="10"/>
  <c r="Z358" i="10"/>
  <c r="V358" i="10"/>
  <c r="U358" i="10"/>
  <c r="T358" i="10"/>
  <c r="N358" i="10"/>
  <c r="L358" i="10"/>
  <c r="J358" i="10"/>
  <c r="B358" i="10"/>
  <c r="P358" i="10" s="1"/>
  <c r="Z357" i="10"/>
  <c r="U357" i="10"/>
  <c r="V357" i="10" s="1"/>
  <c r="T357" i="10"/>
  <c r="N357" i="10"/>
  <c r="L357" i="10"/>
  <c r="J357" i="10" s="1"/>
  <c r="B357" i="10"/>
  <c r="P357" i="10" s="1"/>
  <c r="Z356" i="10"/>
  <c r="U356" i="10"/>
  <c r="V356" i="10" s="1"/>
  <c r="T356" i="10"/>
  <c r="N356" i="10"/>
  <c r="L356" i="10"/>
  <c r="J356" i="10"/>
  <c r="B356" i="10"/>
  <c r="Z355" i="10"/>
  <c r="V355" i="10"/>
  <c r="U355" i="10"/>
  <c r="T355" i="10"/>
  <c r="N355" i="10"/>
  <c r="L355" i="10"/>
  <c r="J355" i="10"/>
  <c r="B355" i="10"/>
  <c r="Z354" i="10"/>
  <c r="U354" i="10"/>
  <c r="T354" i="10"/>
  <c r="N354" i="10"/>
  <c r="L354" i="10"/>
  <c r="B354" i="10"/>
  <c r="P354" i="10" s="1"/>
  <c r="Z353" i="10"/>
  <c r="U353" i="10"/>
  <c r="V353" i="10" s="1"/>
  <c r="T353" i="10"/>
  <c r="N353" i="10"/>
  <c r="L353" i="10"/>
  <c r="J353" i="10"/>
  <c r="B353" i="10"/>
  <c r="Z352" i="10"/>
  <c r="U352" i="10"/>
  <c r="V352" i="10" s="1"/>
  <c r="T352" i="10"/>
  <c r="N352" i="10"/>
  <c r="L352" i="10"/>
  <c r="B352" i="10"/>
  <c r="Z351" i="10"/>
  <c r="V351" i="10"/>
  <c r="U351" i="10"/>
  <c r="T351" i="10"/>
  <c r="N351" i="10"/>
  <c r="L351" i="10"/>
  <c r="J351" i="10"/>
  <c r="B351" i="10"/>
  <c r="Z350" i="10"/>
  <c r="U350" i="10"/>
  <c r="J350" i="10" s="1"/>
  <c r="T350" i="10"/>
  <c r="N350" i="10"/>
  <c r="L350" i="10"/>
  <c r="B350" i="10"/>
  <c r="P350" i="10" s="1"/>
  <c r="Z349" i="10"/>
  <c r="U349" i="10"/>
  <c r="T349" i="10"/>
  <c r="N349" i="10"/>
  <c r="L349" i="10"/>
  <c r="B349" i="10"/>
  <c r="P349" i="10" s="1"/>
  <c r="Z348" i="10"/>
  <c r="V348" i="10"/>
  <c r="U348" i="10"/>
  <c r="T348" i="10"/>
  <c r="N348" i="10"/>
  <c r="L348" i="10"/>
  <c r="J348" i="10"/>
  <c r="B348" i="10"/>
  <c r="Z347" i="10"/>
  <c r="V347" i="10"/>
  <c r="U347" i="10"/>
  <c r="T347" i="10"/>
  <c r="N347" i="10"/>
  <c r="L347" i="10"/>
  <c r="J347" i="10"/>
  <c r="B347" i="10"/>
  <c r="P347" i="10" s="1"/>
  <c r="Z346" i="10"/>
  <c r="U346" i="10"/>
  <c r="V346" i="10" s="1"/>
  <c r="T346" i="10"/>
  <c r="N346" i="10"/>
  <c r="L346" i="10"/>
  <c r="J346" i="10"/>
  <c r="B346" i="10"/>
  <c r="P346" i="10" s="1"/>
  <c r="Z345" i="10"/>
  <c r="U345" i="10"/>
  <c r="V345" i="10" s="1"/>
  <c r="T345" i="10"/>
  <c r="N345" i="10"/>
  <c r="L345" i="10"/>
  <c r="J345" i="10" s="1"/>
  <c r="B345" i="10"/>
  <c r="Z344" i="10"/>
  <c r="V344" i="10"/>
  <c r="U344" i="10"/>
  <c r="J344" i="10" s="1"/>
  <c r="T344" i="10"/>
  <c r="N344" i="10"/>
  <c r="L344" i="10"/>
  <c r="B344" i="10"/>
  <c r="Z343" i="10"/>
  <c r="V343" i="10"/>
  <c r="U343" i="10"/>
  <c r="T343" i="10"/>
  <c r="N343" i="10"/>
  <c r="L343" i="10"/>
  <c r="J343" i="10"/>
  <c r="B343" i="10"/>
  <c r="Z342" i="10"/>
  <c r="U342" i="10"/>
  <c r="V342" i="10" s="1"/>
  <c r="T342" i="10"/>
  <c r="N342" i="10"/>
  <c r="L342" i="10"/>
  <c r="J342" i="10"/>
  <c r="B342" i="10"/>
  <c r="P342" i="10" s="1"/>
  <c r="Z341" i="10"/>
  <c r="U341" i="10"/>
  <c r="V341" i="10" s="1"/>
  <c r="T341" i="10"/>
  <c r="N341" i="10"/>
  <c r="L341" i="10"/>
  <c r="J341" i="10"/>
  <c r="B341" i="10"/>
  <c r="Z340" i="10"/>
  <c r="U340" i="10"/>
  <c r="T340" i="10"/>
  <c r="N340" i="10"/>
  <c r="L340" i="10"/>
  <c r="B340" i="10"/>
  <c r="Z339" i="10"/>
  <c r="V339" i="10"/>
  <c r="U339" i="10"/>
  <c r="T339" i="10"/>
  <c r="N339" i="10"/>
  <c r="L339" i="10"/>
  <c r="J339" i="10"/>
  <c r="B339" i="10"/>
  <c r="Z338" i="10"/>
  <c r="U338" i="10"/>
  <c r="V338" i="10" s="1"/>
  <c r="T338" i="10"/>
  <c r="N338" i="10"/>
  <c r="L338" i="10"/>
  <c r="J338" i="10"/>
  <c r="B338" i="10"/>
  <c r="P338" i="10" s="1"/>
  <c r="Z337" i="10"/>
  <c r="U337" i="10"/>
  <c r="T337" i="10"/>
  <c r="N337" i="10"/>
  <c r="L337" i="10"/>
  <c r="B337" i="10"/>
  <c r="P337" i="10" s="1"/>
  <c r="Y336" i="10"/>
  <c r="X336" i="10"/>
  <c r="Z336" i="10" s="1"/>
  <c r="U336" i="10"/>
  <c r="V336" i="10" s="1"/>
  <c r="T336" i="10"/>
  <c r="Q336" i="10"/>
  <c r="O336" i="10"/>
  <c r="N336" i="10"/>
  <c r="L336" i="10"/>
  <c r="B336" i="10"/>
  <c r="P336" i="10" s="1"/>
  <c r="Z335" i="10"/>
  <c r="V335" i="10"/>
  <c r="U335" i="10"/>
  <c r="T335" i="10"/>
  <c r="N335" i="10"/>
  <c r="L335" i="10"/>
  <c r="J335" i="10"/>
  <c r="B335" i="10"/>
  <c r="P335" i="10" s="1"/>
  <c r="Z334" i="10"/>
  <c r="U334" i="10"/>
  <c r="V334" i="10" s="1"/>
  <c r="T334" i="10"/>
  <c r="N334" i="10"/>
  <c r="L334" i="10"/>
  <c r="J334" i="10"/>
  <c r="B334" i="10"/>
  <c r="P334" i="10" s="1"/>
  <c r="Z333" i="10"/>
  <c r="U333" i="10"/>
  <c r="V333" i="10" s="1"/>
  <c r="T333" i="10"/>
  <c r="N333" i="10"/>
  <c r="L333" i="10"/>
  <c r="J333" i="10" s="1"/>
  <c r="B333" i="10"/>
  <c r="Z332" i="10"/>
  <c r="V332" i="10"/>
  <c r="U332" i="10"/>
  <c r="T332" i="10"/>
  <c r="N332" i="10"/>
  <c r="L332" i="10"/>
  <c r="B332" i="10"/>
  <c r="Z331" i="10"/>
  <c r="V331" i="10"/>
  <c r="U331" i="10"/>
  <c r="T331" i="10"/>
  <c r="N331" i="10"/>
  <c r="L331" i="10"/>
  <c r="J331" i="10"/>
  <c r="B331" i="10"/>
  <c r="Z330" i="10"/>
  <c r="U330" i="10"/>
  <c r="V330" i="10" s="1"/>
  <c r="T330" i="10"/>
  <c r="N330" i="10"/>
  <c r="L330" i="10"/>
  <c r="J330" i="10" s="1"/>
  <c r="B330" i="10"/>
  <c r="P330" i="10" s="1"/>
  <c r="Z329" i="10"/>
  <c r="U329" i="10"/>
  <c r="V329" i="10" s="1"/>
  <c r="T329" i="10"/>
  <c r="N329" i="10"/>
  <c r="L329" i="10"/>
  <c r="B329" i="10"/>
  <c r="Z328" i="10"/>
  <c r="V328" i="10"/>
  <c r="U328" i="10"/>
  <c r="T328" i="10"/>
  <c r="N328" i="10"/>
  <c r="L328" i="10"/>
  <c r="B328" i="10"/>
  <c r="Z327" i="10"/>
  <c r="V327" i="10"/>
  <c r="U327" i="10"/>
  <c r="T327" i="10"/>
  <c r="N327" i="10"/>
  <c r="L327" i="10"/>
  <c r="B327" i="10"/>
  <c r="Z326" i="10"/>
  <c r="U326" i="10"/>
  <c r="V326" i="10" s="1"/>
  <c r="T326" i="10"/>
  <c r="N326" i="10"/>
  <c r="L326" i="10"/>
  <c r="J326" i="10"/>
  <c r="B326" i="10"/>
  <c r="P326" i="10" s="1"/>
  <c r="Z325" i="10"/>
  <c r="V325" i="10"/>
  <c r="U325" i="10"/>
  <c r="T325" i="10"/>
  <c r="N325" i="10"/>
  <c r="L325" i="10"/>
  <c r="B325" i="10"/>
  <c r="Z324" i="10"/>
  <c r="V324" i="10"/>
  <c r="U324" i="10"/>
  <c r="T324" i="10"/>
  <c r="N324" i="10"/>
  <c r="L324" i="10"/>
  <c r="J324" i="10" s="1"/>
  <c r="B324" i="10"/>
  <c r="Z323" i="10"/>
  <c r="V323" i="10"/>
  <c r="U323" i="10"/>
  <c r="T323" i="10"/>
  <c r="N323" i="10"/>
  <c r="L323" i="10"/>
  <c r="B323" i="10"/>
  <c r="Z322" i="10"/>
  <c r="U322" i="10"/>
  <c r="V322" i="10" s="1"/>
  <c r="T322" i="10"/>
  <c r="N322" i="10"/>
  <c r="L322" i="10"/>
  <c r="B322" i="10"/>
  <c r="P322" i="10" s="1"/>
  <c r="Z321" i="10"/>
  <c r="U321" i="10"/>
  <c r="T321" i="10"/>
  <c r="N321" i="10"/>
  <c r="L321" i="10"/>
  <c r="B321" i="10"/>
  <c r="Z320" i="10"/>
  <c r="V320" i="10"/>
  <c r="U320" i="10"/>
  <c r="T320" i="10"/>
  <c r="N320" i="10"/>
  <c r="L320" i="10"/>
  <c r="B320" i="10"/>
  <c r="Z319" i="10"/>
  <c r="V319" i="10"/>
  <c r="U319" i="10"/>
  <c r="T319" i="10"/>
  <c r="N319" i="10"/>
  <c r="L319" i="10"/>
  <c r="J319" i="10"/>
  <c r="B319" i="10"/>
  <c r="P319" i="10" s="1"/>
  <c r="Z318" i="10"/>
  <c r="U318" i="10"/>
  <c r="V318" i="10" s="1"/>
  <c r="T318" i="10"/>
  <c r="N318" i="10"/>
  <c r="L318" i="10"/>
  <c r="J318" i="10"/>
  <c r="B318" i="10"/>
  <c r="P318" i="10" s="1"/>
  <c r="Z317" i="10"/>
  <c r="U317" i="10"/>
  <c r="V317" i="10" s="1"/>
  <c r="T317" i="10"/>
  <c r="N317" i="10"/>
  <c r="L317" i="10"/>
  <c r="J317" i="10"/>
  <c r="B317" i="10"/>
  <c r="Z316" i="10"/>
  <c r="U316" i="10"/>
  <c r="V316" i="10" s="1"/>
  <c r="T316" i="10"/>
  <c r="N316" i="10"/>
  <c r="L316" i="10"/>
  <c r="B316" i="10"/>
  <c r="Z315" i="10"/>
  <c r="V315" i="10"/>
  <c r="U315" i="10"/>
  <c r="T315" i="10"/>
  <c r="N315" i="10"/>
  <c r="L315" i="10"/>
  <c r="B315" i="10"/>
  <c r="Z314" i="10"/>
  <c r="U314" i="10"/>
  <c r="T314" i="10"/>
  <c r="N314" i="10"/>
  <c r="L314" i="10"/>
  <c r="B314" i="10"/>
  <c r="P314" i="10" s="1"/>
  <c r="Z313" i="10"/>
  <c r="V313" i="10"/>
  <c r="U313" i="10"/>
  <c r="T313" i="10"/>
  <c r="N313" i="10"/>
  <c r="L313" i="10"/>
  <c r="B313" i="10"/>
  <c r="AF312" i="10"/>
  <c r="Z312" i="10"/>
  <c r="U312" i="10"/>
  <c r="J312" i="10" s="1"/>
  <c r="T312" i="10"/>
  <c r="N312" i="10"/>
  <c r="L312" i="10"/>
  <c r="B312" i="10"/>
  <c r="Z311" i="10"/>
  <c r="U311" i="10"/>
  <c r="T311" i="10"/>
  <c r="N311" i="10"/>
  <c r="L311" i="10"/>
  <c r="B311" i="10"/>
  <c r="P311" i="10" s="1"/>
  <c r="Z310" i="10"/>
  <c r="U310" i="10"/>
  <c r="V310" i="10" s="1"/>
  <c r="T310" i="10"/>
  <c r="N310" i="10"/>
  <c r="L310" i="10"/>
  <c r="J310" i="10"/>
  <c r="B310" i="10"/>
  <c r="Z309" i="10"/>
  <c r="U309" i="10"/>
  <c r="V309" i="10" s="1"/>
  <c r="T309" i="10"/>
  <c r="N309" i="10"/>
  <c r="L309" i="10"/>
  <c r="B309" i="10"/>
  <c r="P309" i="10" s="1"/>
  <c r="Z308" i="10"/>
  <c r="V308" i="10"/>
  <c r="U308" i="10"/>
  <c r="J308" i="10" s="1"/>
  <c r="T308" i="10"/>
  <c r="N308" i="10"/>
  <c r="L308" i="10"/>
  <c r="B308" i="10"/>
  <c r="P308" i="10" s="1"/>
  <c r="Z307" i="10"/>
  <c r="U307" i="10"/>
  <c r="V307" i="10" s="1"/>
  <c r="T307" i="10"/>
  <c r="N307" i="10"/>
  <c r="L307" i="10"/>
  <c r="J307" i="10" s="1"/>
  <c r="B307" i="10"/>
  <c r="Z306" i="10"/>
  <c r="U306" i="10"/>
  <c r="V306" i="10" s="1"/>
  <c r="T306" i="10"/>
  <c r="N306" i="10"/>
  <c r="L306" i="10"/>
  <c r="B306" i="10"/>
  <c r="Z305" i="10"/>
  <c r="V305" i="10"/>
  <c r="U305" i="10"/>
  <c r="T305" i="10"/>
  <c r="N305" i="10"/>
  <c r="L305" i="10"/>
  <c r="J305" i="10"/>
  <c r="B305" i="10"/>
  <c r="P305" i="10" s="1"/>
  <c r="Z304" i="10"/>
  <c r="V304" i="10"/>
  <c r="U304" i="10"/>
  <c r="T304" i="10"/>
  <c r="N304" i="10"/>
  <c r="L304" i="10"/>
  <c r="J304" i="10" s="1"/>
  <c r="B304" i="10"/>
  <c r="Z303" i="10"/>
  <c r="U303" i="10"/>
  <c r="V303" i="10" s="1"/>
  <c r="T303" i="10"/>
  <c r="N303" i="10"/>
  <c r="L303" i="10"/>
  <c r="B303" i="10"/>
  <c r="Z302" i="10"/>
  <c r="V302" i="10"/>
  <c r="U302" i="10"/>
  <c r="T302" i="10"/>
  <c r="N302" i="10"/>
  <c r="L302" i="10"/>
  <c r="J302" i="10"/>
  <c r="B302" i="10"/>
  <c r="P302" i="10" s="1"/>
  <c r="Z301" i="10"/>
  <c r="U301" i="10"/>
  <c r="T301" i="10"/>
  <c r="N301" i="10"/>
  <c r="L301" i="10"/>
  <c r="B301" i="10"/>
  <c r="Z300" i="10"/>
  <c r="U300" i="10"/>
  <c r="V300" i="10" s="1"/>
  <c r="T300" i="10"/>
  <c r="N300" i="10"/>
  <c r="L300" i="10"/>
  <c r="B300" i="10"/>
  <c r="Z299" i="10"/>
  <c r="U299" i="10"/>
  <c r="V299" i="10" s="1"/>
  <c r="T299" i="10"/>
  <c r="N299" i="10"/>
  <c r="L299" i="10"/>
  <c r="B299" i="10"/>
  <c r="Z298" i="10"/>
  <c r="V298" i="10"/>
  <c r="U298" i="10"/>
  <c r="T298" i="10"/>
  <c r="N298" i="10"/>
  <c r="L298" i="10"/>
  <c r="J298" i="10"/>
  <c r="B298" i="10"/>
  <c r="P298" i="10" s="1"/>
  <c r="Z297" i="10"/>
  <c r="U297" i="10"/>
  <c r="V297" i="10" s="1"/>
  <c r="T297" i="10"/>
  <c r="N297" i="10"/>
  <c r="L297" i="10"/>
  <c r="J297" i="10"/>
  <c r="B297" i="10"/>
  <c r="Z296" i="10"/>
  <c r="U296" i="10"/>
  <c r="V296" i="10" s="1"/>
  <c r="T296" i="10"/>
  <c r="N296" i="10"/>
  <c r="L296" i="10"/>
  <c r="B296" i="10"/>
  <c r="Z295" i="10"/>
  <c r="U295" i="10"/>
  <c r="V295" i="10" s="1"/>
  <c r="T295" i="10"/>
  <c r="N295" i="10"/>
  <c r="L295" i="10"/>
  <c r="B295" i="10"/>
  <c r="P295" i="10" s="1"/>
  <c r="Z294" i="10"/>
  <c r="V294" i="10"/>
  <c r="U294" i="10"/>
  <c r="T294" i="10"/>
  <c r="N294" i="10"/>
  <c r="L294" i="10"/>
  <c r="J294" i="10" s="1"/>
  <c r="B294" i="10"/>
  <c r="Z293" i="10"/>
  <c r="U293" i="10"/>
  <c r="V293" i="10" s="1"/>
  <c r="T293" i="10"/>
  <c r="N293" i="10"/>
  <c r="L293" i="10"/>
  <c r="J293" i="10"/>
  <c r="B293" i="10"/>
  <c r="P293" i="10" s="1"/>
  <c r="Z292" i="10"/>
  <c r="U292" i="10"/>
  <c r="V292" i="10" s="1"/>
  <c r="T292" i="10"/>
  <c r="N292" i="10"/>
  <c r="L292" i="10"/>
  <c r="B292" i="10"/>
  <c r="Z291" i="10"/>
  <c r="U291" i="10"/>
  <c r="V291" i="10" s="1"/>
  <c r="T291" i="10"/>
  <c r="N291" i="10"/>
  <c r="L291" i="10"/>
  <c r="B291" i="10"/>
  <c r="P291" i="10" s="1"/>
  <c r="Z290" i="10"/>
  <c r="V290" i="10"/>
  <c r="U290" i="10"/>
  <c r="T290" i="10"/>
  <c r="N290" i="10"/>
  <c r="L290" i="10"/>
  <c r="J290" i="10"/>
  <c r="B290" i="10"/>
  <c r="Z289" i="10"/>
  <c r="U289" i="10"/>
  <c r="T289" i="10"/>
  <c r="N289" i="10"/>
  <c r="L289" i="10"/>
  <c r="B289" i="10"/>
  <c r="P289" i="10" s="1"/>
  <c r="Z288" i="10"/>
  <c r="U288" i="10"/>
  <c r="J288" i="10" s="1"/>
  <c r="T288" i="10"/>
  <c r="N288" i="10"/>
  <c r="L288" i="10"/>
  <c r="B288" i="10"/>
  <c r="Z287" i="10"/>
  <c r="U287" i="10"/>
  <c r="V287" i="10" s="1"/>
  <c r="T287" i="10"/>
  <c r="N287" i="10"/>
  <c r="L287" i="10"/>
  <c r="B287" i="10"/>
  <c r="Z286" i="10"/>
  <c r="V286" i="10"/>
  <c r="U286" i="10"/>
  <c r="T286" i="10"/>
  <c r="N286" i="10"/>
  <c r="L286" i="10"/>
  <c r="J286" i="10"/>
  <c r="B286" i="10"/>
  <c r="P286" i="10" s="1"/>
  <c r="Z285" i="10"/>
  <c r="U285" i="10"/>
  <c r="V285" i="10" s="1"/>
  <c r="T285" i="10"/>
  <c r="N285" i="10"/>
  <c r="L285" i="10"/>
  <c r="J285" i="10" s="1"/>
  <c r="B285" i="10"/>
  <c r="P285" i="10" s="1"/>
  <c r="Z284" i="10"/>
  <c r="U284" i="10"/>
  <c r="T284" i="10"/>
  <c r="N284" i="10"/>
  <c r="L284" i="10"/>
  <c r="B284" i="10"/>
  <c r="Z283" i="10"/>
  <c r="V283" i="10"/>
  <c r="U283" i="10"/>
  <c r="T283" i="10"/>
  <c r="N283" i="10"/>
  <c r="L283" i="10"/>
  <c r="B283" i="10"/>
  <c r="Z282" i="10"/>
  <c r="V282" i="10"/>
  <c r="U282" i="10"/>
  <c r="T282" i="10"/>
  <c r="N282" i="10"/>
  <c r="L282" i="10"/>
  <c r="B282" i="10"/>
  <c r="Z281" i="10"/>
  <c r="U281" i="10"/>
  <c r="V281" i="10" s="1"/>
  <c r="T281" i="10"/>
  <c r="N281" i="10"/>
  <c r="L281" i="10"/>
  <c r="B281" i="10"/>
  <c r="P281" i="10" s="1"/>
  <c r="Z280" i="10"/>
  <c r="V280" i="10"/>
  <c r="U280" i="10"/>
  <c r="T280" i="10"/>
  <c r="N280" i="10"/>
  <c r="L280" i="10"/>
  <c r="B280" i="10"/>
  <c r="Z279" i="10"/>
  <c r="V279" i="10"/>
  <c r="U279" i="10"/>
  <c r="T279" i="10"/>
  <c r="N279" i="10"/>
  <c r="L279" i="10"/>
  <c r="J279" i="10" s="1"/>
  <c r="B279" i="10"/>
  <c r="Z278" i="10"/>
  <c r="V278" i="10"/>
  <c r="U278" i="10"/>
  <c r="T278" i="10"/>
  <c r="N278" i="10"/>
  <c r="L278" i="10"/>
  <c r="J278" i="10"/>
  <c r="B278" i="10"/>
  <c r="Z277" i="10"/>
  <c r="U277" i="10"/>
  <c r="T277" i="10"/>
  <c r="N277" i="10"/>
  <c r="L277" i="10"/>
  <c r="B277" i="10"/>
  <c r="P277" i="10" s="1"/>
  <c r="Z276" i="10"/>
  <c r="V276" i="10"/>
  <c r="U276" i="10"/>
  <c r="T276" i="10"/>
  <c r="N276" i="10"/>
  <c r="L276" i="10"/>
  <c r="B276" i="10"/>
  <c r="Z275" i="10"/>
  <c r="U275" i="10"/>
  <c r="V275" i="10" s="1"/>
  <c r="T275" i="10"/>
  <c r="N275" i="10"/>
  <c r="L275" i="10"/>
  <c r="B275" i="10"/>
  <c r="Z274" i="10"/>
  <c r="V274" i="10"/>
  <c r="U274" i="10"/>
  <c r="T274" i="10"/>
  <c r="N274" i="10"/>
  <c r="L274" i="10"/>
  <c r="J274" i="10"/>
  <c r="B274" i="10"/>
  <c r="P274" i="10" s="1"/>
  <c r="Z273" i="10"/>
  <c r="U273" i="10"/>
  <c r="T273" i="10"/>
  <c r="N273" i="10"/>
  <c r="L273" i="10"/>
  <c r="B273" i="10"/>
  <c r="P273" i="10" s="1"/>
  <c r="Z272" i="10"/>
  <c r="V272" i="10"/>
  <c r="U272" i="10"/>
  <c r="T272" i="10"/>
  <c r="N272" i="10"/>
  <c r="L272" i="10"/>
  <c r="B272" i="10"/>
  <c r="Z271" i="10"/>
  <c r="U271" i="10"/>
  <c r="V271" i="10" s="1"/>
  <c r="T271" i="10"/>
  <c r="N271" i="10"/>
  <c r="L271" i="10"/>
  <c r="B271" i="10"/>
  <c r="Z270" i="10"/>
  <c r="V270" i="10"/>
  <c r="U270" i="10"/>
  <c r="T270" i="10"/>
  <c r="N270" i="10"/>
  <c r="L270" i="10"/>
  <c r="J270" i="10"/>
  <c r="B270" i="10"/>
  <c r="P270" i="10" s="1"/>
  <c r="Z269" i="10"/>
  <c r="U269" i="10"/>
  <c r="T269" i="10"/>
  <c r="N269" i="10"/>
  <c r="L269" i="10"/>
  <c r="B269" i="10"/>
  <c r="Z268" i="10"/>
  <c r="U268" i="10"/>
  <c r="V268" i="10" s="1"/>
  <c r="T268" i="10"/>
  <c r="N268" i="10"/>
  <c r="L268" i="10"/>
  <c r="J268" i="10"/>
  <c r="B268" i="10"/>
  <c r="Z267" i="10"/>
  <c r="U267" i="10"/>
  <c r="V267" i="10" s="1"/>
  <c r="T267" i="10"/>
  <c r="N267" i="10"/>
  <c r="L267" i="10"/>
  <c r="B267" i="10"/>
  <c r="Z266" i="10"/>
  <c r="V266" i="10"/>
  <c r="U266" i="10"/>
  <c r="T266" i="10"/>
  <c r="N266" i="10"/>
  <c r="L266" i="10"/>
  <c r="J266" i="10"/>
  <c r="B266" i="10"/>
  <c r="P266" i="10" s="1"/>
  <c r="Z265" i="10"/>
  <c r="U265" i="10"/>
  <c r="T265" i="10"/>
  <c r="N265" i="10"/>
  <c r="L265" i="10"/>
  <c r="B265" i="10"/>
  <c r="Z264" i="10"/>
  <c r="U264" i="10"/>
  <c r="V264" i="10" s="1"/>
  <c r="T264" i="10"/>
  <c r="N264" i="10"/>
  <c r="L264" i="10"/>
  <c r="B264" i="10"/>
  <c r="Z263" i="10"/>
  <c r="U263" i="10"/>
  <c r="V263" i="10" s="1"/>
  <c r="T263" i="10"/>
  <c r="N263" i="10"/>
  <c r="L263" i="10"/>
  <c r="B263" i="10"/>
  <c r="P263" i="10" s="1"/>
  <c r="Z262" i="10"/>
  <c r="V262" i="10"/>
  <c r="U262" i="10"/>
  <c r="T262" i="10"/>
  <c r="N262" i="10"/>
  <c r="L262" i="10"/>
  <c r="J262" i="10"/>
  <c r="B262" i="10"/>
  <c r="Z261" i="10"/>
  <c r="U261" i="10"/>
  <c r="V261" i="10" s="1"/>
  <c r="T261" i="10"/>
  <c r="N261" i="10"/>
  <c r="L261" i="10"/>
  <c r="J261" i="10"/>
  <c r="B261" i="10"/>
  <c r="P261" i="10" s="1"/>
  <c r="Z260" i="10"/>
  <c r="V260" i="10"/>
  <c r="U260" i="10"/>
  <c r="T260" i="10"/>
  <c r="N260" i="10"/>
  <c r="L260" i="10"/>
  <c r="B260" i="10"/>
  <c r="Z259" i="10"/>
  <c r="U259" i="10"/>
  <c r="V259" i="10" s="1"/>
  <c r="T259" i="10"/>
  <c r="N259" i="10"/>
  <c r="L259" i="10"/>
  <c r="B259" i="10"/>
  <c r="P259" i="10" s="1"/>
  <c r="Z258" i="10"/>
  <c r="V258" i="10"/>
  <c r="U258" i="10"/>
  <c r="T258" i="10"/>
  <c r="N258" i="10"/>
  <c r="L258" i="10"/>
  <c r="J258" i="10"/>
  <c r="B258" i="10"/>
  <c r="Z257" i="10"/>
  <c r="U257" i="10"/>
  <c r="T257" i="10"/>
  <c r="N257" i="10"/>
  <c r="L257" i="10"/>
  <c r="B257" i="10"/>
  <c r="P257" i="10" s="1"/>
  <c r="Z256" i="10"/>
  <c r="U256" i="10"/>
  <c r="T256" i="10"/>
  <c r="N256" i="10"/>
  <c r="L256" i="10"/>
  <c r="B256" i="10"/>
  <c r="Z255" i="10"/>
  <c r="U255" i="10"/>
  <c r="V255" i="10" s="1"/>
  <c r="T255" i="10"/>
  <c r="N255" i="10"/>
  <c r="L255" i="10"/>
  <c r="B255" i="10"/>
  <c r="Z254" i="10"/>
  <c r="V254" i="10"/>
  <c r="U254" i="10"/>
  <c r="T254" i="10"/>
  <c r="N254" i="10"/>
  <c r="L254" i="10"/>
  <c r="J254" i="10"/>
  <c r="B254" i="10"/>
  <c r="P254" i="10" s="1"/>
  <c r="Z253" i="10"/>
  <c r="U253" i="10"/>
  <c r="V253" i="10" s="1"/>
  <c r="T253" i="10"/>
  <c r="N253" i="10"/>
  <c r="L253" i="10"/>
  <c r="J253" i="10" s="1"/>
  <c r="B253" i="10"/>
  <c r="Z252" i="10"/>
  <c r="U252" i="10"/>
  <c r="T252" i="10"/>
  <c r="N252" i="10"/>
  <c r="L252" i="10"/>
  <c r="B252" i="10"/>
  <c r="Z251" i="10"/>
  <c r="U251" i="10"/>
  <c r="V251" i="10" s="1"/>
  <c r="T251" i="10"/>
  <c r="N251" i="10"/>
  <c r="L251" i="10"/>
  <c r="B251" i="10"/>
  <c r="Z250" i="10"/>
  <c r="V250" i="10"/>
  <c r="U250" i="10"/>
  <c r="T250" i="10"/>
  <c r="N250" i="10"/>
  <c r="L250" i="10"/>
  <c r="J250" i="10"/>
  <c r="B250" i="10"/>
  <c r="Z249" i="10"/>
  <c r="U249" i="10"/>
  <c r="T249" i="10"/>
  <c r="N249" i="10"/>
  <c r="L249" i="10"/>
  <c r="B249" i="10"/>
  <c r="P249" i="10" s="1"/>
  <c r="Z248" i="10"/>
  <c r="U248" i="10"/>
  <c r="V248" i="10" s="1"/>
  <c r="T248" i="10"/>
  <c r="N248" i="10"/>
  <c r="L248" i="10"/>
  <c r="B248" i="10"/>
  <c r="Z247" i="10"/>
  <c r="V247" i="10"/>
  <c r="U247" i="10"/>
  <c r="T247" i="10"/>
  <c r="N247" i="10"/>
  <c r="L247" i="10"/>
  <c r="B247" i="10"/>
  <c r="Z246" i="10"/>
  <c r="V246" i="10"/>
  <c r="U246" i="10"/>
  <c r="T246" i="10"/>
  <c r="N246" i="10"/>
  <c r="L246" i="10"/>
  <c r="J246" i="10"/>
  <c r="B246" i="10"/>
  <c r="P246" i="10" s="1"/>
  <c r="Z245" i="10"/>
  <c r="U245" i="10"/>
  <c r="T245" i="10"/>
  <c r="N245" i="10"/>
  <c r="L245" i="10"/>
  <c r="B245" i="10"/>
  <c r="P245" i="10" s="1"/>
  <c r="Z244" i="10"/>
  <c r="V244" i="10"/>
  <c r="U244" i="10"/>
  <c r="T244" i="10"/>
  <c r="N244" i="10"/>
  <c r="L244" i="10"/>
  <c r="B244" i="10"/>
  <c r="Z243" i="10"/>
  <c r="U243" i="10"/>
  <c r="V243" i="10" s="1"/>
  <c r="T243" i="10"/>
  <c r="N243" i="10"/>
  <c r="L243" i="10"/>
  <c r="J243" i="10" s="1"/>
  <c r="B243" i="10"/>
  <c r="Z242" i="10"/>
  <c r="V242" i="10"/>
  <c r="U242" i="10"/>
  <c r="T242" i="10"/>
  <c r="N242" i="10"/>
  <c r="L242" i="10"/>
  <c r="J242" i="10"/>
  <c r="B242" i="10"/>
  <c r="P242" i="10" s="1"/>
  <c r="Z241" i="10"/>
  <c r="U241" i="10"/>
  <c r="T241" i="10"/>
  <c r="N241" i="10"/>
  <c r="L241" i="10"/>
  <c r="B241" i="10"/>
  <c r="P241" i="10" s="1"/>
  <c r="Z240" i="10"/>
  <c r="V240" i="10"/>
  <c r="U240" i="10"/>
  <c r="T240" i="10"/>
  <c r="N240" i="10"/>
  <c r="L240" i="10"/>
  <c r="J240" i="10"/>
  <c r="B240" i="10"/>
  <c r="Z239" i="10"/>
  <c r="U239" i="10"/>
  <c r="V239" i="10" s="1"/>
  <c r="T239" i="10"/>
  <c r="N239" i="10"/>
  <c r="L239" i="10"/>
  <c r="B239" i="10"/>
  <c r="Z238" i="10"/>
  <c r="V238" i="10"/>
  <c r="U238" i="10"/>
  <c r="T238" i="10"/>
  <c r="N238" i="10"/>
  <c r="L238" i="10"/>
  <c r="J238" i="10"/>
  <c r="B238" i="10"/>
  <c r="P238" i="10" s="1"/>
  <c r="Z237" i="10"/>
  <c r="U237" i="10"/>
  <c r="V237" i="10" s="1"/>
  <c r="T237" i="10"/>
  <c r="N237" i="10"/>
  <c r="L237" i="10"/>
  <c r="J237" i="10"/>
  <c r="B237" i="10"/>
  <c r="Z236" i="10"/>
  <c r="U236" i="10"/>
  <c r="V236" i="10" s="1"/>
  <c r="T236" i="10"/>
  <c r="N236" i="10"/>
  <c r="L236" i="10"/>
  <c r="B236" i="10"/>
  <c r="Z235" i="10"/>
  <c r="U235" i="10"/>
  <c r="V235" i="10" s="1"/>
  <c r="T235" i="10"/>
  <c r="N235" i="10"/>
  <c r="L235" i="10"/>
  <c r="B235" i="10"/>
  <c r="Z234" i="10"/>
  <c r="V234" i="10"/>
  <c r="U234" i="10"/>
  <c r="T234" i="10"/>
  <c r="N234" i="10"/>
  <c r="L234" i="10"/>
  <c r="J234" i="10"/>
  <c r="B234" i="10"/>
  <c r="P234" i="10" s="1"/>
  <c r="Z233" i="10"/>
  <c r="U233" i="10"/>
  <c r="V233" i="10" s="1"/>
  <c r="T233" i="10"/>
  <c r="N233" i="10"/>
  <c r="L233" i="10"/>
  <c r="J233" i="10"/>
  <c r="B233" i="10"/>
  <c r="Z232" i="10"/>
  <c r="U232" i="10"/>
  <c r="V232" i="10" s="1"/>
  <c r="T232" i="10"/>
  <c r="N232" i="10"/>
  <c r="L232" i="10"/>
  <c r="B232" i="10"/>
  <c r="Z231" i="10"/>
  <c r="U231" i="10"/>
  <c r="V231" i="10" s="1"/>
  <c r="T231" i="10"/>
  <c r="N231" i="10"/>
  <c r="L231" i="10"/>
  <c r="B231" i="10"/>
  <c r="P231" i="10" s="1"/>
  <c r="Z230" i="10"/>
  <c r="V230" i="10"/>
  <c r="U230" i="10"/>
  <c r="T230" i="10"/>
  <c r="N230" i="10"/>
  <c r="L230" i="10"/>
  <c r="J230" i="10"/>
  <c r="B230" i="10"/>
  <c r="Z229" i="10"/>
  <c r="U229" i="10"/>
  <c r="V229" i="10" s="1"/>
  <c r="T229" i="10"/>
  <c r="N229" i="10"/>
  <c r="L229" i="10"/>
  <c r="J229" i="10"/>
  <c r="B229" i="10"/>
  <c r="P229" i="10" s="1"/>
  <c r="Z228" i="10"/>
  <c r="U228" i="10"/>
  <c r="V228" i="10" s="1"/>
  <c r="T228" i="10"/>
  <c r="N228" i="10"/>
  <c r="L228" i="10"/>
  <c r="B228" i="10"/>
  <c r="Z227" i="10"/>
  <c r="U227" i="10"/>
  <c r="V227" i="10" s="1"/>
  <c r="T227" i="10"/>
  <c r="N227" i="10"/>
  <c r="L227" i="10"/>
  <c r="B227" i="10"/>
  <c r="P227" i="10" s="1"/>
  <c r="Z226" i="10"/>
  <c r="V226" i="10"/>
  <c r="U226" i="10"/>
  <c r="T226" i="10"/>
  <c r="N226" i="10"/>
  <c r="L226" i="10"/>
  <c r="B226" i="10"/>
  <c r="Z225" i="10"/>
  <c r="U225" i="10"/>
  <c r="T225" i="10"/>
  <c r="N225" i="10"/>
  <c r="L225" i="10"/>
  <c r="B225" i="10"/>
  <c r="P225" i="10" s="1"/>
  <c r="Z224" i="10"/>
  <c r="U224" i="10"/>
  <c r="T224" i="10"/>
  <c r="N224" i="10"/>
  <c r="L224" i="10"/>
  <c r="B224" i="10"/>
  <c r="Z223" i="10"/>
  <c r="U223" i="10"/>
  <c r="V223" i="10" s="1"/>
  <c r="T223" i="10"/>
  <c r="N223" i="10"/>
  <c r="L223" i="10"/>
  <c r="B223" i="10"/>
  <c r="Z222" i="10"/>
  <c r="V222" i="10"/>
  <c r="U222" i="10"/>
  <c r="T222" i="10"/>
  <c r="N222" i="10"/>
  <c r="L222" i="10"/>
  <c r="J222" i="10"/>
  <c r="B222" i="10"/>
  <c r="P222" i="10" s="1"/>
  <c r="Z221" i="10"/>
  <c r="U221" i="10"/>
  <c r="T221" i="10"/>
  <c r="N221" i="10"/>
  <c r="L221" i="10"/>
  <c r="B221" i="10"/>
  <c r="P221" i="10" s="1"/>
  <c r="Z220" i="10"/>
  <c r="V220" i="10"/>
  <c r="U220" i="10"/>
  <c r="T220" i="10"/>
  <c r="N220" i="10"/>
  <c r="L220" i="10"/>
  <c r="J220" i="10"/>
  <c r="B220" i="10"/>
  <c r="Z219" i="10"/>
  <c r="V219" i="10"/>
  <c r="U219" i="10"/>
  <c r="T219" i="10"/>
  <c r="N219" i="10"/>
  <c r="L219" i="10"/>
  <c r="J219" i="10"/>
  <c r="B219" i="10"/>
  <c r="P219" i="10" s="1"/>
  <c r="Z218" i="10"/>
  <c r="V218" i="10"/>
  <c r="U218" i="10"/>
  <c r="T218" i="10"/>
  <c r="N218" i="10"/>
  <c r="L218" i="10"/>
  <c r="J218" i="10"/>
  <c r="B218" i="10"/>
  <c r="P218" i="10" s="1"/>
  <c r="Z217" i="10"/>
  <c r="U217" i="10"/>
  <c r="T217" i="10"/>
  <c r="N217" i="10"/>
  <c r="L217" i="10"/>
  <c r="B217" i="10"/>
  <c r="P217" i="10" s="1"/>
  <c r="Z216" i="10"/>
  <c r="V216" i="10"/>
  <c r="U216" i="10"/>
  <c r="T216" i="10"/>
  <c r="N216" i="10"/>
  <c r="L216" i="10"/>
  <c r="J216" i="10"/>
  <c r="B216" i="10"/>
  <c r="Z215" i="10"/>
  <c r="V215" i="10"/>
  <c r="U215" i="10"/>
  <c r="T215" i="10"/>
  <c r="N215" i="10"/>
  <c r="L215" i="10"/>
  <c r="J215" i="10"/>
  <c r="B215" i="10"/>
  <c r="P215" i="10" s="1"/>
  <c r="Z214" i="10"/>
  <c r="V214" i="10"/>
  <c r="U214" i="10"/>
  <c r="T214" i="10"/>
  <c r="N214" i="10"/>
  <c r="L214" i="10"/>
  <c r="J214" i="10"/>
  <c r="B214" i="10"/>
  <c r="P214" i="10" s="1"/>
  <c r="Z213" i="10"/>
  <c r="U213" i="10"/>
  <c r="T213" i="10"/>
  <c r="N213" i="10"/>
  <c r="L213" i="10"/>
  <c r="B213" i="10"/>
  <c r="P213" i="10" s="1"/>
  <c r="Z212" i="10"/>
  <c r="V212" i="10"/>
  <c r="U212" i="10"/>
  <c r="T212" i="10"/>
  <c r="N212" i="10"/>
  <c r="L212" i="10"/>
  <c r="B212" i="10"/>
  <c r="Z211" i="10"/>
  <c r="V211" i="10"/>
  <c r="U211" i="10"/>
  <c r="T211" i="10"/>
  <c r="N211" i="10"/>
  <c r="L211" i="10"/>
  <c r="J211" i="10"/>
  <c r="B211" i="10"/>
  <c r="P211" i="10" s="1"/>
  <c r="Z210" i="10"/>
  <c r="V210" i="10"/>
  <c r="U210" i="10"/>
  <c r="T210" i="10"/>
  <c r="N210" i="10"/>
  <c r="L210" i="10"/>
  <c r="J210" i="10"/>
  <c r="B210" i="10"/>
  <c r="P210" i="10" s="1"/>
  <c r="Z209" i="10"/>
  <c r="U209" i="10"/>
  <c r="T209" i="10"/>
  <c r="N209" i="10"/>
  <c r="L209" i="10"/>
  <c r="B209" i="10"/>
  <c r="P209" i="10" s="1"/>
  <c r="Z208" i="10"/>
  <c r="V208" i="10"/>
  <c r="U208" i="10"/>
  <c r="T208" i="10"/>
  <c r="N208" i="10"/>
  <c r="L208" i="10"/>
  <c r="B208" i="10"/>
  <c r="Z207" i="10"/>
  <c r="V207" i="10"/>
  <c r="U207" i="10"/>
  <c r="T207" i="10"/>
  <c r="N207" i="10"/>
  <c r="L207" i="10"/>
  <c r="J207" i="10"/>
  <c r="B207" i="10"/>
  <c r="P207" i="10" s="1"/>
  <c r="Z206" i="10"/>
  <c r="V206" i="10"/>
  <c r="U206" i="10"/>
  <c r="T206" i="10"/>
  <c r="N206" i="10"/>
  <c r="L206" i="10"/>
  <c r="J206" i="10"/>
  <c r="B206" i="10"/>
  <c r="P206" i="10" s="1"/>
  <c r="Z205" i="10"/>
  <c r="U205" i="10"/>
  <c r="T205" i="10"/>
  <c r="N205" i="10"/>
  <c r="L205" i="10"/>
  <c r="B205" i="10"/>
  <c r="P205" i="10" s="1"/>
  <c r="Z204" i="10"/>
  <c r="V204" i="10"/>
  <c r="U204" i="10"/>
  <c r="T204" i="10"/>
  <c r="N204" i="10"/>
  <c r="L204" i="10"/>
  <c r="J204" i="10" s="1"/>
  <c r="B204" i="10"/>
  <c r="Z203" i="10"/>
  <c r="V203" i="10"/>
  <c r="U203" i="10"/>
  <c r="T203" i="10"/>
  <c r="N203" i="10"/>
  <c r="L203" i="10"/>
  <c r="J203" i="10" s="1"/>
  <c r="B203" i="10"/>
  <c r="P203" i="10" s="1"/>
  <c r="Z202" i="10"/>
  <c r="V202" i="10"/>
  <c r="U202" i="10"/>
  <c r="T202" i="10"/>
  <c r="N202" i="10"/>
  <c r="L202" i="10"/>
  <c r="J202" i="10"/>
  <c r="B202" i="10"/>
  <c r="P202" i="10" s="1"/>
  <c r="Z201" i="10"/>
  <c r="U201" i="10"/>
  <c r="T201" i="10"/>
  <c r="N201" i="10"/>
  <c r="L201" i="10"/>
  <c r="B201" i="10"/>
  <c r="P201" i="10" s="1"/>
  <c r="Z200" i="10"/>
  <c r="V200" i="10"/>
  <c r="U200" i="10"/>
  <c r="T200" i="10"/>
  <c r="N200" i="10"/>
  <c r="L200" i="10"/>
  <c r="B200" i="10"/>
  <c r="Z199" i="10"/>
  <c r="V199" i="10"/>
  <c r="U199" i="10"/>
  <c r="T199" i="10"/>
  <c r="N199" i="10"/>
  <c r="L199" i="10"/>
  <c r="J199" i="10" s="1"/>
  <c r="B199" i="10"/>
  <c r="P199" i="10" s="1"/>
  <c r="Z198" i="10"/>
  <c r="V198" i="10"/>
  <c r="U198" i="10"/>
  <c r="T198" i="10"/>
  <c r="N198" i="10"/>
  <c r="L198" i="10"/>
  <c r="J198" i="10"/>
  <c r="B198" i="10"/>
  <c r="P198" i="10" s="1"/>
  <c r="Z197" i="10"/>
  <c r="U197" i="10"/>
  <c r="T197" i="10"/>
  <c r="N197" i="10"/>
  <c r="L197" i="10"/>
  <c r="B197" i="10"/>
  <c r="P197" i="10" s="1"/>
  <c r="Z196" i="10"/>
  <c r="V196" i="10"/>
  <c r="U196" i="10"/>
  <c r="T196" i="10"/>
  <c r="N196" i="10"/>
  <c r="L196" i="10"/>
  <c r="J196" i="10"/>
  <c r="B196" i="10"/>
  <c r="Z195" i="10"/>
  <c r="V195" i="10"/>
  <c r="U195" i="10"/>
  <c r="T195" i="10"/>
  <c r="N195" i="10"/>
  <c r="L195" i="10"/>
  <c r="J195" i="10" s="1"/>
  <c r="B195" i="10"/>
  <c r="P195" i="10" s="1"/>
  <c r="Z194" i="10"/>
  <c r="V194" i="10"/>
  <c r="U194" i="10"/>
  <c r="T194" i="10"/>
  <c r="N194" i="10"/>
  <c r="L194" i="10"/>
  <c r="J194" i="10"/>
  <c r="B194" i="10"/>
  <c r="P194" i="10" s="1"/>
  <c r="Z193" i="10"/>
  <c r="U193" i="10"/>
  <c r="T193" i="10"/>
  <c r="N193" i="10"/>
  <c r="L193" i="10"/>
  <c r="B193" i="10"/>
  <c r="P193" i="10" s="1"/>
  <c r="Z192" i="10"/>
  <c r="V192" i="10"/>
  <c r="U192" i="10"/>
  <c r="T192" i="10"/>
  <c r="N192" i="10"/>
  <c r="L192" i="10"/>
  <c r="J192" i="10"/>
  <c r="B192" i="10"/>
  <c r="Z191" i="10"/>
  <c r="V191" i="10"/>
  <c r="U191" i="10"/>
  <c r="T191" i="10"/>
  <c r="N191" i="10"/>
  <c r="L191" i="10"/>
  <c r="J191" i="10" s="1"/>
  <c r="B191" i="10"/>
  <c r="P191" i="10" s="1"/>
  <c r="Z190" i="10"/>
  <c r="V190" i="10"/>
  <c r="U190" i="10"/>
  <c r="T190" i="10"/>
  <c r="N190" i="10"/>
  <c r="L190" i="10"/>
  <c r="J190" i="10"/>
  <c r="B190" i="10"/>
  <c r="P190" i="10" s="1"/>
  <c r="Z189" i="10"/>
  <c r="U189" i="10"/>
  <c r="T189" i="10"/>
  <c r="N189" i="10"/>
  <c r="L189" i="10"/>
  <c r="B189" i="10"/>
  <c r="P189" i="10" s="1"/>
  <c r="Z188" i="10"/>
  <c r="V188" i="10"/>
  <c r="U188" i="10"/>
  <c r="T188" i="10"/>
  <c r="N188" i="10"/>
  <c r="L188" i="10"/>
  <c r="B188" i="10"/>
  <c r="Z187" i="10"/>
  <c r="V187" i="10"/>
  <c r="U187" i="10"/>
  <c r="T187" i="10"/>
  <c r="N187" i="10"/>
  <c r="L187" i="10"/>
  <c r="J187" i="10" s="1"/>
  <c r="B187" i="10"/>
  <c r="P187" i="10" s="1"/>
  <c r="Z186" i="10"/>
  <c r="V186" i="10"/>
  <c r="U186" i="10"/>
  <c r="T186" i="10"/>
  <c r="N186" i="10"/>
  <c r="L186" i="10"/>
  <c r="J186" i="10"/>
  <c r="B186" i="10"/>
  <c r="P186" i="10" s="1"/>
  <c r="Z185" i="10"/>
  <c r="U185" i="10"/>
  <c r="T185" i="10"/>
  <c r="N185" i="10"/>
  <c r="L185" i="10"/>
  <c r="B185" i="10"/>
  <c r="P185" i="10" s="1"/>
  <c r="Z184" i="10"/>
  <c r="V184" i="10"/>
  <c r="U184" i="10"/>
  <c r="T184" i="10"/>
  <c r="N184" i="10"/>
  <c r="L184" i="10"/>
  <c r="J184" i="10" s="1"/>
  <c r="B184" i="10"/>
  <c r="Z183" i="10"/>
  <c r="V183" i="10"/>
  <c r="U183" i="10"/>
  <c r="T183" i="10"/>
  <c r="N183" i="10"/>
  <c r="L183" i="10"/>
  <c r="J183" i="10" s="1"/>
  <c r="B183" i="10"/>
  <c r="P183" i="10" s="1"/>
  <c r="Z182" i="10"/>
  <c r="V182" i="10"/>
  <c r="U182" i="10"/>
  <c r="T182" i="10"/>
  <c r="N182" i="10"/>
  <c r="L182" i="10"/>
  <c r="J182" i="10"/>
  <c r="B182" i="10"/>
  <c r="P182" i="10" s="1"/>
  <c r="Z181" i="10"/>
  <c r="U181" i="10"/>
  <c r="T181" i="10"/>
  <c r="N181" i="10"/>
  <c r="L181" i="10"/>
  <c r="B181" i="10"/>
  <c r="P181" i="10" s="1"/>
  <c r="Z180" i="10"/>
  <c r="V180" i="10"/>
  <c r="U180" i="10"/>
  <c r="T180" i="10"/>
  <c r="N180" i="10"/>
  <c r="L180" i="10"/>
  <c r="J180" i="10"/>
  <c r="B180" i="10"/>
  <c r="Z179" i="10"/>
  <c r="V179" i="10"/>
  <c r="U179" i="10"/>
  <c r="T179" i="10"/>
  <c r="N179" i="10"/>
  <c r="L179" i="10"/>
  <c r="J179" i="10" s="1"/>
  <c r="B179" i="10"/>
  <c r="P179" i="10" s="1"/>
  <c r="Z178" i="10"/>
  <c r="V178" i="10"/>
  <c r="U178" i="10"/>
  <c r="T178" i="10"/>
  <c r="N178" i="10"/>
  <c r="L178" i="10"/>
  <c r="J178" i="10"/>
  <c r="B178" i="10"/>
  <c r="P178" i="10" s="1"/>
  <c r="Z177" i="10"/>
  <c r="U177" i="10"/>
  <c r="T177" i="10"/>
  <c r="N177" i="10"/>
  <c r="L177" i="10"/>
  <c r="B177" i="10"/>
  <c r="P177" i="10" s="1"/>
  <c r="Z176" i="10"/>
  <c r="V176" i="10"/>
  <c r="U176" i="10"/>
  <c r="T176" i="10"/>
  <c r="N176" i="10"/>
  <c r="L176" i="10"/>
  <c r="B176" i="10"/>
  <c r="Z175" i="10"/>
  <c r="V175" i="10"/>
  <c r="U175" i="10"/>
  <c r="T175" i="10"/>
  <c r="N175" i="10"/>
  <c r="L175" i="10"/>
  <c r="J175" i="10" s="1"/>
  <c r="B175" i="10"/>
  <c r="P175" i="10" s="1"/>
  <c r="Z174" i="10"/>
  <c r="V174" i="10"/>
  <c r="U174" i="10"/>
  <c r="T174" i="10"/>
  <c r="N174" i="10"/>
  <c r="L174" i="10"/>
  <c r="J174" i="10"/>
  <c r="B174" i="10"/>
  <c r="P174" i="10" s="1"/>
  <c r="Z173" i="10"/>
  <c r="U173" i="10"/>
  <c r="T173" i="10"/>
  <c r="N173" i="10"/>
  <c r="L173" i="10"/>
  <c r="B173" i="10"/>
  <c r="P173" i="10" s="1"/>
  <c r="Z172" i="10"/>
  <c r="V172" i="10"/>
  <c r="U172" i="10"/>
  <c r="T172" i="10"/>
  <c r="N172" i="10"/>
  <c r="L172" i="10"/>
  <c r="B172" i="10"/>
  <c r="Z171" i="10"/>
  <c r="V171" i="10"/>
  <c r="U171" i="10"/>
  <c r="T171" i="10"/>
  <c r="N171" i="10"/>
  <c r="L171" i="10"/>
  <c r="J171" i="10" s="1"/>
  <c r="B171" i="10"/>
  <c r="P171" i="10" s="1"/>
  <c r="Z170" i="10"/>
  <c r="V170" i="10"/>
  <c r="U170" i="10"/>
  <c r="T170" i="10"/>
  <c r="N170" i="10"/>
  <c r="L170" i="10"/>
  <c r="J170" i="10"/>
  <c r="B170" i="10"/>
  <c r="P170" i="10" s="1"/>
  <c r="Z169" i="10"/>
  <c r="U169" i="10"/>
  <c r="T169" i="10"/>
  <c r="N169" i="10"/>
  <c r="L169" i="10"/>
  <c r="B169" i="10"/>
  <c r="P169" i="10" s="1"/>
  <c r="Z168" i="10"/>
  <c r="V168" i="10"/>
  <c r="U168" i="10"/>
  <c r="T168" i="10"/>
  <c r="N168" i="10"/>
  <c r="L168" i="10"/>
  <c r="B168" i="10"/>
  <c r="Z167" i="10"/>
  <c r="V167" i="10"/>
  <c r="U167" i="10"/>
  <c r="T167" i="10"/>
  <c r="N167" i="10"/>
  <c r="L167" i="10"/>
  <c r="J167" i="10" s="1"/>
  <c r="B167" i="10"/>
  <c r="P167" i="10" s="1"/>
  <c r="Z166" i="10"/>
  <c r="V166" i="10"/>
  <c r="U166" i="10"/>
  <c r="T166" i="10"/>
  <c r="N166" i="10"/>
  <c r="L166" i="10"/>
  <c r="J166" i="10"/>
  <c r="B166" i="10"/>
  <c r="P166" i="10" s="1"/>
  <c r="Z165" i="10"/>
  <c r="U165" i="10"/>
  <c r="T165" i="10"/>
  <c r="N165" i="10"/>
  <c r="L165" i="10"/>
  <c r="B165" i="10"/>
  <c r="P165" i="10" s="1"/>
  <c r="Z164" i="10"/>
  <c r="V164" i="10"/>
  <c r="U164" i="10"/>
  <c r="T164" i="10"/>
  <c r="N164" i="10"/>
  <c r="L164" i="10"/>
  <c r="B164" i="10"/>
  <c r="Z163" i="10"/>
  <c r="V163" i="10"/>
  <c r="U163" i="10"/>
  <c r="T163" i="10"/>
  <c r="N163" i="10"/>
  <c r="L163" i="10"/>
  <c r="J163" i="10" s="1"/>
  <c r="B163" i="10"/>
  <c r="P163" i="10" s="1"/>
  <c r="Z162" i="10"/>
  <c r="V162" i="10"/>
  <c r="U162" i="10"/>
  <c r="T162" i="10"/>
  <c r="N162" i="10"/>
  <c r="L162" i="10"/>
  <c r="J162" i="10"/>
  <c r="B162" i="10"/>
  <c r="P162" i="10" s="1"/>
  <c r="Z161" i="10"/>
  <c r="U161" i="10"/>
  <c r="T161" i="10"/>
  <c r="N161" i="10"/>
  <c r="L161" i="10"/>
  <c r="B161" i="10"/>
  <c r="P161" i="10" s="1"/>
  <c r="Z160" i="10"/>
  <c r="V160" i="10"/>
  <c r="U160" i="10"/>
  <c r="T160" i="10"/>
  <c r="N160" i="10"/>
  <c r="L160" i="10"/>
  <c r="J160" i="10"/>
  <c r="B160" i="10"/>
  <c r="Z159" i="10"/>
  <c r="V159" i="10"/>
  <c r="U159" i="10"/>
  <c r="T159" i="10"/>
  <c r="N159" i="10"/>
  <c r="L159" i="10"/>
  <c r="B159" i="10"/>
  <c r="Z158" i="10"/>
  <c r="V158" i="10"/>
  <c r="U158" i="10"/>
  <c r="T158" i="10"/>
  <c r="N158" i="10"/>
  <c r="L158" i="10"/>
  <c r="J158" i="10"/>
  <c r="B158" i="10"/>
  <c r="P158" i="10" s="1"/>
  <c r="Z157" i="10"/>
  <c r="U157" i="10"/>
  <c r="T157" i="10"/>
  <c r="N157" i="10"/>
  <c r="L157" i="10"/>
  <c r="B157" i="10"/>
  <c r="P157" i="10" s="1"/>
  <c r="Z156" i="10"/>
  <c r="V156" i="10"/>
  <c r="U156" i="10"/>
  <c r="T156" i="10"/>
  <c r="N156" i="10"/>
  <c r="L156" i="10"/>
  <c r="J156" i="10"/>
  <c r="B156" i="10"/>
  <c r="Z155" i="10"/>
  <c r="V155" i="10"/>
  <c r="U155" i="10"/>
  <c r="T155" i="10"/>
  <c r="N155" i="10"/>
  <c r="L155" i="10"/>
  <c r="J155" i="10" s="1"/>
  <c r="B155" i="10"/>
  <c r="P155" i="10" s="1"/>
  <c r="Z154" i="10"/>
  <c r="V154" i="10"/>
  <c r="U154" i="10"/>
  <c r="T154" i="10"/>
  <c r="N154" i="10"/>
  <c r="L154" i="10"/>
  <c r="J154" i="10"/>
  <c r="B154" i="10"/>
  <c r="P154" i="10" s="1"/>
  <c r="Z153" i="10"/>
  <c r="U153" i="10"/>
  <c r="T153" i="10"/>
  <c r="N153" i="10"/>
  <c r="L153" i="10"/>
  <c r="B153" i="10"/>
  <c r="P153" i="10" s="1"/>
  <c r="Z152" i="10"/>
  <c r="V152" i="10"/>
  <c r="U152" i="10"/>
  <c r="T152" i="10"/>
  <c r="N152" i="10"/>
  <c r="L152" i="10"/>
  <c r="B152" i="10"/>
  <c r="Z151" i="10"/>
  <c r="V151" i="10"/>
  <c r="U151" i="10"/>
  <c r="T151" i="10"/>
  <c r="N151" i="10"/>
  <c r="L151" i="10"/>
  <c r="B151" i="10"/>
  <c r="Z150" i="10"/>
  <c r="V150" i="10"/>
  <c r="U150" i="10"/>
  <c r="T150" i="10"/>
  <c r="N150" i="10"/>
  <c r="L150" i="10"/>
  <c r="J150" i="10"/>
  <c r="B150" i="10"/>
  <c r="P150" i="10" s="1"/>
  <c r="Z149" i="10"/>
  <c r="U149" i="10"/>
  <c r="T149" i="10"/>
  <c r="N149" i="10"/>
  <c r="L149" i="10"/>
  <c r="B149" i="10"/>
  <c r="P149" i="10" s="1"/>
  <c r="Z148" i="10"/>
  <c r="V148" i="10"/>
  <c r="U148" i="10"/>
  <c r="T148" i="10"/>
  <c r="N148" i="10"/>
  <c r="L148" i="10"/>
  <c r="J148" i="10"/>
  <c r="B148" i="10"/>
  <c r="Z147" i="10"/>
  <c r="V147" i="10"/>
  <c r="U147" i="10"/>
  <c r="T147" i="10"/>
  <c r="N147" i="10"/>
  <c r="L147" i="10"/>
  <c r="B147" i="10"/>
  <c r="Z146" i="10"/>
  <c r="V146" i="10"/>
  <c r="U146" i="10"/>
  <c r="T146" i="10"/>
  <c r="N146" i="10"/>
  <c r="L146" i="10"/>
  <c r="J146" i="10"/>
  <c r="B146" i="10"/>
  <c r="P146" i="10" s="1"/>
  <c r="Z145" i="10"/>
  <c r="U145" i="10"/>
  <c r="T145" i="10"/>
  <c r="N145" i="10"/>
  <c r="L145" i="10"/>
  <c r="B145" i="10"/>
  <c r="P145" i="10" s="1"/>
  <c r="Z144" i="10"/>
  <c r="V144" i="10"/>
  <c r="U144" i="10"/>
  <c r="T144" i="10"/>
  <c r="N144" i="10"/>
  <c r="L144" i="10"/>
  <c r="J144" i="10"/>
  <c r="B144" i="10"/>
  <c r="Z143" i="10"/>
  <c r="V143" i="10"/>
  <c r="U143" i="10"/>
  <c r="T143" i="10"/>
  <c r="N143" i="10"/>
  <c r="L143" i="10"/>
  <c r="J143" i="10" s="1"/>
  <c r="B143" i="10"/>
  <c r="P143" i="10" s="1"/>
  <c r="Z142" i="10"/>
  <c r="V142" i="10"/>
  <c r="U142" i="10"/>
  <c r="T142" i="10"/>
  <c r="N142" i="10"/>
  <c r="L142" i="10"/>
  <c r="J142" i="10"/>
  <c r="B142" i="10"/>
  <c r="P142" i="10" s="1"/>
  <c r="Z141" i="10"/>
  <c r="U141" i="10"/>
  <c r="T141" i="10"/>
  <c r="N141" i="10"/>
  <c r="L141" i="10"/>
  <c r="B141" i="10"/>
  <c r="P141" i="10" s="1"/>
  <c r="Z140" i="10"/>
  <c r="V140" i="10"/>
  <c r="U140" i="10"/>
  <c r="T140" i="10"/>
  <c r="N140" i="10"/>
  <c r="L140" i="10"/>
  <c r="B140" i="10"/>
  <c r="Z139" i="10"/>
  <c r="V139" i="10"/>
  <c r="U139" i="10"/>
  <c r="T139" i="10"/>
  <c r="N139" i="10"/>
  <c r="L139" i="10"/>
  <c r="J139" i="10" s="1"/>
  <c r="B139" i="10"/>
  <c r="P139" i="10" s="1"/>
  <c r="Z138" i="10"/>
  <c r="V138" i="10"/>
  <c r="U138" i="10"/>
  <c r="T138" i="10"/>
  <c r="N138" i="10"/>
  <c r="L138" i="10"/>
  <c r="J138" i="10"/>
  <c r="B138" i="10"/>
  <c r="P138" i="10" s="1"/>
  <c r="Z137" i="10"/>
  <c r="U137" i="10"/>
  <c r="T137" i="10"/>
  <c r="N137" i="10"/>
  <c r="L137" i="10"/>
  <c r="B137" i="10"/>
  <c r="P137" i="10" s="1"/>
  <c r="Z136" i="10"/>
  <c r="V136" i="10"/>
  <c r="U136" i="10"/>
  <c r="T136" i="10"/>
  <c r="N136" i="10"/>
  <c r="L136" i="10"/>
  <c r="B136" i="10"/>
  <c r="Z135" i="10"/>
  <c r="V135" i="10"/>
  <c r="U135" i="10"/>
  <c r="T135" i="10"/>
  <c r="N135" i="10"/>
  <c r="L135" i="10"/>
  <c r="B135" i="10"/>
  <c r="Z134" i="10"/>
  <c r="V134" i="10"/>
  <c r="U134" i="10"/>
  <c r="T134" i="10"/>
  <c r="N134" i="10"/>
  <c r="L134" i="10"/>
  <c r="J134" i="10"/>
  <c r="B134" i="10"/>
  <c r="P134" i="10" s="1"/>
  <c r="Z133" i="10"/>
  <c r="V133" i="10"/>
  <c r="T133" i="10"/>
  <c r="N133" i="10"/>
  <c r="L133" i="10"/>
  <c r="J133" i="10"/>
  <c r="B133" i="10"/>
  <c r="Z132" i="10"/>
  <c r="V132" i="10"/>
  <c r="T132" i="10"/>
  <c r="N132" i="10"/>
  <c r="L132" i="10"/>
  <c r="J132" i="10"/>
  <c r="B132" i="10"/>
  <c r="Z131" i="10"/>
  <c r="V131" i="10"/>
  <c r="T131" i="10"/>
  <c r="N131" i="10"/>
  <c r="L131" i="10"/>
  <c r="J131" i="10"/>
  <c r="B131" i="10"/>
  <c r="P131" i="10" s="1"/>
  <c r="Z130" i="10"/>
  <c r="V130" i="10"/>
  <c r="T130" i="10"/>
  <c r="N130" i="10"/>
  <c r="L130" i="10"/>
  <c r="J130" i="10"/>
  <c r="B130" i="10"/>
  <c r="Z129" i="10"/>
  <c r="V129" i="10"/>
  <c r="T129" i="10"/>
  <c r="N129" i="10"/>
  <c r="L129" i="10"/>
  <c r="J129" i="10"/>
  <c r="B129" i="10"/>
  <c r="Z128" i="10"/>
  <c r="V128" i="10"/>
  <c r="T128" i="10"/>
  <c r="N128" i="10"/>
  <c r="L128" i="10"/>
  <c r="J128" i="10"/>
  <c r="B128" i="10"/>
  <c r="P128" i="10" s="1"/>
  <c r="Z127" i="10"/>
  <c r="V127" i="10"/>
  <c r="T127" i="10"/>
  <c r="N127" i="10"/>
  <c r="L127" i="10"/>
  <c r="J127" i="10"/>
  <c r="B127" i="10"/>
  <c r="P127" i="10" s="1"/>
  <c r="Z125" i="10"/>
  <c r="U125" i="10"/>
  <c r="V125" i="10" s="1"/>
  <c r="T125" i="10"/>
  <c r="N125" i="10"/>
  <c r="L125" i="10"/>
  <c r="J125" i="10" s="1"/>
  <c r="B125" i="10"/>
  <c r="Z124" i="10"/>
  <c r="V124" i="10"/>
  <c r="U124" i="10"/>
  <c r="J124" i="10" s="1"/>
  <c r="T124" i="10"/>
  <c r="N124" i="10"/>
  <c r="L124" i="10"/>
  <c r="B124" i="10"/>
  <c r="Z123" i="10"/>
  <c r="U123" i="10"/>
  <c r="J123" i="10" s="1"/>
  <c r="T123" i="10"/>
  <c r="N123" i="10"/>
  <c r="L123" i="10"/>
  <c r="B123" i="10"/>
  <c r="Z122" i="10"/>
  <c r="V122" i="10"/>
  <c r="U122" i="10"/>
  <c r="T122" i="10"/>
  <c r="N122" i="10"/>
  <c r="L122" i="10"/>
  <c r="J122" i="10"/>
  <c r="B122" i="10"/>
  <c r="Z121" i="10"/>
  <c r="U121" i="10"/>
  <c r="T121" i="10"/>
  <c r="N121" i="10"/>
  <c r="L121" i="10"/>
  <c r="B121" i="10"/>
  <c r="Z120" i="10"/>
  <c r="V120" i="10"/>
  <c r="U120" i="10"/>
  <c r="T120" i="10"/>
  <c r="N120" i="10"/>
  <c r="L120" i="10"/>
  <c r="J120" i="10"/>
  <c r="B120" i="10"/>
  <c r="Z119" i="10"/>
  <c r="U119" i="10"/>
  <c r="T119" i="10"/>
  <c r="N119" i="10"/>
  <c r="L119" i="10"/>
  <c r="B119" i="10"/>
  <c r="Z118" i="10"/>
  <c r="V118" i="10"/>
  <c r="U118" i="10"/>
  <c r="T118" i="10"/>
  <c r="N118" i="10"/>
  <c r="L118" i="10"/>
  <c r="J118" i="10"/>
  <c r="B118" i="10"/>
  <c r="P118" i="10" s="1"/>
  <c r="Z117" i="10"/>
  <c r="U117" i="10"/>
  <c r="V117" i="10" s="1"/>
  <c r="T117" i="10"/>
  <c r="N117" i="10"/>
  <c r="L117" i="10"/>
  <c r="B117" i="10"/>
  <c r="Z116" i="10"/>
  <c r="V116" i="10"/>
  <c r="U116" i="10"/>
  <c r="T116" i="10"/>
  <c r="N116" i="10"/>
  <c r="L116" i="10"/>
  <c r="J116" i="10"/>
  <c r="B116" i="10"/>
  <c r="Z115" i="10"/>
  <c r="V115" i="10"/>
  <c r="U115" i="10"/>
  <c r="J115" i="10" s="1"/>
  <c r="T115" i="10"/>
  <c r="N115" i="10"/>
  <c r="L115" i="10"/>
  <c r="B115" i="10"/>
  <c r="Z114" i="10"/>
  <c r="U114" i="10"/>
  <c r="V114" i="10" s="1"/>
  <c r="T114" i="10"/>
  <c r="N114" i="10"/>
  <c r="L114" i="10"/>
  <c r="J114" i="10"/>
  <c r="B114" i="10"/>
  <c r="P114" i="10" s="1"/>
  <c r="Z113" i="10"/>
  <c r="U113" i="10"/>
  <c r="T113" i="10"/>
  <c r="N113" i="10"/>
  <c r="L113" i="10"/>
  <c r="B113" i="10"/>
  <c r="P113" i="10" s="1"/>
  <c r="Z112" i="10"/>
  <c r="U112" i="10"/>
  <c r="V112" i="10" s="1"/>
  <c r="T112" i="10"/>
  <c r="N112" i="10"/>
  <c r="L112" i="10"/>
  <c r="J112" i="10"/>
  <c r="B112" i="10"/>
  <c r="Z111" i="10"/>
  <c r="Y111" i="10"/>
  <c r="X111" i="10"/>
  <c r="U111" i="10"/>
  <c r="T111" i="10"/>
  <c r="Q111" i="10"/>
  <c r="L111" i="10" s="1"/>
  <c r="O111" i="10"/>
  <c r="N111" i="10"/>
  <c r="B111" i="10"/>
  <c r="Z110" i="10"/>
  <c r="V110" i="10"/>
  <c r="U110" i="10"/>
  <c r="T110" i="10"/>
  <c r="N110" i="10"/>
  <c r="L110" i="10"/>
  <c r="J110" i="10"/>
  <c r="B110" i="10"/>
  <c r="Z109" i="10"/>
  <c r="V109" i="10"/>
  <c r="U109" i="10"/>
  <c r="J109" i="10" s="1"/>
  <c r="T109" i="10"/>
  <c r="N109" i="10"/>
  <c r="L109" i="10"/>
  <c r="B109" i="10"/>
  <c r="P109" i="10" s="1"/>
  <c r="Z108" i="10"/>
  <c r="U108" i="10"/>
  <c r="V108" i="10" s="1"/>
  <c r="T108" i="10"/>
  <c r="N108" i="10"/>
  <c r="L108" i="10"/>
  <c r="J108" i="10"/>
  <c r="B108" i="10"/>
  <c r="Z107" i="10"/>
  <c r="V107" i="10"/>
  <c r="U107" i="10"/>
  <c r="T107" i="10"/>
  <c r="N107" i="10"/>
  <c r="L107" i="10"/>
  <c r="J107" i="10"/>
  <c r="B107" i="10"/>
  <c r="Z106" i="10"/>
  <c r="V106" i="10"/>
  <c r="U106" i="10"/>
  <c r="T106" i="10"/>
  <c r="N106" i="10"/>
  <c r="L106" i="10"/>
  <c r="J106" i="10"/>
  <c r="B106" i="10"/>
  <c r="Z105" i="10"/>
  <c r="V105" i="10"/>
  <c r="U105" i="10"/>
  <c r="T105" i="10"/>
  <c r="N105" i="10"/>
  <c r="L105" i="10"/>
  <c r="J105" i="10"/>
  <c r="B105" i="10"/>
  <c r="Z104" i="10"/>
  <c r="U104" i="10"/>
  <c r="V104" i="10" s="1"/>
  <c r="T104" i="10"/>
  <c r="N104" i="10"/>
  <c r="L104" i="10"/>
  <c r="J104" i="10"/>
  <c r="B104" i="10"/>
  <c r="Z103" i="10"/>
  <c r="V103" i="10"/>
  <c r="U103" i="10"/>
  <c r="J103" i="10" s="1"/>
  <c r="T103" i="10"/>
  <c r="N103" i="10"/>
  <c r="L103" i="10"/>
  <c r="B103" i="10"/>
  <c r="Z102" i="10"/>
  <c r="V102" i="10"/>
  <c r="U102" i="10"/>
  <c r="T102" i="10"/>
  <c r="N102" i="10"/>
  <c r="L102" i="10"/>
  <c r="J102" i="10"/>
  <c r="B102" i="10"/>
  <c r="P102" i="10" s="1"/>
  <c r="Z101" i="10"/>
  <c r="V101" i="10"/>
  <c r="U101" i="10"/>
  <c r="T101" i="10"/>
  <c r="N101" i="10"/>
  <c r="L101" i="10"/>
  <c r="B101" i="10"/>
  <c r="Z100" i="10"/>
  <c r="U100" i="10"/>
  <c r="V100" i="10" s="1"/>
  <c r="T100" i="10"/>
  <c r="N100" i="10"/>
  <c r="L100" i="10"/>
  <c r="J100" i="10"/>
  <c r="B100" i="10"/>
  <c r="P100" i="10" s="1"/>
  <c r="Z99" i="10"/>
  <c r="V99" i="10"/>
  <c r="U99" i="10"/>
  <c r="J99" i="10" s="1"/>
  <c r="T99" i="10"/>
  <c r="N99" i="10"/>
  <c r="L99" i="10"/>
  <c r="B99" i="10"/>
  <c r="Z98" i="10"/>
  <c r="V98" i="10"/>
  <c r="U98" i="10"/>
  <c r="T98" i="10"/>
  <c r="N98" i="10"/>
  <c r="L98" i="10"/>
  <c r="J98" i="10"/>
  <c r="B98" i="10"/>
  <c r="Z97" i="10"/>
  <c r="U97" i="10"/>
  <c r="V97" i="10" s="1"/>
  <c r="T97" i="10"/>
  <c r="N97" i="10"/>
  <c r="L97" i="10"/>
  <c r="J97" i="10"/>
  <c r="B97" i="10"/>
  <c r="Z96" i="10"/>
  <c r="U96" i="10"/>
  <c r="T96" i="10"/>
  <c r="N96" i="10"/>
  <c r="L96" i="10"/>
  <c r="B96" i="10"/>
  <c r="Z95" i="10"/>
  <c r="U95" i="10"/>
  <c r="T95" i="10"/>
  <c r="N95" i="10"/>
  <c r="L95" i="10"/>
  <c r="B95" i="10"/>
  <c r="Z94" i="10"/>
  <c r="V94" i="10"/>
  <c r="U94" i="10"/>
  <c r="T94" i="10"/>
  <c r="N94" i="10"/>
  <c r="L94" i="10"/>
  <c r="J94" i="10"/>
  <c r="B94" i="10"/>
  <c r="P94" i="10" s="1"/>
  <c r="Z93" i="10"/>
  <c r="U93" i="10"/>
  <c r="T93" i="10"/>
  <c r="N93" i="10"/>
  <c r="L93" i="10"/>
  <c r="B93" i="10"/>
  <c r="P93" i="10" s="1"/>
  <c r="Z92" i="10"/>
  <c r="U92" i="10"/>
  <c r="V92" i="10" s="1"/>
  <c r="T92" i="10"/>
  <c r="N92" i="10"/>
  <c r="L92" i="10"/>
  <c r="J92" i="10"/>
  <c r="B92" i="10"/>
  <c r="P92" i="10" s="1"/>
  <c r="Z91" i="10"/>
  <c r="U91" i="10"/>
  <c r="V91" i="10" s="1"/>
  <c r="T91" i="10"/>
  <c r="N91" i="10"/>
  <c r="L91" i="10"/>
  <c r="J91" i="10"/>
  <c r="B91" i="10"/>
  <c r="Z90" i="10"/>
  <c r="V90" i="10"/>
  <c r="U90" i="10"/>
  <c r="T90" i="10"/>
  <c r="N90" i="10"/>
  <c r="L90" i="10"/>
  <c r="J90" i="10"/>
  <c r="B90" i="10"/>
  <c r="P90" i="10" s="1"/>
  <c r="Z89" i="10"/>
  <c r="U89" i="10"/>
  <c r="V89" i="10" s="1"/>
  <c r="T89" i="10"/>
  <c r="N89" i="10"/>
  <c r="L89" i="10"/>
  <c r="B89" i="10"/>
  <c r="P89" i="10" s="1"/>
  <c r="Z88" i="10"/>
  <c r="U88" i="10"/>
  <c r="V88" i="10" s="1"/>
  <c r="T88" i="10"/>
  <c r="N88" i="10"/>
  <c r="L88" i="10"/>
  <c r="J88" i="10"/>
  <c r="B88" i="10"/>
  <c r="Z87" i="10"/>
  <c r="V87" i="10"/>
  <c r="U87" i="10"/>
  <c r="J87" i="10" s="1"/>
  <c r="T87" i="10"/>
  <c r="N87" i="10"/>
  <c r="L87" i="10"/>
  <c r="B87" i="10"/>
  <c r="Z86" i="10"/>
  <c r="V86" i="10"/>
  <c r="U86" i="10"/>
  <c r="T86" i="10"/>
  <c r="N86" i="10"/>
  <c r="L86" i="10"/>
  <c r="J86" i="10"/>
  <c r="B86" i="10"/>
  <c r="P86" i="10" s="1"/>
  <c r="Z85" i="10"/>
  <c r="U85" i="10"/>
  <c r="V85" i="10" s="1"/>
  <c r="T85" i="10"/>
  <c r="N85" i="10"/>
  <c r="L85" i="10"/>
  <c r="J85" i="10"/>
  <c r="B85" i="10"/>
  <c r="Z84" i="10"/>
  <c r="U84" i="10"/>
  <c r="V84" i="10" s="1"/>
  <c r="T84" i="10"/>
  <c r="N84" i="10"/>
  <c r="L84" i="10"/>
  <c r="J84" i="10"/>
  <c r="B84" i="10"/>
  <c r="Z83" i="10"/>
  <c r="V83" i="10"/>
  <c r="U83" i="10"/>
  <c r="T83" i="10"/>
  <c r="N83" i="10"/>
  <c r="L83" i="10"/>
  <c r="J83" i="10"/>
  <c r="B83" i="10"/>
  <c r="Z82" i="10"/>
  <c r="V82" i="10"/>
  <c r="U82" i="10"/>
  <c r="T82" i="10"/>
  <c r="N82" i="10"/>
  <c r="L82" i="10"/>
  <c r="J82" i="10"/>
  <c r="B82" i="10"/>
  <c r="Z81" i="10"/>
  <c r="V81" i="10"/>
  <c r="U81" i="10"/>
  <c r="T81" i="10"/>
  <c r="N81" i="10"/>
  <c r="L81" i="10"/>
  <c r="J81" i="10"/>
  <c r="B81" i="10"/>
  <c r="Z80" i="10"/>
  <c r="U80" i="10"/>
  <c r="V80" i="10" s="1"/>
  <c r="T80" i="10"/>
  <c r="N80" i="10"/>
  <c r="L80" i="10"/>
  <c r="J80" i="10"/>
  <c r="B80" i="10"/>
  <c r="Z79" i="10"/>
  <c r="V79" i="10"/>
  <c r="U79" i="10"/>
  <c r="T79" i="10"/>
  <c r="N79" i="10"/>
  <c r="L79" i="10"/>
  <c r="J79" i="10"/>
  <c r="B79" i="10"/>
  <c r="Z78" i="10"/>
  <c r="V78" i="10"/>
  <c r="U78" i="10"/>
  <c r="T78" i="10"/>
  <c r="N78" i="10"/>
  <c r="L78" i="10"/>
  <c r="J78" i="10"/>
  <c r="B78" i="10"/>
  <c r="Z77" i="10"/>
  <c r="V77" i="10"/>
  <c r="U77" i="10"/>
  <c r="T77" i="10"/>
  <c r="N77" i="10"/>
  <c r="L77" i="10"/>
  <c r="B77" i="10"/>
  <c r="Z76" i="10"/>
  <c r="U76" i="10"/>
  <c r="V76" i="10" s="1"/>
  <c r="T76" i="10"/>
  <c r="N76" i="10"/>
  <c r="L76" i="10"/>
  <c r="J76" i="10"/>
  <c r="B76" i="10"/>
  <c r="Z75" i="10"/>
  <c r="V75" i="10"/>
  <c r="U75" i="10"/>
  <c r="T75" i="10"/>
  <c r="N75" i="10"/>
  <c r="L75" i="10"/>
  <c r="J75" i="10"/>
  <c r="B75" i="10"/>
  <c r="Z74" i="10"/>
  <c r="V74" i="10"/>
  <c r="U74" i="10"/>
  <c r="T74" i="10"/>
  <c r="N74" i="10"/>
  <c r="L74" i="10"/>
  <c r="J74" i="10"/>
  <c r="B74" i="10"/>
  <c r="Z73" i="10"/>
  <c r="V73" i="10"/>
  <c r="U73" i="10"/>
  <c r="T73" i="10"/>
  <c r="N73" i="10"/>
  <c r="L73" i="10"/>
  <c r="J73" i="10"/>
  <c r="B73" i="10"/>
  <c r="Z72" i="10"/>
  <c r="U72" i="10"/>
  <c r="V72" i="10" s="1"/>
  <c r="T72" i="10"/>
  <c r="N72" i="10"/>
  <c r="L72" i="10"/>
  <c r="B72" i="10"/>
  <c r="Z71" i="10"/>
  <c r="U71" i="10"/>
  <c r="T71" i="10"/>
  <c r="N71" i="10"/>
  <c r="L71" i="10"/>
  <c r="B71" i="10"/>
  <c r="Z70" i="10"/>
  <c r="V70" i="10"/>
  <c r="U70" i="10"/>
  <c r="T70" i="10"/>
  <c r="N70" i="10"/>
  <c r="L70" i="10"/>
  <c r="J70" i="10"/>
  <c r="B70" i="10"/>
  <c r="P70" i="10" s="1"/>
  <c r="Z69" i="10"/>
  <c r="U69" i="10"/>
  <c r="V69" i="10" s="1"/>
  <c r="T69" i="10"/>
  <c r="N69" i="10"/>
  <c r="L69" i="10"/>
  <c r="J69" i="10"/>
  <c r="B69" i="10"/>
  <c r="P69" i="10" s="1"/>
  <c r="Z68" i="10"/>
  <c r="U68" i="10"/>
  <c r="T68" i="10"/>
  <c r="N68" i="10"/>
  <c r="L68" i="10"/>
  <c r="B68" i="10"/>
  <c r="P68" i="10" s="1"/>
  <c r="Z67" i="10"/>
  <c r="U67" i="10"/>
  <c r="V67" i="10" s="1"/>
  <c r="T67" i="10"/>
  <c r="N67" i="10"/>
  <c r="L67" i="10"/>
  <c r="J67" i="10"/>
  <c r="B67" i="10"/>
  <c r="Z66" i="10"/>
  <c r="V66" i="10"/>
  <c r="U66" i="10"/>
  <c r="T66" i="10"/>
  <c r="N66" i="10"/>
  <c r="L66" i="10"/>
  <c r="J66" i="10"/>
  <c r="B66" i="10"/>
  <c r="P66" i="10" s="1"/>
  <c r="Z65" i="10"/>
  <c r="V65" i="10"/>
  <c r="U65" i="10"/>
  <c r="J65" i="10" s="1"/>
  <c r="T65" i="10"/>
  <c r="N65" i="10"/>
  <c r="L65" i="10"/>
  <c r="B65" i="10"/>
  <c r="Z64" i="10"/>
  <c r="U64" i="10"/>
  <c r="V64" i="10" s="1"/>
  <c r="T64" i="10"/>
  <c r="N64" i="10"/>
  <c r="L64" i="10"/>
  <c r="J64" i="10"/>
  <c r="B64" i="10"/>
  <c r="Z63" i="10"/>
  <c r="V63" i="10"/>
  <c r="U63" i="10"/>
  <c r="J63" i="10" s="1"/>
  <c r="T63" i="10"/>
  <c r="N63" i="10"/>
  <c r="L63" i="10"/>
  <c r="B63" i="10"/>
  <c r="Z62" i="10"/>
  <c r="V62" i="10"/>
  <c r="U62" i="10"/>
  <c r="J62" i="10" s="1"/>
  <c r="T62" i="10"/>
  <c r="N62" i="10"/>
  <c r="L62" i="10"/>
  <c r="B62" i="10"/>
  <c r="Z61" i="10"/>
  <c r="U61" i="10"/>
  <c r="V61" i="10" s="1"/>
  <c r="T61" i="10"/>
  <c r="N61" i="10"/>
  <c r="L61" i="10"/>
  <c r="J61" i="10"/>
  <c r="B61" i="10"/>
  <c r="Z60" i="10"/>
  <c r="U60" i="10"/>
  <c r="V60" i="10" s="1"/>
  <c r="T60" i="10"/>
  <c r="N60" i="10"/>
  <c r="L60" i="10"/>
  <c r="B60" i="10"/>
  <c r="P60" i="10" s="1"/>
  <c r="Z59" i="10"/>
  <c r="U59" i="10"/>
  <c r="T59" i="10"/>
  <c r="N59" i="10"/>
  <c r="L59" i="10"/>
  <c r="B59" i="10"/>
  <c r="Z58" i="10"/>
  <c r="V58" i="10"/>
  <c r="U58" i="10"/>
  <c r="J58" i="10" s="1"/>
  <c r="T58" i="10"/>
  <c r="N58" i="10"/>
  <c r="L58" i="10"/>
  <c r="B58" i="10"/>
  <c r="P58" i="10" s="1"/>
  <c r="Z57" i="10"/>
  <c r="V57" i="10"/>
  <c r="U57" i="10"/>
  <c r="T57" i="10"/>
  <c r="N57" i="10"/>
  <c r="L57" i="10"/>
  <c r="B57" i="10"/>
  <c r="Z56" i="10"/>
  <c r="U56" i="10"/>
  <c r="V56" i="10" s="1"/>
  <c r="T56" i="10"/>
  <c r="N56" i="10"/>
  <c r="L56" i="10"/>
  <c r="J56" i="10"/>
  <c r="B56" i="10"/>
  <c r="P56" i="10" s="1"/>
  <c r="Z55" i="10"/>
  <c r="V55" i="10"/>
  <c r="U55" i="10"/>
  <c r="T55" i="10"/>
  <c r="N55" i="10"/>
  <c r="L55" i="10"/>
  <c r="J55" i="10"/>
  <c r="B55" i="10"/>
  <c r="Z54" i="10"/>
  <c r="U54" i="10"/>
  <c r="V54" i="10" s="1"/>
  <c r="T54" i="10"/>
  <c r="N54" i="10"/>
  <c r="L54" i="10"/>
  <c r="J54" i="10"/>
  <c r="B54" i="10"/>
  <c r="Z53" i="10"/>
  <c r="U53" i="10"/>
  <c r="V53" i="10" s="1"/>
  <c r="T53" i="10"/>
  <c r="N53" i="10"/>
  <c r="L53" i="10"/>
  <c r="J53" i="10"/>
  <c r="B53" i="10"/>
  <c r="Z52" i="10"/>
  <c r="V52" i="10"/>
  <c r="U52" i="10"/>
  <c r="T52" i="10"/>
  <c r="N52" i="10"/>
  <c r="L52" i="10"/>
  <c r="J52" i="10" s="1"/>
  <c r="B52" i="10"/>
  <c r="Z51" i="10"/>
  <c r="U51" i="10"/>
  <c r="T51" i="10"/>
  <c r="N51" i="10"/>
  <c r="L51" i="10"/>
  <c r="B51" i="10"/>
  <c r="Z50" i="10"/>
  <c r="U50" i="10"/>
  <c r="V50" i="10" s="1"/>
  <c r="T50" i="10"/>
  <c r="N50" i="10"/>
  <c r="L50" i="10"/>
  <c r="J50" i="10"/>
  <c r="B50" i="10"/>
  <c r="Z49" i="10"/>
  <c r="U49" i="10"/>
  <c r="T49" i="10"/>
  <c r="N49" i="10"/>
  <c r="L49" i="10"/>
  <c r="B49" i="10"/>
  <c r="Z48" i="10"/>
  <c r="V48" i="10"/>
  <c r="U48" i="10"/>
  <c r="T48" i="10"/>
  <c r="N48" i="10"/>
  <c r="L48" i="10"/>
  <c r="B48" i="10"/>
  <c r="Z47" i="10"/>
  <c r="V47" i="10"/>
  <c r="U47" i="10"/>
  <c r="T47" i="10"/>
  <c r="N47" i="10"/>
  <c r="L47" i="10"/>
  <c r="J47" i="10"/>
  <c r="B47" i="10"/>
  <c r="Z46" i="10"/>
  <c r="U46" i="10"/>
  <c r="T46" i="10"/>
  <c r="N46" i="10"/>
  <c r="L46" i="10"/>
  <c r="B46" i="10"/>
  <c r="P46" i="10" s="1"/>
  <c r="Z45" i="10"/>
  <c r="U45" i="10"/>
  <c r="V45" i="10" s="1"/>
  <c r="T45" i="10"/>
  <c r="N45" i="10"/>
  <c r="L45" i="10"/>
  <c r="B45" i="10"/>
  <c r="Z44" i="10"/>
  <c r="V44" i="10"/>
  <c r="U44" i="10"/>
  <c r="T44" i="10"/>
  <c r="N44" i="10"/>
  <c r="M44" i="10"/>
  <c r="L44" i="10"/>
  <c r="J44" i="10"/>
  <c r="B44" i="10"/>
  <c r="Z43" i="10"/>
  <c r="V43" i="10"/>
  <c r="U43" i="10"/>
  <c r="T43" i="10"/>
  <c r="N43" i="10"/>
  <c r="L43" i="10"/>
  <c r="J43" i="10"/>
  <c r="B43" i="10"/>
  <c r="Z42" i="10"/>
  <c r="V42" i="10"/>
  <c r="U42" i="10"/>
  <c r="J42" i="10" s="1"/>
  <c r="T42" i="10"/>
  <c r="N42" i="10"/>
  <c r="M42" i="10"/>
  <c r="L42" i="10"/>
  <c r="B42" i="10"/>
  <c r="Z41" i="10"/>
  <c r="V41" i="10"/>
  <c r="U41" i="10"/>
  <c r="T41" i="10"/>
  <c r="N41" i="10"/>
  <c r="L41" i="10"/>
  <c r="M41" i="10" s="1"/>
  <c r="B41" i="10"/>
  <c r="Z40" i="10"/>
  <c r="U40" i="10"/>
  <c r="V40" i="10" s="1"/>
  <c r="T40" i="10"/>
  <c r="N40" i="10"/>
  <c r="L40" i="10"/>
  <c r="B40" i="10"/>
  <c r="Z39" i="10"/>
  <c r="U39" i="10"/>
  <c r="T39" i="10"/>
  <c r="N39" i="10"/>
  <c r="M39" i="10"/>
  <c r="L39" i="10"/>
  <c r="B39" i="10"/>
  <c r="Z38" i="10"/>
  <c r="V38" i="10"/>
  <c r="U38" i="10"/>
  <c r="J38" i="10" s="1"/>
  <c r="T38" i="10"/>
  <c r="N38" i="10"/>
  <c r="L38" i="10"/>
  <c r="M38" i="10" s="1"/>
  <c r="B38" i="10"/>
  <c r="Z37" i="10"/>
  <c r="V37" i="10"/>
  <c r="U37" i="10"/>
  <c r="T37" i="10"/>
  <c r="N37" i="10"/>
  <c r="L37" i="10"/>
  <c r="B37" i="10"/>
  <c r="Z36" i="10"/>
  <c r="V36" i="10"/>
  <c r="U36" i="10"/>
  <c r="T36" i="10"/>
  <c r="N36" i="10"/>
  <c r="M36" i="10"/>
  <c r="L36" i="10"/>
  <c r="J36" i="10"/>
  <c r="B36" i="10"/>
  <c r="Z35" i="10"/>
  <c r="U35" i="10"/>
  <c r="V35" i="10" s="1"/>
  <c r="T35" i="10"/>
  <c r="N35" i="10"/>
  <c r="L35" i="10"/>
  <c r="M35" i="10" s="1"/>
  <c r="J35" i="10"/>
  <c r="B35" i="10"/>
  <c r="P35" i="10" s="1"/>
  <c r="Z34" i="10"/>
  <c r="U34" i="10"/>
  <c r="V34" i="10" s="1"/>
  <c r="T34" i="10"/>
  <c r="N34" i="10"/>
  <c r="L34" i="10"/>
  <c r="B34" i="10"/>
  <c r="Z33" i="10"/>
  <c r="U33" i="10"/>
  <c r="V33" i="10" s="1"/>
  <c r="T33" i="10"/>
  <c r="N33" i="10"/>
  <c r="L33" i="10"/>
  <c r="B33" i="10"/>
  <c r="Z32" i="10"/>
  <c r="U32" i="10"/>
  <c r="V32" i="10" s="1"/>
  <c r="T32" i="10"/>
  <c r="N32" i="10"/>
  <c r="L32" i="10"/>
  <c r="M32" i="10" s="1"/>
  <c r="B32" i="10"/>
  <c r="Z31" i="10"/>
  <c r="V31" i="10"/>
  <c r="U31" i="10"/>
  <c r="T31" i="10"/>
  <c r="N31" i="10"/>
  <c r="M31" i="10"/>
  <c r="L31" i="10"/>
  <c r="J31" i="10" s="1"/>
  <c r="B31" i="10"/>
  <c r="Z30" i="10"/>
  <c r="V30" i="10"/>
  <c r="U30" i="10"/>
  <c r="J30" i="10" s="1"/>
  <c r="T30" i="10"/>
  <c r="N30" i="10"/>
  <c r="M30" i="10"/>
  <c r="L30" i="10"/>
  <c r="B30" i="10"/>
  <c r="Z29" i="10"/>
  <c r="V29" i="10"/>
  <c r="U29" i="10"/>
  <c r="J29" i="10" s="1"/>
  <c r="T29" i="10"/>
  <c r="N29" i="10"/>
  <c r="L29" i="10"/>
  <c r="M29" i="10" s="1"/>
  <c r="B29" i="10"/>
  <c r="Z28" i="10"/>
  <c r="U28" i="10"/>
  <c r="V28" i="10" s="1"/>
  <c r="T28" i="10"/>
  <c r="N28" i="10"/>
  <c r="M28" i="10"/>
  <c r="L28" i="10"/>
  <c r="B28" i="10"/>
  <c r="P28" i="10" s="1"/>
  <c r="Z27" i="10"/>
  <c r="U27" i="10"/>
  <c r="V27" i="10" s="1"/>
  <c r="T27" i="10"/>
  <c r="N27" i="10"/>
  <c r="M27" i="10"/>
  <c r="L27" i="10"/>
  <c r="J27" i="10"/>
  <c r="B27" i="10"/>
  <c r="P27" i="10" s="1"/>
  <c r="Z26" i="10"/>
  <c r="U26" i="10"/>
  <c r="V26" i="10" s="1"/>
  <c r="T26" i="10"/>
  <c r="N26" i="10"/>
  <c r="M26" i="10"/>
  <c r="L26" i="10"/>
  <c r="J26" i="10"/>
  <c r="B26" i="10"/>
  <c r="Z25" i="10"/>
  <c r="V25" i="10"/>
  <c r="U25" i="10"/>
  <c r="T25" i="10"/>
  <c r="N25" i="10"/>
  <c r="L25" i="10"/>
  <c r="M25" i="10" s="1"/>
  <c r="J25" i="10"/>
  <c r="B25" i="10"/>
  <c r="Z24" i="10"/>
  <c r="V24" i="10"/>
  <c r="U24" i="10"/>
  <c r="J24" i="10" s="1"/>
  <c r="T24" i="10"/>
  <c r="N24" i="10"/>
  <c r="M24" i="10"/>
  <c r="L24" i="10"/>
  <c r="B24" i="10"/>
  <c r="Z23" i="10"/>
  <c r="V23" i="10"/>
  <c r="U23" i="10"/>
  <c r="T23" i="10"/>
  <c r="N23" i="10"/>
  <c r="L23" i="10"/>
  <c r="M23" i="10" s="1"/>
  <c r="B23" i="10"/>
  <c r="P23" i="10" s="1"/>
  <c r="Z22" i="10"/>
  <c r="V22" i="10"/>
  <c r="U22" i="10"/>
  <c r="T22" i="10"/>
  <c r="N22" i="10"/>
  <c r="L22" i="10"/>
  <c r="B22" i="10"/>
  <c r="Z21" i="10"/>
  <c r="U21" i="10"/>
  <c r="T21" i="10"/>
  <c r="N21" i="10"/>
  <c r="L21" i="10"/>
  <c r="M21" i="10" s="1"/>
  <c r="B21" i="10"/>
  <c r="Z20" i="10"/>
  <c r="V20" i="10"/>
  <c r="U20" i="10"/>
  <c r="T20" i="10"/>
  <c r="N20" i="10"/>
  <c r="M20" i="10"/>
  <c r="L20" i="10"/>
  <c r="B20" i="10"/>
  <c r="Z19" i="10"/>
  <c r="V19" i="10"/>
  <c r="U19" i="10"/>
  <c r="T19" i="10"/>
  <c r="N19" i="10"/>
  <c r="L19" i="10"/>
  <c r="M19" i="10" s="1"/>
  <c r="B19" i="10"/>
  <c r="Z18" i="10"/>
  <c r="U18" i="10"/>
  <c r="V18" i="10" s="1"/>
  <c r="T18" i="10"/>
  <c r="N18" i="10"/>
  <c r="M18" i="10"/>
  <c r="L18" i="10"/>
  <c r="J18" i="10"/>
  <c r="B18" i="10"/>
  <c r="Z17" i="10"/>
  <c r="V17" i="10"/>
  <c r="U17" i="10"/>
  <c r="J17" i="10" s="1"/>
  <c r="T17" i="10"/>
  <c r="N17" i="10"/>
  <c r="L17" i="10"/>
  <c r="M17" i="10" s="1"/>
  <c r="B17" i="10"/>
  <c r="Z16" i="10"/>
  <c r="U16" i="10"/>
  <c r="V16" i="10" s="1"/>
  <c r="T16" i="10"/>
  <c r="N16" i="10"/>
  <c r="L16" i="10"/>
  <c r="B16" i="10"/>
  <c r="Z15" i="10"/>
  <c r="U15" i="10"/>
  <c r="V15" i="10" s="1"/>
  <c r="T15" i="10"/>
  <c r="N15" i="10"/>
  <c r="L15" i="10"/>
  <c r="J15" i="10"/>
  <c r="B15" i="10"/>
  <c r="Z14" i="10"/>
  <c r="U14" i="10"/>
  <c r="T14" i="10"/>
  <c r="N14" i="10"/>
  <c r="M14" i="10"/>
  <c r="L14" i="10"/>
  <c r="B14" i="10"/>
  <c r="Z13" i="10"/>
  <c r="V13" i="10"/>
  <c r="U13" i="10"/>
  <c r="T13" i="10"/>
  <c r="N13" i="10"/>
  <c r="M13" i="10"/>
  <c r="L13" i="10"/>
  <c r="J13" i="10"/>
  <c r="B13" i="10"/>
  <c r="P13" i="10" s="1"/>
  <c r="Z12" i="10"/>
  <c r="U12" i="10"/>
  <c r="J12" i="10" s="1"/>
  <c r="T12" i="10"/>
  <c r="N12" i="10"/>
  <c r="M12" i="10"/>
  <c r="L12" i="10"/>
  <c r="B12" i="10"/>
  <c r="Z11" i="10"/>
  <c r="U11" i="10"/>
  <c r="V11" i="10" s="1"/>
  <c r="T11" i="10"/>
  <c r="N11" i="10"/>
  <c r="L11" i="10"/>
  <c r="J11" i="10" s="1"/>
  <c r="B11" i="10"/>
  <c r="Z10" i="10"/>
  <c r="U10" i="10"/>
  <c r="T10" i="10"/>
  <c r="N10" i="10"/>
  <c r="M10" i="10"/>
  <c r="L10" i="10"/>
  <c r="B10" i="10"/>
  <c r="Z9" i="10"/>
  <c r="U9" i="10"/>
  <c r="V9" i="10" s="1"/>
  <c r="T9" i="10"/>
  <c r="N9" i="10"/>
  <c r="M9" i="10"/>
  <c r="L9" i="10"/>
  <c r="J9" i="10"/>
  <c r="B9" i="10"/>
  <c r="Z8" i="10"/>
  <c r="V8" i="10"/>
  <c r="U8" i="10"/>
  <c r="T8" i="10"/>
  <c r="N8" i="10"/>
  <c r="M8" i="10"/>
  <c r="L8" i="10"/>
  <c r="J8" i="10"/>
  <c r="B8" i="10"/>
  <c r="Z7" i="10"/>
  <c r="V7" i="10"/>
  <c r="U7" i="10"/>
  <c r="T7" i="10"/>
  <c r="N7" i="10"/>
  <c r="M7" i="10"/>
  <c r="L7" i="10"/>
  <c r="B7" i="10"/>
  <c r="Z6" i="10"/>
  <c r="U6" i="10"/>
  <c r="V6" i="10" s="1"/>
  <c r="T6" i="10"/>
  <c r="N6" i="10"/>
  <c r="L6" i="10"/>
  <c r="J6" i="10" s="1"/>
  <c r="B6" i="10"/>
  <c r="Z5" i="10"/>
  <c r="V5" i="10"/>
  <c r="U5" i="10"/>
  <c r="T5" i="10"/>
  <c r="N5" i="10"/>
  <c r="L5" i="10"/>
  <c r="B5" i="10"/>
  <c r="Z4" i="10"/>
  <c r="U4" i="10"/>
  <c r="V4" i="10" s="1"/>
  <c r="T4" i="10"/>
  <c r="N4" i="10"/>
  <c r="M4" i="10"/>
  <c r="L4" i="10"/>
  <c r="B4" i="10"/>
  <c r="Z3" i="10"/>
  <c r="V3" i="10"/>
  <c r="U3" i="10"/>
  <c r="T3" i="10"/>
  <c r="N3" i="10"/>
  <c r="M3" i="10"/>
  <c r="L3" i="10"/>
  <c r="B3" i="10"/>
  <c r="P3" i="10" s="1"/>
  <c r="Y1" i="10"/>
  <c r="X1" i="10"/>
  <c r="Q1" i="10"/>
  <c r="AP158" i="8"/>
  <c r="AL158" i="8"/>
  <c r="Y158" i="8"/>
  <c r="X158" i="8"/>
  <c r="Z158" i="8" s="1"/>
  <c r="W158" i="8"/>
  <c r="V158" i="8"/>
  <c r="T158" i="8"/>
  <c r="Q158" i="8"/>
  <c r="N158" i="8"/>
  <c r="AL157" i="8"/>
  <c r="Z157" i="8"/>
  <c r="Y157" i="8"/>
  <c r="X157" i="8"/>
  <c r="AP157" i="8" s="1"/>
  <c r="W157" i="8"/>
  <c r="U157" i="8"/>
  <c r="V157" i="8" s="1"/>
  <c r="Q157" i="8"/>
  <c r="N157" i="8"/>
  <c r="AP156" i="8"/>
  <c r="AL156" i="8"/>
  <c r="AE156" i="8"/>
  <c r="AH156" i="8" s="1"/>
  <c r="AJ156" i="8" s="1"/>
  <c r="Z156" i="8"/>
  <c r="V156" i="8"/>
  <c r="T156" i="8"/>
  <c r="AI156" i="8" s="1"/>
  <c r="N156" i="8"/>
  <c r="M156" i="8"/>
  <c r="L156" i="8"/>
  <c r="AP155" i="8"/>
  <c r="AL155" i="8"/>
  <c r="AH155" i="8"/>
  <c r="AJ155" i="8" s="1"/>
  <c r="AK155" i="8" s="1"/>
  <c r="AE155" i="8"/>
  <c r="AI155" i="8" s="1"/>
  <c r="Z155" i="8"/>
  <c r="V155" i="8"/>
  <c r="T155" i="8"/>
  <c r="N155" i="8"/>
  <c r="P155" i="8" s="1"/>
  <c r="M155" i="8"/>
  <c r="L155" i="8"/>
  <c r="J155" i="8"/>
  <c r="AP154" i="8"/>
  <c r="AL154" i="8"/>
  <c r="AE154" i="8"/>
  <c r="Z154" i="8"/>
  <c r="V154" i="8"/>
  <c r="T154" i="8"/>
  <c r="N154" i="8"/>
  <c r="M154" i="8"/>
  <c r="L154" i="8"/>
  <c r="J154" i="8"/>
  <c r="AP153" i="8"/>
  <c r="AL153" i="8"/>
  <c r="AE153" i="8"/>
  <c r="Z153" i="8"/>
  <c r="V153" i="8"/>
  <c r="T153" i="8"/>
  <c r="N153" i="8"/>
  <c r="P153" i="8" s="1"/>
  <c r="M153" i="8"/>
  <c r="L153" i="8"/>
  <c r="J153" i="8"/>
  <c r="AP152" i="8"/>
  <c r="AL152" i="8"/>
  <c r="AE152" i="8"/>
  <c r="AH152" i="8" s="1"/>
  <c r="AJ152" i="8" s="1"/>
  <c r="Z152" i="8"/>
  <c r="V152" i="8"/>
  <c r="T152" i="8"/>
  <c r="AI152" i="8" s="1"/>
  <c r="N152" i="8"/>
  <c r="M152" i="8"/>
  <c r="L152" i="8"/>
  <c r="J152" i="8" s="1"/>
  <c r="AP151" i="8"/>
  <c r="AL151" i="8"/>
  <c r="AH151" i="8"/>
  <c r="AJ151" i="8" s="1"/>
  <c r="AE151" i="8"/>
  <c r="Z151" i="8"/>
  <c r="V151" i="8"/>
  <c r="T151" i="8"/>
  <c r="P151" i="8"/>
  <c r="N151" i="8"/>
  <c r="M151" i="8"/>
  <c r="L151" i="8"/>
  <c r="J151" i="8"/>
  <c r="AP150" i="8"/>
  <c r="AL150" i="8"/>
  <c r="AE150" i="8"/>
  <c r="Z150" i="8"/>
  <c r="V150" i="8"/>
  <c r="T150" i="8"/>
  <c r="N150" i="8"/>
  <c r="L150" i="8"/>
  <c r="J150" i="8"/>
  <c r="AP149" i="8"/>
  <c r="AL149" i="8"/>
  <c r="AJ149" i="8"/>
  <c r="AK149" i="8" s="1"/>
  <c r="AM149" i="8" s="1"/>
  <c r="AO149" i="8" s="1"/>
  <c r="AH149" i="8"/>
  <c r="AE149" i="8"/>
  <c r="Y149" i="8"/>
  <c r="X149" i="8"/>
  <c r="U149" i="8"/>
  <c r="V149" i="8" s="1"/>
  <c r="T149" i="8"/>
  <c r="Q149" i="8"/>
  <c r="P149" i="8"/>
  <c r="O149" i="8"/>
  <c r="N149" i="8"/>
  <c r="L149" i="8"/>
  <c r="J149" i="8" s="1"/>
  <c r="AP148" i="8"/>
  <c r="AL148" i="8"/>
  <c r="AI148" i="8"/>
  <c r="AE148" i="8"/>
  <c r="AH148" i="8" s="1"/>
  <c r="AJ148" i="8" s="1"/>
  <c r="Z148" i="8"/>
  <c r="V148" i="8"/>
  <c r="T148" i="8"/>
  <c r="N148" i="8"/>
  <c r="L148" i="8"/>
  <c r="J148" i="8" s="1"/>
  <c r="AP147" i="8"/>
  <c r="AL147" i="8"/>
  <c r="AH147" i="8"/>
  <c r="AJ147" i="8" s="1"/>
  <c r="AE147" i="8"/>
  <c r="AI147" i="8" s="1"/>
  <c r="Z147" i="8"/>
  <c r="V147" i="8"/>
  <c r="T147" i="8"/>
  <c r="N147" i="8"/>
  <c r="P147" i="8" s="1"/>
  <c r="M147" i="8"/>
  <c r="L147" i="8"/>
  <c r="J147" i="8"/>
  <c r="AP146" i="8"/>
  <c r="AL146" i="8"/>
  <c r="AH146" i="8"/>
  <c r="AJ146" i="8" s="1"/>
  <c r="AE146" i="8"/>
  <c r="Z146" i="8"/>
  <c r="V146" i="8"/>
  <c r="T146" i="8"/>
  <c r="N146" i="8"/>
  <c r="M146" i="8"/>
  <c r="L146" i="8"/>
  <c r="AP145" i="8"/>
  <c r="AL145" i="8"/>
  <c r="AI145" i="8"/>
  <c r="AE145" i="8"/>
  <c r="AH145" i="8" s="1"/>
  <c r="AJ145" i="8" s="1"/>
  <c r="Z145" i="8"/>
  <c r="V145" i="8"/>
  <c r="T145" i="8"/>
  <c r="N145" i="8"/>
  <c r="P145" i="8" s="1"/>
  <c r="M145" i="8"/>
  <c r="L145" i="8"/>
  <c r="J145" i="8" s="1"/>
  <c r="AP144" i="8"/>
  <c r="AL144" i="8"/>
  <c r="AE144" i="8"/>
  <c r="Z144" i="8"/>
  <c r="V144" i="8"/>
  <c r="T144" i="8"/>
  <c r="N144" i="8"/>
  <c r="P144" i="8" s="1"/>
  <c r="M144" i="8"/>
  <c r="L144" i="8"/>
  <c r="J144" i="8"/>
  <c r="AP143" i="8"/>
  <c r="AL143" i="8"/>
  <c r="AE143" i="8"/>
  <c r="AI143" i="8" s="1"/>
  <c r="Z143" i="8"/>
  <c r="V143" i="8"/>
  <c r="T143" i="8"/>
  <c r="N143" i="8"/>
  <c r="P143" i="8" s="1"/>
  <c r="M143" i="8"/>
  <c r="L143" i="8"/>
  <c r="J143" i="8"/>
  <c r="AP142" i="8"/>
  <c r="AL142" i="8"/>
  <c r="AE142" i="8"/>
  <c r="Z142" i="8"/>
  <c r="V142" i="8"/>
  <c r="T142" i="8"/>
  <c r="N142" i="8"/>
  <c r="L142" i="8"/>
  <c r="AP141" i="8"/>
  <c r="AL141" i="8"/>
  <c r="AE141" i="8"/>
  <c r="Z141" i="8"/>
  <c r="V141" i="8"/>
  <c r="U141" i="8"/>
  <c r="T141" i="8"/>
  <c r="N141" i="8"/>
  <c r="L141" i="8"/>
  <c r="J141" i="8" s="1"/>
  <c r="AP140" i="8"/>
  <c r="AL140" i="8"/>
  <c r="AE140" i="8"/>
  <c r="Z140" i="8"/>
  <c r="V140" i="8"/>
  <c r="T140" i="8"/>
  <c r="N140" i="8"/>
  <c r="M140" i="8"/>
  <c r="L140" i="8"/>
  <c r="J140" i="8" s="1"/>
  <c r="AP139" i="8"/>
  <c r="AL139" i="8"/>
  <c r="AE139" i="8"/>
  <c r="Z139" i="8"/>
  <c r="V139" i="8"/>
  <c r="T139" i="8"/>
  <c r="P139" i="8"/>
  <c r="N139" i="8"/>
  <c r="L139" i="8"/>
  <c r="M139" i="8" s="1"/>
  <c r="AP138" i="8"/>
  <c r="AL138" i="8"/>
  <c r="AE138" i="8"/>
  <c r="Z138" i="8"/>
  <c r="V138" i="8"/>
  <c r="T138" i="8"/>
  <c r="N138" i="8"/>
  <c r="P138" i="8" s="1"/>
  <c r="M138" i="8"/>
  <c r="L138" i="8"/>
  <c r="J138" i="8"/>
  <c r="AP137" i="8"/>
  <c r="AL137" i="8"/>
  <c r="AE137" i="8"/>
  <c r="AI137" i="8" s="1"/>
  <c r="Z137" i="8"/>
  <c r="V137" i="8"/>
  <c r="T137" i="8"/>
  <c r="P137" i="8"/>
  <c r="N137" i="8"/>
  <c r="L137" i="8"/>
  <c r="M137" i="8" s="1"/>
  <c r="J137" i="8"/>
  <c r="AP136" i="8"/>
  <c r="AL136" i="8"/>
  <c r="AI136" i="8"/>
  <c r="AH136" i="8"/>
  <c r="AJ136" i="8" s="1"/>
  <c r="AE136" i="8"/>
  <c r="Z136" i="8"/>
  <c r="V136" i="8"/>
  <c r="T136" i="8"/>
  <c r="N136" i="8"/>
  <c r="L136" i="8"/>
  <c r="M136" i="8" s="1"/>
  <c r="P136" i="8" s="1"/>
  <c r="AK136" i="8" s="1"/>
  <c r="J136" i="8"/>
  <c r="AP135" i="8"/>
  <c r="AL135" i="8"/>
  <c r="AE135" i="8"/>
  <c r="AH135" i="8" s="1"/>
  <c r="Z135" i="8"/>
  <c r="U135" i="8"/>
  <c r="V135" i="8" s="1"/>
  <c r="T135" i="8"/>
  <c r="AI135" i="8" s="1"/>
  <c r="N135" i="8"/>
  <c r="L135" i="8"/>
  <c r="AP134" i="8"/>
  <c r="AL134" i="8"/>
  <c r="AI134" i="8"/>
  <c r="AH134" i="8"/>
  <c r="AJ134" i="8" s="1"/>
  <c r="AE134" i="8"/>
  <c r="Z134" i="8"/>
  <c r="U134" i="8"/>
  <c r="V134" i="8" s="1"/>
  <c r="T134" i="8"/>
  <c r="N134" i="8"/>
  <c r="M134" i="8"/>
  <c r="L134" i="8"/>
  <c r="AP133" i="8"/>
  <c r="AL133" i="8"/>
  <c r="AE133" i="8"/>
  <c r="Z133" i="8"/>
  <c r="V133" i="8"/>
  <c r="U133" i="8"/>
  <c r="J133" i="8" s="1"/>
  <c r="T133" i="8"/>
  <c r="P133" i="8"/>
  <c r="N133" i="8"/>
  <c r="L133" i="8"/>
  <c r="M133" i="8" s="1"/>
  <c r="AP132" i="8"/>
  <c r="AL132" i="8"/>
  <c r="AJ132" i="8"/>
  <c r="AI132" i="8"/>
  <c r="AH132" i="8"/>
  <c r="AE132" i="8"/>
  <c r="Z132" i="8"/>
  <c r="V132" i="8"/>
  <c r="T132" i="8"/>
  <c r="N132" i="8"/>
  <c r="L132" i="8"/>
  <c r="J132" i="8"/>
  <c r="AP131" i="8"/>
  <c r="AL131" i="8"/>
  <c r="AE131" i="8"/>
  <c r="AH131" i="8" s="1"/>
  <c r="AJ131" i="8" s="1"/>
  <c r="AK131" i="8" s="1"/>
  <c r="Z131" i="8"/>
  <c r="V131" i="8"/>
  <c r="U131" i="8"/>
  <c r="J131" i="8" s="1"/>
  <c r="T131" i="8"/>
  <c r="AI131" i="8" s="1"/>
  <c r="N131" i="8"/>
  <c r="M131" i="8"/>
  <c r="P131" i="8" s="1"/>
  <c r="L131" i="8"/>
  <c r="AP130" i="8"/>
  <c r="AL130" i="8"/>
  <c r="AJ130" i="8"/>
  <c r="AI130" i="8"/>
  <c r="AE130" i="8"/>
  <c r="AH130" i="8" s="1"/>
  <c r="Z130" i="8"/>
  <c r="U130" i="8"/>
  <c r="V130" i="8" s="1"/>
  <c r="T130" i="8"/>
  <c r="N130" i="8"/>
  <c r="L130" i="8"/>
  <c r="J130" i="8"/>
  <c r="AP129" i="8"/>
  <c r="AL129" i="8"/>
  <c r="AI129" i="8"/>
  <c r="AH129" i="8"/>
  <c r="AE129" i="8"/>
  <c r="Z129" i="8"/>
  <c r="V129" i="8"/>
  <c r="T129" i="8"/>
  <c r="N129" i="8"/>
  <c r="L129" i="8"/>
  <c r="AP128" i="8"/>
  <c r="AL128" i="8"/>
  <c r="AE128" i="8"/>
  <c r="AH128" i="8" s="1"/>
  <c r="AJ128" i="8" s="1"/>
  <c r="Z128" i="8"/>
  <c r="V128" i="8"/>
  <c r="T128" i="8"/>
  <c r="AI128" i="8" s="1"/>
  <c r="N128" i="8"/>
  <c r="M128" i="8"/>
  <c r="L128" i="8"/>
  <c r="J128" i="8" s="1"/>
  <c r="AP127" i="8"/>
  <c r="AL127" i="8"/>
  <c r="AI127" i="8"/>
  <c r="AE127" i="8"/>
  <c r="AH127" i="8" s="1"/>
  <c r="AJ127" i="8" s="1"/>
  <c r="Z127" i="8"/>
  <c r="V127" i="8"/>
  <c r="U127" i="8"/>
  <c r="T127" i="8"/>
  <c r="N127" i="8"/>
  <c r="L127" i="8"/>
  <c r="J127" i="8"/>
  <c r="AP126" i="8"/>
  <c r="AL126" i="8"/>
  <c r="AJ126" i="8"/>
  <c r="AK126" i="8" s="1"/>
  <c r="AH126" i="8"/>
  <c r="AE126" i="8"/>
  <c r="Z126" i="8"/>
  <c r="U126" i="8"/>
  <c r="V126" i="8" s="1"/>
  <c r="T126" i="8"/>
  <c r="P126" i="8"/>
  <c r="N126" i="8"/>
  <c r="M126" i="8"/>
  <c r="L126" i="8"/>
  <c r="J126" i="8"/>
  <c r="AP125" i="8"/>
  <c r="AL125" i="8"/>
  <c r="AJ125" i="8"/>
  <c r="AK125" i="8" s="1"/>
  <c r="AI125" i="8"/>
  <c r="AE125" i="8"/>
  <c r="AH125" i="8" s="1"/>
  <c r="Z125" i="8"/>
  <c r="V125" i="8"/>
  <c r="U125" i="8"/>
  <c r="T125" i="8"/>
  <c r="N125" i="8"/>
  <c r="M125" i="8"/>
  <c r="P125" i="8" s="1"/>
  <c r="L125" i="8"/>
  <c r="J125" i="8"/>
  <c r="AP124" i="8"/>
  <c r="AL124" i="8"/>
  <c r="AJ124" i="8"/>
  <c r="AI124" i="8"/>
  <c r="AH124" i="8"/>
  <c r="AE124" i="8"/>
  <c r="Z124" i="8"/>
  <c r="V124" i="8"/>
  <c r="U124" i="8"/>
  <c r="T124" i="8"/>
  <c r="N124" i="8"/>
  <c r="P124" i="8" s="1"/>
  <c r="M124" i="8"/>
  <c r="L124" i="8"/>
  <c r="J124" i="8"/>
  <c r="AP123" i="8"/>
  <c r="AL123" i="8"/>
  <c r="AE123" i="8"/>
  <c r="Z123" i="8"/>
  <c r="V123" i="8"/>
  <c r="U123" i="8"/>
  <c r="J123" i="8" s="1"/>
  <c r="T123" i="8"/>
  <c r="N123" i="8"/>
  <c r="P123" i="8" s="1"/>
  <c r="M123" i="8"/>
  <c r="L123" i="8"/>
  <c r="AP122" i="8"/>
  <c r="AL122" i="8"/>
  <c r="AE122" i="8"/>
  <c r="Z122" i="8"/>
  <c r="U122" i="8"/>
  <c r="V122" i="8" s="1"/>
  <c r="T122" i="8"/>
  <c r="N122" i="8"/>
  <c r="L122" i="8"/>
  <c r="AP121" i="8"/>
  <c r="AL121" i="8"/>
  <c r="AE121" i="8"/>
  <c r="AH121" i="8" s="1"/>
  <c r="Z121" i="8"/>
  <c r="U121" i="8"/>
  <c r="V121" i="8" s="1"/>
  <c r="T121" i="8"/>
  <c r="N121" i="8"/>
  <c r="M121" i="8"/>
  <c r="L121" i="8"/>
  <c r="AP120" i="8"/>
  <c r="AL120" i="8"/>
  <c r="AJ120" i="8"/>
  <c r="AI120" i="8"/>
  <c r="AH120" i="8"/>
  <c r="AE120" i="8"/>
  <c r="Z120" i="8"/>
  <c r="V120" i="8"/>
  <c r="U120" i="8"/>
  <c r="T120" i="8"/>
  <c r="N120" i="8"/>
  <c r="L120" i="8"/>
  <c r="J120" i="8" s="1"/>
  <c r="AP119" i="8"/>
  <c r="AL119" i="8"/>
  <c r="AH119" i="8"/>
  <c r="AE119" i="8"/>
  <c r="Z119" i="8"/>
  <c r="V119" i="8"/>
  <c r="U119" i="8"/>
  <c r="T119" i="8"/>
  <c r="N119" i="8"/>
  <c r="L119" i="8"/>
  <c r="AP118" i="8"/>
  <c r="AL118" i="8"/>
  <c r="AJ118" i="8"/>
  <c r="AI118" i="8"/>
  <c r="AH118" i="8"/>
  <c r="AE118" i="8"/>
  <c r="Z118" i="8"/>
  <c r="U118" i="8"/>
  <c r="V118" i="8" s="1"/>
  <c r="T118" i="8"/>
  <c r="N118" i="8"/>
  <c r="L118" i="8"/>
  <c r="J118" i="8" s="1"/>
  <c r="AP117" i="8"/>
  <c r="AL117" i="8"/>
  <c r="AJ117" i="8"/>
  <c r="AH117" i="8"/>
  <c r="AE117" i="8"/>
  <c r="Z117" i="8"/>
  <c r="V117" i="8"/>
  <c r="U117" i="8"/>
  <c r="T117" i="8"/>
  <c r="N117" i="8"/>
  <c r="L117" i="8"/>
  <c r="AP116" i="8"/>
  <c r="AL116" i="8"/>
  <c r="AI116" i="8"/>
  <c r="AH116" i="8"/>
  <c r="AE116" i="8"/>
  <c r="Z116" i="8"/>
  <c r="U116" i="8"/>
  <c r="T116" i="8"/>
  <c r="N116" i="8"/>
  <c r="P116" i="8" s="1"/>
  <c r="M116" i="8"/>
  <c r="L116" i="8"/>
  <c r="AP115" i="8"/>
  <c r="AL115" i="8"/>
  <c r="AH115" i="8"/>
  <c r="AJ115" i="8" s="1"/>
  <c r="AE115" i="8"/>
  <c r="AI115" i="8" s="1"/>
  <c r="Z115" i="8"/>
  <c r="V115" i="8"/>
  <c r="U115" i="8"/>
  <c r="T115" i="8"/>
  <c r="N115" i="8"/>
  <c r="L115" i="8"/>
  <c r="J115" i="8" s="1"/>
  <c r="AP114" i="8"/>
  <c r="AL114" i="8"/>
  <c r="AH114" i="8"/>
  <c r="AJ114" i="8" s="1"/>
  <c r="AE114" i="8"/>
  <c r="Z114" i="8"/>
  <c r="V114" i="8"/>
  <c r="U114" i="8"/>
  <c r="T114" i="8"/>
  <c r="N114" i="8"/>
  <c r="M114" i="8"/>
  <c r="L114" i="8"/>
  <c r="AP113" i="8"/>
  <c r="AL113" i="8"/>
  <c r="AJ113" i="8"/>
  <c r="AE113" i="8"/>
  <c r="AH113" i="8" s="1"/>
  <c r="Z113" i="8"/>
  <c r="V113" i="8"/>
  <c r="U113" i="8"/>
  <c r="T113" i="8"/>
  <c r="AI113" i="8" s="1"/>
  <c r="N113" i="8"/>
  <c r="L113" i="8"/>
  <c r="AP112" i="8"/>
  <c r="AL112" i="8"/>
  <c r="AI112" i="8"/>
  <c r="AE112" i="8"/>
  <c r="AH112" i="8" s="1"/>
  <c r="AJ112" i="8" s="1"/>
  <c r="AK112" i="8" s="1"/>
  <c r="Z112" i="8"/>
  <c r="V112" i="8"/>
  <c r="U112" i="8"/>
  <c r="T112" i="8"/>
  <c r="P112" i="8"/>
  <c r="N112" i="8"/>
  <c r="M112" i="8"/>
  <c r="L112" i="8"/>
  <c r="AP111" i="8"/>
  <c r="AL111" i="8"/>
  <c r="AJ111" i="8"/>
  <c r="AI111" i="8"/>
  <c r="AH111" i="8"/>
  <c r="AE111" i="8"/>
  <c r="Z111" i="8"/>
  <c r="U111" i="8"/>
  <c r="V111" i="8" s="1"/>
  <c r="T111" i="8"/>
  <c r="N111" i="8"/>
  <c r="M111" i="8"/>
  <c r="L111" i="8"/>
  <c r="AP110" i="8"/>
  <c r="AL110" i="8"/>
  <c r="AE110" i="8"/>
  <c r="AI110" i="8" s="1"/>
  <c r="Z110" i="8"/>
  <c r="U110" i="8"/>
  <c r="V110" i="8" s="1"/>
  <c r="T110" i="8"/>
  <c r="N110" i="8"/>
  <c r="L110" i="8"/>
  <c r="AP109" i="8"/>
  <c r="AN109" i="8"/>
  <c r="AL109" i="8"/>
  <c r="AJ109" i="8"/>
  <c r="AH109" i="8"/>
  <c r="AE109" i="8"/>
  <c r="Z109" i="8"/>
  <c r="U109" i="8"/>
  <c r="V109" i="8" s="1"/>
  <c r="T109" i="8"/>
  <c r="AI109" i="8" s="1"/>
  <c r="P109" i="8"/>
  <c r="AK109" i="8" s="1"/>
  <c r="AM109" i="8" s="1"/>
  <c r="AO109" i="8" s="1"/>
  <c r="N109" i="8"/>
  <c r="M109" i="8"/>
  <c r="L109" i="8"/>
  <c r="J109" i="8" s="1"/>
  <c r="AP108" i="8"/>
  <c r="AL108" i="8"/>
  <c r="AE108" i="8"/>
  <c r="AI108" i="8" s="1"/>
  <c r="Z108" i="8"/>
  <c r="U108" i="8"/>
  <c r="T108" i="8"/>
  <c r="N108" i="8"/>
  <c r="L108" i="8"/>
  <c r="AP107" i="8"/>
  <c r="AL107" i="8"/>
  <c r="AH107" i="8"/>
  <c r="AJ107" i="8" s="1"/>
  <c r="AE107" i="8"/>
  <c r="AI107" i="8" s="1"/>
  <c r="Z107" i="8"/>
  <c r="V107" i="8"/>
  <c r="U107" i="8"/>
  <c r="T107" i="8"/>
  <c r="N107" i="8"/>
  <c r="L107" i="8"/>
  <c r="AP106" i="8"/>
  <c r="AL106" i="8"/>
  <c r="AI106" i="8"/>
  <c r="AE106" i="8"/>
  <c r="AH106" i="8" s="1"/>
  <c r="AJ106" i="8" s="1"/>
  <c r="Z106" i="8"/>
  <c r="V106" i="8"/>
  <c r="U106" i="8"/>
  <c r="T106" i="8"/>
  <c r="N106" i="8"/>
  <c r="L106" i="8"/>
  <c r="J106" i="8"/>
  <c r="AP105" i="8"/>
  <c r="AL105" i="8"/>
  <c r="AE105" i="8"/>
  <c r="Z105" i="8"/>
  <c r="U105" i="8"/>
  <c r="J105" i="8" s="1"/>
  <c r="T105" i="8"/>
  <c r="N105" i="8"/>
  <c r="P105" i="8" s="1"/>
  <c r="M105" i="8"/>
  <c r="L105" i="8"/>
  <c r="AP104" i="8"/>
  <c r="AL104" i="8"/>
  <c r="AI104" i="8"/>
  <c r="AH104" i="8"/>
  <c r="AJ104" i="8" s="1"/>
  <c r="AE104" i="8"/>
  <c r="Z104" i="8"/>
  <c r="V104" i="8"/>
  <c r="U104" i="8"/>
  <c r="T104" i="8"/>
  <c r="N104" i="8"/>
  <c r="L104" i="8"/>
  <c r="AP103" i="8"/>
  <c r="AL103" i="8"/>
  <c r="AI103" i="8"/>
  <c r="AE103" i="8"/>
  <c r="AH103" i="8" s="1"/>
  <c r="Z103" i="8"/>
  <c r="U103" i="8"/>
  <c r="T103" i="8"/>
  <c r="N103" i="8"/>
  <c r="M103" i="8"/>
  <c r="P103" i="8" s="1"/>
  <c r="L103" i="8"/>
  <c r="AP102" i="8"/>
  <c r="AL102" i="8"/>
  <c r="AE102" i="8"/>
  <c r="Z102" i="8"/>
  <c r="U102" i="8"/>
  <c r="V102" i="8" s="1"/>
  <c r="T102" i="8"/>
  <c r="N102" i="8"/>
  <c r="L102" i="8"/>
  <c r="AP101" i="8"/>
  <c r="AL101" i="8"/>
  <c r="AE101" i="8"/>
  <c r="AH101" i="8" s="1"/>
  <c r="AJ101" i="8" s="1"/>
  <c r="Z101" i="8"/>
  <c r="V101" i="8"/>
  <c r="U101" i="8"/>
  <c r="T101" i="8"/>
  <c r="N101" i="8"/>
  <c r="L101" i="8"/>
  <c r="J101" i="8" s="1"/>
  <c r="AP100" i="8"/>
  <c r="AL100" i="8"/>
  <c r="AI100" i="8"/>
  <c r="AE100" i="8"/>
  <c r="AH100" i="8" s="1"/>
  <c r="Z100" i="8"/>
  <c r="U100" i="8"/>
  <c r="V100" i="8" s="1"/>
  <c r="T100" i="8"/>
  <c r="N100" i="8"/>
  <c r="L100" i="8"/>
  <c r="AP99" i="8"/>
  <c r="AL99" i="8"/>
  <c r="AH99" i="8"/>
  <c r="AJ99" i="8" s="1"/>
  <c r="AE99" i="8"/>
  <c r="AI99" i="8" s="1"/>
  <c r="Z99" i="8"/>
  <c r="U99" i="8"/>
  <c r="V99" i="8" s="1"/>
  <c r="T99" i="8"/>
  <c r="N99" i="8"/>
  <c r="L99" i="8"/>
  <c r="J99" i="8"/>
  <c r="AP98" i="8"/>
  <c r="AL98" i="8"/>
  <c r="AH98" i="8"/>
  <c r="AJ98" i="8" s="1"/>
  <c r="AE98" i="8"/>
  <c r="Z98" i="8"/>
  <c r="V98" i="8"/>
  <c r="U98" i="8"/>
  <c r="T98" i="8"/>
  <c r="N98" i="8"/>
  <c r="L98" i="8"/>
  <c r="AP97" i="8"/>
  <c r="AL97" i="8"/>
  <c r="AJ97" i="8"/>
  <c r="AI97" i="8"/>
  <c r="AH97" i="8"/>
  <c r="AE97" i="8"/>
  <c r="Z97" i="8"/>
  <c r="U97" i="8"/>
  <c r="V97" i="8" s="1"/>
  <c r="T97" i="8"/>
  <c r="N97" i="8"/>
  <c r="L97" i="8"/>
  <c r="AP96" i="8"/>
  <c r="AL96" i="8"/>
  <c r="AE96" i="8"/>
  <c r="Z96" i="8"/>
  <c r="U96" i="8"/>
  <c r="T96" i="8"/>
  <c r="N96" i="8"/>
  <c r="L96" i="8"/>
  <c r="AP95" i="8"/>
  <c r="AL95" i="8"/>
  <c r="AJ95" i="8"/>
  <c r="AH95" i="8"/>
  <c r="AE95" i="8"/>
  <c r="Z95" i="8"/>
  <c r="U95" i="8"/>
  <c r="V95" i="8" s="1"/>
  <c r="T95" i="8"/>
  <c r="AI95" i="8" s="1"/>
  <c r="N95" i="8"/>
  <c r="M95" i="8"/>
  <c r="L95" i="8"/>
  <c r="J95" i="8"/>
  <c r="AP94" i="8"/>
  <c r="AL94" i="8"/>
  <c r="AI94" i="8"/>
  <c r="AE94" i="8"/>
  <c r="AH94" i="8" s="1"/>
  <c r="AJ94" i="8" s="1"/>
  <c r="Z94" i="8"/>
  <c r="V94" i="8"/>
  <c r="U94" i="8"/>
  <c r="T94" i="8"/>
  <c r="N94" i="8"/>
  <c r="M94" i="8"/>
  <c r="L94" i="8"/>
  <c r="AP93" i="8"/>
  <c r="AL93" i="8"/>
  <c r="AE93" i="8"/>
  <c r="Z93" i="8"/>
  <c r="V93" i="8"/>
  <c r="U93" i="8"/>
  <c r="J93" i="8" s="1"/>
  <c r="T93" i="8"/>
  <c r="N93" i="8"/>
  <c r="P93" i="8" s="1"/>
  <c r="M93" i="8"/>
  <c r="L93" i="8"/>
  <c r="AP92" i="8"/>
  <c r="AL92" i="8"/>
  <c r="AE92" i="8"/>
  <c r="Z92" i="8"/>
  <c r="V92" i="8"/>
  <c r="U92" i="8"/>
  <c r="T92" i="8"/>
  <c r="P92" i="8"/>
  <c r="N92" i="8"/>
  <c r="L92" i="8"/>
  <c r="M92" i="8" s="1"/>
  <c r="J92" i="8"/>
  <c r="AP91" i="8"/>
  <c r="AL91" i="8"/>
  <c r="AH91" i="8"/>
  <c r="AE91" i="8"/>
  <c r="AI91" i="8" s="1"/>
  <c r="Z91" i="8"/>
  <c r="U91" i="8"/>
  <c r="J91" i="8" s="1"/>
  <c r="T91" i="8"/>
  <c r="P91" i="8"/>
  <c r="N91" i="8"/>
  <c r="M91" i="8"/>
  <c r="L91" i="8"/>
  <c r="AP90" i="8"/>
  <c r="AL90" i="8"/>
  <c r="AI90" i="8"/>
  <c r="AE90" i="8"/>
  <c r="AH90" i="8" s="1"/>
  <c r="AJ90" i="8" s="1"/>
  <c r="AK90" i="8" s="1"/>
  <c r="Z90" i="8"/>
  <c r="U90" i="8"/>
  <c r="V90" i="8" s="1"/>
  <c r="T90" i="8"/>
  <c r="P90" i="8"/>
  <c r="N90" i="8"/>
  <c r="M90" i="8"/>
  <c r="L90" i="8"/>
  <c r="J90" i="8"/>
  <c r="AP89" i="8"/>
  <c r="AL89" i="8"/>
  <c r="AE89" i="8"/>
  <c r="AI89" i="8" s="1"/>
  <c r="Z89" i="8"/>
  <c r="V89" i="8"/>
  <c r="U89" i="8"/>
  <c r="T89" i="8"/>
  <c r="N89" i="8"/>
  <c r="L89" i="8"/>
  <c r="J89" i="8"/>
  <c r="AP88" i="8"/>
  <c r="AL88" i="8"/>
  <c r="AE88" i="8"/>
  <c r="AH88" i="8" s="1"/>
  <c r="AJ88" i="8" s="1"/>
  <c r="AK88" i="8" s="1"/>
  <c r="Z88" i="8"/>
  <c r="V88" i="8"/>
  <c r="U88" i="8"/>
  <c r="T88" i="8"/>
  <c r="AI88" i="8" s="1"/>
  <c r="N88" i="8"/>
  <c r="M88" i="8"/>
  <c r="P88" i="8" s="1"/>
  <c r="L88" i="8"/>
  <c r="AP87" i="8"/>
  <c r="AL87" i="8"/>
  <c r="AI87" i="8"/>
  <c r="AH87" i="8"/>
  <c r="AJ87" i="8" s="1"/>
  <c r="AE87" i="8"/>
  <c r="Z87" i="8"/>
  <c r="U87" i="8"/>
  <c r="V87" i="8" s="1"/>
  <c r="T87" i="8"/>
  <c r="N87" i="8"/>
  <c r="L87" i="8"/>
  <c r="AP86" i="8"/>
  <c r="AL86" i="8"/>
  <c r="AE86" i="8"/>
  <c r="Z86" i="8"/>
  <c r="U86" i="8"/>
  <c r="V86" i="8" s="1"/>
  <c r="T86" i="8"/>
  <c r="N86" i="8"/>
  <c r="L86" i="8"/>
  <c r="AP85" i="8"/>
  <c r="AL85" i="8"/>
  <c r="AH85" i="8"/>
  <c r="AJ85" i="8" s="1"/>
  <c r="AE85" i="8"/>
  <c r="Z85" i="8"/>
  <c r="U85" i="8"/>
  <c r="V85" i="8" s="1"/>
  <c r="T85" i="8"/>
  <c r="AI85" i="8" s="1"/>
  <c r="N85" i="8"/>
  <c r="L85" i="8"/>
  <c r="J85" i="8" s="1"/>
  <c r="AP84" i="8"/>
  <c r="AL84" i="8"/>
  <c r="AI84" i="8"/>
  <c r="AH84" i="8"/>
  <c r="AJ84" i="8" s="1"/>
  <c r="AE84" i="8"/>
  <c r="Z84" i="8"/>
  <c r="V84" i="8"/>
  <c r="U84" i="8"/>
  <c r="T84" i="8"/>
  <c r="N84" i="8"/>
  <c r="L84" i="8"/>
  <c r="J84" i="8" s="1"/>
  <c r="AP83" i="8"/>
  <c r="AL83" i="8"/>
  <c r="AH83" i="8"/>
  <c r="AJ83" i="8" s="1"/>
  <c r="AE83" i="8"/>
  <c r="Z83" i="8"/>
  <c r="V83" i="8"/>
  <c r="U83" i="8"/>
  <c r="T83" i="8"/>
  <c r="AI83" i="8" s="1"/>
  <c r="N83" i="8"/>
  <c r="L83" i="8"/>
  <c r="AP82" i="8"/>
  <c r="AL82" i="8"/>
  <c r="AI82" i="8"/>
  <c r="AH82" i="8"/>
  <c r="AJ82" i="8" s="1"/>
  <c r="AE82" i="8"/>
  <c r="Z82" i="8"/>
  <c r="V82" i="8"/>
  <c r="U82" i="8"/>
  <c r="T82" i="8"/>
  <c r="N82" i="8"/>
  <c r="M82" i="8"/>
  <c r="L82" i="8"/>
  <c r="J82" i="8"/>
  <c r="AP81" i="8"/>
  <c r="AL81" i="8"/>
  <c r="AE81" i="8"/>
  <c r="Z81" i="8"/>
  <c r="V81" i="8"/>
  <c r="U81" i="8"/>
  <c r="T81" i="8"/>
  <c r="N81" i="8"/>
  <c r="P81" i="8" s="1"/>
  <c r="M81" i="8"/>
  <c r="L81" i="8"/>
  <c r="J81" i="8"/>
  <c r="AP80" i="8"/>
  <c r="AL80" i="8"/>
  <c r="AE80" i="8"/>
  <c r="Z80" i="8"/>
  <c r="V80" i="8"/>
  <c r="U80" i="8"/>
  <c r="T80" i="8"/>
  <c r="N80" i="8"/>
  <c r="P80" i="8" s="1"/>
  <c r="M80" i="8"/>
  <c r="L80" i="8"/>
  <c r="J80" i="8"/>
  <c r="AP79" i="8"/>
  <c r="AL79" i="8"/>
  <c r="AJ79" i="8"/>
  <c r="AK79" i="8" s="1"/>
  <c r="AI79" i="8"/>
  <c r="AH79" i="8"/>
  <c r="AE79" i="8"/>
  <c r="Z79" i="8"/>
  <c r="V79" i="8"/>
  <c r="U79" i="8"/>
  <c r="T79" i="8"/>
  <c r="N79" i="8"/>
  <c r="M79" i="8"/>
  <c r="P79" i="8" s="1"/>
  <c r="L79" i="8"/>
  <c r="J79" i="8"/>
  <c r="AP78" i="8"/>
  <c r="AL78" i="8"/>
  <c r="AE78" i="8"/>
  <c r="Z78" i="8"/>
  <c r="V78" i="8"/>
  <c r="U78" i="8"/>
  <c r="T78" i="8"/>
  <c r="N78" i="8"/>
  <c r="L78" i="8"/>
  <c r="AP77" i="8"/>
  <c r="AL77" i="8"/>
  <c r="AI77" i="8"/>
  <c r="AH77" i="8"/>
  <c r="AJ77" i="8" s="1"/>
  <c r="AE77" i="8"/>
  <c r="Z77" i="8"/>
  <c r="V77" i="8"/>
  <c r="U77" i="8"/>
  <c r="T77" i="8"/>
  <c r="N77" i="8"/>
  <c r="M77" i="8"/>
  <c r="L77" i="8"/>
  <c r="J77" i="8"/>
  <c r="AP76" i="8"/>
  <c r="AL76" i="8"/>
  <c r="AE76" i="8"/>
  <c r="AH76" i="8" s="1"/>
  <c r="Z76" i="8"/>
  <c r="V76" i="8"/>
  <c r="U76" i="8"/>
  <c r="T76" i="8"/>
  <c r="AI76" i="8" s="1"/>
  <c r="N76" i="8"/>
  <c r="L76" i="8"/>
  <c r="AP75" i="8"/>
  <c r="AL75" i="8"/>
  <c r="AJ75" i="8"/>
  <c r="AI75" i="8"/>
  <c r="AH75" i="8"/>
  <c r="AE75" i="8"/>
  <c r="Z75" i="8"/>
  <c r="U75" i="8"/>
  <c r="V75" i="8" s="1"/>
  <c r="T75" i="8"/>
  <c r="N75" i="8"/>
  <c r="L75" i="8"/>
  <c r="AP74" i="8"/>
  <c r="AL74" i="8"/>
  <c r="AH74" i="8"/>
  <c r="AE74" i="8"/>
  <c r="AI74" i="8" s="1"/>
  <c r="Z74" i="8"/>
  <c r="U74" i="8"/>
  <c r="V74" i="8" s="1"/>
  <c r="T74" i="8"/>
  <c r="N74" i="8"/>
  <c r="P74" i="8" s="1"/>
  <c r="M74" i="8"/>
  <c r="L74" i="8"/>
  <c r="AP73" i="8"/>
  <c r="AL73" i="8"/>
  <c r="AE73" i="8"/>
  <c r="Z73" i="8"/>
  <c r="U73" i="8"/>
  <c r="V73" i="8" s="1"/>
  <c r="T73" i="8"/>
  <c r="N73" i="8"/>
  <c r="L73" i="8"/>
  <c r="J73" i="8"/>
  <c r="AP72" i="8"/>
  <c r="AL72" i="8"/>
  <c r="AH72" i="8"/>
  <c r="AE72" i="8"/>
  <c r="Z72" i="8"/>
  <c r="U72" i="8"/>
  <c r="T72" i="8"/>
  <c r="N72" i="8"/>
  <c r="P72" i="8" s="1"/>
  <c r="L72" i="8"/>
  <c r="M72" i="8" s="1"/>
  <c r="AP71" i="8"/>
  <c r="AL71" i="8"/>
  <c r="AI71" i="8"/>
  <c r="AH71" i="8"/>
  <c r="AE71" i="8"/>
  <c r="Z71" i="8"/>
  <c r="V71" i="8"/>
  <c r="U71" i="8"/>
  <c r="J71" i="8" s="1"/>
  <c r="T71" i="8"/>
  <c r="N71" i="8"/>
  <c r="M71" i="8"/>
  <c r="L71" i="8"/>
  <c r="AP70" i="8"/>
  <c r="AL70" i="8"/>
  <c r="AJ70" i="8"/>
  <c r="AH70" i="8"/>
  <c r="AE70" i="8"/>
  <c r="Z70" i="8"/>
  <c r="V70" i="8"/>
  <c r="U70" i="8"/>
  <c r="T70" i="8"/>
  <c r="N70" i="8"/>
  <c r="M70" i="8"/>
  <c r="L70" i="8"/>
  <c r="J70" i="8"/>
  <c r="AP69" i="8"/>
  <c r="AL69" i="8"/>
  <c r="AE69" i="8"/>
  <c r="Z69" i="8"/>
  <c r="U69" i="8"/>
  <c r="J69" i="8" s="1"/>
  <c r="T69" i="8"/>
  <c r="N69" i="8"/>
  <c r="L69" i="8"/>
  <c r="AP68" i="8"/>
  <c r="AL68" i="8"/>
  <c r="AJ68" i="8"/>
  <c r="AK68" i="8" s="1"/>
  <c r="AH68" i="8"/>
  <c r="AE68" i="8"/>
  <c r="AI68" i="8" s="1"/>
  <c r="Z68" i="8"/>
  <c r="V68" i="8"/>
  <c r="U68" i="8"/>
  <c r="T68" i="8"/>
  <c r="N68" i="8"/>
  <c r="L68" i="8"/>
  <c r="M68" i="8" s="1"/>
  <c r="P68" i="8" s="1"/>
  <c r="AP67" i="8"/>
  <c r="AM67" i="8"/>
  <c r="AO67" i="8" s="1"/>
  <c r="AL67" i="8"/>
  <c r="AH67" i="8"/>
  <c r="AJ67" i="8" s="1"/>
  <c r="AK67" i="8" s="1"/>
  <c r="AE67" i="8"/>
  <c r="AI67" i="8" s="1"/>
  <c r="Z67" i="8"/>
  <c r="U67" i="8"/>
  <c r="V67" i="8" s="1"/>
  <c r="T67" i="8"/>
  <c r="N67" i="8"/>
  <c r="M67" i="8"/>
  <c r="P67" i="8" s="1"/>
  <c r="L67" i="8"/>
  <c r="J67" i="8"/>
  <c r="AP66" i="8"/>
  <c r="AL66" i="8"/>
  <c r="AE66" i="8"/>
  <c r="Z66" i="8"/>
  <c r="U66" i="8"/>
  <c r="V66" i="8" s="1"/>
  <c r="T66" i="8"/>
  <c r="N66" i="8"/>
  <c r="L66" i="8"/>
  <c r="AP65" i="8"/>
  <c r="AL65" i="8"/>
  <c r="AE65" i="8"/>
  <c r="AI65" i="8" s="1"/>
  <c r="Z65" i="8"/>
  <c r="V65" i="8"/>
  <c r="U65" i="8"/>
  <c r="T65" i="8"/>
  <c r="N65" i="8"/>
  <c r="M65" i="8"/>
  <c r="L65" i="8"/>
  <c r="J65" i="8"/>
  <c r="AP64" i="8"/>
  <c r="AL64" i="8"/>
  <c r="AE64" i="8"/>
  <c r="Z64" i="8"/>
  <c r="U64" i="8"/>
  <c r="V64" i="8" s="1"/>
  <c r="T64" i="8"/>
  <c r="N64" i="8"/>
  <c r="M64" i="8"/>
  <c r="L64" i="8"/>
  <c r="AP63" i="8"/>
  <c r="AL63" i="8"/>
  <c r="AJ63" i="8"/>
  <c r="AI63" i="8"/>
  <c r="AE63" i="8"/>
  <c r="AH63" i="8" s="1"/>
  <c r="Z63" i="8"/>
  <c r="V63" i="8"/>
  <c r="U63" i="8"/>
  <c r="T63" i="8"/>
  <c r="N63" i="8"/>
  <c r="L63" i="8"/>
  <c r="AP62" i="8"/>
  <c r="AL62" i="8"/>
  <c r="AE62" i="8"/>
  <c r="Z62" i="8"/>
  <c r="U62" i="8"/>
  <c r="T62" i="8"/>
  <c r="N62" i="8"/>
  <c r="M62" i="8"/>
  <c r="L62" i="8"/>
  <c r="AP61" i="8"/>
  <c r="AL61" i="8"/>
  <c r="AI61" i="8"/>
  <c r="AE61" i="8"/>
  <c r="AH61" i="8" s="1"/>
  <c r="AJ61" i="8" s="1"/>
  <c r="Z61" i="8"/>
  <c r="V61" i="8"/>
  <c r="U61" i="8"/>
  <c r="T61" i="8"/>
  <c r="N61" i="8"/>
  <c r="L61" i="8"/>
  <c r="AP60" i="8"/>
  <c r="AL60" i="8"/>
  <c r="AE60" i="8"/>
  <c r="AH60" i="8" s="1"/>
  <c r="Z60" i="8"/>
  <c r="U60" i="8"/>
  <c r="T60" i="8"/>
  <c r="AI60" i="8" s="1"/>
  <c r="P60" i="8"/>
  <c r="N60" i="8"/>
  <c r="M60" i="8"/>
  <c r="L60" i="8"/>
  <c r="AP59" i="8"/>
  <c r="AL59" i="8"/>
  <c r="AE59" i="8"/>
  <c r="AH59" i="8" s="1"/>
  <c r="Z59" i="8"/>
  <c r="U59" i="8"/>
  <c r="T59" i="8"/>
  <c r="AI59" i="8" s="1"/>
  <c r="N59" i="8"/>
  <c r="M59" i="8"/>
  <c r="L59" i="8"/>
  <c r="P59" i="8" s="1"/>
  <c r="AP58" i="8"/>
  <c r="AL58" i="8"/>
  <c r="AE58" i="8"/>
  <c r="AH58" i="8" s="1"/>
  <c r="AJ58" i="8" s="1"/>
  <c r="Z58" i="8"/>
  <c r="U58" i="8"/>
  <c r="V58" i="8" s="1"/>
  <c r="T58" i="8"/>
  <c r="N58" i="8"/>
  <c r="L58" i="8"/>
  <c r="AP57" i="8"/>
  <c r="AL57" i="8"/>
  <c r="AE57" i="8"/>
  <c r="Z57" i="8"/>
  <c r="U57" i="8"/>
  <c r="V57" i="8" s="1"/>
  <c r="T57" i="8"/>
  <c r="N57" i="8"/>
  <c r="M57" i="8"/>
  <c r="L57" i="8"/>
  <c r="AP56" i="8"/>
  <c r="AL56" i="8"/>
  <c r="AJ56" i="8"/>
  <c r="AK56" i="8" s="1"/>
  <c r="AI56" i="8"/>
  <c r="AH56" i="8"/>
  <c r="AE56" i="8"/>
  <c r="Z56" i="8"/>
  <c r="U56" i="8"/>
  <c r="V56" i="8" s="1"/>
  <c r="T56" i="8"/>
  <c r="N56" i="8"/>
  <c r="L56" i="8"/>
  <c r="M56" i="8" s="1"/>
  <c r="P56" i="8" s="1"/>
  <c r="AP55" i="8"/>
  <c r="AL55" i="8"/>
  <c r="AE55" i="8"/>
  <c r="AI55" i="8" s="1"/>
  <c r="Z55" i="8"/>
  <c r="U55" i="8"/>
  <c r="V55" i="8" s="1"/>
  <c r="T55" i="8"/>
  <c r="N55" i="8"/>
  <c r="L55" i="8"/>
  <c r="M55" i="8" s="1"/>
  <c r="P55" i="8" s="1"/>
  <c r="AP54" i="8"/>
  <c r="AL54" i="8"/>
  <c r="AI54" i="8"/>
  <c r="AH54" i="8"/>
  <c r="AE54" i="8"/>
  <c r="Z54" i="8"/>
  <c r="U54" i="8"/>
  <c r="T54" i="8"/>
  <c r="P54" i="8"/>
  <c r="N54" i="8"/>
  <c r="M54" i="8"/>
  <c r="L54" i="8"/>
  <c r="AP53" i="8"/>
  <c r="AL53" i="8"/>
  <c r="AE53" i="8"/>
  <c r="AH53" i="8" s="1"/>
  <c r="Z53" i="8"/>
  <c r="U53" i="8"/>
  <c r="T53" i="8"/>
  <c r="N53" i="8"/>
  <c r="L53" i="8"/>
  <c r="AP52" i="8"/>
  <c r="AL52" i="8"/>
  <c r="AJ52" i="8"/>
  <c r="AH52" i="8"/>
  <c r="AE52" i="8"/>
  <c r="Z52" i="8"/>
  <c r="V52" i="8"/>
  <c r="U52" i="8"/>
  <c r="T52" i="8"/>
  <c r="N52" i="8"/>
  <c r="L52" i="8"/>
  <c r="J52" i="8" s="1"/>
  <c r="AP51" i="8"/>
  <c r="AL51" i="8"/>
  <c r="AE51" i="8"/>
  <c r="Z51" i="8"/>
  <c r="V51" i="8"/>
  <c r="U51" i="8"/>
  <c r="T51" i="8"/>
  <c r="N51" i="8"/>
  <c r="M51" i="8"/>
  <c r="L51" i="8"/>
  <c r="J51" i="8"/>
  <c r="AP50" i="8"/>
  <c r="AL50" i="8"/>
  <c r="AE50" i="8"/>
  <c r="Z50" i="8"/>
  <c r="U50" i="8"/>
  <c r="T50" i="8"/>
  <c r="N50" i="8"/>
  <c r="P50" i="8" s="1"/>
  <c r="M50" i="8"/>
  <c r="L50" i="8"/>
  <c r="AP49" i="8"/>
  <c r="AL49" i="8"/>
  <c r="AE49" i="8"/>
  <c r="Z49" i="8"/>
  <c r="V49" i="8"/>
  <c r="U49" i="8"/>
  <c r="T49" i="8"/>
  <c r="N49" i="8"/>
  <c r="L49" i="8"/>
  <c r="J49" i="8" s="1"/>
  <c r="AP48" i="8"/>
  <c r="AL48" i="8"/>
  <c r="AJ48" i="8"/>
  <c r="AK48" i="8" s="1"/>
  <c r="AI48" i="8"/>
  <c r="AH48" i="8"/>
  <c r="AE48" i="8"/>
  <c r="Z48" i="8"/>
  <c r="V48" i="8"/>
  <c r="U48" i="8"/>
  <c r="T48" i="8"/>
  <c r="P48" i="8"/>
  <c r="N48" i="8"/>
  <c r="M48" i="8"/>
  <c r="L48" i="8"/>
  <c r="J48" i="8"/>
  <c r="AP47" i="8"/>
  <c r="AL47" i="8"/>
  <c r="AE47" i="8"/>
  <c r="AH47" i="8" s="1"/>
  <c r="Z47" i="8"/>
  <c r="U47" i="8"/>
  <c r="V47" i="8" s="1"/>
  <c r="T47" i="8"/>
  <c r="AI47" i="8" s="1"/>
  <c r="P47" i="8"/>
  <c r="N47" i="8"/>
  <c r="L47" i="8"/>
  <c r="M47" i="8" s="1"/>
  <c r="J47" i="8"/>
  <c r="AP46" i="8"/>
  <c r="AL46" i="8"/>
  <c r="AE46" i="8"/>
  <c r="AI46" i="8" s="1"/>
  <c r="Z46" i="8"/>
  <c r="U46" i="8"/>
  <c r="T46" i="8"/>
  <c r="N46" i="8"/>
  <c r="M46" i="8"/>
  <c r="L46" i="8"/>
  <c r="AP45" i="8"/>
  <c r="AL45" i="8"/>
  <c r="AE45" i="8"/>
  <c r="Z45" i="8"/>
  <c r="V45" i="8"/>
  <c r="U45" i="8"/>
  <c r="T45" i="8"/>
  <c r="N45" i="8"/>
  <c r="L45" i="8"/>
  <c r="AP44" i="8"/>
  <c r="AL44" i="8"/>
  <c r="AJ44" i="8"/>
  <c r="AK44" i="8" s="1"/>
  <c r="AI44" i="8"/>
  <c r="AE44" i="8"/>
  <c r="AH44" i="8" s="1"/>
  <c r="Z44" i="8"/>
  <c r="U44" i="8"/>
  <c r="V44" i="8" s="1"/>
  <c r="T44" i="8"/>
  <c r="N44" i="8"/>
  <c r="P44" i="8" s="1"/>
  <c r="L44" i="8"/>
  <c r="M44" i="8" s="1"/>
  <c r="J44" i="8"/>
  <c r="AP43" i="8"/>
  <c r="AL43" i="8"/>
  <c r="AE43" i="8"/>
  <c r="Z43" i="8"/>
  <c r="U43" i="8"/>
  <c r="V43" i="8" s="1"/>
  <c r="T43" i="8"/>
  <c r="N43" i="8"/>
  <c r="P43" i="8" s="1"/>
  <c r="L43" i="8"/>
  <c r="M43" i="8" s="1"/>
  <c r="AP42" i="8"/>
  <c r="AL42" i="8"/>
  <c r="AI42" i="8"/>
  <c r="AH42" i="8"/>
  <c r="AJ42" i="8" s="1"/>
  <c r="AE42" i="8"/>
  <c r="Z42" i="8"/>
  <c r="U42" i="8"/>
  <c r="V42" i="8" s="1"/>
  <c r="T42" i="8"/>
  <c r="N42" i="8"/>
  <c r="L42" i="8"/>
  <c r="J42" i="8"/>
  <c r="AP41" i="8"/>
  <c r="AL41" i="8"/>
  <c r="AE41" i="8"/>
  <c r="Z41" i="8"/>
  <c r="U41" i="8"/>
  <c r="V41" i="8" s="1"/>
  <c r="T41" i="8"/>
  <c r="N41" i="8"/>
  <c r="L41" i="8"/>
  <c r="J41" i="8"/>
  <c r="AP40" i="8"/>
  <c r="AL40" i="8"/>
  <c r="AJ40" i="8"/>
  <c r="AH40" i="8"/>
  <c r="AE40" i="8"/>
  <c r="AI40" i="8" s="1"/>
  <c r="Z40" i="8"/>
  <c r="V40" i="8"/>
  <c r="U40" i="8"/>
  <c r="T40" i="8"/>
  <c r="N40" i="8"/>
  <c r="L40" i="8"/>
  <c r="M40" i="8" s="1"/>
  <c r="P40" i="8" s="1"/>
  <c r="AP39" i="8"/>
  <c r="AL39" i="8"/>
  <c r="AE39" i="8"/>
  <c r="AI39" i="8" s="1"/>
  <c r="Z39" i="8"/>
  <c r="V39" i="8"/>
  <c r="U39" i="8"/>
  <c r="T39" i="8"/>
  <c r="N39" i="8"/>
  <c r="L39" i="8"/>
  <c r="AP38" i="8"/>
  <c r="AL38" i="8"/>
  <c r="AE38" i="8"/>
  <c r="Z38" i="8"/>
  <c r="V38" i="8"/>
  <c r="U38" i="8"/>
  <c r="J38" i="8" s="1"/>
  <c r="T38" i="8"/>
  <c r="N38" i="8"/>
  <c r="M38" i="8"/>
  <c r="L38" i="8"/>
  <c r="AP37" i="8"/>
  <c r="AL37" i="8"/>
  <c r="AE37" i="8"/>
  <c r="AH37" i="8" s="1"/>
  <c r="AJ37" i="8" s="1"/>
  <c r="Z37" i="8"/>
  <c r="V37" i="8"/>
  <c r="U37" i="8"/>
  <c r="T37" i="8"/>
  <c r="N37" i="8"/>
  <c r="L37" i="8"/>
  <c r="J37" i="8"/>
  <c r="AP36" i="8"/>
  <c r="AL36" i="8"/>
  <c r="AI36" i="8"/>
  <c r="AE36" i="8"/>
  <c r="AH36" i="8" s="1"/>
  <c r="AJ36" i="8" s="1"/>
  <c r="AK36" i="8" s="1"/>
  <c r="Z36" i="8"/>
  <c r="U36" i="8"/>
  <c r="V36" i="8" s="1"/>
  <c r="T36" i="8"/>
  <c r="P36" i="8"/>
  <c r="N36" i="8"/>
  <c r="M36" i="8"/>
  <c r="L36" i="8"/>
  <c r="J36" i="8"/>
  <c r="AP35" i="8"/>
  <c r="AL35" i="8"/>
  <c r="AE35" i="8"/>
  <c r="AH35" i="8" s="1"/>
  <c r="Z35" i="8"/>
  <c r="U35" i="8"/>
  <c r="V35" i="8" s="1"/>
  <c r="T35" i="8"/>
  <c r="AI35" i="8" s="1"/>
  <c r="N35" i="8"/>
  <c r="M35" i="8"/>
  <c r="L35" i="8"/>
  <c r="P35" i="8" s="1"/>
  <c r="J35" i="8"/>
  <c r="AP34" i="8"/>
  <c r="AL34" i="8"/>
  <c r="AH34" i="8"/>
  <c r="AJ34" i="8" s="1"/>
  <c r="AE34" i="8"/>
  <c r="AI34" i="8" s="1"/>
  <c r="Z34" i="8"/>
  <c r="U34" i="8"/>
  <c r="V34" i="8" s="1"/>
  <c r="T34" i="8"/>
  <c r="N34" i="8"/>
  <c r="M34" i="8"/>
  <c r="L34" i="8"/>
  <c r="AP33" i="8"/>
  <c r="AL33" i="8"/>
  <c r="AE33" i="8"/>
  <c r="Z33" i="8"/>
  <c r="U33" i="8"/>
  <c r="V33" i="8" s="1"/>
  <c r="T33" i="8"/>
  <c r="N33" i="8"/>
  <c r="L33" i="8"/>
  <c r="AP32" i="8"/>
  <c r="AL32" i="8"/>
  <c r="AI32" i="8"/>
  <c r="AH32" i="8"/>
  <c r="AJ32" i="8" s="1"/>
  <c r="AE32" i="8"/>
  <c r="Z32" i="8"/>
  <c r="U32" i="8"/>
  <c r="V32" i="8" s="1"/>
  <c r="T32" i="8"/>
  <c r="N32" i="8"/>
  <c r="L32" i="8"/>
  <c r="AP31" i="8"/>
  <c r="AL31" i="8"/>
  <c r="AE31" i="8"/>
  <c r="Z31" i="8"/>
  <c r="U31" i="8"/>
  <c r="V31" i="8" s="1"/>
  <c r="T31" i="8"/>
  <c r="N31" i="8"/>
  <c r="P31" i="8" s="1"/>
  <c r="L31" i="8"/>
  <c r="M31" i="8" s="1"/>
  <c r="AP30" i="8"/>
  <c r="AL30" i="8"/>
  <c r="AI30" i="8"/>
  <c r="AH30" i="8"/>
  <c r="AE30" i="8"/>
  <c r="Z30" i="8"/>
  <c r="U30" i="8"/>
  <c r="T30" i="8"/>
  <c r="N30" i="8"/>
  <c r="L30" i="8"/>
  <c r="AP29" i="8"/>
  <c r="AL29" i="8"/>
  <c r="AI29" i="8"/>
  <c r="AE29" i="8"/>
  <c r="AH29" i="8" s="1"/>
  <c r="AJ29" i="8" s="1"/>
  <c r="Z29" i="8"/>
  <c r="V29" i="8"/>
  <c r="U29" i="8"/>
  <c r="T29" i="8"/>
  <c r="N29" i="8"/>
  <c r="L29" i="8"/>
  <c r="AP28" i="8"/>
  <c r="AL28" i="8"/>
  <c r="AJ28" i="8"/>
  <c r="AH28" i="8"/>
  <c r="AE28" i="8"/>
  <c r="Z28" i="8"/>
  <c r="V28" i="8"/>
  <c r="U28" i="8"/>
  <c r="T28" i="8"/>
  <c r="N28" i="8"/>
  <c r="L28" i="8"/>
  <c r="AP27" i="8"/>
  <c r="AL27" i="8"/>
  <c r="AE27" i="8"/>
  <c r="AI27" i="8" s="1"/>
  <c r="Z27" i="8"/>
  <c r="V27" i="8"/>
  <c r="U27" i="8"/>
  <c r="T27" i="8"/>
  <c r="N27" i="8"/>
  <c r="M27" i="8"/>
  <c r="L27" i="8"/>
  <c r="J27" i="8"/>
  <c r="AP26" i="8"/>
  <c r="AL26" i="8"/>
  <c r="AE26" i="8"/>
  <c r="Z26" i="8"/>
  <c r="V26" i="8"/>
  <c r="U26" i="8"/>
  <c r="J26" i="8" s="1"/>
  <c r="T26" i="8"/>
  <c r="N26" i="8"/>
  <c r="P26" i="8" s="1"/>
  <c r="M26" i="8"/>
  <c r="L26" i="8"/>
  <c r="AP25" i="8"/>
  <c r="AL25" i="8"/>
  <c r="AE25" i="8"/>
  <c r="Z25" i="8"/>
  <c r="V25" i="8"/>
  <c r="U25" i="8"/>
  <c r="T25" i="8"/>
  <c r="N25" i="8"/>
  <c r="M25" i="8"/>
  <c r="L25" i="8"/>
  <c r="AP24" i="8"/>
  <c r="AL24" i="8"/>
  <c r="AI24" i="8"/>
  <c r="AH24" i="8"/>
  <c r="AJ24" i="8" s="1"/>
  <c r="AK24" i="8" s="1"/>
  <c r="AE24" i="8"/>
  <c r="Z24" i="8"/>
  <c r="V24" i="8"/>
  <c r="U24" i="8"/>
  <c r="T24" i="8"/>
  <c r="P24" i="8"/>
  <c r="N24" i="8"/>
  <c r="M24" i="8"/>
  <c r="L24" i="8"/>
  <c r="J24" i="8"/>
  <c r="AP23" i="8"/>
  <c r="AL23" i="8"/>
  <c r="AJ23" i="8"/>
  <c r="AE23" i="8"/>
  <c r="AH23" i="8" s="1"/>
  <c r="Z23" i="8"/>
  <c r="U23" i="8"/>
  <c r="V23" i="8" s="1"/>
  <c r="T23" i="8"/>
  <c r="AI23" i="8" s="1"/>
  <c r="N23" i="8"/>
  <c r="L23" i="8"/>
  <c r="AP22" i="8"/>
  <c r="AL22" i="8"/>
  <c r="AH22" i="8"/>
  <c r="AJ22" i="8" s="1"/>
  <c r="AE22" i="8"/>
  <c r="AI22" i="8" s="1"/>
  <c r="Z22" i="8"/>
  <c r="U22" i="8"/>
  <c r="T22" i="8"/>
  <c r="N22" i="8"/>
  <c r="M22" i="8"/>
  <c r="L22" i="8"/>
  <c r="AP21" i="8"/>
  <c r="AL21" i="8"/>
  <c r="AE21" i="8"/>
  <c r="Z21" i="8"/>
  <c r="U21" i="8"/>
  <c r="V21" i="8" s="1"/>
  <c r="T21" i="8"/>
  <c r="N21" i="8"/>
  <c r="L21" i="8"/>
  <c r="AP20" i="8"/>
  <c r="AL20" i="8"/>
  <c r="AJ20" i="8"/>
  <c r="AI20" i="8"/>
  <c r="AE20" i="8"/>
  <c r="AH20" i="8" s="1"/>
  <c r="Z20" i="8"/>
  <c r="U20" i="8"/>
  <c r="V20" i="8" s="1"/>
  <c r="T20" i="8"/>
  <c r="N20" i="8"/>
  <c r="L20" i="8"/>
  <c r="AP19" i="8"/>
  <c r="AL19" i="8"/>
  <c r="AE19" i="8"/>
  <c r="AH19" i="8" s="1"/>
  <c r="Z19" i="8"/>
  <c r="U19" i="8"/>
  <c r="V19" i="8" s="1"/>
  <c r="T19" i="8"/>
  <c r="AI19" i="8" s="1"/>
  <c r="N19" i="8"/>
  <c r="L19" i="8"/>
  <c r="AP18" i="8"/>
  <c r="AL18" i="8"/>
  <c r="AJ18" i="8"/>
  <c r="AI18" i="8"/>
  <c r="AH18" i="8"/>
  <c r="AE18" i="8"/>
  <c r="Z18" i="8"/>
  <c r="U18" i="8"/>
  <c r="V18" i="8" s="1"/>
  <c r="T18" i="8"/>
  <c r="N18" i="8"/>
  <c r="L18" i="8"/>
  <c r="AP17" i="8"/>
  <c r="AL17" i="8"/>
  <c r="AE17" i="8"/>
  <c r="Z17" i="8"/>
  <c r="V17" i="8"/>
  <c r="U17" i="8"/>
  <c r="T17" i="8"/>
  <c r="N17" i="8"/>
  <c r="L17" i="8"/>
  <c r="J17" i="8"/>
  <c r="AP16" i="8"/>
  <c r="AL16" i="8"/>
  <c r="AJ16" i="8"/>
  <c r="AH16" i="8"/>
  <c r="AE16" i="8"/>
  <c r="AI16" i="8" s="1"/>
  <c r="Z16" i="8"/>
  <c r="U16" i="8"/>
  <c r="J16" i="8" s="1"/>
  <c r="T16" i="8"/>
  <c r="N16" i="8"/>
  <c r="L16" i="8"/>
  <c r="AP15" i="8"/>
  <c r="AL15" i="8"/>
  <c r="AE15" i="8"/>
  <c r="Z15" i="8"/>
  <c r="V15" i="8"/>
  <c r="U15" i="8"/>
  <c r="T15" i="8"/>
  <c r="N15" i="8"/>
  <c r="L15" i="8"/>
  <c r="J15" i="8" s="1"/>
  <c r="AP14" i="8"/>
  <c r="AL14" i="8"/>
  <c r="AI14" i="8"/>
  <c r="AH14" i="8"/>
  <c r="AJ14" i="8" s="1"/>
  <c r="AE14" i="8"/>
  <c r="Z14" i="8"/>
  <c r="U14" i="8"/>
  <c r="V14" i="8" s="1"/>
  <c r="T14" i="8"/>
  <c r="N14" i="8"/>
  <c r="M14" i="8"/>
  <c r="L14" i="8"/>
  <c r="J14" i="8"/>
  <c r="AP13" i="8"/>
  <c r="AL13" i="8"/>
  <c r="AE13" i="8"/>
  <c r="Z13" i="8"/>
  <c r="U13" i="8"/>
  <c r="V13" i="8" s="1"/>
  <c r="T13" i="8"/>
  <c r="N13" i="8"/>
  <c r="L13" i="8"/>
  <c r="M13" i="8" s="1"/>
  <c r="P13" i="8" s="1"/>
  <c r="AP12" i="8"/>
  <c r="AL12" i="8"/>
  <c r="AE12" i="8"/>
  <c r="Z12" i="8"/>
  <c r="U12" i="8"/>
  <c r="J12" i="8" s="1"/>
  <c r="T12" i="8"/>
  <c r="N12" i="8"/>
  <c r="L12" i="8"/>
  <c r="AP11" i="8"/>
  <c r="AL11" i="8"/>
  <c r="AE11" i="8"/>
  <c r="Z11" i="8"/>
  <c r="U11" i="8"/>
  <c r="J11" i="8" s="1"/>
  <c r="T11" i="8"/>
  <c r="N11" i="8"/>
  <c r="L11" i="8"/>
  <c r="AP10" i="8"/>
  <c r="AL10" i="8"/>
  <c r="AI10" i="8"/>
  <c r="AE10" i="8"/>
  <c r="AH10" i="8" s="1"/>
  <c r="Z10" i="8"/>
  <c r="U10" i="8"/>
  <c r="T10" i="8"/>
  <c r="N10" i="8"/>
  <c r="L10" i="8"/>
  <c r="AP9" i="8"/>
  <c r="AL9" i="8"/>
  <c r="AE9" i="8"/>
  <c r="Z9" i="8"/>
  <c r="U9" i="8"/>
  <c r="V9" i="8" s="1"/>
  <c r="T9" i="8"/>
  <c r="N9" i="8"/>
  <c r="M9" i="8"/>
  <c r="L9" i="8"/>
  <c r="AP8" i="8"/>
  <c r="AL8" i="8"/>
  <c r="AI8" i="8"/>
  <c r="AH8" i="8"/>
  <c r="AE8" i="8"/>
  <c r="Z8" i="8"/>
  <c r="U8" i="8"/>
  <c r="T8" i="8"/>
  <c r="N8" i="8"/>
  <c r="M8" i="8"/>
  <c r="L8" i="8"/>
  <c r="P8" i="8" s="1"/>
  <c r="AP7" i="8"/>
  <c r="AL7" i="8"/>
  <c r="AE7" i="8"/>
  <c r="Z7" i="8"/>
  <c r="U7" i="8"/>
  <c r="V7" i="8" s="1"/>
  <c r="T7" i="8"/>
  <c r="N7" i="8"/>
  <c r="L7" i="8"/>
  <c r="J7" i="8" s="1"/>
  <c r="AP6" i="8"/>
  <c r="AL6" i="8"/>
  <c r="AI6" i="8"/>
  <c r="AH6" i="8"/>
  <c r="AE6" i="8"/>
  <c r="Z6" i="8"/>
  <c r="U6" i="8"/>
  <c r="T6" i="8"/>
  <c r="N6" i="8"/>
  <c r="L6" i="8"/>
  <c r="AP5" i="8"/>
  <c r="AL5" i="8"/>
  <c r="AE5" i="8"/>
  <c r="Z5" i="8"/>
  <c r="V5" i="8"/>
  <c r="U5" i="8"/>
  <c r="T5" i="8"/>
  <c r="N5" i="8"/>
  <c r="M5" i="8"/>
  <c r="L5" i="8"/>
  <c r="AP4" i="8"/>
  <c r="AL4" i="8"/>
  <c r="AH4" i="8"/>
  <c r="AE4" i="8"/>
  <c r="Z4" i="8"/>
  <c r="U4" i="8"/>
  <c r="T4" i="8"/>
  <c r="N4" i="8"/>
  <c r="M4" i="8"/>
  <c r="L4" i="8"/>
  <c r="P4" i="8" s="1"/>
  <c r="AP3" i="8"/>
  <c r="AL3" i="8"/>
  <c r="AE3" i="8"/>
  <c r="Z3" i="8"/>
  <c r="V3" i="8"/>
  <c r="U3" i="8"/>
  <c r="T3" i="8"/>
  <c r="P3" i="8"/>
  <c r="N3" i="8"/>
  <c r="M3" i="8"/>
  <c r="L3" i="8"/>
  <c r="J3" i="8"/>
  <c r="AD1" i="8"/>
  <c r="Z39" i="7"/>
  <c r="U39" i="7"/>
  <c r="S39" i="7" s="1"/>
  <c r="T39" i="7"/>
  <c r="L39" i="7"/>
  <c r="J39" i="7"/>
  <c r="B39" i="7"/>
  <c r="N39" i="7" s="1"/>
  <c r="Z38" i="7"/>
  <c r="T38" i="7"/>
  <c r="L38" i="7"/>
  <c r="B38" i="7"/>
  <c r="N38" i="7" s="1"/>
  <c r="Z37" i="7"/>
  <c r="T37" i="7"/>
  <c r="U37" i="7" s="1"/>
  <c r="V37" i="7" s="1"/>
  <c r="L37" i="7"/>
  <c r="B37" i="7"/>
  <c r="N37" i="7" s="1"/>
  <c r="Z36" i="7"/>
  <c r="U36" i="7"/>
  <c r="V36" i="7" s="1"/>
  <c r="T36" i="7"/>
  <c r="M36" i="7"/>
  <c r="L36" i="7"/>
  <c r="B36" i="7"/>
  <c r="N36" i="7" s="1"/>
  <c r="P36" i="7" s="1"/>
  <c r="Z35" i="7"/>
  <c r="T35" i="7"/>
  <c r="U35" i="7" s="1"/>
  <c r="V35" i="7" s="1"/>
  <c r="L35" i="7"/>
  <c r="J35" i="7"/>
  <c r="B35" i="7"/>
  <c r="N35" i="7" s="1"/>
  <c r="Z34" i="7"/>
  <c r="U34" i="7"/>
  <c r="J34" i="7" s="1"/>
  <c r="T34" i="7"/>
  <c r="M34" i="7"/>
  <c r="L34" i="7"/>
  <c r="B34" i="7"/>
  <c r="N34" i="7" s="1"/>
  <c r="Z33" i="7"/>
  <c r="T33" i="7"/>
  <c r="U33" i="7" s="1"/>
  <c r="L33" i="7"/>
  <c r="M33" i="7" s="1"/>
  <c r="B33" i="7"/>
  <c r="N33" i="7" s="1"/>
  <c r="P33" i="7" s="1"/>
  <c r="Z32" i="7"/>
  <c r="T32" i="7"/>
  <c r="U32" i="7" s="1"/>
  <c r="V32" i="7" s="1"/>
  <c r="M32" i="7"/>
  <c r="L32" i="7"/>
  <c r="B32" i="7"/>
  <c r="N32" i="7" s="1"/>
  <c r="Z31" i="7"/>
  <c r="U31" i="7"/>
  <c r="V31" i="7" s="1"/>
  <c r="T31" i="7"/>
  <c r="L31" i="7"/>
  <c r="M31" i="7" s="1"/>
  <c r="B31" i="7"/>
  <c r="N31" i="7" s="1"/>
  <c r="Z30" i="7"/>
  <c r="T30" i="7"/>
  <c r="U30" i="7" s="1"/>
  <c r="V30" i="7" s="1"/>
  <c r="L30" i="7"/>
  <c r="J30" i="7" s="1"/>
  <c r="B30" i="7"/>
  <c r="N30" i="7" s="1"/>
  <c r="Z29" i="7"/>
  <c r="T29" i="7"/>
  <c r="L29" i="7"/>
  <c r="B29" i="7"/>
  <c r="N29" i="7" s="1"/>
  <c r="Z28" i="7"/>
  <c r="U28" i="7"/>
  <c r="T28" i="7"/>
  <c r="M28" i="7"/>
  <c r="L28" i="7"/>
  <c r="B28" i="7"/>
  <c r="N28" i="7" s="1"/>
  <c r="P28" i="7" s="1"/>
  <c r="Z27" i="7"/>
  <c r="U27" i="7"/>
  <c r="V27" i="7" s="1"/>
  <c r="T27" i="7"/>
  <c r="M27" i="7"/>
  <c r="L27" i="7"/>
  <c r="B27" i="7"/>
  <c r="N27" i="7" s="1"/>
  <c r="Z26" i="7"/>
  <c r="T26" i="7"/>
  <c r="U26" i="7" s="1"/>
  <c r="S26" i="7"/>
  <c r="L26" i="7"/>
  <c r="M26" i="7" s="1"/>
  <c r="B26" i="7"/>
  <c r="N26" i="7" s="1"/>
  <c r="P26" i="7" s="1"/>
  <c r="Z25" i="7"/>
  <c r="T25" i="7"/>
  <c r="L25" i="7"/>
  <c r="M25" i="7" s="1"/>
  <c r="B25" i="7"/>
  <c r="N25" i="7" s="1"/>
  <c r="P25" i="7" s="1"/>
  <c r="Z24" i="7"/>
  <c r="U24" i="7" s="1"/>
  <c r="T24" i="7"/>
  <c r="M24" i="7"/>
  <c r="L24" i="7"/>
  <c r="B24" i="7"/>
  <c r="N24" i="7" s="1"/>
  <c r="P24" i="7" s="1"/>
  <c r="Z23" i="7"/>
  <c r="U23" i="7"/>
  <c r="S23" i="7" s="1"/>
  <c r="T23" i="7"/>
  <c r="L23" i="7"/>
  <c r="B23" i="7"/>
  <c r="N23" i="7" s="1"/>
  <c r="Z22" i="7"/>
  <c r="T22" i="7"/>
  <c r="U22" i="7" s="1"/>
  <c r="S22" i="7" s="1"/>
  <c r="L22" i="7"/>
  <c r="B22" i="7"/>
  <c r="N22" i="7" s="1"/>
  <c r="Z21" i="7"/>
  <c r="T21" i="7"/>
  <c r="U21" i="7" s="1"/>
  <c r="L21" i="7"/>
  <c r="M21" i="7" s="1"/>
  <c r="B21" i="7"/>
  <c r="N21" i="7" s="1"/>
  <c r="P21" i="7" s="1"/>
  <c r="Z20" i="7"/>
  <c r="T20" i="7"/>
  <c r="U20" i="7" s="1"/>
  <c r="J20" i="7" s="1"/>
  <c r="S20" i="7"/>
  <c r="M20" i="7"/>
  <c r="L20" i="7"/>
  <c r="B20" i="7"/>
  <c r="N20" i="7" s="1"/>
  <c r="P20" i="7" s="1"/>
  <c r="Z19" i="7"/>
  <c r="U19" i="7"/>
  <c r="T19" i="7"/>
  <c r="L19" i="7"/>
  <c r="B19" i="7"/>
  <c r="N19" i="7" s="1"/>
  <c r="Z18" i="7"/>
  <c r="T18" i="7"/>
  <c r="L18" i="7"/>
  <c r="B18" i="7"/>
  <c r="N18" i="7" s="1"/>
  <c r="Z17" i="7"/>
  <c r="T17" i="7"/>
  <c r="L17" i="7"/>
  <c r="B17" i="7"/>
  <c r="N17" i="7" s="1"/>
  <c r="Z16" i="7"/>
  <c r="T16" i="7"/>
  <c r="U16" i="7" s="1"/>
  <c r="S16" i="7" s="1"/>
  <c r="L16" i="7"/>
  <c r="B16" i="7"/>
  <c r="N16" i="7" s="1"/>
  <c r="Z15" i="7"/>
  <c r="U15" i="7" s="1"/>
  <c r="T15" i="7"/>
  <c r="M15" i="7"/>
  <c r="L15" i="7"/>
  <c r="B15" i="7"/>
  <c r="N15" i="7" s="1"/>
  <c r="P15" i="7" s="1"/>
  <c r="Z14" i="7"/>
  <c r="T14" i="7"/>
  <c r="U14" i="7" s="1"/>
  <c r="L14" i="7"/>
  <c r="B14" i="7"/>
  <c r="N14" i="7" s="1"/>
  <c r="Z13" i="7"/>
  <c r="U13" i="7"/>
  <c r="S13" i="7" s="1"/>
  <c r="T13" i="7"/>
  <c r="M13" i="7"/>
  <c r="L13" i="7"/>
  <c r="B13" i="7"/>
  <c r="N13" i="7" s="1"/>
  <c r="Z12" i="7"/>
  <c r="T12" i="7"/>
  <c r="U12" i="7" s="1"/>
  <c r="L12" i="7"/>
  <c r="B12" i="7"/>
  <c r="N12" i="7" s="1"/>
  <c r="Z11" i="7"/>
  <c r="T11" i="7"/>
  <c r="U11" i="7" s="1"/>
  <c r="L11" i="7"/>
  <c r="M11" i="7" s="1"/>
  <c r="B11" i="7"/>
  <c r="N11" i="7" s="1"/>
  <c r="P11" i="7" s="1"/>
  <c r="Z10" i="7"/>
  <c r="U10" i="7"/>
  <c r="J10" i="7" s="1"/>
  <c r="T10" i="7"/>
  <c r="S10" i="7"/>
  <c r="M10" i="7"/>
  <c r="L10" i="7"/>
  <c r="B10" i="7"/>
  <c r="N10" i="7" s="1"/>
  <c r="P10" i="7" s="1"/>
  <c r="Z9" i="7"/>
  <c r="T9" i="7"/>
  <c r="U9" i="13" s="1"/>
  <c r="L9" i="7"/>
  <c r="B9" i="7"/>
  <c r="N9" i="7" s="1"/>
  <c r="Z8" i="7"/>
  <c r="T8" i="7"/>
  <c r="U8" i="7" s="1"/>
  <c r="S8" i="7"/>
  <c r="M8" i="7"/>
  <c r="L8" i="7"/>
  <c r="B8" i="7"/>
  <c r="N8" i="7" s="1"/>
  <c r="P8" i="7" s="1"/>
  <c r="Z7" i="7"/>
  <c r="T7" i="7"/>
  <c r="U7" i="7" s="1"/>
  <c r="S7" i="7" s="1"/>
  <c r="L7" i="7"/>
  <c r="M7" i="7" s="1"/>
  <c r="B7" i="7"/>
  <c r="N7" i="7" s="1"/>
  <c r="Z6" i="7"/>
  <c r="U6" i="7"/>
  <c r="T6" i="7"/>
  <c r="L6" i="7"/>
  <c r="B6" i="7"/>
  <c r="N6" i="7" s="1"/>
  <c r="Z5" i="7"/>
  <c r="T5" i="7"/>
  <c r="M5" i="7"/>
  <c r="L5" i="7"/>
  <c r="B5" i="7"/>
  <c r="N5" i="7" s="1"/>
  <c r="P5" i="7" s="1"/>
  <c r="Z4" i="7"/>
  <c r="T4" i="7"/>
  <c r="L4" i="7"/>
  <c r="B4" i="7"/>
  <c r="N4" i="7" s="1"/>
  <c r="Z3" i="7"/>
  <c r="U3" i="7"/>
  <c r="T3" i="7"/>
  <c r="L3" i="7"/>
  <c r="M3" i="7" s="1"/>
  <c r="B3" i="7"/>
  <c r="N3" i="7" s="1"/>
  <c r="Q1" i="7"/>
  <c r="D2" i="6"/>
  <c r="U970" i="3" s="1"/>
  <c r="F19" i="5"/>
  <c r="F21" i="5" s="1"/>
  <c r="F17" i="5"/>
  <c r="L16" i="5"/>
  <c r="N16" i="5" s="1"/>
  <c r="L15" i="5"/>
  <c r="N15" i="5" s="1"/>
  <c r="L14" i="5"/>
  <c r="N14" i="5" s="1"/>
  <c r="Q10" i="5"/>
  <c r="N10" i="5"/>
  <c r="J10" i="5"/>
  <c r="I10" i="5"/>
  <c r="P9" i="5"/>
  <c r="M9" i="5"/>
  <c r="L9" i="5"/>
  <c r="O9" i="5" s="1"/>
  <c r="R9" i="5" s="1"/>
  <c r="K9" i="5"/>
  <c r="P8" i="5"/>
  <c r="M8" i="5"/>
  <c r="L8" i="5"/>
  <c r="O8" i="5" s="1"/>
  <c r="R8" i="5" s="1"/>
  <c r="K8" i="5"/>
  <c r="P7" i="5"/>
  <c r="M7" i="5"/>
  <c r="L7" i="5"/>
  <c r="O7" i="5" s="1"/>
  <c r="K7" i="5"/>
  <c r="C2" i="4"/>
  <c r="C4" i="4" s="1"/>
  <c r="L837" i="3"/>
  <c r="L836" i="3"/>
  <c r="L835" i="3"/>
  <c r="L834" i="3"/>
  <c r="L833" i="3"/>
  <c r="L832" i="3"/>
  <c r="L831" i="3"/>
  <c r="L830" i="3"/>
  <c r="L829" i="3"/>
  <c r="L828" i="3"/>
  <c r="L796" i="3"/>
  <c r="L795" i="3"/>
  <c r="L794" i="3"/>
  <c r="L793" i="3"/>
  <c r="L792" i="3"/>
  <c r="L791" i="3"/>
  <c r="L790" i="3"/>
  <c r="L789" i="3"/>
  <c r="L788" i="3"/>
  <c r="L787" i="3"/>
  <c r="L786" i="3"/>
  <c r="L785" i="3"/>
  <c r="L784" i="3"/>
  <c r="L783" i="3"/>
  <c r="L782" i="3"/>
  <c r="L781" i="3"/>
  <c r="L780" i="3"/>
  <c r="L779" i="3"/>
  <c r="L778" i="3"/>
  <c r="L777" i="3"/>
  <c r="L776" i="3"/>
  <c r="L775" i="3"/>
  <c r="L774" i="3"/>
  <c r="L773" i="3"/>
  <c r="L772" i="3"/>
  <c r="L771" i="3"/>
  <c r="L770" i="3"/>
  <c r="L769" i="3"/>
  <c r="L768" i="3"/>
  <c r="L767" i="3"/>
  <c r="L766" i="3"/>
  <c r="L765" i="3"/>
  <c r="L764" i="3"/>
  <c r="L763" i="3"/>
  <c r="L762" i="3"/>
  <c r="L761" i="3"/>
  <c r="L760" i="3"/>
  <c r="L759" i="3"/>
  <c r="L758" i="3"/>
  <c r="L757" i="3"/>
  <c r="L756" i="3"/>
  <c r="L755" i="3"/>
  <c r="L754" i="3"/>
  <c r="L753" i="3"/>
  <c r="L752" i="3"/>
  <c r="L751" i="3"/>
  <c r="L750" i="3"/>
  <c r="L749" i="3"/>
  <c r="L748" i="3"/>
  <c r="W747" i="3"/>
  <c r="L747" i="3"/>
  <c r="W746" i="3"/>
  <c r="L746" i="3"/>
  <c r="W745" i="3"/>
  <c r="L745" i="3"/>
  <c r="W744" i="3"/>
  <c r="L744" i="3"/>
  <c r="W743" i="3"/>
  <c r="L743" i="3"/>
  <c r="W742" i="3"/>
  <c r="L742" i="3"/>
  <c r="W741" i="3"/>
  <c r="L741" i="3"/>
  <c r="W740" i="3"/>
  <c r="L740" i="3"/>
  <c r="W739" i="3"/>
  <c r="L739" i="3"/>
  <c r="W738" i="3"/>
  <c r="L738" i="3"/>
  <c r="W737" i="3"/>
  <c r="L737" i="3"/>
  <c r="W736" i="3"/>
  <c r="L736" i="3"/>
  <c r="W735" i="3"/>
  <c r="L735" i="3"/>
  <c r="W734" i="3"/>
  <c r="L734" i="3"/>
  <c r="W733" i="3"/>
  <c r="L733" i="3"/>
  <c r="W732" i="3"/>
  <c r="L732" i="3"/>
  <c r="W731" i="3"/>
  <c r="L731" i="3"/>
  <c r="W730" i="3"/>
  <c r="L730" i="3"/>
  <c r="W729" i="3"/>
  <c r="L729" i="3"/>
  <c r="W728" i="3"/>
  <c r="L728" i="3"/>
  <c r="W727" i="3"/>
  <c r="L727" i="3"/>
  <c r="W726" i="3"/>
  <c r="L726" i="3"/>
  <c r="W725" i="3"/>
  <c r="L725" i="3"/>
  <c r="W724" i="3"/>
  <c r="L724" i="3"/>
  <c r="W723" i="3"/>
  <c r="L723" i="3"/>
  <c r="W722" i="3"/>
  <c r="L722" i="3"/>
  <c r="W721" i="3"/>
  <c r="L721" i="3"/>
  <c r="W720" i="3"/>
  <c r="L720" i="3"/>
  <c r="W719" i="3"/>
  <c r="L719" i="3"/>
  <c r="W718" i="3"/>
  <c r="L718" i="3"/>
  <c r="W717" i="3"/>
  <c r="L717" i="3"/>
  <c r="W716" i="3"/>
  <c r="L716" i="3"/>
  <c r="W715" i="3"/>
  <c r="L715" i="3"/>
  <c r="W714" i="3"/>
  <c r="L714" i="3"/>
  <c r="W713" i="3"/>
  <c r="L713" i="3"/>
  <c r="W712" i="3"/>
  <c r="L712" i="3"/>
  <c r="W711" i="3"/>
  <c r="L711" i="3"/>
  <c r="W710" i="3"/>
  <c r="L710" i="3"/>
  <c r="W709" i="3"/>
  <c r="L709" i="3"/>
  <c r="W708" i="3"/>
  <c r="L708" i="3"/>
  <c r="W707" i="3"/>
  <c r="L707" i="3"/>
  <c r="W706" i="3"/>
  <c r="L706" i="3"/>
  <c r="W705" i="3"/>
  <c r="L705" i="3"/>
  <c r="W704" i="3"/>
  <c r="L704" i="3"/>
  <c r="W703" i="3"/>
  <c r="L703" i="3"/>
  <c r="W702" i="3"/>
  <c r="L702" i="3"/>
  <c r="W701" i="3"/>
  <c r="L701" i="3"/>
  <c r="W700" i="3"/>
  <c r="L700" i="3"/>
  <c r="W699" i="3"/>
  <c r="L699" i="3"/>
  <c r="W698" i="3"/>
  <c r="L698" i="3"/>
  <c r="W697" i="3"/>
  <c r="L697" i="3"/>
  <c r="W696" i="3"/>
  <c r="L696" i="3"/>
  <c r="W695" i="3"/>
  <c r="L695" i="3"/>
  <c r="W694" i="3"/>
  <c r="L694" i="3"/>
  <c r="W693" i="3"/>
  <c r="L693" i="3"/>
  <c r="W692" i="3"/>
  <c r="L692" i="3"/>
  <c r="W691" i="3"/>
  <c r="L691" i="3"/>
  <c r="W690" i="3"/>
  <c r="L690" i="3"/>
  <c r="W689" i="3"/>
  <c r="L689" i="3"/>
  <c r="W688" i="3"/>
  <c r="L688" i="3"/>
  <c r="W687" i="3"/>
  <c r="L687" i="3"/>
  <c r="W686" i="3"/>
  <c r="L686" i="3"/>
  <c r="W685" i="3"/>
  <c r="L685" i="3"/>
  <c r="W684" i="3"/>
  <c r="L684" i="3"/>
  <c r="W683" i="3"/>
  <c r="L683" i="3"/>
  <c r="W682" i="3"/>
  <c r="L682" i="3"/>
  <c r="W681" i="3"/>
  <c r="L681" i="3"/>
  <c r="W680" i="3"/>
  <c r="L680" i="3"/>
  <c r="W679" i="3"/>
  <c r="L679" i="3"/>
  <c r="W678" i="3"/>
  <c r="L678" i="3"/>
  <c r="W677" i="3"/>
  <c r="L677" i="3"/>
  <c r="W676" i="3"/>
  <c r="L676" i="3"/>
  <c r="W675" i="3"/>
  <c r="L675" i="3"/>
  <c r="W674" i="3"/>
  <c r="L674" i="3"/>
  <c r="W673" i="3"/>
  <c r="L673" i="3"/>
  <c r="W672" i="3"/>
  <c r="L672" i="3"/>
  <c r="W671" i="3"/>
  <c r="L671" i="3"/>
  <c r="W670" i="3"/>
  <c r="L670" i="3"/>
  <c r="W669" i="3"/>
  <c r="L669" i="3"/>
  <c r="W668" i="3"/>
  <c r="L668" i="3"/>
  <c r="W667" i="3"/>
  <c r="L667" i="3"/>
  <c r="W666" i="3"/>
  <c r="L666" i="3"/>
  <c r="W665" i="3"/>
  <c r="L665" i="3"/>
  <c r="W664" i="3"/>
  <c r="L664" i="3"/>
  <c r="W663" i="3"/>
  <c r="L663" i="3"/>
  <c r="W662" i="3"/>
  <c r="L662" i="3"/>
  <c r="W661" i="3"/>
  <c r="L661" i="3"/>
  <c r="W660" i="3"/>
  <c r="L660" i="3"/>
  <c r="W659" i="3"/>
  <c r="L659" i="3"/>
  <c r="W658" i="3"/>
  <c r="L658" i="3"/>
  <c r="W657" i="3"/>
  <c r="L657" i="3"/>
  <c r="W656" i="3"/>
  <c r="L656" i="3"/>
  <c r="W655" i="3"/>
  <c r="L655" i="3"/>
  <c r="W654" i="3"/>
  <c r="L654" i="3"/>
  <c r="W653" i="3"/>
  <c r="L653" i="3"/>
  <c r="W652" i="3"/>
  <c r="L652" i="3"/>
  <c r="W651" i="3"/>
  <c r="L651" i="3"/>
  <c r="W650" i="3"/>
  <c r="L650" i="3"/>
  <c r="W649" i="3"/>
  <c r="L649" i="3"/>
  <c r="W648" i="3"/>
  <c r="L648" i="3"/>
  <c r="W647" i="3"/>
  <c r="L647" i="3"/>
  <c r="W646" i="3"/>
  <c r="L646" i="3"/>
  <c r="W645" i="3"/>
  <c r="L645" i="3"/>
  <c r="W644" i="3"/>
  <c r="L644" i="3"/>
  <c r="W643" i="3"/>
  <c r="L643" i="3"/>
  <c r="W642" i="3"/>
  <c r="L642" i="3"/>
  <c r="W641" i="3"/>
  <c r="L641" i="3"/>
  <c r="W640" i="3"/>
  <c r="L640" i="3"/>
  <c r="W639" i="3"/>
  <c r="L639" i="3"/>
  <c r="W638" i="3"/>
  <c r="L638" i="3"/>
  <c r="W637" i="3"/>
  <c r="L637" i="3"/>
  <c r="W636" i="3"/>
  <c r="L636" i="3"/>
  <c r="W635" i="3"/>
  <c r="L635" i="3"/>
  <c r="W634" i="3"/>
  <c r="L634" i="3"/>
  <c r="W633" i="3"/>
  <c r="L633" i="3"/>
  <c r="W632" i="3"/>
  <c r="L632" i="3"/>
  <c r="W631" i="3"/>
  <c r="L631" i="3"/>
  <c r="W630" i="3"/>
  <c r="L630" i="3"/>
  <c r="W629" i="3"/>
  <c r="L629" i="3"/>
  <c r="W628" i="3"/>
  <c r="L628" i="3"/>
  <c r="W627" i="3"/>
  <c r="L627" i="3"/>
  <c r="W626" i="3"/>
  <c r="L626" i="3"/>
  <c r="W625" i="3"/>
  <c r="L625" i="3"/>
  <c r="W624" i="3"/>
  <c r="L624" i="3"/>
  <c r="W623" i="3"/>
  <c r="L623" i="3"/>
  <c r="W622" i="3"/>
  <c r="L622" i="3"/>
  <c r="W621" i="3"/>
  <c r="L621" i="3"/>
  <c r="W620" i="3"/>
  <c r="L620" i="3"/>
  <c r="W619" i="3"/>
  <c r="L619" i="3"/>
  <c r="W618" i="3"/>
  <c r="L618" i="3"/>
  <c r="W617" i="3"/>
  <c r="L617" i="3"/>
  <c r="W616" i="3"/>
  <c r="L616" i="3"/>
  <c r="W615" i="3"/>
  <c r="L615" i="3"/>
  <c r="W614" i="3"/>
  <c r="L614" i="3"/>
  <c r="W613" i="3"/>
  <c r="L613" i="3"/>
  <c r="W612" i="3"/>
  <c r="L612" i="3"/>
  <c r="W611" i="3"/>
  <c r="L611" i="3"/>
  <c r="J611" i="3"/>
  <c r="W610" i="3"/>
  <c r="L610" i="3"/>
  <c r="W609" i="3"/>
  <c r="L609" i="3"/>
  <c r="W608" i="3"/>
  <c r="L608" i="3"/>
  <c r="W607" i="3"/>
  <c r="L607" i="3"/>
  <c r="W606" i="3"/>
  <c r="L606" i="3"/>
  <c r="W605" i="3"/>
  <c r="L605" i="3"/>
  <c r="W604" i="3"/>
  <c r="L604" i="3"/>
  <c r="W603" i="3"/>
  <c r="L603" i="3"/>
  <c r="W602" i="3"/>
  <c r="L602" i="3"/>
  <c r="W601" i="3"/>
  <c r="L601" i="3"/>
  <c r="W600" i="3"/>
  <c r="L600" i="3"/>
  <c r="W599" i="3"/>
  <c r="L599" i="3"/>
  <c r="W598" i="3"/>
  <c r="L598" i="3"/>
  <c r="W597" i="3"/>
  <c r="L597" i="3"/>
  <c r="W596" i="3"/>
  <c r="L596" i="3"/>
  <c r="W595" i="3"/>
  <c r="L595" i="3"/>
  <c r="W594" i="3"/>
  <c r="L594" i="3"/>
  <c r="W593" i="3"/>
  <c r="L593" i="3"/>
  <c r="W592" i="3"/>
  <c r="L592" i="3"/>
  <c r="W591" i="3"/>
  <c r="L591" i="3"/>
  <c r="W590" i="3"/>
  <c r="L590" i="3"/>
  <c r="W589" i="3"/>
  <c r="L589" i="3"/>
  <c r="W588" i="3"/>
  <c r="L588" i="3"/>
  <c r="W587" i="3"/>
  <c r="L587" i="3"/>
  <c r="W586" i="3"/>
  <c r="L586" i="3"/>
  <c r="W585" i="3"/>
  <c r="L585" i="3"/>
  <c r="W584" i="3"/>
  <c r="L584" i="3"/>
  <c r="W583" i="3"/>
  <c r="L583" i="3"/>
  <c r="W582" i="3"/>
  <c r="L582" i="3"/>
  <c r="W581" i="3"/>
  <c r="L581" i="3"/>
  <c r="W580" i="3"/>
  <c r="L580" i="3"/>
  <c r="W579" i="3"/>
  <c r="L579" i="3"/>
  <c r="W578" i="3"/>
  <c r="L578" i="3"/>
  <c r="W577" i="3"/>
  <c r="L577" i="3"/>
  <c r="W576" i="3"/>
  <c r="L576" i="3"/>
  <c r="W575" i="3"/>
  <c r="L575" i="3"/>
  <c r="W574" i="3"/>
  <c r="L574" i="3"/>
  <c r="W573" i="3"/>
  <c r="L573" i="3"/>
  <c r="W572" i="3"/>
  <c r="L572" i="3"/>
  <c r="W571" i="3"/>
  <c r="L571" i="3"/>
  <c r="W570" i="3"/>
  <c r="L570" i="3"/>
  <c r="W569" i="3"/>
  <c r="L569" i="3"/>
  <c r="W568" i="3"/>
  <c r="L568" i="3"/>
  <c r="W567" i="3"/>
  <c r="L567" i="3"/>
  <c r="W566" i="3"/>
  <c r="L566" i="3"/>
  <c r="W565" i="3"/>
  <c r="L565" i="3"/>
  <c r="W564" i="3"/>
  <c r="L564" i="3"/>
  <c r="W563" i="3"/>
  <c r="L563" i="3"/>
  <c r="W562" i="3"/>
  <c r="L562" i="3"/>
  <c r="W561" i="3"/>
  <c r="L561" i="3"/>
  <c r="W560" i="3"/>
  <c r="L560" i="3"/>
  <c r="W559" i="3"/>
  <c r="L559" i="3"/>
  <c r="W558" i="3"/>
  <c r="L558" i="3"/>
  <c r="W557" i="3"/>
  <c r="L557" i="3"/>
  <c r="W556" i="3"/>
  <c r="L556" i="3"/>
  <c r="W555" i="3"/>
  <c r="L555" i="3"/>
  <c r="W554" i="3"/>
  <c r="L554" i="3"/>
  <c r="W553" i="3"/>
  <c r="L553" i="3"/>
  <c r="W552" i="3"/>
  <c r="L552" i="3"/>
  <c r="W551" i="3"/>
  <c r="L551" i="3"/>
  <c r="W550" i="3"/>
  <c r="L550" i="3"/>
  <c r="W549" i="3"/>
  <c r="L549" i="3"/>
  <c r="W548" i="3"/>
  <c r="L548" i="3"/>
  <c r="W547" i="3"/>
  <c r="L547" i="3"/>
  <c r="W546" i="3"/>
  <c r="L546" i="3"/>
  <c r="W545" i="3"/>
  <c r="L545" i="3"/>
  <c r="W544" i="3"/>
  <c r="L544" i="3"/>
  <c r="W543" i="3"/>
  <c r="L543" i="3"/>
  <c r="W542" i="3"/>
  <c r="L542" i="3"/>
  <c r="W541" i="3"/>
  <c r="L541" i="3"/>
  <c r="W540" i="3"/>
  <c r="L540" i="3"/>
  <c r="W539" i="3"/>
  <c r="L539" i="3"/>
  <c r="W538" i="3"/>
  <c r="L538" i="3"/>
  <c r="W537" i="3"/>
  <c r="L537" i="3"/>
  <c r="W536" i="3"/>
  <c r="L536" i="3"/>
  <c r="W535" i="3"/>
  <c r="L535" i="3"/>
  <c r="W534" i="3"/>
  <c r="L534" i="3"/>
  <c r="W533" i="3"/>
  <c r="L533" i="3"/>
  <c r="W532" i="3"/>
  <c r="L532" i="3"/>
  <c r="W531" i="3"/>
  <c r="L531" i="3"/>
  <c r="W530" i="3"/>
  <c r="L530" i="3"/>
  <c r="W529" i="3"/>
  <c r="L529" i="3"/>
  <c r="W528" i="3"/>
  <c r="L528" i="3"/>
  <c r="W527" i="3"/>
  <c r="L527" i="3"/>
  <c r="W526" i="3"/>
  <c r="L526" i="3"/>
  <c r="W525" i="3"/>
  <c r="L525" i="3"/>
  <c r="W524" i="3"/>
  <c r="L524" i="3"/>
  <c r="W523" i="3"/>
  <c r="L523" i="3"/>
  <c r="W522" i="3"/>
  <c r="L522" i="3"/>
  <c r="W521" i="3"/>
  <c r="L521" i="3"/>
  <c r="W520" i="3"/>
  <c r="L520" i="3"/>
  <c r="W519" i="3"/>
  <c r="L519" i="3"/>
  <c r="W518" i="3"/>
  <c r="L518" i="3"/>
  <c r="W517" i="3"/>
  <c r="L517" i="3"/>
  <c r="W516" i="3"/>
  <c r="L516" i="3"/>
  <c r="W515" i="3"/>
  <c r="L515" i="3"/>
  <c r="W514" i="3"/>
  <c r="L514" i="3"/>
  <c r="W513" i="3"/>
  <c r="L513" i="3"/>
  <c r="W512" i="3"/>
  <c r="L512" i="3"/>
  <c r="W511" i="3"/>
  <c r="L511" i="3"/>
  <c r="W510" i="3"/>
  <c r="L510" i="3"/>
  <c r="W509" i="3"/>
  <c r="L509" i="3"/>
  <c r="W508" i="3"/>
  <c r="L508" i="3"/>
  <c r="W507" i="3"/>
  <c r="L507" i="3"/>
  <c r="W506" i="3"/>
  <c r="L506" i="3"/>
  <c r="W505" i="3"/>
  <c r="L505" i="3"/>
  <c r="W504" i="3"/>
  <c r="L504" i="3"/>
  <c r="W503" i="3"/>
  <c r="L503" i="3"/>
  <c r="W502" i="3"/>
  <c r="L502" i="3"/>
  <c r="W501" i="3"/>
  <c r="L501" i="3"/>
  <c r="W500" i="3"/>
  <c r="L500" i="3"/>
  <c r="W499" i="3"/>
  <c r="L499" i="3"/>
  <c r="W498" i="3"/>
  <c r="L498" i="3"/>
  <c r="W497" i="3"/>
  <c r="L497" i="3"/>
  <c r="W496" i="3"/>
  <c r="L496" i="3"/>
  <c r="W495" i="3"/>
  <c r="L495" i="3"/>
  <c r="W494" i="3"/>
  <c r="L494" i="3"/>
  <c r="W493" i="3"/>
  <c r="L493" i="3"/>
  <c r="W492" i="3"/>
  <c r="L492" i="3"/>
  <c r="W491" i="3"/>
  <c r="L491" i="3"/>
  <c r="W490" i="3"/>
  <c r="L490" i="3"/>
  <c r="W489" i="3"/>
  <c r="L489" i="3"/>
  <c r="W488" i="3"/>
  <c r="L488" i="3"/>
  <c r="W487" i="3"/>
  <c r="L487" i="3"/>
  <c r="W486" i="3"/>
  <c r="L486" i="3"/>
  <c r="W485" i="3"/>
  <c r="L485" i="3"/>
  <c r="W484" i="3"/>
  <c r="L484" i="3"/>
  <c r="W483" i="3"/>
  <c r="L483" i="3"/>
  <c r="W482" i="3"/>
  <c r="L482" i="3"/>
  <c r="W481" i="3"/>
  <c r="L481" i="3"/>
  <c r="W480" i="3"/>
  <c r="L480" i="3"/>
  <c r="W479" i="3"/>
  <c r="L479" i="3"/>
  <c r="W478" i="3"/>
  <c r="L478" i="3"/>
  <c r="W477" i="3"/>
  <c r="L477" i="3"/>
  <c r="W476" i="3"/>
  <c r="L476" i="3"/>
  <c r="W475" i="3"/>
  <c r="L475" i="3"/>
  <c r="W474" i="3"/>
  <c r="L474" i="3"/>
  <c r="W473" i="3"/>
  <c r="L473" i="3"/>
  <c r="W472" i="3"/>
  <c r="L472" i="3"/>
  <c r="W471" i="3"/>
  <c r="I471" i="3"/>
  <c r="L471" i="3" s="1"/>
  <c r="W470" i="3"/>
  <c r="L470" i="3"/>
  <c r="W469" i="3"/>
  <c r="L469" i="3"/>
  <c r="W468" i="3"/>
  <c r="I468" i="3"/>
  <c r="W467" i="3"/>
  <c r="I467" i="3"/>
  <c r="L467" i="3" s="1"/>
  <c r="W466" i="3"/>
  <c r="I466" i="3"/>
  <c r="W465" i="3"/>
  <c r="L465" i="3"/>
  <c r="W464" i="3"/>
  <c r="L464" i="3"/>
  <c r="W463" i="3"/>
  <c r="L463" i="3"/>
  <c r="I463" i="3"/>
  <c r="W462" i="3"/>
  <c r="I462" i="3"/>
  <c r="L462" i="3" s="1"/>
  <c r="W461" i="3"/>
  <c r="L461" i="3"/>
  <c r="W460" i="3"/>
  <c r="L460" i="3"/>
  <c r="W459" i="3"/>
  <c r="L459" i="3"/>
  <c r="W458" i="3"/>
  <c r="L458" i="3"/>
  <c r="W457" i="3"/>
  <c r="L457" i="3"/>
  <c r="W456" i="3"/>
  <c r="L456" i="3"/>
  <c r="W455" i="3"/>
  <c r="L455" i="3"/>
  <c r="W454" i="3"/>
  <c r="L454" i="3"/>
  <c r="W453" i="3"/>
  <c r="L453" i="3"/>
  <c r="W452" i="3"/>
  <c r="L452" i="3"/>
  <c r="W451" i="3"/>
  <c r="L451" i="3"/>
  <c r="W450" i="3"/>
  <c r="L450" i="3"/>
  <c r="W449" i="3"/>
  <c r="I449" i="3"/>
  <c r="W448" i="3"/>
  <c r="L448" i="3"/>
  <c r="W447" i="3"/>
  <c r="L447" i="3"/>
  <c r="W446" i="3"/>
  <c r="I446" i="3"/>
  <c r="L446" i="3" s="1"/>
  <c r="W445" i="3"/>
  <c r="I445" i="3"/>
  <c r="W444" i="3"/>
  <c r="I444" i="3"/>
  <c r="L444" i="3" s="1"/>
  <c r="W443" i="3"/>
  <c r="L443" i="3"/>
  <c r="W442" i="3"/>
  <c r="L442" i="3"/>
  <c r="W441" i="3"/>
  <c r="L441" i="3"/>
  <c r="W440" i="3"/>
  <c r="L440" i="3"/>
  <c r="W439" i="3"/>
  <c r="L439" i="3"/>
  <c r="W438" i="3"/>
  <c r="L438" i="3"/>
  <c r="W437" i="3"/>
  <c r="L437" i="3"/>
  <c r="W436" i="3"/>
  <c r="L436" i="3"/>
  <c r="W435" i="3"/>
  <c r="L435" i="3"/>
  <c r="W434" i="3"/>
  <c r="L434" i="3"/>
  <c r="W433" i="3"/>
  <c r="L433" i="3"/>
  <c r="W432" i="3"/>
  <c r="I432" i="3"/>
  <c r="W431" i="3"/>
  <c r="L431" i="3"/>
  <c r="W430" i="3"/>
  <c r="L430" i="3"/>
  <c r="W429" i="3"/>
  <c r="L429" i="3"/>
  <c r="I429" i="3"/>
  <c r="W428" i="3"/>
  <c r="I428" i="3"/>
  <c r="W427" i="3"/>
  <c r="I427" i="3"/>
  <c r="L427" i="3" s="1"/>
  <c r="W426" i="3"/>
  <c r="L426" i="3"/>
  <c r="W425" i="3"/>
  <c r="L425" i="3"/>
  <c r="W424" i="3"/>
  <c r="L424" i="3"/>
  <c r="I424" i="3"/>
  <c r="W423" i="3"/>
  <c r="I423" i="3"/>
  <c r="L423" i="3" s="1"/>
  <c r="W422" i="3"/>
  <c r="L422" i="3"/>
  <c r="W421" i="3"/>
  <c r="L421" i="3"/>
  <c r="W420" i="3"/>
  <c r="L420" i="3"/>
  <c r="W419" i="3"/>
  <c r="L419" i="3"/>
  <c r="W418" i="3"/>
  <c r="L418" i="3"/>
  <c r="W417" i="3"/>
  <c r="L417" i="3"/>
  <c r="W416" i="3"/>
  <c r="L416" i="3"/>
  <c r="W415" i="3"/>
  <c r="L415" i="3"/>
  <c r="W414" i="3"/>
  <c r="L414" i="3"/>
  <c r="W413" i="3"/>
  <c r="L413" i="3"/>
  <c r="W412" i="3"/>
  <c r="L412" i="3"/>
  <c r="W411" i="3"/>
  <c r="L411" i="3"/>
  <c r="W410" i="3"/>
  <c r="I410" i="3"/>
  <c r="W409" i="3"/>
  <c r="L409" i="3"/>
  <c r="W408" i="3"/>
  <c r="L408" i="3"/>
  <c r="W407" i="3"/>
  <c r="I407" i="3"/>
  <c r="L407" i="3" s="1"/>
  <c r="W406" i="3"/>
  <c r="I406" i="3"/>
  <c r="L406" i="3" s="1"/>
  <c r="W405" i="3"/>
  <c r="I405" i="3"/>
  <c r="L405" i="3" s="1"/>
  <c r="W404" i="3"/>
  <c r="L404" i="3"/>
  <c r="W403" i="3"/>
  <c r="L403" i="3"/>
  <c r="W402" i="3"/>
  <c r="L402" i="3"/>
  <c r="W401" i="3"/>
  <c r="L401" i="3"/>
  <c r="W400" i="3"/>
  <c r="L400" i="3"/>
  <c r="W399" i="3"/>
  <c r="L399" i="3"/>
  <c r="W398" i="3"/>
  <c r="L398" i="3"/>
  <c r="W397" i="3"/>
  <c r="L397" i="3"/>
  <c r="W396" i="3"/>
  <c r="L396" i="3"/>
  <c r="W395" i="3"/>
  <c r="L395" i="3"/>
  <c r="W394" i="3"/>
  <c r="L394" i="3"/>
  <c r="W393" i="3"/>
  <c r="I393" i="3"/>
  <c r="L393" i="3" s="1"/>
  <c r="W392" i="3"/>
  <c r="L392" i="3"/>
  <c r="W391" i="3"/>
  <c r="L391" i="3"/>
  <c r="W390" i="3"/>
  <c r="I390" i="3"/>
  <c r="W389" i="3"/>
  <c r="L389" i="3"/>
  <c r="I389" i="3"/>
  <c r="W388" i="3"/>
  <c r="I388" i="3"/>
  <c r="L388" i="3" s="1"/>
  <c r="W387" i="3"/>
  <c r="L387" i="3"/>
  <c r="W386" i="3"/>
  <c r="L386" i="3"/>
  <c r="W385" i="3"/>
  <c r="I385" i="3"/>
  <c r="L385" i="3" s="1"/>
  <c r="W384" i="3"/>
  <c r="I384" i="3"/>
  <c r="W383" i="3"/>
  <c r="L383" i="3"/>
  <c r="W382" i="3"/>
  <c r="L382" i="3"/>
  <c r="W381" i="3"/>
  <c r="L381" i="3"/>
  <c r="W380" i="3"/>
  <c r="L380" i="3"/>
  <c r="W379" i="3"/>
  <c r="L379" i="3"/>
  <c r="W378" i="3"/>
  <c r="L378" i="3"/>
  <c r="W377" i="3"/>
  <c r="L377" i="3"/>
  <c r="W376" i="3"/>
  <c r="L376" i="3"/>
  <c r="W375" i="3"/>
  <c r="L375" i="3"/>
  <c r="W374" i="3"/>
  <c r="L374" i="3"/>
  <c r="W373" i="3"/>
  <c r="L373" i="3"/>
  <c r="W372" i="3"/>
  <c r="L372" i="3"/>
  <c r="W371" i="3"/>
  <c r="I371" i="3"/>
  <c r="L371" i="3" s="1"/>
  <c r="W370" i="3"/>
  <c r="L370" i="3"/>
  <c r="W369" i="3"/>
  <c r="L369" i="3"/>
  <c r="W368" i="3"/>
  <c r="I368" i="3"/>
  <c r="W367" i="3"/>
  <c r="I367" i="3"/>
  <c r="W366" i="3"/>
  <c r="I366" i="3"/>
  <c r="L366" i="3" s="1"/>
  <c r="W365" i="3"/>
  <c r="L365" i="3"/>
  <c r="W364" i="3"/>
  <c r="L364" i="3"/>
  <c r="W363" i="3"/>
  <c r="L363" i="3"/>
  <c r="W362" i="3"/>
  <c r="L362" i="3"/>
  <c r="W361" i="3"/>
  <c r="L361" i="3"/>
  <c r="W360" i="3"/>
  <c r="L360" i="3"/>
  <c r="W359" i="3"/>
  <c r="L359" i="3"/>
  <c r="W358" i="3"/>
  <c r="L358" i="3"/>
  <c r="W357" i="3"/>
  <c r="I357" i="3"/>
  <c r="L357" i="3" s="1"/>
  <c r="W356" i="3"/>
  <c r="L356" i="3"/>
  <c r="W355" i="3"/>
  <c r="L355" i="3"/>
  <c r="W354" i="3"/>
  <c r="I354" i="3"/>
  <c r="L354" i="3" s="1"/>
  <c r="W353" i="3"/>
  <c r="I353" i="3"/>
  <c r="L353" i="3" s="1"/>
  <c r="W352" i="3"/>
  <c r="I352" i="3"/>
  <c r="W351" i="3"/>
  <c r="L351" i="3"/>
  <c r="W350" i="3"/>
  <c r="L350" i="3"/>
  <c r="W349" i="3"/>
  <c r="I349" i="3"/>
  <c r="W348" i="3"/>
  <c r="I348" i="3"/>
  <c r="W347" i="3"/>
  <c r="L347" i="3"/>
  <c r="W346" i="3"/>
  <c r="L346" i="3"/>
  <c r="W345" i="3"/>
  <c r="L345" i="3"/>
  <c r="W344" i="3"/>
  <c r="L344" i="3"/>
  <c r="W343" i="3"/>
  <c r="L343" i="3"/>
  <c r="W342" i="3"/>
  <c r="L342" i="3"/>
  <c r="W341" i="3"/>
  <c r="L341" i="3"/>
  <c r="W340" i="3"/>
  <c r="L340" i="3"/>
  <c r="W339" i="3"/>
  <c r="L339" i="3"/>
  <c r="W338" i="3"/>
  <c r="L338" i="3"/>
  <c r="W337" i="3"/>
  <c r="L337" i="3"/>
  <c r="W336" i="3"/>
  <c r="L336" i="3"/>
  <c r="W335" i="3"/>
  <c r="I335" i="3"/>
  <c r="W334" i="3"/>
  <c r="L334" i="3"/>
  <c r="W333" i="3"/>
  <c r="L333" i="3"/>
  <c r="W332" i="3"/>
  <c r="I332" i="3"/>
  <c r="W331" i="3"/>
  <c r="I331" i="3"/>
  <c r="L331" i="3" s="1"/>
  <c r="W330" i="3"/>
  <c r="I330" i="3"/>
  <c r="W329" i="3"/>
  <c r="L329" i="3"/>
  <c r="W328" i="3"/>
  <c r="L328" i="3"/>
  <c r="W327" i="3"/>
  <c r="L327" i="3"/>
  <c r="W326" i="3"/>
  <c r="L326" i="3"/>
  <c r="W325" i="3"/>
  <c r="L325" i="3"/>
  <c r="W324" i="3"/>
  <c r="L324" i="3"/>
  <c r="W323" i="3"/>
  <c r="L323" i="3"/>
  <c r="W322" i="3"/>
  <c r="L322" i="3"/>
  <c r="W321" i="3"/>
  <c r="L321" i="3"/>
  <c r="W320" i="3"/>
  <c r="L320" i="3"/>
  <c r="W319" i="3"/>
  <c r="L319" i="3"/>
  <c r="W318" i="3"/>
  <c r="I318" i="3"/>
  <c r="L318" i="3" s="1"/>
  <c r="W317" i="3"/>
  <c r="L317" i="3"/>
  <c r="W316" i="3"/>
  <c r="L316" i="3"/>
  <c r="W315" i="3"/>
  <c r="I315" i="3"/>
  <c r="L315" i="3" s="1"/>
  <c r="W314" i="3"/>
  <c r="I314" i="3"/>
  <c r="L314" i="3" s="1"/>
  <c r="W313" i="3"/>
  <c r="I313" i="3"/>
  <c r="W312" i="3"/>
  <c r="L312" i="3"/>
  <c r="W311" i="3"/>
  <c r="L311" i="3"/>
  <c r="W310" i="3"/>
  <c r="I310" i="3"/>
  <c r="L310" i="3" s="1"/>
  <c r="W309" i="3"/>
  <c r="I309" i="3"/>
  <c r="W308" i="3"/>
  <c r="L308" i="3"/>
  <c r="W307" i="3"/>
  <c r="L307" i="3"/>
  <c r="W306" i="3"/>
  <c r="L306" i="3"/>
  <c r="W305" i="3"/>
  <c r="L305" i="3"/>
  <c r="W304" i="3"/>
  <c r="L304" i="3"/>
  <c r="W303" i="3"/>
  <c r="L303" i="3"/>
  <c r="W302" i="3"/>
  <c r="L302" i="3"/>
  <c r="W301" i="3"/>
  <c r="L301" i="3"/>
  <c r="W300" i="3"/>
  <c r="L300" i="3"/>
  <c r="W299" i="3"/>
  <c r="L299" i="3"/>
  <c r="W298" i="3"/>
  <c r="L298" i="3"/>
  <c r="W297" i="3"/>
  <c r="L297" i="3"/>
  <c r="W296" i="3"/>
  <c r="L296" i="3"/>
  <c r="I296" i="3"/>
  <c r="W295" i="3"/>
  <c r="L295" i="3"/>
  <c r="W294" i="3"/>
  <c r="L294" i="3"/>
  <c r="W293" i="3"/>
  <c r="I293" i="3"/>
  <c r="W292" i="3"/>
  <c r="I292" i="3"/>
  <c r="L292" i="3" s="1"/>
  <c r="W291" i="3"/>
  <c r="L291" i="3"/>
  <c r="I291" i="3"/>
  <c r="W290" i="3"/>
  <c r="L290" i="3"/>
  <c r="W289" i="3"/>
  <c r="L289" i="3"/>
  <c r="W288" i="3"/>
  <c r="L288" i="3"/>
  <c r="W287" i="3"/>
  <c r="L287" i="3"/>
  <c r="W286" i="3"/>
  <c r="L286" i="3"/>
  <c r="W285" i="3"/>
  <c r="L285" i="3"/>
  <c r="W284" i="3"/>
  <c r="L284" i="3"/>
  <c r="W283" i="3"/>
  <c r="L283" i="3"/>
  <c r="W282" i="3"/>
  <c r="L282" i="3"/>
  <c r="W281" i="3"/>
  <c r="L281" i="3"/>
  <c r="W280" i="3"/>
  <c r="L280" i="3"/>
  <c r="W279" i="3"/>
  <c r="I279" i="3"/>
  <c r="W278" i="3"/>
  <c r="L278" i="3"/>
  <c r="W277" i="3"/>
  <c r="L277" i="3"/>
  <c r="W276" i="3"/>
  <c r="I276" i="3"/>
  <c r="L276" i="3" s="1"/>
  <c r="W275" i="3"/>
  <c r="I275" i="3"/>
  <c r="L275" i="3" s="1"/>
  <c r="W274" i="3"/>
  <c r="I274" i="3"/>
  <c r="W273" i="3"/>
  <c r="L273" i="3"/>
  <c r="W272" i="3"/>
  <c r="L272" i="3"/>
  <c r="W271" i="3"/>
  <c r="I271" i="3"/>
  <c r="W270" i="3"/>
  <c r="I270" i="3"/>
  <c r="L270" i="3" s="1"/>
  <c r="W269" i="3"/>
  <c r="L269" i="3"/>
  <c r="W268" i="3"/>
  <c r="L268" i="3"/>
  <c r="W267" i="3"/>
  <c r="L267" i="3"/>
  <c r="W266" i="3"/>
  <c r="L266" i="3"/>
  <c r="W265" i="3"/>
  <c r="L265" i="3"/>
  <c r="W264" i="3"/>
  <c r="L264" i="3"/>
  <c r="W263" i="3"/>
  <c r="L263" i="3"/>
  <c r="W262" i="3"/>
  <c r="L262" i="3"/>
  <c r="W261" i="3"/>
  <c r="L261" i="3"/>
  <c r="W260" i="3"/>
  <c r="L260" i="3"/>
  <c r="W259" i="3"/>
  <c r="L259" i="3"/>
  <c r="W258" i="3"/>
  <c r="L258" i="3"/>
  <c r="W257" i="3"/>
  <c r="I257" i="3"/>
  <c r="L257" i="3" s="1"/>
  <c r="W256" i="3"/>
  <c r="L256" i="3"/>
  <c r="W255" i="3"/>
  <c r="L255" i="3"/>
  <c r="W254" i="3"/>
  <c r="I254" i="3"/>
  <c r="W253" i="3"/>
  <c r="I253" i="3"/>
  <c r="L253" i="3" s="1"/>
  <c r="W252" i="3"/>
  <c r="I252" i="3"/>
  <c r="W251" i="3"/>
  <c r="L251" i="3"/>
  <c r="W250" i="3"/>
  <c r="L250" i="3"/>
  <c r="W249" i="3"/>
  <c r="L249" i="3"/>
  <c r="W248" i="3"/>
  <c r="L248" i="3"/>
  <c r="W247" i="3"/>
  <c r="L247" i="3"/>
  <c r="W246" i="3"/>
  <c r="L246" i="3"/>
  <c r="W245" i="3"/>
  <c r="L245" i="3"/>
  <c r="W244" i="3"/>
  <c r="L244" i="3"/>
  <c r="W243" i="3"/>
  <c r="I243" i="3"/>
  <c r="W242" i="3"/>
  <c r="L242" i="3"/>
  <c r="W241" i="3"/>
  <c r="L241" i="3"/>
  <c r="W240" i="3"/>
  <c r="I240" i="3"/>
  <c r="W239" i="3"/>
  <c r="I239" i="3"/>
  <c r="L239" i="3" s="1"/>
  <c r="W238" i="3"/>
  <c r="I238" i="3"/>
  <c r="W237" i="3"/>
  <c r="L237" i="3"/>
  <c r="W236" i="3"/>
  <c r="L236" i="3"/>
  <c r="W235" i="3"/>
  <c r="I235" i="3"/>
  <c r="L235" i="3" s="1"/>
  <c r="W234" i="3"/>
  <c r="I234" i="3"/>
  <c r="L234" i="3" s="1"/>
  <c r="W233" i="3"/>
  <c r="L233" i="3"/>
  <c r="W232" i="3"/>
  <c r="L232" i="3"/>
  <c r="W231" i="3"/>
  <c r="L231" i="3"/>
  <c r="W230" i="3"/>
  <c r="L230" i="3"/>
  <c r="W229" i="3"/>
  <c r="L229" i="3"/>
  <c r="W228" i="3"/>
  <c r="L228" i="3"/>
  <c r="W227" i="3"/>
  <c r="L227" i="3"/>
  <c r="W226" i="3"/>
  <c r="L226" i="3"/>
  <c r="W225" i="3"/>
  <c r="L225" i="3"/>
  <c r="W224" i="3"/>
  <c r="L224" i="3"/>
  <c r="W223" i="3"/>
  <c r="L223" i="3"/>
  <c r="W222" i="3"/>
  <c r="L222" i="3"/>
  <c r="W221" i="3"/>
  <c r="I221" i="3"/>
  <c r="L221" i="3" s="1"/>
  <c r="W220" i="3"/>
  <c r="L220" i="3"/>
  <c r="W219" i="3"/>
  <c r="L219" i="3"/>
  <c r="W218" i="3"/>
  <c r="I218" i="3"/>
  <c r="W217" i="3"/>
  <c r="I217" i="3"/>
  <c r="L217" i="3" s="1"/>
  <c r="W216" i="3"/>
  <c r="I216" i="3"/>
  <c r="W215" i="3"/>
  <c r="L215" i="3"/>
  <c r="W214" i="3"/>
  <c r="L214" i="3"/>
  <c r="W213" i="3"/>
  <c r="L213" i="3"/>
  <c r="W212" i="3"/>
  <c r="L212" i="3"/>
  <c r="W211" i="3"/>
  <c r="L211" i="3"/>
  <c r="W210" i="3"/>
  <c r="L210" i="3"/>
  <c r="W209" i="3"/>
  <c r="L209" i="3"/>
  <c r="W208" i="3"/>
  <c r="L208" i="3"/>
  <c r="W207" i="3"/>
  <c r="L207" i="3"/>
  <c r="W206" i="3"/>
  <c r="L206" i="3"/>
  <c r="W205" i="3"/>
  <c r="L205" i="3"/>
  <c r="W204" i="3"/>
  <c r="I204" i="3"/>
  <c r="L204" i="3" s="1"/>
  <c r="W203" i="3"/>
  <c r="L203" i="3"/>
  <c r="W202" i="3"/>
  <c r="L202" i="3"/>
  <c r="W201" i="3"/>
  <c r="I201" i="3"/>
  <c r="W200" i="3"/>
  <c r="I200" i="3"/>
  <c r="L200" i="3" s="1"/>
  <c r="W199" i="3"/>
  <c r="I199" i="3"/>
  <c r="W198" i="3"/>
  <c r="L198" i="3"/>
  <c r="W197" i="3"/>
  <c r="L197" i="3"/>
  <c r="W196" i="3"/>
  <c r="I196" i="3"/>
  <c r="L196" i="3" s="1"/>
  <c r="W195" i="3"/>
  <c r="I195" i="3"/>
  <c r="W194" i="3"/>
  <c r="L194" i="3"/>
  <c r="W193" i="3"/>
  <c r="L193" i="3"/>
  <c r="W192" i="3"/>
  <c r="L192" i="3"/>
  <c r="W191" i="3"/>
  <c r="L191" i="3"/>
  <c r="W190" i="3"/>
  <c r="L190" i="3"/>
  <c r="W189" i="3"/>
  <c r="L189" i="3"/>
  <c r="W188" i="3"/>
  <c r="L188" i="3"/>
  <c r="W187" i="3"/>
  <c r="L187" i="3"/>
  <c r="W186" i="3"/>
  <c r="L186" i="3"/>
  <c r="W185" i="3"/>
  <c r="L185" i="3"/>
  <c r="W184" i="3"/>
  <c r="L184" i="3"/>
  <c r="W183" i="3"/>
  <c r="L183" i="3"/>
  <c r="W182" i="3"/>
  <c r="I182" i="3"/>
  <c r="W181" i="3"/>
  <c r="L181" i="3"/>
  <c r="W180" i="3"/>
  <c r="L180" i="3"/>
  <c r="W179" i="3"/>
  <c r="I179" i="3"/>
  <c r="W178" i="3"/>
  <c r="I178" i="3"/>
  <c r="L178" i="3" s="1"/>
  <c r="W177" i="3"/>
  <c r="I177" i="3"/>
  <c r="L177" i="3" s="1"/>
  <c r="W176" i="3"/>
  <c r="L176" i="3"/>
  <c r="W175" i="3"/>
  <c r="L175" i="3"/>
  <c r="W174" i="3"/>
  <c r="L174" i="3"/>
  <c r="W173" i="3"/>
  <c r="L173" i="3"/>
  <c r="W172" i="3"/>
  <c r="L172" i="3"/>
  <c r="W171" i="3"/>
  <c r="L171" i="3"/>
  <c r="W170" i="3"/>
  <c r="L170" i="3"/>
  <c r="W169" i="3"/>
  <c r="L169" i="3"/>
  <c r="W168" i="3"/>
  <c r="L168" i="3"/>
  <c r="W167" i="3"/>
  <c r="L167" i="3"/>
  <c r="W166" i="3"/>
  <c r="L166" i="3"/>
  <c r="W165" i="3"/>
  <c r="L165" i="3"/>
  <c r="W164" i="3"/>
  <c r="I164" i="3"/>
  <c r="L164" i="3" s="1"/>
  <c r="W163" i="3"/>
  <c r="L163" i="3"/>
  <c r="W162" i="3"/>
  <c r="L162" i="3"/>
  <c r="W161" i="3"/>
  <c r="I161" i="3"/>
  <c r="L161" i="3" s="1"/>
  <c r="W160" i="3"/>
  <c r="I160" i="3"/>
  <c r="W159" i="3"/>
  <c r="I159" i="3"/>
  <c r="W158" i="3"/>
  <c r="L158" i="3"/>
  <c r="W157" i="3"/>
  <c r="L157" i="3"/>
  <c r="W156" i="3"/>
  <c r="I156" i="3"/>
  <c r="L156" i="3" s="1"/>
  <c r="W155" i="3"/>
  <c r="I155" i="3"/>
  <c r="W154" i="3"/>
  <c r="L154" i="3"/>
  <c r="W153" i="3"/>
  <c r="L153" i="3"/>
  <c r="W152" i="3"/>
  <c r="L152" i="3"/>
  <c r="W151" i="3"/>
  <c r="L151" i="3"/>
  <c r="W150" i="3"/>
  <c r="L150" i="3"/>
  <c r="W149" i="3"/>
  <c r="L149" i="3"/>
  <c r="W148" i="3"/>
  <c r="L148" i="3"/>
  <c r="W147" i="3"/>
  <c r="L147" i="3"/>
  <c r="W146" i="3"/>
  <c r="L146" i="3"/>
  <c r="W145" i="3"/>
  <c r="L145" i="3"/>
  <c r="W144" i="3"/>
  <c r="L144" i="3"/>
  <c r="W143" i="3"/>
  <c r="L143" i="3"/>
  <c r="W142" i="3"/>
  <c r="I142" i="3"/>
  <c r="L142" i="3" s="1"/>
  <c r="W141" i="3"/>
  <c r="L141" i="3"/>
  <c r="W140" i="3"/>
  <c r="L140" i="3"/>
  <c r="W139" i="3"/>
  <c r="I139" i="3"/>
  <c r="L139" i="3" s="1"/>
  <c r="W138" i="3"/>
  <c r="I138" i="3"/>
  <c r="W137" i="3"/>
  <c r="I137" i="3"/>
  <c r="W136" i="3"/>
  <c r="L136" i="3"/>
  <c r="W135" i="3"/>
  <c r="L135" i="3"/>
  <c r="W134" i="3"/>
  <c r="L134" i="3"/>
  <c r="W133" i="3"/>
  <c r="L133" i="3"/>
  <c r="W132" i="3"/>
  <c r="L132" i="3"/>
  <c r="W131" i="3"/>
  <c r="L131" i="3"/>
  <c r="W130" i="3"/>
  <c r="L130" i="3"/>
  <c r="W129" i="3"/>
  <c r="L129" i="3"/>
  <c r="W128" i="3"/>
  <c r="I128" i="3"/>
  <c r="L128" i="3" s="1"/>
  <c r="W127" i="3"/>
  <c r="L127" i="3"/>
  <c r="W126" i="3"/>
  <c r="L126" i="3"/>
  <c r="W125" i="3"/>
  <c r="I125" i="3"/>
  <c r="L125" i="3" s="1"/>
  <c r="W124" i="3"/>
  <c r="I124" i="3"/>
  <c r="W123" i="3"/>
  <c r="I123" i="3"/>
  <c r="L123" i="3" s="1"/>
  <c r="W122" i="3"/>
  <c r="L122" i="3"/>
  <c r="W121" i="3"/>
  <c r="L121" i="3"/>
  <c r="W120" i="3"/>
  <c r="I120" i="3"/>
  <c r="W119" i="3"/>
  <c r="I119" i="3"/>
  <c r="W118" i="3"/>
  <c r="L118" i="3"/>
  <c r="W117" i="3"/>
  <c r="L117" i="3"/>
  <c r="W116" i="3"/>
  <c r="L116" i="3"/>
  <c r="W115" i="3"/>
  <c r="L115" i="3"/>
  <c r="W114" i="3"/>
  <c r="L114" i="3"/>
  <c r="W113" i="3"/>
  <c r="L113" i="3"/>
  <c r="W112" i="3"/>
  <c r="L112" i="3"/>
  <c r="W111" i="3"/>
  <c r="L111" i="3"/>
  <c r="W110" i="3"/>
  <c r="L110" i="3"/>
  <c r="W109" i="3"/>
  <c r="L109" i="3"/>
  <c r="W108" i="3"/>
  <c r="L108" i="3"/>
  <c r="W107" i="3"/>
  <c r="J107" i="3"/>
  <c r="I107" i="3"/>
  <c r="W106" i="3"/>
  <c r="L106" i="3"/>
  <c r="J106" i="3"/>
  <c r="I106" i="3"/>
  <c r="W105" i="3"/>
  <c r="L105" i="3"/>
  <c r="W104" i="3"/>
  <c r="I104" i="3"/>
  <c r="W103" i="3"/>
  <c r="L103" i="3"/>
  <c r="W102" i="3"/>
  <c r="L102" i="3"/>
  <c r="W101" i="3"/>
  <c r="I101" i="3"/>
  <c r="L101" i="3" s="1"/>
  <c r="W100" i="3"/>
  <c r="I100" i="3"/>
  <c r="W99" i="3"/>
  <c r="I99" i="3"/>
  <c r="L99" i="3" s="1"/>
  <c r="W98" i="3"/>
  <c r="L98" i="3"/>
  <c r="W97" i="3"/>
  <c r="L97" i="3"/>
  <c r="W96" i="3"/>
  <c r="L96" i="3"/>
  <c r="W95" i="3"/>
  <c r="L95" i="3"/>
  <c r="W94" i="3"/>
  <c r="L94" i="3"/>
  <c r="W93" i="3"/>
  <c r="L93" i="3"/>
  <c r="W92" i="3"/>
  <c r="L92" i="3"/>
  <c r="W91" i="3"/>
  <c r="L91" i="3"/>
  <c r="W90" i="3"/>
  <c r="L90" i="3"/>
  <c r="W89" i="3"/>
  <c r="L89" i="3"/>
  <c r="W88" i="3"/>
  <c r="I88" i="3"/>
  <c r="L88" i="3" s="1"/>
  <c r="W87" i="3"/>
  <c r="L87" i="3"/>
  <c r="W86" i="3"/>
  <c r="L86" i="3"/>
  <c r="W85" i="3"/>
  <c r="L85" i="3"/>
  <c r="I85" i="3"/>
  <c r="W84" i="3"/>
  <c r="I84" i="3"/>
  <c r="W83" i="3"/>
  <c r="I83" i="3"/>
  <c r="W82" i="3"/>
  <c r="L82" i="3"/>
  <c r="W81" i="3"/>
  <c r="L81" i="3"/>
  <c r="W80" i="3"/>
  <c r="I80" i="3"/>
  <c r="L80" i="3" s="1"/>
  <c r="W79" i="3"/>
  <c r="I79" i="3"/>
  <c r="W78" i="3"/>
  <c r="L78" i="3"/>
  <c r="W77" i="3"/>
  <c r="L77" i="3"/>
  <c r="W76" i="3"/>
  <c r="L76" i="3"/>
  <c r="W75" i="3"/>
  <c r="L75" i="3"/>
  <c r="W74" i="3"/>
  <c r="L74" i="3"/>
  <c r="W73" i="3"/>
  <c r="L73" i="3"/>
  <c r="W72" i="3"/>
  <c r="L72" i="3"/>
  <c r="W71" i="3"/>
  <c r="L71" i="3"/>
  <c r="W70" i="3"/>
  <c r="L70" i="3"/>
  <c r="W69" i="3"/>
  <c r="L69" i="3"/>
  <c r="W68" i="3"/>
  <c r="L68" i="3"/>
  <c r="W67" i="3"/>
  <c r="L67" i="3"/>
  <c r="W66" i="3"/>
  <c r="L66" i="3"/>
  <c r="I66" i="3"/>
  <c r="W65" i="3"/>
  <c r="L65" i="3"/>
  <c r="W64" i="3"/>
  <c r="L64" i="3"/>
  <c r="W63" i="3"/>
  <c r="I63" i="3"/>
  <c r="W62" i="3"/>
  <c r="I62" i="3"/>
  <c r="W61" i="3"/>
  <c r="I61" i="3"/>
  <c r="L61" i="3" s="1"/>
  <c r="W60" i="3"/>
  <c r="L60" i="3"/>
  <c r="W59" i="3"/>
  <c r="L59" i="3"/>
  <c r="W58" i="3"/>
  <c r="L58" i="3"/>
  <c r="W57" i="3"/>
  <c r="L57" i="3"/>
  <c r="W56" i="3"/>
  <c r="L56" i="3"/>
  <c r="W55" i="3"/>
  <c r="L55" i="3"/>
  <c r="W54" i="3"/>
  <c r="L54" i="3"/>
  <c r="W53" i="3"/>
  <c r="L53" i="3"/>
  <c r="W52" i="3"/>
  <c r="L52" i="3"/>
  <c r="W51" i="3"/>
  <c r="L51" i="3"/>
  <c r="W50" i="3"/>
  <c r="L50" i="3"/>
  <c r="W49" i="3"/>
  <c r="L49" i="3"/>
  <c r="I49" i="3"/>
  <c r="W48" i="3"/>
  <c r="L48" i="3"/>
  <c r="W47" i="3"/>
  <c r="L47" i="3"/>
  <c r="W46" i="3"/>
  <c r="I46" i="3"/>
  <c r="W45" i="3"/>
  <c r="I45" i="3"/>
  <c r="L45" i="3" s="1"/>
  <c r="W44" i="3"/>
  <c r="L44" i="3"/>
  <c r="I44" i="3"/>
  <c r="W43" i="3"/>
  <c r="J43" i="3"/>
  <c r="I43" i="3"/>
  <c r="L43" i="3" s="1"/>
  <c r="W42" i="3"/>
  <c r="L42" i="3"/>
  <c r="W41" i="3"/>
  <c r="L41" i="3"/>
  <c r="W40" i="3"/>
  <c r="L40" i="3"/>
  <c r="W39" i="3"/>
  <c r="L39" i="3"/>
  <c r="W38" i="3"/>
  <c r="L38" i="3"/>
  <c r="W37" i="3"/>
  <c r="L37" i="3"/>
  <c r="W36" i="3"/>
  <c r="L36" i="3"/>
  <c r="W35" i="3"/>
  <c r="I35" i="3"/>
  <c r="W34" i="3"/>
  <c r="I34" i="3"/>
  <c r="L34" i="3" s="1"/>
  <c r="W33" i="3"/>
  <c r="L33" i="3"/>
  <c r="W32" i="3"/>
  <c r="L32" i="3"/>
  <c r="W31" i="3"/>
  <c r="L31" i="3"/>
  <c r="W30" i="3"/>
  <c r="L30" i="3"/>
  <c r="W29" i="3"/>
  <c r="L29" i="3"/>
  <c r="W28" i="3"/>
  <c r="L28" i="3"/>
  <c r="W27" i="3"/>
  <c r="L27" i="3"/>
  <c r="W26" i="3"/>
  <c r="L26" i="3"/>
  <c r="W25" i="3"/>
  <c r="L25" i="3"/>
  <c r="W24" i="3"/>
  <c r="L24" i="3"/>
  <c r="W23" i="3"/>
  <c r="I23" i="3"/>
  <c r="W22" i="3"/>
  <c r="J22" i="3"/>
  <c r="I22" i="3"/>
  <c r="L22" i="3" s="1"/>
  <c r="W21" i="3"/>
  <c r="L21" i="3"/>
  <c r="W20" i="3"/>
  <c r="L20" i="3"/>
  <c r="W19" i="3"/>
  <c r="L19" i="3"/>
  <c r="W18" i="3"/>
  <c r="L18" i="3"/>
  <c r="W17" i="3"/>
  <c r="L17" i="3"/>
  <c r="W16" i="3"/>
  <c r="L16" i="3"/>
  <c r="W15" i="3"/>
  <c r="I15" i="3"/>
  <c r="L15" i="3" s="1"/>
  <c r="W14" i="3"/>
  <c r="L14" i="3"/>
  <c r="W13" i="3"/>
  <c r="L13" i="3"/>
  <c r="W12" i="3"/>
  <c r="L12" i="3"/>
  <c r="W11" i="3"/>
  <c r="L11" i="3"/>
  <c r="W10" i="3"/>
  <c r="L10" i="3"/>
  <c r="W9" i="3"/>
  <c r="L9" i="3"/>
  <c r="W8" i="3"/>
  <c r="I8" i="3"/>
  <c r="W7" i="3"/>
  <c r="I7" i="3"/>
  <c r="L7" i="3" s="1"/>
  <c r="W6" i="3"/>
  <c r="L6" i="3"/>
  <c r="W5" i="3"/>
  <c r="I5" i="3"/>
  <c r="L5" i="3" s="1"/>
  <c r="W4" i="3"/>
  <c r="I4" i="3"/>
  <c r="W3" i="3"/>
  <c r="I3" i="3"/>
  <c r="J1" i="3"/>
  <c r="O33" i="2"/>
  <c r="N33" i="2"/>
  <c r="P33" i="2" s="1"/>
  <c r="M33" i="2"/>
  <c r="L33" i="2"/>
  <c r="Q30" i="2"/>
  <c r="M29" i="2"/>
  <c r="L29" i="2"/>
  <c r="P28" i="2"/>
  <c r="O28" i="2"/>
  <c r="N28" i="2"/>
  <c r="M28" i="2"/>
  <c r="L28" i="2"/>
  <c r="M27" i="2"/>
  <c r="L27" i="2"/>
  <c r="O26" i="2"/>
  <c r="M26" i="2"/>
  <c r="N26" i="2" s="1"/>
  <c r="P26" i="2" s="1"/>
  <c r="L26" i="2"/>
  <c r="M25" i="2"/>
  <c r="O25" i="2" s="1"/>
  <c r="L25" i="2"/>
  <c r="M24" i="2"/>
  <c r="O24" i="2" s="1"/>
  <c r="L24" i="2"/>
  <c r="P23" i="2"/>
  <c r="O23" i="2"/>
  <c r="N23" i="2"/>
  <c r="M23" i="2"/>
  <c r="L23" i="2"/>
  <c r="M22" i="2"/>
  <c r="L22" i="2"/>
  <c r="O21" i="2"/>
  <c r="N21" i="2"/>
  <c r="P21" i="2" s="1"/>
  <c r="M21" i="2"/>
  <c r="L21" i="2"/>
  <c r="O19" i="2"/>
  <c r="I17" i="2"/>
  <c r="R15" i="2"/>
  <c r="L14" i="2"/>
  <c r="M14" i="2" s="1"/>
  <c r="N14" i="2" s="1"/>
  <c r="U12" i="2"/>
  <c r="J12" i="2"/>
  <c r="I12" i="2"/>
  <c r="M11" i="2"/>
  <c r="N11" i="2" s="1"/>
  <c r="L11" i="2"/>
  <c r="L10" i="2"/>
  <c r="M10" i="2" s="1"/>
  <c r="N10" i="2" s="1"/>
  <c r="L9" i="2"/>
  <c r="M9" i="2" s="1"/>
  <c r="N9" i="2" s="1"/>
  <c r="M8" i="2"/>
  <c r="N8" i="2" s="1"/>
  <c r="L8" i="2"/>
  <c r="L7" i="2"/>
  <c r="M7" i="2" s="1"/>
  <c r="N7" i="2" s="1"/>
  <c r="L6" i="2"/>
  <c r="M6" i="2" s="1"/>
  <c r="N6" i="2" s="1"/>
  <c r="M5" i="2"/>
  <c r="N5" i="2" s="1"/>
  <c r="L5" i="2"/>
  <c r="L4" i="2"/>
  <c r="M4" i="2" s="1"/>
  <c r="N4" i="2" s="1"/>
  <c r="L3" i="2"/>
  <c r="M3" i="2" s="1"/>
  <c r="N3" i="2" s="1"/>
  <c r="R17" i="1"/>
  <c r="I18" i="2" s="1"/>
  <c r="R16" i="1"/>
  <c r="I26" i="6"/>
  <c r="K2" i="6"/>
  <c r="C5" i="5"/>
  <c r="C6" i="5"/>
  <c r="C4" i="5"/>
  <c r="C3" i="5"/>
  <c r="S1121" i="3" l="1"/>
  <c r="T1121" i="3"/>
  <c r="U1121" i="3"/>
  <c r="U1120" i="3"/>
  <c r="T1114" i="3"/>
  <c r="T1120" i="3"/>
  <c r="U1114" i="3"/>
  <c r="U1118" i="3"/>
  <c r="T1119" i="3"/>
  <c r="U1113" i="3"/>
  <c r="U1117" i="3"/>
  <c r="U1115" i="3"/>
  <c r="T1118" i="3"/>
  <c r="U1112" i="3"/>
  <c r="U1119" i="3"/>
  <c r="U1116" i="3"/>
  <c r="T1116" i="3"/>
  <c r="U1111" i="3"/>
  <c r="T1115" i="3"/>
  <c r="U1110" i="3"/>
  <c r="T1117" i="3"/>
  <c r="T1113" i="3"/>
  <c r="T1112" i="3"/>
  <c r="T1111" i="3"/>
  <c r="T1110" i="3"/>
  <c r="S1119" i="3"/>
  <c r="S1118" i="3"/>
  <c r="S1117" i="3"/>
  <c r="S1116" i="3"/>
  <c r="S1120" i="3"/>
  <c r="S1115" i="3"/>
  <c r="S1114" i="3"/>
  <c r="S1113" i="3"/>
  <c r="S1112" i="3"/>
  <c r="S1111" i="3"/>
  <c r="S1110" i="3"/>
  <c r="U1109" i="3"/>
  <c r="T1109" i="3"/>
  <c r="S1109" i="3"/>
  <c r="U998" i="3"/>
  <c r="U891" i="3"/>
  <c r="T1007" i="3"/>
  <c r="U880" i="3"/>
  <c r="U1007" i="3"/>
  <c r="U1006" i="3"/>
  <c r="U1067" i="3"/>
  <c r="U1066" i="3"/>
  <c r="T1023" i="3"/>
  <c r="T1010" i="3"/>
  <c r="U890" i="3"/>
  <c r="U866" i="3"/>
  <c r="T913" i="3"/>
  <c r="U838" i="3"/>
  <c r="T911" i="3"/>
  <c r="U832" i="3"/>
  <c r="T976" i="3"/>
  <c r="U1083" i="3"/>
  <c r="S1023" i="3"/>
  <c r="T910" i="3"/>
  <c r="U982" i="3"/>
  <c r="U831" i="3"/>
  <c r="S1022" i="3"/>
  <c r="T830" i="3"/>
  <c r="U976" i="3"/>
  <c r="U795" i="3"/>
  <c r="T792" i="3"/>
  <c r="U779" i="3"/>
  <c r="S937" i="3"/>
  <c r="U1095" i="3"/>
  <c r="U760" i="3"/>
  <c r="U767" i="3"/>
  <c r="U854" i="3"/>
  <c r="U939" i="3"/>
  <c r="U1024" i="3"/>
  <c r="T766" i="3"/>
  <c r="T950" i="3"/>
  <c r="T1105" i="3"/>
  <c r="U950" i="3"/>
  <c r="T974" i="3"/>
  <c r="U772" i="3"/>
  <c r="U862" i="3"/>
  <c r="U947" i="3"/>
  <c r="U1034" i="3"/>
  <c r="T771" i="3"/>
  <c r="T962" i="3"/>
  <c r="T1108" i="3"/>
  <c r="U778" i="3"/>
  <c r="U863" i="3"/>
  <c r="U1035" i="3"/>
  <c r="T779" i="3"/>
  <c r="S820" i="3"/>
  <c r="U803" i="3"/>
  <c r="U911" i="3"/>
  <c r="U1010" i="3"/>
  <c r="T851" i="3"/>
  <c r="T1055" i="3"/>
  <c r="U806" i="3"/>
  <c r="U916" i="3"/>
  <c r="U1036" i="3"/>
  <c r="T853" i="3"/>
  <c r="T1060" i="3"/>
  <c r="U807" i="3"/>
  <c r="U922" i="3"/>
  <c r="U1055" i="3"/>
  <c r="T856" i="3"/>
  <c r="T1071" i="3"/>
  <c r="U826" i="3"/>
  <c r="U923" i="3"/>
  <c r="U1060" i="3"/>
  <c r="T888" i="3"/>
  <c r="T1072" i="3"/>
  <c r="S972" i="3"/>
  <c r="U975" i="3"/>
  <c r="S828" i="3"/>
  <c r="U1094" i="3"/>
  <c r="U951" i="3"/>
  <c r="T1024" i="3"/>
  <c r="U1091" i="3"/>
  <c r="U892" i="3"/>
  <c r="S939" i="3"/>
  <c r="T1107" i="3"/>
  <c r="T1059" i="3"/>
  <c r="T1009" i="3"/>
  <c r="T961" i="3"/>
  <c r="T902" i="3"/>
  <c r="T832" i="3"/>
  <c r="T770" i="3"/>
  <c r="U1090" i="3"/>
  <c r="U1059" i="3"/>
  <c r="U1031" i="3"/>
  <c r="U1000" i="3"/>
  <c r="U974" i="3"/>
  <c r="U946" i="3"/>
  <c r="U915" i="3"/>
  <c r="U887" i="3"/>
  <c r="U856" i="3"/>
  <c r="U830" i="3"/>
  <c r="U802" i="3"/>
  <c r="U771" i="3"/>
  <c r="S938" i="3"/>
  <c r="T1106" i="3"/>
  <c r="T1057" i="3"/>
  <c r="T1008" i="3"/>
  <c r="T960" i="3"/>
  <c r="T901" i="3"/>
  <c r="T831" i="3"/>
  <c r="T767" i="3"/>
  <c r="U1084" i="3"/>
  <c r="U1058" i="3"/>
  <c r="U1030" i="3"/>
  <c r="U999" i="3"/>
  <c r="U971" i="3"/>
  <c r="U940" i="3"/>
  <c r="U914" i="3"/>
  <c r="U886" i="3"/>
  <c r="U855" i="3"/>
  <c r="U827" i="3"/>
  <c r="U796" i="3"/>
  <c r="U770" i="3"/>
  <c r="U794" i="3"/>
  <c r="S1105" i="3"/>
  <c r="S924" i="3"/>
  <c r="T1096" i="3"/>
  <c r="T1047" i="3"/>
  <c r="T999" i="3"/>
  <c r="T938" i="3"/>
  <c r="T886" i="3"/>
  <c r="T818" i="3"/>
  <c r="U1107" i="3"/>
  <c r="U1079" i="3"/>
  <c r="U1048" i="3"/>
  <c r="U1022" i="3"/>
  <c r="U994" i="3"/>
  <c r="U963" i="3"/>
  <c r="U935" i="3"/>
  <c r="U904" i="3"/>
  <c r="U878" i="3"/>
  <c r="U850" i="3"/>
  <c r="U819" i="3"/>
  <c r="U791" i="3"/>
  <c r="U749" i="3"/>
  <c r="U761" i="3"/>
  <c r="U773" i="3"/>
  <c r="U785" i="3"/>
  <c r="U797" i="3"/>
  <c r="U809" i="3"/>
  <c r="U821" i="3"/>
  <c r="U833" i="3"/>
  <c r="U845" i="3"/>
  <c r="U857" i="3"/>
  <c r="U869" i="3"/>
  <c r="U881" i="3"/>
  <c r="U893" i="3"/>
  <c r="U905" i="3"/>
  <c r="U917" i="3"/>
  <c r="U929" i="3"/>
  <c r="U941" i="3"/>
  <c r="U953" i="3"/>
  <c r="U965" i="3"/>
  <c r="U977" i="3"/>
  <c r="U989" i="3"/>
  <c r="U1001" i="3"/>
  <c r="U1013" i="3"/>
  <c r="U1025" i="3"/>
  <c r="U1037" i="3"/>
  <c r="U1049" i="3"/>
  <c r="U1061" i="3"/>
  <c r="U1073" i="3"/>
  <c r="U1085" i="3"/>
  <c r="U1097" i="3"/>
  <c r="T781" i="3"/>
  <c r="T807" i="3"/>
  <c r="T839" i="3"/>
  <c r="T865" i="3"/>
  <c r="T889" i="3"/>
  <c r="T915" i="3"/>
  <c r="T939" i="3"/>
  <c r="T963" i="3"/>
  <c r="T987" i="3"/>
  <c r="T1011" i="3"/>
  <c r="T1042" i="3"/>
  <c r="T1066" i="3"/>
  <c r="T1090" i="3"/>
  <c r="S772" i="3"/>
  <c r="S877" i="3"/>
  <c r="S976" i="3"/>
  <c r="S1079" i="3"/>
  <c r="U789" i="3"/>
  <c r="U750" i="3"/>
  <c r="U762" i="3"/>
  <c r="U774" i="3"/>
  <c r="U786" i="3"/>
  <c r="U798" i="3"/>
  <c r="U810" i="3"/>
  <c r="U822" i="3"/>
  <c r="U834" i="3"/>
  <c r="U846" i="3"/>
  <c r="U858" i="3"/>
  <c r="U870" i="3"/>
  <c r="U882" i="3"/>
  <c r="U894" i="3"/>
  <c r="U906" i="3"/>
  <c r="U918" i="3"/>
  <c r="U930" i="3"/>
  <c r="U942" i="3"/>
  <c r="U954" i="3"/>
  <c r="U966" i="3"/>
  <c r="U978" i="3"/>
  <c r="U990" i="3"/>
  <c r="U1002" i="3"/>
  <c r="U1014" i="3"/>
  <c r="U1026" i="3"/>
  <c r="U1038" i="3"/>
  <c r="U1050" i="3"/>
  <c r="U1062" i="3"/>
  <c r="U1074" i="3"/>
  <c r="U1086" i="3"/>
  <c r="U1098" i="3"/>
  <c r="T756" i="3"/>
  <c r="T782" i="3"/>
  <c r="T808" i="3"/>
  <c r="T840" i="3"/>
  <c r="T866" i="3"/>
  <c r="T891" i="3"/>
  <c r="T916" i="3"/>
  <c r="T940" i="3"/>
  <c r="T964" i="3"/>
  <c r="T988" i="3"/>
  <c r="T1018" i="3"/>
  <c r="T1043" i="3"/>
  <c r="T1067" i="3"/>
  <c r="T1091" i="3"/>
  <c r="S780" i="3"/>
  <c r="S879" i="3"/>
  <c r="S984" i="3"/>
  <c r="S1080" i="3"/>
  <c r="U777" i="3"/>
  <c r="U751" i="3"/>
  <c r="U763" i="3"/>
  <c r="U775" i="3"/>
  <c r="U787" i="3"/>
  <c r="U799" i="3"/>
  <c r="U811" i="3"/>
  <c r="U823" i="3"/>
  <c r="U835" i="3"/>
  <c r="U847" i="3"/>
  <c r="U859" i="3"/>
  <c r="U871" i="3"/>
  <c r="U883" i="3"/>
  <c r="U895" i="3"/>
  <c r="U907" i="3"/>
  <c r="U919" i="3"/>
  <c r="U931" i="3"/>
  <c r="U943" i="3"/>
  <c r="U955" i="3"/>
  <c r="U967" i="3"/>
  <c r="U979" i="3"/>
  <c r="U991" i="3"/>
  <c r="U1003" i="3"/>
  <c r="U1015" i="3"/>
  <c r="U1027" i="3"/>
  <c r="U1039" i="3"/>
  <c r="U1051" i="3"/>
  <c r="U1063" i="3"/>
  <c r="U1075" i="3"/>
  <c r="U1087" i="3"/>
  <c r="U1099" i="3"/>
  <c r="T758" i="3"/>
  <c r="T783" i="3"/>
  <c r="T815" i="3"/>
  <c r="T841" i="3"/>
  <c r="T867" i="3"/>
  <c r="T898" i="3"/>
  <c r="T922" i="3"/>
  <c r="T946" i="3"/>
  <c r="T970" i="3"/>
  <c r="T994" i="3"/>
  <c r="T1020" i="3"/>
  <c r="T1044" i="3"/>
  <c r="T1068" i="3"/>
  <c r="T1092" i="3"/>
  <c r="S781" i="3"/>
  <c r="S890" i="3"/>
  <c r="S988" i="3"/>
  <c r="S1081" i="3"/>
  <c r="U765" i="3"/>
  <c r="U752" i="3"/>
  <c r="U764" i="3"/>
  <c r="U776" i="3"/>
  <c r="U788" i="3"/>
  <c r="U800" i="3"/>
  <c r="U812" i="3"/>
  <c r="U824" i="3"/>
  <c r="U836" i="3"/>
  <c r="U848" i="3"/>
  <c r="U860" i="3"/>
  <c r="U872" i="3"/>
  <c r="U884" i="3"/>
  <c r="U896" i="3"/>
  <c r="U908" i="3"/>
  <c r="U920" i="3"/>
  <c r="U932" i="3"/>
  <c r="U944" i="3"/>
  <c r="U956" i="3"/>
  <c r="U968" i="3"/>
  <c r="U980" i="3"/>
  <c r="U992" i="3"/>
  <c r="U1004" i="3"/>
  <c r="U1016" i="3"/>
  <c r="U1028" i="3"/>
  <c r="U1040" i="3"/>
  <c r="U1052" i="3"/>
  <c r="U1064" i="3"/>
  <c r="U1076" i="3"/>
  <c r="U1088" i="3"/>
  <c r="U1100" i="3"/>
  <c r="T759" i="3"/>
  <c r="T784" i="3"/>
  <c r="T816" i="3"/>
  <c r="T842" i="3"/>
  <c r="T874" i="3"/>
  <c r="T899" i="3"/>
  <c r="T923" i="3"/>
  <c r="T947" i="3"/>
  <c r="T971" i="3"/>
  <c r="T996" i="3"/>
  <c r="T1021" i="3"/>
  <c r="T1045" i="3"/>
  <c r="T1069" i="3"/>
  <c r="T1093" i="3"/>
  <c r="S793" i="3"/>
  <c r="S891" i="3"/>
  <c r="S996" i="3"/>
  <c r="S1082" i="3"/>
  <c r="U753" i="3"/>
  <c r="U849" i="3"/>
  <c r="U873" i="3"/>
  <c r="U897" i="3"/>
  <c r="U909" i="3"/>
  <c r="U933" i="3"/>
  <c r="U945" i="3"/>
  <c r="U957" i="3"/>
  <c r="U981" i="3"/>
  <c r="U993" i="3"/>
  <c r="U1017" i="3"/>
  <c r="U1029" i="3"/>
  <c r="U1053" i="3"/>
  <c r="U1077" i="3"/>
  <c r="U1089" i="3"/>
  <c r="T760" i="3"/>
  <c r="T791" i="3"/>
  <c r="T843" i="3"/>
  <c r="T876" i="3"/>
  <c r="T900" i="3"/>
  <c r="T924" i="3"/>
  <c r="T948" i="3"/>
  <c r="T972" i="3"/>
  <c r="T1022" i="3"/>
  <c r="T1046" i="3"/>
  <c r="T1070" i="3"/>
  <c r="T1094" i="3"/>
  <c r="S795" i="3"/>
  <c r="S997" i="3"/>
  <c r="S1084" i="3"/>
  <c r="U801" i="3"/>
  <c r="U813" i="3"/>
  <c r="U825" i="3"/>
  <c r="U837" i="3"/>
  <c r="U861" i="3"/>
  <c r="U885" i="3"/>
  <c r="U921" i="3"/>
  <c r="U969" i="3"/>
  <c r="U1005" i="3"/>
  <c r="U1041" i="3"/>
  <c r="U1065" i="3"/>
  <c r="U1101" i="3"/>
  <c r="T817" i="3"/>
  <c r="T998" i="3"/>
  <c r="S892" i="3"/>
  <c r="U756" i="3"/>
  <c r="U768" i="3"/>
  <c r="U780" i="3"/>
  <c r="U792" i="3"/>
  <c r="U804" i="3"/>
  <c r="U816" i="3"/>
  <c r="U828" i="3"/>
  <c r="U840" i="3"/>
  <c r="U852" i="3"/>
  <c r="U864" i="3"/>
  <c r="U876" i="3"/>
  <c r="U888" i="3"/>
  <c r="U900" i="3"/>
  <c r="U912" i="3"/>
  <c r="U924" i="3"/>
  <c r="U936" i="3"/>
  <c r="U948" i="3"/>
  <c r="U960" i="3"/>
  <c r="U972" i="3"/>
  <c r="U984" i="3"/>
  <c r="U996" i="3"/>
  <c r="U1008" i="3"/>
  <c r="U1020" i="3"/>
  <c r="U1032" i="3"/>
  <c r="U1044" i="3"/>
  <c r="U1056" i="3"/>
  <c r="U1068" i="3"/>
  <c r="U1080" i="3"/>
  <c r="U1092" i="3"/>
  <c r="U1104" i="3"/>
  <c r="T768" i="3"/>
  <c r="T794" i="3"/>
  <c r="T827" i="3"/>
  <c r="T854" i="3"/>
  <c r="T879" i="3"/>
  <c r="T903" i="3"/>
  <c r="T927" i="3"/>
  <c r="T952" i="3"/>
  <c r="T982" i="3"/>
  <c r="T1006" i="3"/>
  <c r="T1030" i="3"/>
  <c r="T1054" i="3"/>
  <c r="T1079" i="3"/>
  <c r="T1104" i="3"/>
  <c r="S831" i="3"/>
  <c r="S936" i="3"/>
  <c r="S1024" i="3"/>
  <c r="U757" i="3"/>
  <c r="U769" i="3"/>
  <c r="U781" i="3"/>
  <c r="U793" i="3"/>
  <c r="U805" i="3"/>
  <c r="U817" i="3"/>
  <c r="U829" i="3"/>
  <c r="U841" i="3"/>
  <c r="U853" i="3"/>
  <c r="U865" i="3"/>
  <c r="U877" i="3"/>
  <c r="U889" i="3"/>
  <c r="U901" i="3"/>
  <c r="U913" i="3"/>
  <c r="U925" i="3"/>
  <c r="U937" i="3"/>
  <c r="U949" i="3"/>
  <c r="U961" i="3"/>
  <c r="U973" i="3"/>
  <c r="U985" i="3"/>
  <c r="U997" i="3"/>
  <c r="U1009" i="3"/>
  <c r="U1021" i="3"/>
  <c r="U1033" i="3"/>
  <c r="U1045" i="3"/>
  <c r="U1057" i="3"/>
  <c r="U1069" i="3"/>
  <c r="U1081" i="3"/>
  <c r="U1093" i="3"/>
  <c r="U1105" i="3"/>
  <c r="T769" i="3"/>
  <c r="T795" i="3"/>
  <c r="T829" i="3"/>
  <c r="T855" i="3"/>
  <c r="T880" i="3"/>
  <c r="T904" i="3"/>
  <c r="T928" i="3"/>
  <c r="T959" i="3"/>
  <c r="S1106" i="3"/>
  <c r="S925" i="3"/>
  <c r="T1103" i="3"/>
  <c r="T1048" i="3"/>
  <c r="T1000" i="3"/>
  <c r="T949" i="3"/>
  <c r="T887" i="3"/>
  <c r="T819" i="3"/>
  <c r="U1108" i="3"/>
  <c r="U1082" i="3"/>
  <c r="U1054" i="3"/>
  <c r="U1023" i="3"/>
  <c r="U995" i="3"/>
  <c r="U964" i="3"/>
  <c r="U938" i="3"/>
  <c r="U910" i="3"/>
  <c r="U766" i="3"/>
  <c r="S1069" i="3"/>
  <c r="S852" i="3"/>
  <c r="T1084" i="3"/>
  <c r="T1035" i="3"/>
  <c r="T986" i="3"/>
  <c r="T937" i="3"/>
  <c r="T878" i="3"/>
  <c r="T806" i="3"/>
  <c r="U1106" i="3"/>
  <c r="U1078" i="3"/>
  <c r="U1047" i="3"/>
  <c r="U1019" i="3"/>
  <c r="U988" i="3"/>
  <c r="U962" i="3"/>
  <c r="U934" i="3"/>
  <c r="U903" i="3"/>
  <c r="U875" i="3"/>
  <c r="U844" i="3"/>
  <c r="U818" i="3"/>
  <c r="U790" i="3"/>
  <c r="U759" i="3"/>
  <c r="U820" i="3"/>
  <c r="S1068" i="3"/>
  <c r="S844" i="3"/>
  <c r="T1083" i="3"/>
  <c r="T1033" i="3"/>
  <c r="T985" i="3"/>
  <c r="T935" i="3"/>
  <c r="T877" i="3"/>
  <c r="T805" i="3"/>
  <c r="U1103" i="3"/>
  <c r="U1072" i="3"/>
  <c r="U1046" i="3"/>
  <c r="U1018" i="3"/>
  <c r="U987" i="3"/>
  <c r="U959" i="3"/>
  <c r="U928" i="3"/>
  <c r="U902" i="3"/>
  <c r="U874" i="3"/>
  <c r="U843" i="3"/>
  <c r="U815" i="3"/>
  <c r="U784" i="3"/>
  <c r="U758" i="3"/>
  <c r="U851" i="3"/>
  <c r="S1036" i="3"/>
  <c r="S840" i="3"/>
  <c r="T1082" i="3"/>
  <c r="T1032" i="3"/>
  <c r="T984" i="3"/>
  <c r="T926" i="3"/>
  <c r="T864" i="3"/>
  <c r="T803" i="3"/>
  <c r="U1102" i="3"/>
  <c r="U1071" i="3"/>
  <c r="U1043" i="3"/>
  <c r="U1012" i="3"/>
  <c r="U986" i="3"/>
  <c r="U958" i="3"/>
  <c r="U927" i="3"/>
  <c r="U899" i="3"/>
  <c r="U868" i="3"/>
  <c r="U842" i="3"/>
  <c r="U814" i="3"/>
  <c r="U783" i="3"/>
  <c r="U755" i="3"/>
  <c r="U879" i="3"/>
  <c r="S1034" i="3"/>
  <c r="S832" i="3"/>
  <c r="T1081" i="3"/>
  <c r="T1031" i="3"/>
  <c r="T983" i="3"/>
  <c r="T925" i="3"/>
  <c r="T863" i="3"/>
  <c r="T793" i="3"/>
  <c r="U1096" i="3"/>
  <c r="U1070" i="3"/>
  <c r="U1042" i="3"/>
  <c r="U1011" i="3"/>
  <c r="U983" i="3"/>
  <c r="U952" i="3"/>
  <c r="U926" i="3"/>
  <c r="U898" i="3"/>
  <c r="U867" i="3"/>
  <c r="U839" i="3"/>
  <c r="U808" i="3"/>
  <c r="U782" i="3"/>
  <c r="U754" i="3"/>
  <c r="S770" i="3"/>
  <c r="T749" i="3"/>
  <c r="T761" i="3"/>
  <c r="T773" i="3"/>
  <c r="T785" i="3"/>
  <c r="T797" i="3"/>
  <c r="T809" i="3"/>
  <c r="T821" i="3"/>
  <c r="T833" i="3"/>
  <c r="T845" i="3"/>
  <c r="T857" i="3"/>
  <c r="T869" i="3"/>
  <c r="T881" i="3"/>
  <c r="T893" i="3"/>
  <c r="T905" i="3"/>
  <c r="T917" i="3"/>
  <c r="T929" i="3"/>
  <c r="T941" i="3"/>
  <c r="T953" i="3"/>
  <c r="T965" i="3"/>
  <c r="T977" i="3"/>
  <c r="T989" i="3"/>
  <c r="T1001" i="3"/>
  <c r="T1013" i="3"/>
  <c r="T1025" i="3"/>
  <c r="T1037" i="3"/>
  <c r="T1049" i="3"/>
  <c r="T1061" i="3"/>
  <c r="T1073" i="3"/>
  <c r="T1085" i="3"/>
  <c r="T1097" i="3"/>
  <c r="S805" i="3"/>
  <c r="S853" i="3"/>
  <c r="S903" i="3"/>
  <c r="S950" i="3"/>
  <c r="S998" i="3"/>
  <c r="S1048" i="3"/>
  <c r="S1091" i="3"/>
  <c r="T750" i="3"/>
  <c r="T762" i="3"/>
  <c r="T774" i="3"/>
  <c r="T786" i="3"/>
  <c r="T798" i="3"/>
  <c r="T810" i="3"/>
  <c r="T822" i="3"/>
  <c r="T834" i="3"/>
  <c r="T846" i="3"/>
  <c r="T858" i="3"/>
  <c r="T870" i="3"/>
  <c r="T882" i="3"/>
  <c r="T894" i="3"/>
  <c r="T906" i="3"/>
  <c r="T918" i="3"/>
  <c r="T930" i="3"/>
  <c r="T942" i="3"/>
  <c r="T954" i="3"/>
  <c r="T966" i="3"/>
  <c r="T978" i="3"/>
  <c r="T990" i="3"/>
  <c r="T1002" i="3"/>
  <c r="T1014" i="3"/>
  <c r="T1026" i="3"/>
  <c r="T1038" i="3"/>
  <c r="T1050" i="3"/>
  <c r="T1062" i="3"/>
  <c r="T1074" i="3"/>
  <c r="T1086" i="3"/>
  <c r="T1098" i="3"/>
  <c r="S759" i="3"/>
  <c r="S806" i="3"/>
  <c r="S854" i="3"/>
  <c r="S904" i="3"/>
  <c r="S951" i="3"/>
  <c r="S1008" i="3"/>
  <c r="S1056" i="3"/>
  <c r="S1092" i="3"/>
  <c r="T751" i="3"/>
  <c r="T763" i="3"/>
  <c r="T775" i="3"/>
  <c r="T787" i="3"/>
  <c r="T799" i="3"/>
  <c r="T811" i="3"/>
  <c r="T823" i="3"/>
  <c r="T835" i="3"/>
  <c r="T847" i="3"/>
  <c r="T859" i="3"/>
  <c r="T871" i="3"/>
  <c r="T883" i="3"/>
  <c r="T895" i="3"/>
  <c r="T907" i="3"/>
  <c r="T919" i="3"/>
  <c r="T931" i="3"/>
  <c r="T943" i="3"/>
  <c r="T955" i="3"/>
  <c r="T967" i="3"/>
  <c r="T979" i="3"/>
  <c r="T991" i="3"/>
  <c r="T1003" i="3"/>
  <c r="T1015" i="3"/>
  <c r="T1027" i="3"/>
  <c r="T1039" i="3"/>
  <c r="T1051" i="3"/>
  <c r="T1063" i="3"/>
  <c r="T1075" i="3"/>
  <c r="T1087" i="3"/>
  <c r="T1099" i="3"/>
  <c r="S760" i="3"/>
  <c r="S807" i="3"/>
  <c r="S864" i="3"/>
  <c r="S912" i="3"/>
  <c r="S962" i="3"/>
  <c r="S1009" i="3"/>
  <c r="S1057" i="3"/>
  <c r="S1093" i="3"/>
  <c r="T765" i="3"/>
  <c r="T752" i="3"/>
  <c r="T764" i="3"/>
  <c r="T776" i="3"/>
  <c r="T788" i="3"/>
  <c r="T800" i="3"/>
  <c r="T812" i="3"/>
  <c r="T824" i="3"/>
  <c r="T836" i="3"/>
  <c r="T848" i="3"/>
  <c r="T860" i="3"/>
  <c r="T872" i="3"/>
  <c r="T884" i="3"/>
  <c r="T896" i="3"/>
  <c r="T908" i="3"/>
  <c r="T920" i="3"/>
  <c r="T932" i="3"/>
  <c r="T944" i="3"/>
  <c r="T956" i="3"/>
  <c r="T968" i="3"/>
  <c r="T980" i="3"/>
  <c r="T992" i="3"/>
  <c r="T1004" i="3"/>
  <c r="T1016" i="3"/>
  <c r="T1028" i="3"/>
  <c r="T1040" i="3"/>
  <c r="T1052" i="3"/>
  <c r="T1064" i="3"/>
  <c r="T1076" i="3"/>
  <c r="T1088" i="3"/>
  <c r="T1100" i="3"/>
  <c r="S768" i="3"/>
  <c r="S818" i="3"/>
  <c r="S865" i="3"/>
  <c r="S913" i="3"/>
  <c r="S963" i="3"/>
  <c r="S1010" i="3"/>
  <c r="S1059" i="3"/>
  <c r="S1103" i="3"/>
  <c r="T753" i="3"/>
  <c r="T777" i="3"/>
  <c r="T789" i="3"/>
  <c r="T801" i="3"/>
  <c r="T813" i="3"/>
  <c r="T825" i="3"/>
  <c r="T837" i="3"/>
  <c r="T849" i="3"/>
  <c r="T861" i="3"/>
  <c r="T873" i="3"/>
  <c r="T885" i="3"/>
  <c r="T897" i="3"/>
  <c r="T909" i="3"/>
  <c r="T921" i="3"/>
  <c r="T933" i="3"/>
  <c r="T945" i="3"/>
  <c r="T957" i="3"/>
  <c r="T969" i="3"/>
  <c r="T981" i="3"/>
  <c r="T993" i="3"/>
  <c r="T1005" i="3"/>
  <c r="T1017" i="3"/>
  <c r="T1029" i="3"/>
  <c r="T1041" i="3"/>
  <c r="T1053" i="3"/>
  <c r="T1065" i="3"/>
  <c r="T1077" i="3"/>
  <c r="T1089" i="3"/>
  <c r="T1101" i="3"/>
  <c r="S769" i="3"/>
  <c r="S819" i="3"/>
  <c r="S866" i="3"/>
  <c r="S916" i="3"/>
  <c r="S964" i="3"/>
  <c r="S1021" i="3"/>
  <c r="S1060" i="3"/>
  <c r="S1104" i="3"/>
  <c r="T754" i="3"/>
  <c r="T778" i="3"/>
  <c r="T790" i="3"/>
  <c r="T802" i="3"/>
  <c r="T814" i="3"/>
  <c r="T826" i="3"/>
  <c r="T838" i="3"/>
  <c r="T850" i="3"/>
  <c r="T862" i="3"/>
  <c r="S1047" i="3"/>
  <c r="S975" i="3"/>
  <c r="S880" i="3"/>
  <c r="S794" i="3"/>
  <c r="T1102" i="3"/>
  <c r="T1080" i="3"/>
  <c r="T1058" i="3"/>
  <c r="T1036" i="3"/>
  <c r="T1019" i="3"/>
  <c r="T997" i="3"/>
  <c r="T975" i="3"/>
  <c r="T958" i="3"/>
  <c r="T936" i="3"/>
  <c r="T914" i="3"/>
  <c r="T892" i="3"/>
  <c r="T875" i="3"/>
  <c r="T852" i="3"/>
  <c r="T828" i="3"/>
  <c r="T804" i="3"/>
  <c r="T780" i="3"/>
  <c r="T757" i="3"/>
  <c r="S1108" i="3"/>
  <c r="S1035" i="3"/>
  <c r="S949" i="3"/>
  <c r="S878" i="3"/>
  <c r="S792" i="3"/>
  <c r="T1095" i="3"/>
  <c r="T1078" i="3"/>
  <c r="T1056" i="3"/>
  <c r="T1034" i="3"/>
  <c r="T1012" i="3"/>
  <c r="T995" i="3"/>
  <c r="T973" i="3"/>
  <c r="T951" i="3"/>
  <c r="T934" i="3"/>
  <c r="T912" i="3"/>
  <c r="T890" i="3"/>
  <c r="T868" i="3"/>
  <c r="T844" i="3"/>
  <c r="T820" i="3"/>
  <c r="T796" i="3"/>
  <c r="T772" i="3"/>
  <c r="T755" i="3"/>
  <c r="S1033" i="3"/>
  <c r="S1000" i="3"/>
  <c r="S974" i="3"/>
  <c r="S948" i="3"/>
  <c r="S915" i="3"/>
  <c r="S889" i="3"/>
  <c r="S856" i="3"/>
  <c r="S830" i="3"/>
  <c r="S804" i="3"/>
  <c r="S771" i="3"/>
  <c r="S1107" i="3"/>
  <c r="S1083" i="3"/>
  <c r="S1058" i="3"/>
  <c r="S1032" i="3"/>
  <c r="S999" i="3"/>
  <c r="S973" i="3"/>
  <c r="S940" i="3"/>
  <c r="S914" i="3"/>
  <c r="S888" i="3"/>
  <c r="S855" i="3"/>
  <c r="S829" i="3"/>
  <c r="S796" i="3"/>
  <c r="S748" i="3"/>
  <c r="S749" i="3"/>
  <c r="S761" i="3"/>
  <c r="S773" i="3"/>
  <c r="S785" i="3"/>
  <c r="S797" i="3"/>
  <c r="S809" i="3"/>
  <c r="S821" i="3"/>
  <c r="S833" i="3"/>
  <c r="S845" i="3"/>
  <c r="S857" i="3"/>
  <c r="S869" i="3"/>
  <c r="S881" i="3"/>
  <c r="S893" i="3"/>
  <c r="S905" i="3"/>
  <c r="S917" i="3"/>
  <c r="S929" i="3"/>
  <c r="S941" i="3"/>
  <c r="S953" i="3"/>
  <c r="S965" i="3"/>
  <c r="S977" i="3"/>
  <c r="S989" i="3"/>
  <c r="S1001" i="3"/>
  <c r="S1013" i="3"/>
  <c r="S1025" i="3"/>
  <c r="S1037" i="3"/>
  <c r="S1049" i="3"/>
  <c r="S1061" i="3"/>
  <c r="S1073" i="3"/>
  <c r="S1085" i="3"/>
  <c r="S1097" i="3"/>
  <c r="S994" i="3"/>
  <c r="S750" i="3"/>
  <c r="S762" i="3"/>
  <c r="S774" i="3"/>
  <c r="S786" i="3"/>
  <c r="S798" i="3"/>
  <c r="S810" i="3"/>
  <c r="S822" i="3"/>
  <c r="S834" i="3"/>
  <c r="S846" i="3"/>
  <c r="S858" i="3"/>
  <c r="S870" i="3"/>
  <c r="S882" i="3"/>
  <c r="S894" i="3"/>
  <c r="S906" i="3"/>
  <c r="S918" i="3"/>
  <c r="S930" i="3"/>
  <c r="S942" i="3"/>
  <c r="S954" i="3"/>
  <c r="S966" i="3"/>
  <c r="S978" i="3"/>
  <c r="S990" i="3"/>
  <c r="S1002" i="3"/>
  <c r="S1014" i="3"/>
  <c r="S1026" i="3"/>
  <c r="S1038" i="3"/>
  <c r="S1050" i="3"/>
  <c r="S1062" i="3"/>
  <c r="S1074" i="3"/>
  <c r="S1086" i="3"/>
  <c r="S1098" i="3"/>
  <c r="S982" i="3"/>
  <c r="S751" i="3"/>
  <c r="S763" i="3"/>
  <c r="S775" i="3"/>
  <c r="S787" i="3"/>
  <c r="S799" i="3"/>
  <c r="S811" i="3"/>
  <c r="S823" i="3"/>
  <c r="S835" i="3"/>
  <c r="S847" i="3"/>
  <c r="S859" i="3"/>
  <c r="S871" i="3"/>
  <c r="S883" i="3"/>
  <c r="S895" i="3"/>
  <c r="S907" i="3"/>
  <c r="S919" i="3"/>
  <c r="S931" i="3"/>
  <c r="S943" i="3"/>
  <c r="S955" i="3"/>
  <c r="S967" i="3"/>
  <c r="S979" i="3"/>
  <c r="S991" i="3"/>
  <c r="S1003" i="3"/>
  <c r="S1015" i="3"/>
  <c r="S1027" i="3"/>
  <c r="S1039" i="3"/>
  <c r="S1051" i="3"/>
  <c r="S1063" i="3"/>
  <c r="S1075" i="3"/>
  <c r="S1087" i="3"/>
  <c r="S1099" i="3"/>
  <c r="S970" i="3"/>
  <c r="S752" i="3"/>
  <c r="S764" i="3"/>
  <c r="S776" i="3"/>
  <c r="S788" i="3"/>
  <c r="S800" i="3"/>
  <c r="S812" i="3"/>
  <c r="S824" i="3"/>
  <c r="S836" i="3"/>
  <c r="S848" i="3"/>
  <c r="S860" i="3"/>
  <c r="S872" i="3"/>
  <c r="S884" i="3"/>
  <c r="S896" i="3"/>
  <c r="S908" i="3"/>
  <c r="S920" i="3"/>
  <c r="S932" i="3"/>
  <c r="S944" i="3"/>
  <c r="S956" i="3"/>
  <c r="S968" i="3"/>
  <c r="S980" i="3"/>
  <c r="S992" i="3"/>
  <c r="S1004" i="3"/>
  <c r="S1016" i="3"/>
  <c r="S1028" i="3"/>
  <c r="S1040" i="3"/>
  <c r="S1052" i="3"/>
  <c r="S1064" i="3"/>
  <c r="S1076" i="3"/>
  <c r="S1088" i="3"/>
  <c r="S1100" i="3"/>
  <c r="S958" i="3"/>
  <c r="S753" i="3"/>
  <c r="S765" i="3"/>
  <c r="S777" i="3"/>
  <c r="S789" i="3"/>
  <c r="S801" i="3"/>
  <c r="S813" i="3"/>
  <c r="S825" i="3"/>
  <c r="S837" i="3"/>
  <c r="S849" i="3"/>
  <c r="S861" i="3"/>
  <c r="S873" i="3"/>
  <c r="S885" i="3"/>
  <c r="S897" i="3"/>
  <c r="S909" i="3"/>
  <c r="S921" i="3"/>
  <c r="S933" i="3"/>
  <c r="S945" i="3"/>
  <c r="S957" i="3"/>
  <c r="S969" i="3"/>
  <c r="S981" i="3"/>
  <c r="S993" i="3"/>
  <c r="S1005" i="3"/>
  <c r="S1017" i="3"/>
  <c r="S1029" i="3"/>
  <c r="S1041" i="3"/>
  <c r="S1053" i="3"/>
  <c r="S1065" i="3"/>
  <c r="S1077" i="3"/>
  <c r="S1089" i="3"/>
  <c r="S1101" i="3"/>
  <c r="S754" i="3"/>
  <c r="S766" i="3"/>
  <c r="S778" i="3"/>
  <c r="S790" i="3"/>
  <c r="S802" i="3"/>
  <c r="S814" i="3"/>
  <c r="S826" i="3"/>
  <c r="S838" i="3"/>
  <c r="S850" i="3"/>
  <c r="S862" i="3"/>
  <c r="S874" i="3"/>
  <c r="S886" i="3"/>
  <c r="S898" i="3"/>
  <c r="S910" i="3"/>
  <c r="S922" i="3"/>
  <c r="S934" i="3"/>
  <c r="S946" i="3"/>
  <c r="S1006" i="3"/>
  <c r="S1018" i="3"/>
  <c r="S1030" i="3"/>
  <c r="S1042" i="3"/>
  <c r="S1054" i="3"/>
  <c r="S1066" i="3"/>
  <c r="S1078" i="3"/>
  <c r="S1090" i="3"/>
  <c r="S1102" i="3"/>
  <c r="S755" i="3"/>
  <c r="S767" i="3"/>
  <c r="S779" i="3"/>
  <c r="S791" i="3"/>
  <c r="S803" i="3"/>
  <c r="S815" i="3"/>
  <c r="S827" i="3"/>
  <c r="S839" i="3"/>
  <c r="S851" i="3"/>
  <c r="S863" i="3"/>
  <c r="S875" i="3"/>
  <c r="S887" i="3"/>
  <c r="S899" i="3"/>
  <c r="S911" i="3"/>
  <c r="S923" i="3"/>
  <c r="S935" i="3"/>
  <c r="S947" i="3"/>
  <c r="S959" i="3"/>
  <c r="S971" i="3"/>
  <c r="S983" i="3"/>
  <c r="S995" i="3"/>
  <c r="S1007" i="3"/>
  <c r="S1019" i="3"/>
  <c r="S1031" i="3"/>
  <c r="S1043" i="3"/>
  <c r="S1055" i="3"/>
  <c r="S1067" i="3"/>
  <c r="S1096" i="3"/>
  <c r="S1072" i="3"/>
  <c r="S1046" i="3"/>
  <c r="S1020" i="3"/>
  <c r="S987" i="3"/>
  <c r="S961" i="3"/>
  <c r="S928" i="3"/>
  <c r="S902" i="3"/>
  <c r="S876" i="3"/>
  <c r="S843" i="3"/>
  <c r="S817" i="3"/>
  <c r="S784" i="3"/>
  <c r="S758" i="3"/>
  <c r="S1095" i="3"/>
  <c r="S1071" i="3"/>
  <c r="S1045" i="3"/>
  <c r="S1012" i="3"/>
  <c r="S986" i="3"/>
  <c r="S960" i="3"/>
  <c r="S927" i="3"/>
  <c r="S901" i="3"/>
  <c r="S868" i="3"/>
  <c r="S842" i="3"/>
  <c r="S816" i="3"/>
  <c r="S783" i="3"/>
  <c r="S757" i="3"/>
  <c r="S1094" i="3"/>
  <c r="S1070" i="3"/>
  <c r="S1044" i="3"/>
  <c r="S1011" i="3"/>
  <c r="S985" i="3"/>
  <c r="S952" i="3"/>
  <c r="S926" i="3"/>
  <c r="S900" i="3"/>
  <c r="S867" i="3"/>
  <c r="S841" i="3"/>
  <c r="S808" i="3"/>
  <c r="S782" i="3"/>
  <c r="S756" i="3"/>
  <c r="U748" i="3"/>
  <c r="T748" i="3"/>
  <c r="J40" i="7"/>
  <c r="V40" i="7"/>
  <c r="S40" i="7"/>
  <c r="P40" i="7"/>
  <c r="V13" i="7"/>
  <c r="E1" i="12"/>
  <c r="T403" i="3"/>
  <c r="U414" i="3"/>
  <c r="P375" i="10"/>
  <c r="T222" i="3"/>
  <c r="U353" i="3"/>
  <c r="S136" i="3"/>
  <c r="U342" i="3"/>
  <c r="T152" i="3"/>
  <c r="T157" i="3"/>
  <c r="T136" i="3"/>
  <c r="U136" i="3"/>
  <c r="T213" i="3"/>
  <c r="S43" i="3"/>
  <c r="S383" i="3"/>
  <c r="U152" i="3"/>
  <c r="S315" i="3"/>
  <c r="T202" i="3"/>
  <c r="U186" i="3"/>
  <c r="U294" i="3"/>
  <c r="T115" i="3"/>
  <c r="U157" i="3"/>
  <c r="S298" i="3"/>
  <c r="S440" i="3"/>
  <c r="U445" i="3"/>
  <c r="U115" i="3"/>
  <c r="T298" i="3"/>
  <c r="U320" i="3"/>
  <c r="U440" i="3"/>
  <c r="T445" i="3"/>
  <c r="S278" i="3"/>
  <c r="T383" i="3"/>
  <c r="S247" i="3"/>
  <c r="U379" i="3"/>
  <c r="U399" i="3"/>
  <c r="U550" i="3"/>
  <c r="T686" i="3"/>
  <c r="T436" i="3"/>
  <c r="T27" i="3"/>
  <c r="T43" i="3"/>
  <c r="S106" i="3"/>
  <c r="T273" i="3"/>
  <c r="S379" i="3"/>
  <c r="U436" i="3"/>
  <c r="T596" i="3"/>
  <c r="U198" i="3"/>
  <c r="T379" i="3"/>
  <c r="T399" i="3"/>
  <c r="S561" i="3"/>
  <c r="T7" i="3"/>
  <c r="U7" i="3"/>
  <c r="T23" i="3"/>
  <c r="S264" i="3"/>
  <c r="S511" i="3"/>
  <c r="S546" i="3"/>
  <c r="T462" i="3"/>
  <c r="S11" i="3"/>
  <c r="S59" i="3"/>
  <c r="S111" i="3"/>
  <c r="S399" i="3"/>
  <c r="U27" i="3"/>
  <c r="U383" i="3"/>
  <c r="S550" i="3"/>
  <c r="S92" i="3"/>
  <c r="U3" i="3"/>
  <c r="S103" i="3"/>
  <c r="S237" i="3"/>
  <c r="T264" i="3"/>
  <c r="S541" i="3"/>
  <c r="T546" i="3"/>
  <c r="T19" i="3"/>
  <c r="U66" i="3"/>
  <c r="T83" i="3"/>
  <c r="S166" i="3"/>
  <c r="T243" i="3"/>
  <c r="S643" i="3"/>
  <c r="T40" i="3"/>
  <c r="U59" i="3"/>
  <c r="S95" i="3"/>
  <c r="T99" i="3"/>
  <c r="S169" i="3"/>
  <c r="U250" i="3"/>
  <c r="S281" i="3"/>
  <c r="U333" i="3"/>
  <c r="T486" i="3"/>
  <c r="T643" i="3"/>
  <c r="T75" i="3"/>
  <c r="U95" i="3"/>
  <c r="U118" i="3"/>
  <c r="T169" i="3"/>
  <c r="S174" i="3"/>
  <c r="S210" i="3"/>
  <c r="S225" i="3"/>
  <c r="T281" i="3"/>
  <c r="U301" i="3"/>
  <c r="S339" i="3"/>
  <c r="T360" i="3"/>
  <c r="S365" i="3"/>
  <c r="U486" i="3"/>
  <c r="U587" i="3"/>
  <c r="U643" i="3"/>
  <c r="S490" i="3"/>
  <c r="U596" i="3"/>
  <c r="S40" i="3"/>
  <c r="S99" i="3"/>
  <c r="T122" i="3"/>
  <c r="U260" i="3"/>
  <c r="T422" i="3"/>
  <c r="S496" i="3"/>
  <c r="S747" i="3"/>
  <c r="U50" i="3"/>
  <c r="U205" i="3"/>
  <c r="S230" i="3"/>
  <c r="U281" i="3"/>
  <c r="U323" i="3"/>
  <c r="U360" i="3"/>
  <c r="U482" i="3"/>
  <c r="S593" i="3"/>
  <c r="T690" i="3"/>
  <c r="S56" i="3"/>
  <c r="T139" i="3"/>
  <c r="S186" i="3"/>
  <c r="S356" i="3"/>
  <c r="S515" i="3"/>
  <c r="S702" i="3"/>
  <c r="P79" i="10"/>
  <c r="U546" i="3"/>
  <c r="T24" i="3"/>
  <c r="T59" i="3"/>
  <c r="T103" i="3"/>
  <c r="U229" i="3"/>
  <c r="T327" i="3"/>
  <c r="S486" i="3"/>
  <c r="U75" i="3"/>
  <c r="U169" i="3"/>
  <c r="U190" i="3"/>
  <c r="T210" i="3"/>
  <c r="T246" i="3"/>
  <c r="S418" i="3"/>
  <c r="U448" i="3"/>
  <c r="U520" i="3"/>
  <c r="U582" i="3"/>
  <c r="T639" i="3"/>
  <c r="U71" i="3"/>
  <c r="T119" i="3"/>
  <c r="T186" i="3"/>
  <c r="S226" i="3"/>
  <c r="T356" i="3"/>
  <c r="S686" i="3"/>
  <c r="S708" i="3"/>
  <c r="P95" i="10"/>
  <c r="P97" i="10"/>
  <c r="T593" i="3"/>
  <c r="U639" i="3"/>
  <c r="U686" i="3"/>
  <c r="S37" i="3"/>
  <c r="T111" i="3"/>
  <c r="T16" i="3"/>
  <c r="T37" i="3"/>
  <c r="S72" i="3"/>
  <c r="U149" i="3"/>
  <c r="U166" i="3"/>
  <c r="T179" i="3"/>
  <c r="T203" i="3"/>
  <c r="S215" i="3"/>
  <c r="U278" i="3"/>
  <c r="T295" i="3"/>
  <c r="T312" i="3"/>
  <c r="T392" i="3"/>
  <c r="S415" i="3"/>
  <c r="T437" i="3"/>
  <c r="U454" i="3"/>
  <c r="S478" i="3"/>
  <c r="S527" i="3"/>
  <c r="U578" i="3"/>
  <c r="S13" i="3"/>
  <c r="S21" i="3"/>
  <c r="S65" i="3"/>
  <c r="S89" i="3"/>
  <c r="S108" i="3"/>
  <c r="T163" i="3"/>
  <c r="U183" i="3"/>
  <c r="T215" i="3"/>
  <c r="T223" i="3"/>
  <c r="S261" i="3"/>
  <c r="T287" i="3"/>
  <c r="U312" i="3"/>
  <c r="T415" i="3"/>
  <c r="T478" i="3"/>
  <c r="U673" i="3"/>
  <c r="S683" i="3"/>
  <c r="T13" i="3"/>
  <c r="S49" i="3"/>
  <c r="T53" i="3"/>
  <c r="S69" i="3"/>
  <c r="T89" i="3"/>
  <c r="S93" i="3"/>
  <c r="U105" i="3"/>
  <c r="T108" i="3"/>
  <c r="U112" i="3"/>
  <c r="S146" i="3"/>
  <c r="U163" i="3"/>
  <c r="S196" i="3"/>
  <c r="T212" i="3"/>
  <c r="U215" i="3"/>
  <c r="T219" i="3"/>
  <c r="U223" i="3"/>
  <c r="U235" i="3"/>
  <c r="T261" i="3"/>
  <c r="S270" i="3"/>
  <c r="U275" i="3"/>
  <c r="S326" i="3"/>
  <c r="T330" i="3"/>
  <c r="S345" i="3"/>
  <c r="T350" i="3"/>
  <c r="S354" i="3"/>
  <c r="S372" i="3"/>
  <c r="S389" i="3"/>
  <c r="S429" i="3"/>
  <c r="U447" i="3"/>
  <c r="S451" i="3"/>
  <c r="T508" i="3"/>
  <c r="U523" i="3"/>
  <c r="S619" i="3"/>
  <c r="S726" i="3"/>
  <c r="U740" i="3"/>
  <c r="U737" i="3"/>
  <c r="T734" i="3"/>
  <c r="T731" i="3"/>
  <c r="T714" i="3"/>
  <c r="T705" i="3"/>
  <c r="U702" i="3"/>
  <c r="S682" i="3"/>
  <c r="T679" i="3"/>
  <c r="S671" i="3"/>
  <c r="U668" i="3"/>
  <c r="T657" i="3"/>
  <c r="S654" i="3"/>
  <c r="T651" i="3"/>
  <c r="T648" i="3"/>
  <c r="S640" i="3"/>
  <c r="S632" i="3"/>
  <c r="U629" i="3"/>
  <c r="T624" i="3"/>
  <c r="S616" i="3"/>
  <c r="U608" i="3"/>
  <c r="T603" i="3"/>
  <c r="U600" i="3"/>
  <c r="T595" i="3"/>
  <c r="T587" i="3"/>
  <c r="T582" i="3"/>
  <c r="S577" i="3"/>
  <c r="S572" i="3"/>
  <c r="S567" i="3"/>
  <c r="U564" i="3"/>
  <c r="S562" i="3"/>
  <c r="U559" i="3"/>
  <c r="S557" i="3"/>
  <c r="U554" i="3"/>
  <c r="U549" i="3"/>
  <c r="T544" i="3"/>
  <c r="T539" i="3"/>
  <c r="T534" i="3"/>
  <c r="S529" i="3"/>
  <c r="S524" i="3"/>
  <c r="T519" i="3"/>
  <c r="U514" i="3"/>
  <c r="S512" i="3"/>
  <c r="T507" i="3"/>
  <c r="U502" i="3"/>
  <c r="S500" i="3"/>
  <c r="T495" i="3"/>
  <c r="U490" i="3"/>
  <c r="S488" i="3"/>
  <c r="T483" i="3"/>
  <c r="U478" i="3"/>
  <c r="U746" i="3"/>
  <c r="U743" i="3"/>
  <c r="S740" i="3"/>
  <c r="S737" i="3"/>
  <c r="S734" i="3"/>
  <c r="S731" i="3"/>
  <c r="U728" i="3"/>
  <c r="S705" i="3"/>
  <c r="T702" i="3"/>
  <c r="T699" i="3"/>
  <c r="T696" i="3"/>
  <c r="U693" i="3"/>
  <c r="U684" i="3"/>
  <c r="S679" i="3"/>
  <c r="U676" i="3"/>
  <c r="S668" i="3"/>
  <c r="U665" i="3"/>
  <c r="S651" i="3"/>
  <c r="S648" i="3"/>
  <c r="U645" i="3"/>
  <c r="U637" i="3"/>
  <c r="T629" i="3"/>
  <c r="S624" i="3"/>
  <c r="U621" i="3"/>
  <c r="U613" i="3"/>
  <c r="T608" i="3"/>
  <c r="S603" i="3"/>
  <c r="T600" i="3"/>
  <c r="S595" i="3"/>
  <c r="T592" i="3"/>
  <c r="S587" i="3"/>
  <c r="U584" i="3"/>
  <c r="S582" i="3"/>
  <c r="U579" i="3"/>
  <c r="U574" i="3"/>
  <c r="U569" i="3"/>
  <c r="T564" i="3"/>
  <c r="T559" i="3"/>
  <c r="T554" i="3"/>
  <c r="S549" i="3"/>
  <c r="S544" i="3"/>
  <c r="U541" i="3"/>
  <c r="S539" i="3"/>
  <c r="U536" i="3"/>
  <c r="S534" i="3"/>
  <c r="U531" i="3"/>
  <c r="U526" i="3"/>
  <c r="U521" i="3"/>
  <c r="S519" i="3"/>
  <c r="T514" i="3"/>
  <c r="U509" i="3"/>
  <c r="S507" i="3"/>
  <c r="T502" i="3"/>
  <c r="S746" i="3"/>
  <c r="T743" i="3"/>
  <c r="S728" i="3"/>
  <c r="S725" i="3"/>
  <c r="U722" i="3"/>
  <c r="U719" i="3"/>
  <c r="U716" i="3"/>
  <c r="S735" i="3"/>
  <c r="U715" i="3"/>
  <c r="U712" i="3"/>
  <c r="T709" i="3"/>
  <c r="U706" i="3"/>
  <c r="S703" i="3"/>
  <c r="S693" i="3"/>
  <c r="U690" i="3"/>
  <c r="S687" i="3"/>
  <c r="S684" i="3"/>
  <c r="T681" i="3"/>
  <c r="S678" i="3"/>
  <c r="T672" i="3"/>
  <c r="T669" i="3"/>
  <c r="S666" i="3"/>
  <c r="S663" i="3"/>
  <c r="T660" i="3"/>
  <c r="U657" i="3"/>
  <c r="S647" i="3"/>
  <c r="S644" i="3"/>
  <c r="U641" i="3"/>
  <c r="T633" i="3"/>
  <c r="T630" i="3"/>
  <c r="S627" i="3"/>
  <c r="U624" i="3"/>
  <c r="T621" i="3"/>
  <c r="U618" i="3"/>
  <c r="U615" i="3"/>
  <c r="T610" i="3"/>
  <c r="T607" i="3"/>
  <c r="T601" i="3"/>
  <c r="T598" i="3"/>
  <c r="S581" i="3"/>
  <c r="T578" i="3"/>
  <c r="U575" i="3"/>
  <c r="S570" i="3"/>
  <c r="T567" i="3"/>
  <c r="S564" i="3"/>
  <c r="U561" i="3"/>
  <c r="U558" i="3"/>
  <c r="T550" i="3"/>
  <c r="T547" i="3"/>
  <c r="S533" i="3"/>
  <c r="T530" i="3"/>
  <c r="U527" i="3"/>
  <c r="S522" i="3"/>
  <c r="U519" i="3"/>
  <c r="T511" i="3"/>
  <c r="U503" i="3"/>
  <c r="S498" i="3"/>
  <c r="S493" i="3"/>
  <c r="U485" i="3"/>
  <c r="U480" i="3"/>
  <c r="U475" i="3"/>
  <c r="S473" i="3"/>
  <c r="T470" i="3"/>
  <c r="U467" i="3"/>
  <c r="U738" i="3"/>
  <c r="U734" i="3"/>
  <c r="U727" i="3"/>
  <c r="T724" i="3"/>
  <c r="T721" i="3"/>
  <c r="U704" i="3"/>
  <c r="U694" i="3"/>
  <c r="S691" i="3"/>
  <c r="T684" i="3"/>
  <c r="S681" i="3"/>
  <c r="U674" i="3"/>
  <c r="U671" i="3"/>
  <c r="U658" i="3"/>
  <c r="T655" i="3"/>
  <c r="T652" i="3"/>
  <c r="U648" i="3"/>
  <c r="S636" i="3"/>
  <c r="U633" i="3"/>
  <c r="T623" i="3"/>
  <c r="S620" i="3"/>
  <c r="T617" i="3"/>
  <c r="T745" i="3"/>
  <c r="T738" i="3"/>
  <c r="U730" i="3"/>
  <c r="S727" i="3"/>
  <c r="S724" i="3"/>
  <c r="U714" i="3"/>
  <c r="U707" i="3"/>
  <c r="S704" i="3"/>
  <c r="U700" i="3"/>
  <c r="U697" i="3"/>
  <c r="T694" i="3"/>
  <c r="U677" i="3"/>
  <c r="T674" i="3"/>
  <c r="T671" i="3"/>
  <c r="U664" i="3"/>
  <c r="U661" i="3"/>
  <c r="T658" i="3"/>
  <c r="U626" i="3"/>
  <c r="S623" i="3"/>
  <c r="S617" i="3"/>
  <c r="S614" i="3"/>
  <c r="S611" i="3"/>
  <c r="S608" i="3"/>
  <c r="T605" i="3"/>
  <c r="T602" i="3"/>
  <c r="S584" i="3"/>
  <c r="T581" i="3"/>
  <c r="S575" i="3"/>
  <c r="T572" i="3"/>
  <c r="T569" i="3"/>
  <c r="T566" i="3"/>
  <c r="S563" i="3"/>
  <c r="S560" i="3"/>
  <c r="T551" i="3"/>
  <c r="S548" i="3"/>
  <c r="U545" i="3"/>
  <c r="U542" i="3"/>
  <c r="T516" i="3"/>
  <c r="U513" i="3"/>
  <c r="S508" i="3"/>
  <c r="T505" i="3"/>
  <c r="S497" i="3"/>
  <c r="U494" i="3"/>
  <c r="T489" i="3"/>
  <c r="S484" i="3"/>
  <c r="U481" i="3"/>
  <c r="T476" i="3"/>
  <c r="U462" i="3"/>
  <c r="T460" i="3"/>
  <c r="U455" i="3"/>
  <c r="S453" i="3"/>
  <c r="T440" i="3"/>
  <c r="U435" i="3"/>
  <c r="S433" i="3"/>
  <c r="T430" i="3"/>
  <c r="T423" i="3"/>
  <c r="T418" i="3"/>
  <c r="U413" i="3"/>
  <c r="S411" i="3"/>
  <c r="T408" i="3"/>
  <c r="U405" i="3"/>
  <c r="S403" i="3"/>
  <c r="T398" i="3"/>
  <c r="U744" i="3"/>
  <c r="T736" i="3"/>
  <c r="U724" i="3"/>
  <c r="U717" i="3"/>
  <c r="T710" i="3"/>
  <c r="U695" i="3"/>
  <c r="U691" i="3"/>
  <c r="T688" i="3"/>
  <c r="S677" i="3"/>
  <c r="U666" i="3"/>
  <c r="T659" i="3"/>
  <c r="U652" i="3"/>
  <c r="T632" i="3"/>
  <c r="S622" i="3"/>
  <c r="U605" i="3"/>
  <c r="U598" i="3"/>
  <c r="T580" i="3"/>
  <c r="T577" i="3"/>
  <c r="S574" i="3"/>
  <c r="S571" i="3"/>
  <c r="U548" i="3"/>
  <c r="T542" i="3"/>
  <c r="U539" i="3"/>
  <c r="T536" i="3"/>
  <c r="U533" i="3"/>
  <c r="U530" i="3"/>
  <c r="T527" i="3"/>
  <c r="U524" i="3"/>
  <c r="U518" i="3"/>
  <c r="S510" i="3"/>
  <c r="T504" i="3"/>
  <c r="T501" i="3"/>
  <c r="T490" i="3"/>
  <c r="U487" i="3"/>
  <c r="S482" i="3"/>
  <c r="T479" i="3"/>
  <c r="S460" i="3"/>
  <c r="S455" i="3"/>
  <c r="U452" i="3"/>
  <c r="S450" i="3"/>
  <c r="T447" i="3"/>
  <c r="S442" i="3"/>
  <c r="U439" i="3"/>
  <c r="S437" i="3"/>
  <c r="U434" i="3"/>
  <c r="U431" i="3"/>
  <c r="T424" i="3"/>
  <c r="U421" i="3"/>
  <c r="S419" i="3"/>
  <c r="U416" i="3"/>
  <c r="S414" i="3"/>
  <c r="U411" i="3"/>
  <c r="U408" i="3"/>
  <c r="T405" i="3"/>
  <c r="T400" i="3"/>
  <c r="T395" i="3"/>
  <c r="T385" i="3"/>
  <c r="U382" i="3"/>
  <c r="S380" i="3"/>
  <c r="T375" i="3"/>
  <c r="U370" i="3"/>
  <c r="T362" i="3"/>
  <c r="U357" i="3"/>
  <c r="S355" i="3"/>
  <c r="S350" i="3"/>
  <c r="S347" i="3"/>
  <c r="T342" i="3"/>
  <c r="U337" i="3"/>
  <c r="S329" i="3"/>
  <c r="T324" i="3"/>
  <c r="U319" i="3"/>
  <c r="S314" i="3"/>
  <c r="U306" i="3"/>
  <c r="S304" i="3"/>
  <c r="T299" i="3"/>
  <c r="U287" i="3"/>
  <c r="S285" i="3"/>
  <c r="T280" i="3"/>
  <c r="U277" i="3"/>
  <c r="T272" i="3"/>
  <c r="T267" i="3"/>
  <c r="U262" i="3"/>
  <c r="S260" i="3"/>
  <c r="U255" i="3"/>
  <c r="S250" i="3"/>
  <c r="T245" i="3"/>
  <c r="T234" i="3"/>
  <c r="T229" i="3"/>
  <c r="U224" i="3"/>
  <c r="S222" i="3"/>
  <c r="S217" i="3"/>
  <c r="U214" i="3"/>
  <c r="S212" i="3"/>
  <c r="T207" i="3"/>
  <c r="U202" i="3"/>
  <c r="S197" i="3"/>
  <c r="T192" i="3"/>
  <c r="U187" i="3"/>
  <c r="S185" i="3"/>
  <c r="S180" i="3"/>
  <c r="S177" i="3"/>
  <c r="U172" i="3"/>
  <c r="S170" i="3"/>
  <c r="T165" i="3"/>
  <c r="S157" i="3"/>
  <c r="U154" i="3"/>
  <c r="S152" i="3"/>
  <c r="T147" i="3"/>
  <c r="U142" i="3"/>
  <c r="T140" i="3"/>
  <c r="S135" i="3"/>
  <c r="T130" i="3"/>
  <c r="U127" i="3"/>
  <c r="S125" i="3"/>
  <c r="U122" i="3"/>
  <c r="U114" i="3"/>
  <c r="S112" i="3"/>
  <c r="S105" i="3"/>
  <c r="U102" i="3"/>
  <c r="T95" i="3"/>
  <c r="U90" i="3"/>
  <c r="U85" i="3"/>
  <c r="U82" i="3"/>
  <c r="S80" i="3"/>
  <c r="U77" i="3"/>
  <c r="S75" i="3"/>
  <c r="T70" i="3"/>
  <c r="S63" i="3"/>
  <c r="T58" i="3"/>
  <c r="U53" i="3"/>
  <c r="S51" i="3"/>
  <c r="T46" i="3"/>
  <c r="U41" i="3"/>
  <c r="S39" i="3"/>
  <c r="T29" i="3"/>
  <c r="U24" i="3"/>
  <c r="U19" i="3"/>
  <c r="S17" i="3"/>
  <c r="T12" i="3"/>
  <c r="S7" i="3"/>
  <c r="U731" i="3"/>
  <c r="S720" i="3"/>
  <c r="S713" i="3"/>
  <c r="T706" i="3"/>
  <c r="U698" i="3"/>
  <c r="S680" i="3"/>
  <c r="T673" i="3"/>
  <c r="U669" i="3"/>
  <c r="U662" i="3"/>
  <c r="T647" i="3"/>
  <c r="S641" i="3"/>
  <c r="T638" i="3"/>
  <c r="S635" i="3"/>
  <c r="U628" i="3"/>
  <c r="U625" i="3"/>
  <c r="U614" i="3"/>
  <c r="T611" i="3"/>
  <c r="S601" i="3"/>
  <c r="S589" i="3"/>
  <c r="T586" i="3"/>
  <c r="T583" i="3"/>
  <c r="U567" i="3"/>
  <c r="U560" i="3"/>
  <c r="T557" i="3"/>
  <c r="U551" i="3"/>
  <c r="S545" i="3"/>
  <c r="S521" i="3"/>
  <c r="S518" i="3"/>
  <c r="U515" i="3"/>
  <c r="U512" i="3"/>
  <c r="U506" i="3"/>
  <c r="T498" i="3"/>
  <c r="U495" i="3"/>
  <c r="U492" i="3"/>
  <c r="S487" i="3"/>
  <c r="U484" i="3"/>
  <c r="S476" i="3"/>
  <c r="U473" i="3"/>
  <c r="U470" i="3"/>
  <c r="T467" i="3"/>
  <c r="U464" i="3"/>
  <c r="S462" i="3"/>
  <c r="T457" i="3"/>
  <c r="S452" i="3"/>
  <c r="S439" i="3"/>
  <c r="S434" i="3"/>
  <c r="S431" i="3"/>
  <c r="T426" i="3"/>
  <c r="S421" i="3"/>
  <c r="S416" i="3"/>
  <c r="T402" i="3"/>
  <c r="T397" i="3"/>
  <c r="T387" i="3"/>
  <c r="S382" i="3"/>
  <c r="T377" i="3"/>
  <c r="U372" i="3"/>
  <c r="S370" i="3"/>
  <c r="T367" i="3"/>
  <c r="T364" i="3"/>
  <c r="U359" i="3"/>
  <c r="S357" i="3"/>
  <c r="T352" i="3"/>
  <c r="T344" i="3"/>
  <c r="U339" i="3"/>
  <c r="S337" i="3"/>
  <c r="T334" i="3"/>
  <c r="U331" i="3"/>
  <c r="T326" i="3"/>
  <c r="U321" i="3"/>
  <c r="S319" i="3"/>
  <c r="T316" i="3"/>
  <c r="T311" i="3"/>
  <c r="U308" i="3"/>
  <c r="S306" i="3"/>
  <c r="T301" i="3"/>
  <c r="U296" i="3"/>
  <c r="T294" i="3"/>
  <c r="U289" i="3"/>
  <c r="S287" i="3"/>
  <c r="T282" i="3"/>
  <c r="S277" i="3"/>
  <c r="T269" i="3"/>
  <c r="U264" i="3"/>
  <c r="S262" i="3"/>
  <c r="T257" i="3"/>
  <c r="S255" i="3"/>
  <c r="T252" i="3"/>
  <c r="T247" i="3"/>
  <c r="T242" i="3"/>
  <c r="T239" i="3"/>
  <c r="T236" i="3"/>
  <c r="T231" i="3"/>
  <c r="U226" i="3"/>
  <c r="S224" i="3"/>
  <c r="U219" i="3"/>
  <c r="S214" i="3"/>
  <c r="T209" i="3"/>
  <c r="T204" i="3"/>
  <c r="S202" i="3"/>
  <c r="T199" i="3"/>
  <c r="T194" i="3"/>
  <c r="U189" i="3"/>
  <c r="S187" i="3"/>
  <c r="T182" i="3"/>
  <c r="U174" i="3"/>
  <c r="S172" i="3"/>
  <c r="T167" i="3"/>
  <c r="T162" i="3"/>
  <c r="T159" i="3"/>
  <c r="S154" i="3"/>
  <c r="T149" i="3"/>
  <c r="U144" i="3"/>
  <c r="S142" i="3"/>
  <c r="T137" i="3"/>
  <c r="T132" i="3"/>
  <c r="S127" i="3"/>
  <c r="S122" i="3"/>
  <c r="U116" i="3"/>
  <c r="S114" i="3"/>
  <c r="T109" i="3"/>
  <c r="S102" i="3"/>
  <c r="U99" i="3"/>
  <c r="T97" i="3"/>
  <c r="U92" i="3"/>
  <c r="S90" i="3"/>
  <c r="U87" i="3"/>
  <c r="S85" i="3"/>
  <c r="S82" i="3"/>
  <c r="S77" i="3"/>
  <c r="T72" i="3"/>
  <c r="U67" i="3"/>
  <c r="T65" i="3"/>
  <c r="T60" i="3"/>
  <c r="U55" i="3"/>
  <c r="S53" i="3"/>
  <c r="U48" i="3"/>
  <c r="U43" i="3"/>
  <c r="S41" i="3"/>
  <c r="T36" i="3"/>
  <c r="T31" i="3"/>
  <c r="U26" i="3"/>
  <c r="S24" i="3"/>
  <c r="U21" i="3"/>
  <c r="S19" i="3"/>
  <c r="T14" i="3"/>
  <c r="U9" i="3"/>
  <c r="T715" i="3"/>
  <c r="S711" i="3"/>
  <c r="U703" i="3"/>
  <c r="T691" i="3"/>
  <c r="S676" i="3"/>
  <c r="U672" i="3"/>
  <c r="T664" i="3"/>
  <c r="U656" i="3"/>
  <c r="S653" i="3"/>
  <c r="T635" i="3"/>
  <c r="U631" i="3"/>
  <c r="U606" i="3"/>
  <c r="U583" i="3"/>
  <c r="T576" i="3"/>
  <c r="U562" i="3"/>
  <c r="U555" i="3"/>
  <c r="U552" i="3"/>
  <c r="T532" i="3"/>
  <c r="U516" i="3"/>
  <c r="S513" i="3"/>
  <c r="U500" i="3"/>
  <c r="U497" i="3"/>
  <c r="T494" i="3"/>
  <c r="U491" i="3"/>
  <c r="U488" i="3"/>
  <c r="T485" i="3"/>
  <c r="T482" i="3"/>
  <c r="S479" i="3"/>
  <c r="U476" i="3"/>
  <c r="T473" i="3"/>
  <c r="T461" i="3"/>
  <c r="U458" i="3"/>
  <c r="U441" i="3"/>
  <c r="U438" i="3"/>
  <c r="T429" i="3"/>
  <c r="U424" i="3"/>
  <c r="T421" i="3"/>
  <c r="U418" i="3"/>
  <c r="U415" i="3"/>
  <c r="U409" i="3"/>
  <c r="U403" i="3"/>
  <c r="S395" i="3"/>
  <c r="T390" i="3"/>
  <c r="U387" i="3"/>
  <c r="U381" i="3"/>
  <c r="T376" i="3"/>
  <c r="S371" i="3"/>
  <c r="T359" i="3"/>
  <c r="U356" i="3"/>
  <c r="S351" i="3"/>
  <c r="T345" i="3"/>
  <c r="S340" i="3"/>
  <c r="T337" i="3"/>
  <c r="S334" i="3"/>
  <c r="S331" i="3"/>
  <c r="S328" i="3"/>
  <c r="U325" i="3"/>
  <c r="T320" i="3"/>
  <c r="S317" i="3"/>
  <c r="T314" i="3"/>
  <c r="S303" i="3"/>
  <c r="U300" i="3"/>
  <c r="U295" i="3"/>
  <c r="U292" i="3"/>
  <c r="U290" i="3"/>
  <c r="U282" i="3"/>
  <c r="U276" i="3"/>
  <c r="T268" i="3"/>
  <c r="S263" i="3"/>
  <c r="T260" i="3"/>
  <c r="S249" i="3"/>
  <c r="U246" i="3"/>
  <c r="T739" i="3"/>
  <c r="T730" i="3"/>
  <c r="U726" i="3"/>
  <c r="S715" i="3"/>
  <c r="T707" i="3"/>
  <c r="S699" i="3"/>
  <c r="S695" i="3"/>
  <c r="U683" i="3"/>
  <c r="S664" i="3"/>
  <c r="U660" i="3"/>
  <c r="S656" i="3"/>
  <c r="U638" i="3"/>
  <c r="T631" i="3"/>
  <c r="U616" i="3"/>
  <c r="S606" i="3"/>
  <c r="U586" i="3"/>
  <c r="S583" i="3"/>
  <c r="T579" i="3"/>
  <c r="S576" i="3"/>
  <c r="S569" i="3"/>
  <c r="U565" i="3"/>
  <c r="T562" i="3"/>
  <c r="T558" i="3"/>
  <c r="T555" i="3"/>
  <c r="T552" i="3"/>
  <c r="U538" i="3"/>
  <c r="U535" i="3"/>
  <c r="S532" i="3"/>
  <c r="S516" i="3"/>
  <c r="T506" i="3"/>
  <c r="T503" i="3"/>
  <c r="T500" i="3"/>
  <c r="T497" i="3"/>
  <c r="S494" i="3"/>
  <c r="T491" i="3"/>
  <c r="T488" i="3"/>
  <c r="S485" i="3"/>
  <c r="T466" i="3"/>
  <c r="U463" i="3"/>
  <c r="U747" i="3"/>
  <c r="S739" i="3"/>
  <c r="T726" i="3"/>
  <c r="T722" i="3"/>
  <c r="U718" i="3"/>
  <c r="S707" i="3"/>
  <c r="T683" i="3"/>
  <c r="U679" i="3"/>
  <c r="U667" i="3"/>
  <c r="T644" i="3"/>
  <c r="T641" i="3"/>
  <c r="S638" i="3"/>
  <c r="S631" i="3"/>
  <c r="U627" i="3"/>
  <c r="U619" i="3"/>
  <c r="U612" i="3"/>
  <c r="U609" i="3"/>
  <c r="U602" i="3"/>
  <c r="S598" i="3"/>
  <c r="U595" i="3"/>
  <c r="S592" i="3"/>
  <c r="T589" i="3"/>
  <c r="S586" i="3"/>
  <c r="S579" i="3"/>
  <c r="U572" i="3"/>
  <c r="T565" i="3"/>
  <c r="S558" i="3"/>
  <c r="S555" i="3"/>
  <c r="S552" i="3"/>
  <c r="T548" i="3"/>
  <c r="T545" i="3"/>
  <c r="T541" i="3"/>
  <c r="T538" i="3"/>
  <c r="T742" i="3"/>
  <c r="T685" i="3"/>
  <c r="T676" i="3"/>
  <c r="T663" i="3"/>
  <c r="T654" i="3"/>
  <c r="T650" i="3"/>
  <c r="S646" i="3"/>
  <c r="S639" i="3"/>
  <c r="U622" i="3"/>
  <c r="S607" i="3"/>
  <c r="U603" i="3"/>
  <c r="S585" i="3"/>
  <c r="T556" i="3"/>
  <c r="S537" i="3"/>
  <c r="U529" i="3"/>
  <c r="T526" i="3"/>
  <c r="T523" i="3"/>
  <c r="T520" i="3"/>
  <c r="S506" i="3"/>
  <c r="T499" i="3"/>
  <c r="S492" i="3"/>
  <c r="S481" i="3"/>
  <c r="T468" i="3"/>
  <c r="S456" i="3"/>
  <c r="T453" i="3"/>
  <c r="T450" i="3"/>
  <c r="S447" i="3"/>
  <c r="T444" i="3"/>
  <c r="T438" i="3"/>
  <c r="T432" i="3"/>
  <c r="T420" i="3"/>
  <c r="T417" i="3"/>
  <c r="T414" i="3"/>
  <c r="T411" i="3"/>
  <c r="U404" i="3"/>
  <c r="U401" i="3"/>
  <c r="S396" i="3"/>
  <c r="T393" i="3"/>
  <c r="S391" i="3"/>
  <c r="S376" i="3"/>
  <c r="U373" i="3"/>
  <c r="U367" i="3"/>
  <c r="S364" i="3"/>
  <c r="U361" i="3"/>
  <c r="T353" i="3"/>
  <c r="T341" i="3"/>
  <c r="U338" i="3"/>
  <c r="T335" i="3"/>
  <c r="U328" i="3"/>
  <c r="S320" i="3"/>
  <c r="S305" i="3"/>
  <c r="T302" i="3"/>
  <c r="U299" i="3"/>
  <c r="S294" i="3"/>
  <c r="T291" i="3"/>
  <c r="T283" i="3"/>
  <c r="U280" i="3"/>
  <c r="T277" i="3"/>
  <c r="T274" i="3"/>
  <c r="T271" i="3"/>
  <c r="T263" i="3"/>
  <c r="U257" i="3"/>
  <c r="U251" i="3"/>
  <c r="S243" i="3"/>
  <c r="T240" i="3"/>
  <c r="S231" i="3"/>
  <c r="U228" i="3"/>
  <c r="S223" i="3"/>
  <c r="U209" i="3"/>
  <c r="S198" i="3"/>
  <c r="T190" i="3"/>
  <c r="S179" i="3"/>
  <c r="T176" i="3"/>
  <c r="T168" i="3"/>
  <c r="S151" i="3"/>
  <c r="U148" i="3"/>
  <c r="T143" i="3"/>
  <c r="U132" i="3"/>
  <c r="U126" i="3"/>
  <c r="S115" i="3"/>
  <c r="T112" i="3"/>
  <c r="U96" i="3"/>
  <c r="T91" i="3"/>
  <c r="T88" i="3"/>
  <c r="T79" i="3"/>
  <c r="T76" i="3"/>
  <c r="S71" i="3"/>
  <c r="U68" i="3"/>
  <c r="T63" i="3"/>
  <c r="T55" i="3"/>
  <c r="U52" i="3"/>
  <c r="U47" i="3"/>
  <c r="S42" i="3"/>
  <c r="T39" i="3"/>
  <c r="U31" i="3"/>
  <c r="S26" i="3"/>
  <c r="U20" i="3"/>
  <c r="S15" i="3"/>
  <c r="U12" i="3"/>
  <c r="S732" i="3"/>
  <c r="S692" i="3"/>
  <c r="T642" i="3"/>
  <c r="U634" i="3"/>
  <c r="U591" i="3"/>
  <c r="U547" i="3"/>
  <c r="S509" i="3"/>
  <c r="S495" i="3"/>
  <c r="T458" i="3"/>
  <c r="S441" i="3"/>
  <c r="S404" i="3"/>
  <c r="T384" i="3"/>
  <c r="U378" i="3"/>
  <c r="T355" i="3"/>
  <c r="T346" i="3"/>
  <c r="S338" i="3"/>
  <c r="S316" i="3"/>
  <c r="U310" i="3"/>
  <c r="T288" i="3"/>
  <c r="U265" i="3"/>
  <c r="S251" i="3"/>
  <c r="U245" i="3"/>
  <c r="S228" i="3"/>
  <c r="T220" i="3"/>
  <c r="U211" i="3"/>
  <c r="U192" i="3"/>
  <c r="U181" i="3"/>
  <c r="U162" i="3"/>
  <c r="T153" i="3"/>
  <c r="S148" i="3"/>
  <c r="S140" i="3"/>
  <c r="T129" i="3"/>
  <c r="T120" i="3"/>
  <c r="S109" i="3"/>
  <c r="T101" i="3"/>
  <c r="S96" i="3"/>
  <c r="T73" i="3"/>
  <c r="U57" i="3"/>
  <c r="S47" i="3"/>
  <c r="U33" i="3"/>
  <c r="S20" i="3"/>
  <c r="U6" i="3"/>
  <c r="U419" i="3"/>
  <c r="T732" i="3"/>
  <c r="T723" i="3"/>
  <c r="S719" i="3"/>
  <c r="U710" i="3"/>
  <c r="S701" i="3"/>
  <c r="T697" i="3"/>
  <c r="U692" i="3"/>
  <c r="T667" i="3"/>
  <c r="U642" i="3"/>
  <c r="U630" i="3"/>
  <c r="T626" i="3"/>
  <c r="T622" i="3"/>
  <c r="T618" i="3"/>
  <c r="T614" i="3"/>
  <c r="U588" i="3"/>
  <c r="U576" i="3"/>
  <c r="T560" i="3"/>
  <c r="S556" i="3"/>
  <c r="U540" i="3"/>
  <c r="T533" i="3"/>
  <c r="T529" i="3"/>
  <c r="S526" i="3"/>
  <c r="S523" i="3"/>
  <c r="S520" i="3"/>
  <c r="T509" i="3"/>
  <c r="S499" i="3"/>
  <c r="T484" i="3"/>
  <c r="U474" i="3"/>
  <c r="T471" i="3"/>
  <c r="T464" i="3"/>
  <c r="T441" i="3"/>
  <c r="S438" i="3"/>
  <c r="T435" i="3"/>
  <c r="U426" i="3"/>
  <c r="S420" i="3"/>
  <c r="S417" i="3"/>
  <c r="T407" i="3"/>
  <c r="T404" i="3"/>
  <c r="T401" i="3"/>
  <c r="S393" i="3"/>
  <c r="T381" i="3"/>
  <c r="T373" i="3"/>
  <c r="T370" i="3"/>
  <c r="T361" i="3"/>
  <c r="U358" i="3"/>
  <c r="U355" i="3"/>
  <c r="S353" i="3"/>
  <c r="U346" i="3"/>
  <c r="S341" i="3"/>
  <c r="T338" i="3"/>
  <c r="T328" i="3"/>
  <c r="T325" i="3"/>
  <c r="U316" i="3"/>
  <c r="U313" i="3"/>
  <c r="S302" i="3"/>
  <c r="S299" i="3"/>
  <c r="S291" i="3"/>
  <c r="U288" i="3"/>
  <c r="S283" i="3"/>
  <c r="S280" i="3"/>
  <c r="U268" i="3"/>
  <c r="S257" i="3"/>
  <c r="T254" i="3"/>
  <c r="T251" i="3"/>
  <c r="U248" i="3"/>
  <c r="U236" i="3"/>
  <c r="U233" i="3"/>
  <c r="T228" i="3"/>
  <c r="U220" i="3"/>
  <c r="U217" i="3"/>
  <c r="S209" i="3"/>
  <c r="U206" i="3"/>
  <c r="T195" i="3"/>
  <c r="S190" i="3"/>
  <c r="T187" i="3"/>
  <c r="U184" i="3"/>
  <c r="S176" i="3"/>
  <c r="U173" i="3"/>
  <c r="S168" i="3"/>
  <c r="U165" i="3"/>
  <c r="U156" i="3"/>
  <c r="U153" i="3"/>
  <c r="T148" i="3"/>
  <c r="S143" i="3"/>
  <c r="U140" i="3"/>
  <c r="S132" i="3"/>
  <c r="U129" i="3"/>
  <c r="T126" i="3"/>
  <c r="U123" i="3"/>
  <c r="U117" i="3"/>
  <c r="U109" i="3"/>
  <c r="U104" i="3"/>
  <c r="U101" i="3"/>
  <c r="T96" i="3"/>
  <c r="S91" i="3"/>
  <c r="T85" i="3"/>
  <c r="S76" i="3"/>
  <c r="U73" i="3"/>
  <c r="T68" i="3"/>
  <c r="U60" i="3"/>
  <c r="S55" i="3"/>
  <c r="T52" i="3"/>
  <c r="T47" i="3"/>
  <c r="T44" i="3"/>
  <c r="U36" i="3"/>
  <c r="S31" i="3"/>
  <c r="U28" i="3"/>
  <c r="T20" i="3"/>
  <c r="U17" i="3"/>
  <c r="S12" i="3"/>
  <c r="T4" i="3"/>
  <c r="S710" i="3"/>
  <c r="U688" i="3"/>
  <c r="S626" i="3"/>
  <c r="T568" i="3"/>
  <c r="T512" i="3"/>
  <c r="U477" i="3"/>
  <c r="U461" i="3"/>
  <c r="S435" i="3"/>
  <c r="S401" i="3"/>
  <c r="U398" i="3"/>
  <c r="S381" i="3"/>
  <c r="T358" i="3"/>
  <c r="U349" i="3"/>
  <c r="T331" i="3"/>
  <c r="U322" i="3"/>
  <c r="T296" i="3"/>
  <c r="U285" i="3"/>
  <c r="S236" i="3"/>
  <c r="T217" i="3"/>
  <c r="U200" i="3"/>
  <c r="T184" i="3"/>
  <c r="U170" i="3"/>
  <c r="U137" i="3"/>
  <c r="S126" i="3"/>
  <c r="U106" i="3"/>
  <c r="U81" i="3"/>
  <c r="S60" i="3"/>
  <c r="U49" i="3"/>
  <c r="S36" i="3"/>
  <c r="T17" i="3"/>
  <c r="S4" i="3"/>
  <c r="U340" i="3"/>
  <c r="S723" i="3"/>
  <c r="S658" i="3"/>
  <c r="U610" i="3"/>
  <c r="T588" i="3"/>
  <c r="S580" i="3"/>
  <c r="T540" i="3"/>
  <c r="S502" i="3"/>
  <c r="T474" i="3"/>
  <c r="S464" i="3"/>
  <c r="S426" i="3"/>
  <c r="S407" i="3"/>
  <c r="S387" i="3"/>
  <c r="S373" i="3"/>
  <c r="S361" i="3"/>
  <c r="U343" i="3"/>
  <c r="S325" i="3"/>
  <c r="T313" i="3"/>
  <c r="U307" i="3"/>
  <c r="S268" i="3"/>
  <c r="U259" i="3"/>
  <c r="T248" i="3"/>
  <c r="T233" i="3"/>
  <c r="U225" i="3"/>
  <c r="T214" i="3"/>
  <c r="T206" i="3"/>
  <c r="S195" i="3"/>
  <c r="T173" i="3"/>
  <c r="S165" i="3"/>
  <c r="T156" i="3"/>
  <c r="U145" i="3"/>
  <c r="U134" i="3"/>
  <c r="T123" i="3"/>
  <c r="T117" i="3"/>
  <c r="T104" i="3"/>
  <c r="U93" i="3"/>
  <c r="S68" i="3"/>
  <c r="S52" i="3"/>
  <c r="S44" i="3"/>
  <c r="T28" i="3"/>
  <c r="U22" i="3"/>
  <c r="T9" i="3"/>
  <c r="T416" i="3"/>
  <c r="U741" i="3"/>
  <c r="U736" i="3"/>
  <c r="U705" i="3"/>
  <c r="S675" i="3"/>
  <c r="T662" i="3"/>
  <c r="U653" i="3"/>
  <c r="T649" i="3"/>
  <c r="T645" i="3"/>
  <c r="T634" i="3"/>
  <c r="S610" i="3"/>
  <c r="U594" i="3"/>
  <c r="T591" i="3"/>
  <c r="S588" i="3"/>
  <c r="T584" i="3"/>
  <c r="S568" i="3"/>
  <c r="S551" i="3"/>
  <c r="S547" i="3"/>
  <c r="U543" i="3"/>
  <c r="S540" i="3"/>
  <c r="S536" i="3"/>
  <c r="U505" i="3"/>
  <c r="S491" i="3"/>
  <c r="T487" i="3"/>
  <c r="T480" i="3"/>
  <c r="T477" i="3"/>
  <c r="S474" i="3"/>
  <c r="S467" i="3"/>
  <c r="S461" i="3"/>
  <c r="S458" i="3"/>
  <c r="T455" i="3"/>
  <c r="T452" i="3"/>
  <c r="T449" i="3"/>
  <c r="U446" i="3"/>
  <c r="T431" i="3"/>
  <c r="T428" i="3"/>
  <c r="T413" i="3"/>
  <c r="T410" i="3"/>
  <c r="S398" i="3"/>
  <c r="U395" i="3"/>
  <c r="T378" i="3"/>
  <c r="U375" i="3"/>
  <c r="T366" i="3"/>
  <c r="U363" i="3"/>
  <c r="S358" i="3"/>
  <c r="T349" i="3"/>
  <c r="S346" i="3"/>
  <c r="T343" i="3"/>
  <c r="U334" i="3"/>
  <c r="T322" i="3"/>
  <c r="T319" i="3"/>
  <c r="T310" i="3"/>
  <c r="T307" i="3"/>
  <c r="U304" i="3"/>
  <c r="S296" i="3"/>
  <c r="T293" i="3"/>
  <c r="S288" i="3"/>
  <c r="T285" i="3"/>
  <c r="T276" i="3"/>
  <c r="U273" i="3"/>
  <c r="U270" i="3"/>
  <c r="T265" i="3"/>
  <c r="T262" i="3"/>
  <c r="T259" i="3"/>
  <c r="S248" i="3"/>
  <c r="S245" i="3"/>
  <c r="U242" i="3"/>
  <c r="S233" i="3"/>
  <c r="U230" i="3"/>
  <c r="T225" i="3"/>
  <c r="U222" i="3"/>
  <c r="S220" i="3"/>
  <c r="T211" i="3"/>
  <c r="S206" i="3"/>
  <c r="U203" i="3"/>
  <c r="T200" i="3"/>
  <c r="U197" i="3"/>
  <c r="S192" i="3"/>
  <c r="S184" i="3"/>
  <c r="T181" i="3"/>
  <c r="T178" i="3"/>
  <c r="S173" i="3"/>
  <c r="T170" i="3"/>
  <c r="S162" i="3"/>
  <c r="S156" i="3"/>
  <c r="S153" i="3"/>
  <c r="U150" i="3"/>
  <c r="T145" i="3"/>
  <c r="T134" i="3"/>
  <c r="S129" i="3"/>
  <c r="S123" i="3"/>
  <c r="S117" i="3"/>
  <c r="T114" i="3"/>
  <c r="U111" i="3"/>
  <c r="T106" i="3"/>
  <c r="S101" i="3"/>
  <c r="U98" i="3"/>
  <c r="T93" i="3"/>
  <c r="T81" i="3"/>
  <c r="U78" i="3"/>
  <c r="S73" i="3"/>
  <c r="U70" i="3"/>
  <c r="U65" i="3"/>
  <c r="U62" i="3"/>
  <c r="T57" i="3"/>
  <c r="T49" i="3"/>
  <c r="T41" i="3"/>
  <c r="U38" i="3"/>
  <c r="T33" i="3"/>
  <c r="S28" i="3"/>
  <c r="U25" i="3"/>
  <c r="T22" i="3"/>
  <c r="U14" i="3"/>
  <c r="S9" i="3"/>
  <c r="T6" i="3"/>
  <c r="S745" i="3"/>
  <c r="S741" i="3"/>
  <c r="T718" i="3"/>
  <c r="T700" i="3"/>
  <c r="S696" i="3"/>
  <c r="U670" i="3"/>
  <c r="T666" i="3"/>
  <c r="T653" i="3"/>
  <c r="S634" i="3"/>
  <c r="S629" i="3"/>
  <c r="U617" i="3"/>
  <c r="S613" i="3"/>
  <c r="U597" i="3"/>
  <c r="S594" i="3"/>
  <c r="S591" i="3"/>
  <c r="T575" i="3"/>
  <c r="U571" i="3"/>
  <c r="U563" i="3"/>
  <c r="S559" i="3"/>
  <c r="T543" i="3"/>
  <c r="U528" i="3"/>
  <c r="U525" i="3"/>
  <c r="U522" i="3"/>
  <c r="T515" i="3"/>
  <c r="S505" i="3"/>
  <c r="U498" i="3"/>
  <c r="U483" i="3"/>
  <c r="S480" i="3"/>
  <c r="S477" i="3"/>
  <c r="S470" i="3"/>
  <c r="T446" i="3"/>
  <c r="U443" i="3"/>
  <c r="U437" i="3"/>
  <c r="S428" i="3"/>
  <c r="U422" i="3"/>
  <c r="S413" i="3"/>
  <c r="S378" i="3"/>
  <c r="S375" i="3"/>
  <c r="U369" i="3"/>
  <c r="T363" i="3"/>
  <c r="S343" i="3"/>
  <c r="U327" i="3"/>
  <c r="S322" i="3"/>
  <c r="S310" i="3"/>
  <c r="T304" i="3"/>
  <c r="T720" i="3"/>
  <c r="S700" i="3"/>
  <c r="U681" i="3"/>
  <c r="T661" i="3"/>
  <c r="S637" i="3"/>
  <c r="T627" i="3"/>
  <c r="S604" i="3"/>
  <c r="U599" i="3"/>
  <c r="U577" i="3"/>
  <c r="U553" i="3"/>
  <c r="T535" i="3"/>
  <c r="S531" i="3"/>
  <c r="T518" i="3"/>
  <c r="T481" i="3"/>
  <c r="U472" i="3"/>
  <c r="U457" i="3"/>
  <c r="S454" i="3"/>
  <c r="T443" i="3"/>
  <c r="S436" i="3"/>
  <c r="T425" i="3"/>
  <c r="T409" i="3"/>
  <c r="U394" i="3"/>
  <c r="U385" i="3"/>
  <c r="U374" i="3"/>
  <c r="T371" i="3"/>
  <c r="S363" i="3"/>
  <c r="U341" i="3"/>
  <c r="T333" i="3"/>
  <c r="U329" i="3"/>
  <c r="T318" i="3"/>
  <c r="U311" i="3"/>
  <c r="T300" i="3"/>
  <c r="T297" i="3"/>
  <c r="S273" i="3"/>
  <c r="U266" i="3"/>
  <c r="U263" i="3"/>
  <c r="U256" i="3"/>
  <c r="S253" i="3"/>
  <c r="U249" i="3"/>
  <c r="S242" i="3"/>
  <c r="T238" i="3"/>
  <c r="S235" i="3"/>
  <c r="U221" i="3"/>
  <c r="T218" i="3"/>
  <c r="T208" i="3"/>
  <c r="S205" i="3"/>
  <c r="T198" i="3"/>
  <c r="U182" i="3"/>
  <c r="T175" i="3"/>
  <c r="U158" i="3"/>
  <c r="T155" i="3"/>
  <c r="U151" i="3"/>
  <c r="U135" i="3"/>
  <c r="S121" i="3"/>
  <c r="S98" i="3"/>
  <c r="S81" i="3"/>
  <c r="U74" i="3"/>
  <c r="T71" i="3"/>
  <c r="U61" i="3"/>
  <c r="S45" i="3"/>
  <c r="T42" i="3"/>
  <c r="T35" i="3"/>
  <c r="U32" i="3"/>
  <c r="U29" i="3"/>
  <c r="S22" i="3"/>
  <c r="T135" i="3"/>
  <c r="U113" i="3"/>
  <c r="T107" i="3"/>
  <c r="U91" i="3"/>
  <c r="S29" i="3"/>
  <c r="U15" i="3"/>
  <c r="T188" i="3"/>
  <c r="U131" i="3"/>
  <c r="T25" i="3"/>
  <c r="T15" i="3"/>
  <c r="T164" i="3"/>
  <c r="S141" i="3"/>
  <c r="T100" i="3"/>
  <c r="T84" i="3"/>
  <c r="S70" i="3"/>
  <c r="U54" i="3"/>
  <c r="U34" i="3"/>
  <c r="T8" i="3"/>
  <c r="T733" i="3"/>
  <c r="T636" i="3"/>
  <c r="T590" i="3"/>
  <c r="T571" i="3"/>
  <c r="S543" i="3"/>
  <c r="S525" i="3"/>
  <c r="S501" i="3"/>
  <c r="U442" i="3"/>
  <c r="U420" i="3"/>
  <c r="U380" i="3"/>
  <c r="T332" i="3"/>
  <c r="T317" i="3"/>
  <c r="U244" i="3"/>
  <c r="U207" i="3"/>
  <c r="T150" i="3"/>
  <c r="S116" i="3"/>
  <c r="T90" i="3"/>
  <c r="T34" i="3"/>
  <c r="U713" i="3"/>
  <c r="S517" i="3"/>
  <c r="U479" i="3"/>
  <c r="S427" i="3"/>
  <c r="T365" i="3"/>
  <c r="T347" i="3"/>
  <c r="S324" i="3"/>
  <c r="U261" i="3"/>
  <c r="U729" i="3"/>
  <c r="U689" i="3"/>
  <c r="U650" i="3"/>
  <c r="T612" i="3"/>
  <c r="T599" i="3"/>
  <c r="T563" i="3"/>
  <c r="T553" i="3"/>
  <c r="S535" i="3"/>
  <c r="T522" i="3"/>
  <c r="S514" i="3"/>
  <c r="U510" i="3"/>
  <c r="U493" i="3"/>
  <c r="U489" i="3"/>
  <c r="T472" i="3"/>
  <c r="S457" i="3"/>
  <c r="U450" i="3"/>
  <c r="S443" i="3"/>
  <c r="S425" i="3"/>
  <c r="U417" i="3"/>
  <c r="S409" i="3"/>
  <c r="S405" i="3"/>
  <c r="T394" i="3"/>
  <c r="S385" i="3"/>
  <c r="T374" i="3"/>
  <c r="T348" i="3"/>
  <c r="S333" i="3"/>
  <c r="T329" i="3"/>
  <c r="S311" i="3"/>
  <c r="S307" i="3"/>
  <c r="U303" i="3"/>
  <c r="S300" i="3"/>
  <c r="S297" i="3"/>
  <c r="T290" i="3"/>
  <c r="S276" i="3"/>
  <c r="T266" i="3"/>
  <c r="S259" i="3"/>
  <c r="T256" i="3"/>
  <c r="T249" i="3"/>
  <c r="U231" i="3"/>
  <c r="T221" i="3"/>
  <c r="S211" i="3"/>
  <c r="S208" i="3"/>
  <c r="U191" i="3"/>
  <c r="U188" i="3"/>
  <c r="U185" i="3"/>
  <c r="S175" i="3"/>
  <c r="U171" i="3"/>
  <c r="U168" i="3"/>
  <c r="T158" i="3"/>
  <c r="T151" i="3"/>
  <c r="U141" i="3"/>
  <c r="U138" i="3"/>
  <c r="T128" i="3"/>
  <c r="U110" i="3"/>
  <c r="U94" i="3"/>
  <c r="T74" i="3"/>
  <c r="T67" i="3"/>
  <c r="T61" i="3"/>
  <c r="U58" i="3"/>
  <c r="U51" i="3"/>
  <c r="T38" i="3"/>
  <c r="T32" i="3"/>
  <c r="U18" i="3"/>
  <c r="U283" i="3"/>
  <c r="T224" i="3"/>
  <c r="S221" i="3"/>
  <c r="U194" i="3"/>
  <c r="T171" i="3"/>
  <c r="S158" i="3"/>
  <c r="U147" i="3"/>
  <c r="T138" i="3"/>
  <c r="T124" i="3"/>
  <c r="T94" i="3"/>
  <c r="T77" i="3"/>
  <c r="S67" i="3"/>
  <c r="S58" i="3"/>
  <c r="T48" i="3"/>
  <c r="S32" i="3"/>
  <c r="U5" i="3"/>
  <c r="T154" i="3"/>
  <c r="T131" i="3"/>
  <c r="T116" i="3"/>
  <c r="U97" i="3"/>
  <c r="U80" i="3"/>
  <c r="U11" i="3"/>
  <c r="U534" i="3"/>
  <c r="U430" i="3"/>
  <c r="T412" i="3"/>
  <c r="S400" i="3"/>
  <c r="U365" i="3"/>
  <c r="T351" i="3"/>
  <c r="S321" i="3"/>
  <c r="T292" i="3"/>
  <c r="T275" i="3"/>
  <c r="U258" i="3"/>
  <c r="T237" i="3"/>
  <c r="U210" i="3"/>
  <c r="T174" i="3"/>
  <c r="S131" i="3"/>
  <c r="S87" i="3"/>
  <c r="S64" i="3"/>
  <c r="S744" i="3"/>
  <c r="T698" i="3"/>
  <c r="S625" i="3"/>
  <c r="S475" i="3"/>
  <c r="S430" i="3"/>
  <c r="U393" i="3"/>
  <c r="T354" i="3"/>
  <c r="S292" i="3"/>
  <c r="S275" i="3"/>
  <c r="T255" i="3"/>
  <c r="T729" i="3"/>
  <c r="S689" i="3"/>
  <c r="U655" i="3"/>
  <c r="S612" i="3"/>
  <c r="U581" i="3"/>
  <c r="S553" i="3"/>
  <c r="T510" i="3"/>
  <c r="T493" i="3"/>
  <c r="S489" i="3"/>
  <c r="S472" i="3"/>
  <c r="U460" i="3"/>
  <c r="S446" i="3"/>
  <c r="T439" i="3"/>
  <c r="U397" i="3"/>
  <c r="S394" i="3"/>
  <c r="U391" i="3"/>
  <c r="T388" i="3"/>
  <c r="S374" i="3"/>
  <c r="S359" i="3"/>
  <c r="U344" i="3"/>
  <c r="U336" i="3"/>
  <c r="T303" i="3"/>
  <c r="S290" i="3"/>
  <c r="U286" i="3"/>
  <c r="U269" i="3"/>
  <c r="S266" i="3"/>
  <c r="S256" i="3"/>
  <c r="U227" i="3"/>
  <c r="T201" i="3"/>
  <c r="T191" i="3"/>
  <c r="T185" i="3"/>
  <c r="U161" i="3"/>
  <c r="T144" i="3"/>
  <c r="T141" i="3"/>
  <c r="T113" i="3"/>
  <c r="T110" i="3"/>
  <c r="S74" i="3"/>
  <c r="U64" i="3"/>
  <c r="S61" i="3"/>
  <c r="T51" i="3"/>
  <c r="S38" i="3"/>
  <c r="T18" i="3"/>
  <c r="T227" i="3"/>
  <c r="S144" i="3"/>
  <c r="S113" i="3"/>
  <c r="S94" i="3"/>
  <c r="T64" i="3"/>
  <c r="S48" i="3"/>
  <c r="S18" i="3"/>
  <c r="T517" i="3"/>
  <c r="U496" i="3"/>
  <c r="S463" i="3"/>
  <c r="T427" i="3"/>
  <c r="S408" i="3"/>
  <c r="S377" i="3"/>
  <c r="U354" i="3"/>
  <c r="S336" i="3"/>
  <c r="T306" i="3"/>
  <c r="S286" i="3"/>
  <c r="S272" i="3"/>
  <c r="T230" i="3"/>
  <c r="U213" i="3"/>
  <c r="U167" i="3"/>
  <c r="T127" i="3"/>
  <c r="U103" i="3"/>
  <c r="T21" i="3"/>
  <c r="S5" i="3"/>
  <c r="S674" i="3"/>
  <c r="T615" i="3"/>
  <c r="U566" i="3"/>
  <c r="T496" i="3"/>
  <c r="U459" i="3"/>
  <c r="T434" i="3"/>
  <c r="S412" i="3"/>
  <c r="T369" i="3"/>
  <c r="U302" i="3"/>
  <c r="S282" i="3"/>
  <c r="S729" i="3"/>
  <c r="S670" i="3"/>
  <c r="S665" i="3"/>
  <c r="U640" i="3"/>
  <c r="U636" i="3"/>
  <c r="U607" i="3"/>
  <c r="U590" i="3"/>
  <c r="U557" i="3"/>
  <c r="U517" i="3"/>
  <c r="U501" i="3"/>
  <c r="T463" i="3"/>
  <c r="U453" i="3"/>
  <c r="U427" i="3"/>
  <c r="U412" i="3"/>
  <c r="U400" i="3"/>
  <c r="S397" i="3"/>
  <c r="T391" i="3"/>
  <c r="U377" i="3"/>
  <c r="U362" i="3"/>
  <c r="U351" i="3"/>
  <c r="S344" i="3"/>
  <c r="T340" i="3"/>
  <c r="T336" i="3"/>
  <c r="T321" i="3"/>
  <c r="U317" i="3"/>
  <c r="T286" i="3"/>
  <c r="T279" i="3"/>
  <c r="U272" i="3"/>
  <c r="S269" i="3"/>
  <c r="U241" i="3"/>
  <c r="U237" i="3"/>
  <c r="S204" i="3"/>
  <c r="T197" i="3"/>
  <c r="S194" i="3"/>
  <c r="S191" i="3"/>
  <c r="S188" i="3"/>
  <c r="S181" i="3"/>
  <c r="U177" i="3"/>
  <c r="S171" i="3"/>
  <c r="T161" i="3"/>
  <c r="S147" i="3"/>
  <c r="S110" i="3"/>
  <c r="T87" i="3"/>
  <c r="S25" i="3"/>
  <c r="T5" i="3"/>
  <c r="T620" i="3"/>
  <c r="U585" i="3"/>
  <c r="S538" i="3"/>
  <c r="T521" i="3"/>
  <c r="T513" i="3"/>
  <c r="T475" i="3"/>
  <c r="U456" i="3"/>
  <c r="S424" i="3"/>
  <c r="S362" i="3"/>
  <c r="U347" i="3"/>
  <c r="U324" i="3"/>
  <c r="T241" i="3"/>
  <c r="S227" i="3"/>
  <c r="T177" i="3"/>
  <c r="S161" i="3"/>
  <c r="S134" i="3"/>
  <c r="S97" i="3"/>
  <c r="T80" i="3"/>
  <c r="T54" i="3"/>
  <c r="T11" i="3"/>
  <c r="T708" i="3"/>
  <c r="S659" i="3"/>
  <c r="T492" i="3"/>
  <c r="T456" i="3"/>
  <c r="T442" i="3"/>
  <c r="T380" i="3"/>
  <c r="T289" i="3"/>
  <c r="S265" i="3"/>
  <c r="S16" i="3"/>
  <c r="S133" i="3"/>
  <c r="S149" i="3"/>
  <c r="T166" i="3"/>
  <c r="S203" i="3"/>
  <c r="T226" i="3"/>
  <c r="T278" i="3"/>
  <c r="U298" i="3"/>
  <c r="S312" i="3"/>
  <c r="T339" i="3"/>
  <c r="T357" i="3"/>
  <c r="T396" i="3"/>
  <c r="T419" i="3"/>
  <c r="S459" i="3"/>
  <c r="U511" i="3"/>
  <c r="T531" i="3"/>
  <c r="S597" i="3"/>
  <c r="S33" i="3"/>
  <c r="U56" i="3"/>
  <c r="U76" i="3"/>
  <c r="T133" i="3"/>
  <c r="S163" i="3"/>
  <c r="T183" i="3"/>
  <c r="S207" i="3"/>
  <c r="S244" i="3"/>
  <c r="U291" i="3"/>
  <c r="S308" i="3"/>
  <c r="U376" i="3"/>
  <c r="U396" i="3"/>
  <c r="T433" i="3"/>
  <c r="T459" i="3"/>
  <c r="S503" i="3"/>
  <c r="U537" i="3"/>
  <c r="U573" i="3"/>
  <c r="T678" i="3"/>
  <c r="U16" i="3"/>
  <c r="U37" i="3"/>
  <c r="U72" i="3"/>
  <c r="T105" i="3"/>
  <c r="U133" i="3"/>
  <c r="U175" i="3"/>
  <c r="S219" i="3"/>
  <c r="T235" i="3"/>
  <c r="T244" i="3"/>
  <c r="T308" i="3"/>
  <c r="U392" i="3"/>
  <c r="U433" i="3"/>
  <c r="S483" i="3"/>
  <c r="U678" i="3"/>
  <c r="S6" i="3"/>
  <c r="S10" i="3"/>
  <c r="U13" i="3"/>
  <c r="T26" i="3"/>
  <c r="S30" i="3"/>
  <c r="T45" i="3"/>
  <c r="S57" i="3"/>
  <c r="T69" i="3"/>
  <c r="S86" i="3"/>
  <c r="U89" i="3"/>
  <c r="T98" i="3"/>
  <c r="U108" i="3"/>
  <c r="T121" i="3"/>
  <c r="T125" i="3"/>
  <c r="S130" i="3"/>
  <c r="T142" i="3"/>
  <c r="T146" i="3"/>
  <c r="S150" i="3"/>
  <c r="S167" i="3"/>
  <c r="T180" i="3"/>
  <c r="T196" i="3"/>
  <c r="S200" i="3"/>
  <c r="U208" i="3"/>
  <c r="U212" i="3"/>
  <c r="S232" i="3"/>
  <c r="T253" i="3"/>
  <c r="T270" i="3"/>
  <c r="U326" i="3"/>
  <c r="U345" i="3"/>
  <c r="U350" i="3"/>
  <c r="T368" i="3"/>
  <c r="T372" i="3"/>
  <c r="T389" i="3"/>
  <c r="T406" i="3"/>
  <c r="U425" i="3"/>
  <c r="U429" i="3"/>
  <c r="T451" i="3"/>
  <c r="S469" i="3"/>
  <c r="U499" i="3"/>
  <c r="S504" i="3"/>
  <c r="U508" i="3"/>
  <c r="S528" i="3"/>
  <c r="T570" i="3"/>
  <c r="T574" i="3"/>
  <c r="T604" i="3"/>
  <c r="S609" i="3"/>
  <c r="T619" i="3"/>
  <c r="S716" i="3"/>
  <c r="U721" i="3"/>
  <c r="T10" i="3"/>
  <c r="S34" i="3"/>
  <c r="U45" i="3"/>
  <c r="T82" i="3"/>
  <c r="T102" i="3"/>
  <c r="U125" i="3"/>
  <c r="U146" i="3"/>
  <c r="U176" i="3"/>
  <c r="S193" i="3"/>
  <c r="U216" i="3"/>
  <c r="T232" i="3"/>
  <c r="U253" i="3"/>
  <c r="S284" i="3"/>
  <c r="T305" i="3"/>
  <c r="T382" i="3"/>
  <c r="U389" i="3"/>
  <c r="U451" i="3"/>
  <c r="T469" i="3"/>
  <c r="T528" i="3"/>
  <c r="U570" i="3"/>
  <c r="T646" i="3"/>
  <c r="U10" i="3"/>
  <c r="U30" i="3"/>
  <c r="S50" i="3"/>
  <c r="S62" i="3"/>
  <c r="S78" i="3"/>
  <c r="S118" i="3"/>
  <c r="T160" i="3"/>
  <c r="T172" i="3"/>
  <c r="S189" i="3"/>
  <c r="T193" i="3"/>
  <c r="T216" i="3"/>
  <c r="U232" i="3"/>
  <c r="T258" i="3"/>
  <c r="S267" i="3"/>
  <c r="T284" i="3"/>
  <c r="U305" i="3"/>
  <c r="S323" i="3"/>
  <c r="U364" i="3"/>
  <c r="T386" i="3"/>
  <c r="U402" i="3"/>
  <c r="S448" i="3"/>
  <c r="T465" i="3"/>
  <c r="U469" i="3"/>
  <c r="T524" i="3"/>
  <c r="S615" i="3"/>
  <c r="U646" i="3"/>
  <c r="S628" i="3"/>
  <c r="U682" i="3"/>
  <c r="U40" i="3"/>
  <c r="T56" i="3"/>
  <c r="T92" i="3"/>
  <c r="S145" i="3"/>
  <c r="S183" i="3"/>
  <c r="U247" i="3"/>
  <c r="S295" i="3"/>
  <c r="T315" i="3"/>
  <c r="U371" i="3"/>
  <c r="S392" i="3"/>
  <c r="T454" i="3"/>
  <c r="U507" i="3"/>
  <c r="S573" i="3"/>
  <c r="U593" i="3"/>
  <c r="T30" i="3"/>
  <c r="U42" i="3"/>
  <c r="U69" i="3"/>
  <c r="T86" i="3"/>
  <c r="U121" i="3"/>
  <c r="U130" i="3"/>
  <c r="U139" i="3"/>
  <c r="U180" i="3"/>
  <c r="U196" i="3"/>
  <c r="S241" i="3"/>
  <c r="S258" i="3"/>
  <c r="T309" i="3"/>
  <c r="S386" i="3"/>
  <c r="S402" i="3"/>
  <c r="S465" i="3"/>
  <c r="U504" i="3"/>
  <c r="S565" i="3"/>
  <c r="S669" i="3"/>
  <c r="S54" i="3"/>
  <c r="S66" i="3"/>
  <c r="U86" i="3"/>
  <c r="T3" i="3"/>
  <c r="S14" i="3"/>
  <c r="S27" i="3"/>
  <c r="U39" i="3"/>
  <c r="T50" i="3"/>
  <c r="T62" i="3"/>
  <c r="T66" i="3"/>
  <c r="T78" i="3"/>
  <c r="U83" i="3"/>
  <c r="T118" i="3"/>
  <c r="S139" i="3"/>
  <c r="U143" i="3"/>
  <c r="T189" i="3"/>
  <c r="U193" i="3"/>
  <c r="T205" i="3"/>
  <c r="S213" i="3"/>
  <c r="S229" i="3"/>
  <c r="S246" i="3"/>
  <c r="T250" i="3"/>
  <c r="U267" i="3"/>
  <c r="U284" i="3"/>
  <c r="S289" i="3"/>
  <c r="U297" i="3"/>
  <c r="S301" i="3"/>
  <c r="T323" i="3"/>
  <c r="S327" i="3"/>
  <c r="S342" i="3"/>
  <c r="S360" i="3"/>
  <c r="S369" i="3"/>
  <c r="U386" i="3"/>
  <c r="S422" i="3"/>
  <c r="T448" i="3"/>
  <c r="U465" i="3"/>
  <c r="S596" i="3"/>
  <c r="S600" i="3"/>
  <c r="S605" i="3"/>
  <c r="T712" i="3"/>
  <c r="S717" i="3"/>
  <c r="U84" i="3"/>
  <c r="U8" i="3"/>
  <c r="U238" i="3"/>
  <c r="U35" i="3"/>
  <c r="S3" i="3"/>
  <c r="U315" i="3"/>
  <c r="S349" i="3"/>
  <c r="U407" i="3"/>
  <c r="U4" i="3"/>
  <c r="S104" i="3"/>
  <c r="U120" i="3"/>
  <c r="S137" i="3"/>
  <c r="U195" i="3"/>
  <c r="S313" i="3"/>
  <c r="U410" i="3"/>
  <c r="U159" i="3"/>
  <c r="S254" i="3"/>
  <c r="U63" i="3"/>
  <c r="U179" i="3"/>
  <c r="U204" i="3"/>
  <c r="U243" i="3"/>
  <c r="U271" i="3"/>
  <c r="U274" i="3"/>
  <c r="U335" i="3"/>
  <c r="S367" i="3"/>
  <c r="U432" i="3"/>
  <c r="S138" i="3"/>
  <c r="S182" i="3"/>
  <c r="U201" i="3"/>
  <c r="U348" i="3"/>
  <c r="U368" i="3"/>
  <c r="U119" i="3"/>
  <c r="U314" i="3"/>
  <c r="U44" i="3"/>
  <c r="U100" i="3"/>
  <c r="U160" i="3"/>
  <c r="U240" i="3"/>
  <c r="U309" i="3"/>
  <c r="U332" i="3"/>
  <c r="U468" i="3"/>
  <c r="U428" i="3"/>
  <c r="F1" i="12"/>
  <c r="P180" i="10"/>
  <c r="P343" i="10"/>
  <c r="P30" i="10"/>
  <c r="T744" i="3"/>
  <c r="T741" i="3"/>
  <c r="S736" i="3"/>
  <c r="U733" i="3"/>
  <c r="U725" i="3"/>
  <c r="T717" i="3"/>
  <c r="S712" i="3"/>
  <c r="U709" i="3"/>
  <c r="U701" i="3"/>
  <c r="T693" i="3"/>
  <c r="S688" i="3"/>
  <c r="U685" i="3"/>
  <c r="U680" i="3"/>
  <c r="T675" i="3"/>
  <c r="T670" i="3"/>
  <c r="T665" i="3"/>
  <c r="S660" i="3"/>
  <c r="S655" i="3"/>
  <c r="S650" i="3"/>
  <c r="U647" i="3"/>
  <c r="S645" i="3"/>
  <c r="T640" i="3"/>
  <c r="U635" i="3"/>
  <c r="S633" i="3"/>
  <c r="T628" i="3"/>
  <c r="U623" i="3"/>
  <c r="S621" i="3"/>
  <c r="T616" i="3"/>
  <c r="U611" i="3"/>
  <c r="T609" i="3"/>
  <c r="U604" i="3"/>
  <c r="S602" i="3"/>
  <c r="T597" i="3"/>
  <c r="U592" i="3"/>
  <c r="S590" i="3"/>
  <c r="T585" i="3"/>
  <c r="U580" i="3"/>
  <c r="S578" i="3"/>
  <c r="T573" i="3"/>
  <c r="U568" i="3"/>
  <c r="S566" i="3"/>
  <c r="T561" i="3"/>
  <c r="U556" i="3"/>
  <c r="S554" i="3"/>
  <c r="T549" i="3"/>
  <c r="U544" i="3"/>
  <c r="S542" i="3"/>
  <c r="T537" i="3"/>
  <c r="U532" i="3"/>
  <c r="S530" i="3"/>
  <c r="T525" i="3"/>
  <c r="T746" i="3"/>
  <c r="S738" i="3"/>
  <c r="T735" i="3"/>
  <c r="T727" i="3"/>
  <c r="S722" i="3"/>
  <c r="T719" i="3"/>
  <c r="S714" i="3"/>
  <c r="T711" i="3"/>
  <c r="T703" i="3"/>
  <c r="S698" i="3"/>
  <c r="T695" i="3"/>
  <c r="S690" i="3"/>
  <c r="T687" i="3"/>
  <c r="T682" i="3"/>
  <c r="T677" i="3"/>
  <c r="S672" i="3"/>
  <c r="S667" i="3"/>
  <c r="S662" i="3"/>
  <c r="U659" i="3"/>
  <c r="S657" i="3"/>
  <c r="U654" i="3"/>
  <c r="S652" i="3"/>
  <c r="U649" i="3"/>
  <c r="U644" i="3"/>
  <c r="S642" i="3"/>
  <c r="T637" i="3"/>
  <c r="U632" i="3"/>
  <c r="S630" i="3"/>
  <c r="T625" i="3"/>
  <c r="U620" i="3"/>
  <c r="S618" i="3"/>
  <c r="T613" i="3"/>
  <c r="T606" i="3"/>
  <c r="U601" i="3"/>
  <c r="S599" i="3"/>
  <c r="T594" i="3"/>
  <c r="U589" i="3"/>
  <c r="U739" i="3"/>
  <c r="G2" i="6"/>
  <c r="P61" i="10"/>
  <c r="P47" i="10"/>
  <c r="P54" i="10"/>
  <c r="P367" i="10"/>
  <c r="P144" i="10"/>
  <c r="P352" i="10"/>
  <c r="P21" i="10"/>
  <c r="P29" i="10"/>
  <c r="P44" i="10"/>
  <c r="P72" i="10"/>
  <c r="P290" i="10"/>
  <c r="P359" i="10"/>
  <c r="P377" i="10"/>
  <c r="P8" i="10"/>
  <c r="P62" i="10"/>
  <c r="P365" i="10"/>
  <c r="P96" i="10"/>
  <c r="T740" i="3"/>
  <c r="U735" i="3"/>
  <c r="S733" i="3"/>
  <c r="T728" i="3"/>
  <c r="U723" i="3"/>
  <c r="S721" i="3"/>
  <c r="T716" i="3"/>
  <c r="U711" i="3"/>
  <c r="S709" i="3"/>
  <c r="T704" i="3"/>
  <c r="U699" i="3"/>
  <c r="S697" i="3"/>
  <c r="T692" i="3"/>
  <c r="U687" i="3"/>
  <c r="S685" i="3"/>
  <c r="T680" i="3"/>
  <c r="U675" i="3"/>
  <c r="S673" i="3"/>
  <c r="T668" i="3"/>
  <c r="U663" i="3"/>
  <c r="S661" i="3"/>
  <c r="T656" i="3"/>
  <c r="U651" i="3"/>
  <c r="S649" i="3"/>
  <c r="S742" i="3"/>
  <c r="T737" i="3"/>
  <c r="U732" i="3"/>
  <c r="S730" i="3"/>
  <c r="T725" i="3"/>
  <c r="U720" i="3"/>
  <c r="S718" i="3"/>
  <c r="T713" i="3"/>
  <c r="U708" i="3"/>
  <c r="S706" i="3"/>
  <c r="T701" i="3"/>
  <c r="U696" i="3"/>
  <c r="S694" i="3"/>
  <c r="T689" i="3"/>
  <c r="P121" i="10"/>
  <c r="P278" i="10"/>
  <c r="P317" i="10"/>
  <c r="P85" i="10"/>
  <c r="P105" i="10"/>
  <c r="P250" i="10"/>
  <c r="P331" i="10"/>
  <c r="P50" i="10"/>
  <c r="P74" i="10"/>
  <c r="P82" i="10"/>
  <c r="P123" i="10"/>
  <c r="P71" i="10"/>
  <c r="P65" i="10"/>
  <c r="P120" i="10"/>
  <c r="P220" i="10"/>
  <c r="P25" i="10"/>
  <c r="P130" i="10"/>
  <c r="P341" i="10"/>
  <c r="P49" i="10"/>
  <c r="P18" i="10"/>
  <c r="P76" i="10"/>
  <c r="P265" i="10"/>
  <c r="P7" i="7"/>
  <c r="P98" i="10"/>
  <c r="P106" i="10"/>
  <c r="P148" i="10"/>
  <c r="P208" i="10"/>
  <c r="P236" i="10"/>
  <c r="P353" i="10"/>
  <c r="P376" i="10"/>
  <c r="P41" i="10"/>
  <c r="P84" i="10"/>
  <c r="P268" i="10"/>
  <c r="P31" i="10"/>
  <c r="P64" i="10"/>
  <c r="P88" i="10"/>
  <c r="P103" i="10"/>
  <c r="P119" i="10"/>
  <c r="P51" i="10"/>
  <c r="P12" i="10"/>
  <c r="P20" i="10"/>
  <c r="P3" i="7"/>
  <c r="P32" i="10"/>
  <c r="P301" i="10"/>
  <c r="P364" i="10"/>
  <c r="U742" i="3"/>
  <c r="T747" i="3"/>
  <c r="P17" i="10"/>
  <c r="P38" i="10"/>
  <c r="P110" i="10"/>
  <c r="P279" i="10"/>
  <c r="P312" i="10"/>
  <c r="P355" i="10"/>
  <c r="P107" i="10"/>
  <c r="P115" i="10"/>
  <c r="P340" i="10"/>
  <c r="P363" i="10"/>
  <c r="P360" i="10"/>
  <c r="S743" i="3"/>
  <c r="U745" i="3"/>
  <c r="P31" i="7"/>
  <c r="P14" i="10"/>
  <c r="P80" i="10"/>
  <c r="P83" i="10"/>
  <c r="C1" i="5"/>
  <c r="P5" i="2"/>
  <c r="Q5" i="2" s="1"/>
  <c r="R5" i="2" s="1"/>
  <c r="O5" i="2"/>
  <c r="J21" i="7"/>
  <c r="S21" i="7"/>
  <c r="V21" i="7"/>
  <c r="P4" i="2"/>
  <c r="Q4" i="2" s="1"/>
  <c r="R4" i="2" s="1"/>
  <c r="S4" i="2" s="1"/>
  <c r="O4" i="2"/>
  <c r="P8" i="2"/>
  <c r="Q8" i="2" s="1"/>
  <c r="R8" i="2" s="1"/>
  <c r="O8" i="2"/>
  <c r="AM44" i="8"/>
  <c r="AO44" i="8" s="1"/>
  <c r="AN44" i="8"/>
  <c r="P7" i="2"/>
  <c r="Q7" i="2" s="1"/>
  <c r="R7" i="2" s="1"/>
  <c r="S7" i="2" s="1"/>
  <c r="O7" i="2"/>
  <c r="O10" i="2"/>
  <c r="P10" i="2"/>
  <c r="Q10" i="2" s="1"/>
  <c r="R10" i="2" s="1"/>
  <c r="S10" i="2" s="1"/>
  <c r="P11" i="2"/>
  <c r="Q11" i="2" s="1"/>
  <c r="R11" i="2" s="1"/>
  <c r="O11" i="2"/>
  <c r="S120" i="3"/>
  <c r="S216" i="3"/>
  <c r="S239" i="3"/>
  <c r="S366" i="3"/>
  <c r="V12" i="8"/>
  <c r="P156" i="8"/>
  <c r="J156" i="8"/>
  <c r="J149" i="10"/>
  <c r="V149" i="10"/>
  <c r="J151" i="10"/>
  <c r="P151" i="10"/>
  <c r="P168" i="10"/>
  <c r="J168" i="10"/>
  <c r="S15" i="7"/>
  <c r="V15" i="7"/>
  <c r="J15" i="7"/>
  <c r="U1" i="8"/>
  <c r="J4" i="8"/>
  <c r="V4" i="8"/>
  <c r="V1" i="8" s="1"/>
  <c r="AJ4" i="8"/>
  <c r="AK4" i="8" s="1"/>
  <c r="AK16" i="8"/>
  <c r="M18" i="7"/>
  <c r="P18" i="7"/>
  <c r="L160" i="3"/>
  <c r="U218" i="3"/>
  <c r="L218" i="3"/>
  <c r="S218" i="3"/>
  <c r="S352" i="3"/>
  <c r="U352" i="3"/>
  <c r="V11" i="7"/>
  <c r="J11" i="7"/>
  <c r="S11" i="7"/>
  <c r="L120" i="3"/>
  <c r="S160" i="3"/>
  <c r="L216" i="3"/>
  <c r="S368" i="3"/>
  <c r="M39" i="7"/>
  <c r="P39" i="7" s="1"/>
  <c r="AI153" i="8"/>
  <c r="AH153" i="8"/>
  <c r="AJ153" i="8" s="1"/>
  <c r="AK153" i="8" s="1"/>
  <c r="P188" i="10"/>
  <c r="J188" i="10"/>
  <c r="V321" i="10"/>
  <c r="J321" i="10"/>
  <c r="J354" i="10"/>
  <c r="V354" i="10"/>
  <c r="P14" i="2"/>
  <c r="R14" i="2" s="1"/>
  <c r="O14" i="2"/>
  <c r="U471" i="3"/>
  <c r="AJ8" i="8"/>
  <c r="AK8" i="8" s="1"/>
  <c r="L271" i="3"/>
  <c r="O29" i="2"/>
  <c r="S107" i="3"/>
  <c r="S271" i="3"/>
  <c r="U330" i="3"/>
  <c r="S330" i="3"/>
  <c r="L330" i="3"/>
  <c r="L335" i="3"/>
  <c r="S348" i="3"/>
  <c r="L432" i="3"/>
  <c r="M4" i="7"/>
  <c r="P4" i="7" s="1"/>
  <c r="M35" i="7"/>
  <c r="P35" i="7" s="1"/>
  <c r="V6" i="8"/>
  <c r="J6" i="8"/>
  <c r="AJ6" i="8"/>
  <c r="V11" i="8"/>
  <c r="AM48" i="8"/>
  <c r="AO48" i="8" s="1"/>
  <c r="AN48" i="8"/>
  <c r="AH65" i="8"/>
  <c r="AJ65" i="8" s="1"/>
  <c r="AN136" i="8"/>
  <c r="AM136" i="8"/>
  <c r="AO136" i="8" s="1"/>
  <c r="S124" i="3"/>
  <c r="U124" i="3"/>
  <c r="L84" i="3"/>
  <c r="L293" i="3"/>
  <c r="U293" i="3"/>
  <c r="S293" i="3"/>
  <c r="S318" i="3"/>
  <c r="U318" i="3"/>
  <c r="U388" i="3"/>
  <c r="S388" i="3"/>
  <c r="U466" i="3"/>
  <c r="S466" i="3"/>
  <c r="L466" i="3"/>
  <c r="J6" i="7"/>
  <c r="P6" i="7"/>
  <c r="M6" i="7"/>
  <c r="N22" i="2"/>
  <c r="P22" i="2" s="1"/>
  <c r="P30" i="2" s="1"/>
  <c r="O22" i="2"/>
  <c r="O30" i="2" s="1"/>
  <c r="U17" i="2" s="1"/>
  <c r="AH12" i="8"/>
  <c r="AJ12" i="8" s="1"/>
  <c r="AI12" i="8"/>
  <c r="M61" i="8"/>
  <c r="P61" i="8" s="1"/>
  <c r="AK61" i="8" s="1"/>
  <c r="J61" i="8"/>
  <c r="N29" i="2"/>
  <c r="P29" i="2" s="1"/>
  <c r="L63" i="3"/>
  <c r="L179" i="3"/>
  <c r="S335" i="3"/>
  <c r="L428" i="3"/>
  <c r="S432" i="3"/>
  <c r="V6" i="7"/>
  <c r="S6" i="7"/>
  <c r="J62" i="8"/>
  <c r="V62" i="8"/>
  <c r="P76" i="8"/>
  <c r="U234" i="3"/>
  <c r="S234" i="3"/>
  <c r="L279" i="3"/>
  <c r="U279" i="3"/>
  <c r="R7" i="5"/>
  <c r="O10" i="5"/>
  <c r="R10" i="5" s="1"/>
  <c r="V19" i="7"/>
  <c r="S19" i="7"/>
  <c r="J33" i="7"/>
  <c r="V33" i="7"/>
  <c r="V10" i="8"/>
  <c r="J10" i="8"/>
  <c r="V30" i="8"/>
  <c r="AJ30" i="8"/>
  <c r="AK30" i="8" s="1"/>
  <c r="AI31" i="8"/>
  <c r="AH31" i="8"/>
  <c r="AJ31" i="8" s="1"/>
  <c r="AK31" i="8" s="1"/>
  <c r="M32" i="8"/>
  <c r="P32" i="8" s="1"/>
  <c r="AK32" i="8" s="1"/>
  <c r="J32" i="8"/>
  <c r="J100" i="8"/>
  <c r="P100" i="8"/>
  <c r="M100" i="8"/>
  <c r="J122" i="8"/>
  <c r="M122" i="8"/>
  <c r="P122" i="8" s="1"/>
  <c r="P24" i="2"/>
  <c r="L124" i="3"/>
  <c r="U155" i="3"/>
  <c r="L155" i="3"/>
  <c r="S155" i="3"/>
  <c r="U390" i="3"/>
  <c r="S390" i="3"/>
  <c r="L390" i="3"/>
  <c r="L445" i="3"/>
  <c r="J18" i="8"/>
  <c r="M18" i="8"/>
  <c r="P18" i="8" s="1"/>
  <c r="AK18" i="8" s="1"/>
  <c r="AK77" i="8"/>
  <c r="S84" i="3"/>
  <c r="L368" i="3"/>
  <c r="S445" i="3"/>
  <c r="V8" i="8"/>
  <c r="J8" i="8"/>
  <c r="P16" i="10"/>
  <c r="S471" i="3"/>
  <c r="S23" i="3"/>
  <c r="U23" i="3"/>
  <c r="L23" i="3"/>
  <c r="U107" i="3"/>
  <c r="L107" i="3"/>
  <c r="U366" i="3"/>
  <c r="P6" i="2"/>
  <c r="Q6" i="2" s="1"/>
  <c r="R6" i="2" s="1"/>
  <c r="O6" i="2"/>
  <c r="L137" i="3"/>
  <c r="U252" i="3"/>
  <c r="S252" i="3"/>
  <c r="L252" i="3"/>
  <c r="S279" i="3"/>
  <c r="L10" i="5"/>
  <c r="V23" i="7"/>
  <c r="AM24" i="8"/>
  <c r="AO24" i="8" s="1"/>
  <c r="AN24" i="8"/>
  <c r="J33" i="8"/>
  <c r="P27" i="2"/>
  <c r="U79" i="3"/>
  <c r="L79" i="3"/>
  <c r="S79" i="3"/>
  <c r="N24" i="2"/>
  <c r="AK14" i="8"/>
  <c r="AI86" i="8"/>
  <c r="AH86" i="8"/>
  <c r="AJ86" i="8" s="1"/>
  <c r="I1" i="3"/>
  <c r="L352" i="3"/>
  <c r="M89" i="8"/>
  <c r="P89" i="8"/>
  <c r="U384" i="3"/>
  <c r="S384" i="3"/>
  <c r="S24" i="7"/>
  <c r="J24" i="7"/>
  <c r="V24" i="7"/>
  <c r="V53" i="8"/>
  <c r="AJ53" i="8"/>
  <c r="U239" i="3"/>
  <c r="L348" i="3"/>
  <c r="L384" i="3"/>
  <c r="I19" i="2"/>
  <c r="U199" i="3"/>
  <c r="S199" i="3"/>
  <c r="L199" i="3"/>
  <c r="P3" i="2"/>
  <c r="O3" i="2"/>
  <c r="N12" i="2"/>
  <c r="P9" i="2"/>
  <c r="Q9" i="2" s="1"/>
  <c r="R9" i="2" s="1"/>
  <c r="O9" i="2"/>
  <c r="L4" i="3"/>
  <c r="U46" i="3"/>
  <c r="L46" i="3"/>
  <c r="S46" i="3"/>
  <c r="S88" i="3"/>
  <c r="U88" i="3"/>
  <c r="S164" i="3"/>
  <c r="U164" i="3"/>
  <c r="L195" i="3"/>
  <c r="L243" i="3"/>
  <c r="U449" i="3"/>
  <c r="S449" i="3"/>
  <c r="L449" i="3"/>
  <c r="AJ10" i="8"/>
  <c r="AK10" i="8" s="1"/>
  <c r="P20" i="8"/>
  <c r="AK20" i="8" s="1"/>
  <c r="AK22" i="8"/>
  <c r="M33" i="8"/>
  <c r="P33" i="8" s="1"/>
  <c r="AM36" i="8"/>
  <c r="AO36" i="8" s="1"/>
  <c r="AN36" i="8"/>
  <c r="AH78" i="8"/>
  <c r="AJ78" i="8" s="1"/>
  <c r="AK78" i="8" s="1"/>
  <c r="AI78" i="8"/>
  <c r="AI102" i="8"/>
  <c r="AH102" i="8"/>
  <c r="AJ102" i="8" s="1"/>
  <c r="S14" i="7"/>
  <c r="V14" i="7"/>
  <c r="AI7" i="8"/>
  <c r="AH7" i="8"/>
  <c r="AJ7" i="8" s="1"/>
  <c r="AK7" i="8" s="1"/>
  <c r="AI21" i="8"/>
  <c r="AH21" i="8"/>
  <c r="AJ21" i="8" s="1"/>
  <c r="AN56" i="8"/>
  <c r="AM56" i="8"/>
  <c r="AO56" i="8" s="1"/>
  <c r="AI81" i="8"/>
  <c r="AH81" i="8"/>
  <c r="AJ81" i="8" s="1"/>
  <c r="AK81" i="8" s="1"/>
  <c r="J97" i="8"/>
  <c r="M97" i="8"/>
  <c r="AN112" i="8"/>
  <c r="AM112" i="8"/>
  <c r="AO112" i="8" s="1"/>
  <c r="J159" i="10"/>
  <c r="P159" i="10"/>
  <c r="N27" i="2"/>
  <c r="L332" i="3"/>
  <c r="S406" i="3"/>
  <c r="V12" i="7"/>
  <c r="S12" i="7"/>
  <c r="J45" i="8"/>
  <c r="M45" i="8"/>
  <c r="P45" i="8" s="1"/>
  <c r="V8" i="7"/>
  <c r="J8" i="7"/>
  <c r="V39" i="7"/>
  <c r="AI25" i="8"/>
  <c r="AH25" i="8"/>
  <c r="AJ25" i="8" s="1"/>
  <c r="AK25" i="8" s="1"/>
  <c r="AH39" i="8"/>
  <c r="AJ39" i="8" s="1"/>
  <c r="AK39" i="8" s="1"/>
  <c r="AI37" i="8"/>
  <c r="J119" i="8"/>
  <c r="M119" i="8"/>
  <c r="P119" i="8" s="1"/>
  <c r="AK151" i="8"/>
  <c r="S8" i="3"/>
  <c r="S35" i="3"/>
  <c r="L83" i="3"/>
  <c r="S100" i="3"/>
  <c r="L119" i="3"/>
  <c r="L159" i="3"/>
  <c r="S178" i="3"/>
  <c r="L201" i="3"/>
  <c r="S238" i="3"/>
  <c r="L240" i="3"/>
  <c r="L274" i="3"/>
  <c r="L309" i="3"/>
  <c r="S332" i="3"/>
  <c r="S410" i="3"/>
  <c r="S468" i="3"/>
  <c r="J13" i="7"/>
  <c r="J36" i="7"/>
  <c r="J23" i="8"/>
  <c r="P42" i="8"/>
  <c r="AK42" i="8" s="1"/>
  <c r="M42" i="8"/>
  <c r="J59" i="8"/>
  <c r="AJ59" i="8"/>
  <c r="AK59" i="8" s="1"/>
  <c r="V10" i="10"/>
  <c r="U1" i="10"/>
  <c r="P226" i="10"/>
  <c r="J226" i="10"/>
  <c r="V265" i="10"/>
  <c r="J265" i="10"/>
  <c r="J267" i="10"/>
  <c r="P267" i="10"/>
  <c r="J72" i="8"/>
  <c r="AJ72" i="8"/>
  <c r="AK72" i="8" s="1"/>
  <c r="V72" i="8"/>
  <c r="AH150" i="8"/>
  <c r="AJ150" i="8" s="1"/>
  <c r="AI150" i="8"/>
  <c r="J49" i="10"/>
  <c r="V49" i="10"/>
  <c r="J157" i="10"/>
  <c r="V157" i="10"/>
  <c r="L8" i="3"/>
  <c r="L254" i="3"/>
  <c r="L410" i="3"/>
  <c r="V60" i="8"/>
  <c r="J60" i="8"/>
  <c r="P97" i="8"/>
  <c r="AK97" i="8" s="1"/>
  <c r="O27" i="2"/>
  <c r="S128" i="3"/>
  <c r="N25" i="2"/>
  <c r="P25" i="2" s="1"/>
  <c r="L3" i="3"/>
  <c r="L62" i="3"/>
  <c r="S83" i="3"/>
  <c r="L104" i="3"/>
  <c r="S119" i="3"/>
  <c r="L138" i="3"/>
  <c r="S159" i="3"/>
  <c r="L182" i="3"/>
  <c r="S201" i="3"/>
  <c r="S240" i="3"/>
  <c r="U254" i="3"/>
  <c r="S274" i="3"/>
  <c r="S309" i="3"/>
  <c r="L313" i="3"/>
  <c r="L349" i="3"/>
  <c r="L367" i="3"/>
  <c r="U406" i="3"/>
  <c r="S3" i="7"/>
  <c r="J3" i="7"/>
  <c r="P9" i="7"/>
  <c r="M9" i="7"/>
  <c r="J19" i="7"/>
  <c r="V22" i="7"/>
  <c r="V26" i="7"/>
  <c r="J26" i="7"/>
  <c r="M30" i="7"/>
  <c r="J32" i="7"/>
  <c r="P32" i="7"/>
  <c r="AJ19" i="8"/>
  <c r="M23" i="8"/>
  <c r="P23" i="8" s="1"/>
  <c r="AK23" i="8" s="1"/>
  <c r="M28" i="8"/>
  <c r="P28" i="8" s="1"/>
  <c r="AK28" i="8" s="1"/>
  <c r="J28" i="8"/>
  <c r="V59" i="8"/>
  <c r="J83" i="8"/>
  <c r="M83" i="8"/>
  <c r="P83" i="8"/>
  <c r="AK83" i="8" s="1"/>
  <c r="AN90" i="8"/>
  <c r="AM90" i="8"/>
  <c r="AO90" i="8" s="1"/>
  <c r="AI92" i="8"/>
  <c r="AH92" i="8"/>
  <c r="AJ92" i="8" s="1"/>
  <c r="AK92" i="8" s="1"/>
  <c r="M113" i="8"/>
  <c r="P113" i="8" s="1"/>
  <c r="AK113" i="8" s="1"/>
  <c r="J113" i="8"/>
  <c r="AK124" i="8"/>
  <c r="AN149" i="8"/>
  <c r="J16" i="7"/>
  <c r="V16" i="7"/>
  <c r="P99" i="8"/>
  <c r="AK99" i="8" s="1"/>
  <c r="M99" i="8"/>
  <c r="L35" i="3"/>
  <c r="L100" i="3"/>
  <c r="L238" i="3"/>
  <c r="U423" i="3"/>
  <c r="S423" i="3"/>
  <c r="L468" i="3"/>
  <c r="V69" i="8"/>
  <c r="AM79" i="8"/>
  <c r="AO79" i="8" s="1"/>
  <c r="AN79" i="8"/>
  <c r="M117" i="8"/>
  <c r="P117" i="8" s="1"/>
  <c r="AK117" i="8" s="1"/>
  <c r="J117" i="8"/>
  <c r="V121" i="10"/>
  <c r="J121" i="10"/>
  <c r="U128" i="3"/>
  <c r="U178" i="3"/>
  <c r="U444" i="3"/>
  <c r="S444" i="3"/>
  <c r="V3" i="7"/>
  <c r="P30" i="7"/>
  <c r="V16" i="8"/>
  <c r="P41" i="8"/>
  <c r="M41" i="8"/>
  <c r="J78" i="8"/>
  <c r="P78" i="8"/>
  <c r="M78" i="8"/>
  <c r="AN88" i="8"/>
  <c r="AM88" i="8"/>
  <c r="AO88" i="8" s="1"/>
  <c r="P94" i="8"/>
  <c r="AK94" i="8" s="1"/>
  <c r="J94" i="8"/>
  <c r="AI105" i="8"/>
  <c r="AH105" i="8"/>
  <c r="AJ105" i="8" s="1"/>
  <c r="AK105" i="8" s="1"/>
  <c r="J7" i="7"/>
  <c r="V7" i="7"/>
  <c r="AN67" i="8"/>
  <c r="AN68" i="8"/>
  <c r="AM68" i="8"/>
  <c r="AO68" i="8" s="1"/>
  <c r="M129" i="8"/>
  <c r="P129" i="8" s="1"/>
  <c r="AK129" i="8" s="1"/>
  <c r="J129" i="8"/>
  <c r="AI144" i="8"/>
  <c r="AH144" i="8"/>
  <c r="AJ144" i="8" s="1"/>
  <c r="AK144" i="8" s="1"/>
  <c r="P27" i="7"/>
  <c r="J27" i="7"/>
  <c r="S28" i="7"/>
  <c r="J28" i="7"/>
  <c r="V28" i="7"/>
  <c r="M7" i="8"/>
  <c r="P7" i="8"/>
  <c r="P34" i="8"/>
  <c r="AK34" i="8" s="1"/>
  <c r="J34" i="8"/>
  <c r="M52" i="8"/>
  <c r="P52" i="8" s="1"/>
  <c r="AK52" i="8" s="1"/>
  <c r="AN126" i="8"/>
  <c r="AM126" i="8"/>
  <c r="AO126" i="8" s="1"/>
  <c r="J23" i="7"/>
  <c r="M23" i="7"/>
  <c r="P23" i="7" s="1"/>
  <c r="P5" i="8"/>
  <c r="J5" i="8"/>
  <c r="M6" i="8"/>
  <c r="P6" i="8" s="1"/>
  <c r="AH11" i="8"/>
  <c r="AJ11" i="8" s="1"/>
  <c r="AI11" i="8"/>
  <c r="AH17" i="8"/>
  <c r="AJ17" i="8" s="1"/>
  <c r="AI17" i="8"/>
  <c r="J75" i="8"/>
  <c r="J76" i="8"/>
  <c r="M76" i="8"/>
  <c r="AN125" i="8"/>
  <c r="AM125" i="8"/>
  <c r="AO125" i="8" s="1"/>
  <c r="M17" i="7"/>
  <c r="P17" i="7" s="1"/>
  <c r="S27" i="7"/>
  <c r="AI3" i="8"/>
  <c r="AH3" i="8"/>
  <c r="J9" i="8"/>
  <c r="J13" i="8"/>
  <c r="M20" i="8"/>
  <c r="J20" i="8"/>
  <c r="J21" i="8"/>
  <c r="M21" i="8"/>
  <c r="P21" i="8" s="1"/>
  <c r="P25" i="8"/>
  <c r="J25" i="8"/>
  <c r="AI133" i="8"/>
  <c r="AH133" i="8"/>
  <c r="AJ133" i="8" s="1"/>
  <c r="AK133" i="8" s="1"/>
  <c r="P19" i="10"/>
  <c r="V68" i="10"/>
  <c r="J68" i="10"/>
  <c r="J50" i="8"/>
  <c r="V50" i="8"/>
  <c r="AJ60" i="8"/>
  <c r="AK60" i="8" s="1"/>
  <c r="M85" i="8"/>
  <c r="P85" i="8" s="1"/>
  <c r="AK85" i="8" s="1"/>
  <c r="J104" i="8"/>
  <c r="M104" i="8"/>
  <c r="M14" i="7"/>
  <c r="P14" i="7" s="1"/>
  <c r="J14" i="7"/>
  <c r="M19" i="7"/>
  <c r="P19" i="7" s="1"/>
  <c r="M22" i="7"/>
  <c r="J22" i="7"/>
  <c r="P22" i="7"/>
  <c r="M38" i="7"/>
  <c r="P38" i="7"/>
  <c r="P11" i="8"/>
  <c r="M11" i="8"/>
  <c r="M17" i="8"/>
  <c r="P17" i="8" s="1"/>
  <c r="AI51" i="8"/>
  <c r="AH51" i="8"/>
  <c r="AJ51" i="8" s="1"/>
  <c r="AH55" i="8"/>
  <c r="AJ55" i="8" s="1"/>
  <c r="AK55" i="8" s="1"/>
  <c r="AI58" i="8"/>
  <c r="J66" i="8"/>
  <c r="J96" i="8"/>
  <c r="V96" i="8"/>
  <c r="AI101" i="8"/>
  <c r="P106" i="8"/>
  <c r="AK106" i="8" s="1"/>
  <c r="M106" i="8"/>
  <c r="AM131" i="8"/>
  <c r="AO131" i="8" s="1"/>
  <c r="AN131" i="8"/>
  <c r="J37" i="10"/>
  <c r="M37" i="10"/>
  <c r="P37" i="10" s="1"/>
  <c r="P133" i="10"/>
  <c r="V20" i="7"/>
  <c r="M29" i="7"/>
  <c r="P29" i="7" s="1"/>
  <c r="V34" i="7"/>
  <c r="U38" i="7"/>
  <c r="V38" i="7" s="1"/>
  <c r="AL1" i="8"/>
  <c r="AI5" i="8"/>
  <c r="AH5" i="8"/>
  <c r="AJ5" i="8" s="1"/>
  <c r="AK5" i="8" s="1"/>
  <c r="P9" i="8"/>
  <c r="AJ35" i="8"/>
  <c r="AK35" i="8" s="1"/>
  <c r="AI50" i="8"/>
  <c r="AH50" i="8"/>
  <c r="AJ50" i="8" s="1"/>
  <c r="AK50" i="8" s="1"/>
  <c r="P63" i="8"/>
  <c r="AK63" i="8" s="1"/>
  <c r="J63" i="8"/>
  <c r="M63" i="8"/>
  <c r="M66" i="8"/>
  <c r="P66" i="8" s="1"/>
  <c r="V91" i="8"/>
  <c r="P104" i="8"/>
  <c r="AK104" i="8" s="1"/>
  <c r="AH138" i="8"/>
  <c r="AJ138" i="8" s="1"/>
  <c r="AK138" i="8" s="1"/>
  <c r="AI138" i="8"/>
  <c r="AI154" i="8"/>
  <c r="AH154" i="8"/>
  <c r="AJ154" i="8" s="1"/>
  <c r="AK154" i="8" s="1"/>
  <c r="J34" i="10"/>
  <c r="M34" i="10"/>
  <c r="P34" i="10" s="1"/>
  <c r="AI4" i="8"/>
  <c r="P10" i="8"/>
  <c r="M10" i="8"/>
  <c r="AI15" i="8"/>
  <c r="AH15" i="8"/>
  <c r="AJ15" i="8" s="1"/>
  <c r="AI38" i="8"/>
  <c r="AH38" i="8"/>
  <c r="AJ38" i="8" s="1"/>
  <c r="AI49" i="8"/>
  <c r="J53" i="8"/>
  <c r="J54" i="8"/>
  <c r="P62" i="8"/>
  <c r="M110" i="8"/>
  <c r="P110" i="8" s="1"/>
  <c r="J110" i="8"/>
  <c r="P146" i="8"/>
  <c r="AK146" i="8" s="1"/>
  <c r="J146" i="8"/>
  <c r="AI151" i="8"/>
  <c r="J40" i="10"/>
  <c r="P40" i="10"/>
  <c r="M40" i="10"/>
  <c r="V95" i="10"/>
  <c r="J95" i="10"/>
  <c r="U5" i="7"/>
  <c r="P13" i="7"/>
  <c r="U29" i="7"/>
  <c r="V29" i="7" s="1"/>
  <c r="J31" i="7"/>
  <c r="AI9" i="8"/>
  <c r="AH9" i="8"/>
  <c r="AJ9" i="8" s="1"/>
  <c r="AK9" i="8" s="1"/>
  <c r="P14" i="8"/>
  <c r="P29" i="8"/>
  <c r="AK29" i="8" s="1"/>
  <c r="M29" i="8"/>
  <c r="J29" i="8"/>
  <c r="AI33" i="8"/>
  <c r="AH33" i="8"/>
  <c r="AJ33" i="8" s="1"/>
  <c r="M37" i="8"/>
  <c r="P37" i="8" s="1"/>
  <c r="AK37" i="8" s="1"/>
  <c r="AI41" i="8"/>
  <c r="J46" i="8"/>
  <c r="V46" i="8"/>
  <c r="J57" i="8"/>
  <c r="P57" i="8"/>
  <c r="AI72" i="8"/>
  <c r="AI73" i="8"/>
  <c r="J108" i="8"/>
  <c r="V108" i="8"/>
  <c r="AJ135" i="8"/>
  <c r="P57" i="10"/>
  <c r="J57" i="10"/>
  <c r="P77" i="10"/>
  <c r="J77" i="10"/>
  <c r="J145" i="10"/>
  <c r="V145" i="10"/>
  <c r="J147" i="10"/>
  <c r="P147" i="10"/>
  <c r="J22" i="8"/>
  <c r="V22" i="8"/>
  <c r="AI26" i="8"/>
  <c r="AH26" i="8"/>
  <c r="AJ26" i="8" s="1"/>
  <c r="AK26" i="8" s="1"/>
  <c r="J30" i="8"/>
  <c r="AK40" i="8"/>
  <c r="V54" i="8"/>
  <c r="AJ54" i="8"/>
  <c r="AK54" i="8" s="1"/>
  <c r="J58" i="8"/>
  <c r="J103" i="8"/>
  <c r="V103" i="8"/>
  <c r="Z1" i="10"/>
  <c r="J193" i="10"/>
  <c r="V193" i="10"/>
  <c r="L17" i="5"/>
  <c r="N17" i="5" s="1"/>
  <c r="V9" i="13"/>
  <c r="J9" i="13"/>
  <c r="V10" i="7"/>
  <c r="P16" i="7"/>
  <c r="J37" i="7"/>
  <c r="AP1" i="8"/>
  <c r="AI13" i="8"/>
  <c r="AH13" i="8"/>
  <c r="AJ13" i="8" s="1"/>
  <c r="AK13" i="8" s="1"/>
  <c r="M15" i="8"/>
  <c r="P15" i="8" s="1"/>
  <c r="M30" i="8"/>
  <c r="P30" i="8" s="1"/>
  <c r="P39" i="8"/>
  <c r="J39" i="8"/>
  <c r="AI43" i="8"/>
  <c r="M49" i="8"/>
  <c r="P49" i="8" s="1"/>
  <c r="M58" i="8"/>
  <c r="P58" i="8" s="1"/>
  <c r="AK58" i="8" s="1"/>
  <c r="P69" i="8"/>
  <c r="M69" i="8"/>
  <c r="AJ71" i="8"/>
  <c r="AI96" i="8"/>
  <c r="AJ116" i="8"/>
  <c r="AK116" i="8" s="1"/>
  <c r="J116" i="8"/>
  <c r="V116" i="8"/>
  <c r="P121" i="8"/>
  <c r="P15" i="10"/>
  <c r="M15" i="10"/>
  <c r="V96" i="10"/>
  <c r="J96" i="10"/>
  <c r="E4" i="4"/>
  <c r="V1113" i="3" s="1"/>
  <c r="U4" i="7"/>
  <c r="U9" i="7"/>
  <c r="J9" i="7" s="1"/>
  <c r="M12" i="7"/>
  <c r="P12" i="7" s="1"/>
  <c r="J12" i="7"/>
  <c r="M16" i="7"/>
  <c r="U17" i="7"/>
  <c r="U25" i="7"/>
  <c r="M37" i="7"/>
  <c r="P37" i="7" s="1"/>
  <c r="M12" i="8"/>
  <c r="P12" i="8" s="1"/>
  <c r="P16" i="8"/>
  <c r="M16" i="8"/>
  <c r="AH27" i="8"/>
  <c r="AJ27" i="8" s="1"/>
  <c r="AK27" i="8" s="1"/>
  <c r="P38" i="8"/>
  <c r="M39" i="8"/>
  <c r="AH43" i="8"/>
  <c r="AJ43" i="8" s="1"/>
  <c r="AK43" i="8" s="1"/>
  <c r="AI45" i="8"/>
  <c r="AH45" i="8"/>
  <c r="AJ45" i="8" s="1"/>
  <c r="AH46" i="8"/>
  <c r="AJ46" i="8" s="1"/>
  <c r="AJ47" i="8"/>
  <c r="AK47" i="8" s="1"/>
  <c r="AI53" i="8"/>
  <c r="AK82" i="8"/>
  <c r="AH96" i="8"/>
  <c r="AJ96" i="8" s="1"/>
  <c r="AJ103" i="8"/>
  <c r="AK103" i="8" s="1"/>
  <c r="AH108" i="8"/>
  <c r="AJ108" i="8" s="1"/>
  <c r="AI141" i="8"/>
  <c r="AH141" i="8"/>
  <c r="AJ141" i="8" s="1"/>
  <c r="AN155" i="8"/>
  <c r="AM155" i="8"/>
  <c r="AO155" i="8" s="1"/>
  <c r="J4" i="10"/>
  <c r="P4" i="10"/>
  <c r="V113" i="10"/>
  <c r="J113" i="10"/>
  <c r="P136" i="10"/>
  <c r="J136" i="10"/>
  <c r="P156" i="10"/>
  <c r="P306" i="10"/>
  <c r="J306" i="10"/>
  <c r="V311" i="10"/>
  <c r="AF304" i="10" s="1"/>
  <c r="AF306" i="10" s="1"/>
  <c r="J311" i="10"/>
  <c r="P315" i="10"/>
  <c r="J315" i="10"/>
  <c r="AH64" i="8"/>
  <c r="AJ64" i="8" s="1"/>
  <c r="AK64" i="8" s="1"/>
  <c r="AI64" i="8"/>
  <c r="P70" i="8"/>
  <c r="AK70" i="8" s="1"/>
  <c r="P73" i="8"/>
  <c r="M73" i="8"/>
  <c r="J74" i="8"/>
  <c r="P77" i="8"/>
  <c r="J111" i="8"/>
  <c r="AK114" i="8"/>
  <c r="AI142" i="8"/>
  <c r="AH142" i="8"/>
  <c r="AJ142" i="8" s="1"/>
  <c r="L158" i="8"/>
  <c r="AE158" i="8"/>
  <c r="V39" i="10"/>
  <c r="J39" i="10"/>
  <c r="P101" i="10"/>
  <c r="J101" i="10"/>
  <c r="V301" i="10"/>
  <c r="J301" i="10"/>
  <c r="J303" i="10"/>
  <c r="P303" i="10"/>
  <c r="P212" i="10"/>
  <c r="J212" i="10"/>
  <c r="J224" i="10"/>
  <c r="V224" i="10"/>
  <c r="P300" i="10"/>
  <c r="J300" i="10"/>
  <c r="V361" i="10"/>
  <c r="J361" i="10"/>
  <c r="U18" i="7"/>
  <c r="P34" i="7"/>
  <c r="J40" i="8"/>
  <c r="J56" i="8"/>
  <c r="J64" i="8"/>
  <c r="J68" i="8"/>
  <c r="P71" i="8"/>
  <c r="AJ76" i="8"/>
  <c r="AK76" i="8" s="1"/>
  <c r="P95" i="8"/>
  <c r="AK95" i="8" s="1"/>
  <c r="J114" i="8"/>
  <c r="P114" i="8"/>
  <c r="AI140" i="8"/>
  <c r="AH140" i="8"/>
  <c r="AJ140" i="8" s="1"/>
  <c r="J19" i="10"/>
  <c r="J59" i="10"/>
  <c r="V59" i="10"/>
  <c r="P172" i="10"/>
  <c r="J172" i="10"/>
  <c r="P192" i="10"/>
  <c r="M53" i="8"/>
  <c r="P53" i="8" s="1"/>
  <c r="AI57" i="8"/>
  <c r="AH57" i="8"/>
  <c r="AJ57" i="8" s="1"/>
  <c r="AI62" i="8"/>
  <c r="AI69" i="8"/>
  <c r="P75" i="8"/>
  <c r="AK75" i="8" s="1"/>
  <c r="AI80" i="8"/>
  <c r="M86" i="8"/>
  <c r="P86" i="8" s="1"/>
  <c r="J86" i="8"/>
  <c r="M101" i="8"/>
  <c r="P101" i="8"/>
  <c r="AK101" i="8" s="1"/>
  <c r="J107" i="8"/>
  <c r="J22" i="10"/>
  <c r="J48" i="10"/>
  <c r="P48" i="10"/>
  <c r="J93" i="10"/>
  <c r="V93" i="10"/>
  <c r="V269" i="10"/>
  <c r="J269" i="10"/>
  <c r="J271" i="10"/>
  <c r="P271" i="10"/>
  <c r="M19" i="8"/>
  <c r="P19" i="8" s="1"/>
  <c r="J19" i="8"/>
  <c r="AH41" i="8"/>
  <c r="AJ41" i="8" s="1"/>
  <c r="AH49" i="8"/>
  <c r="AJ49" i="8" s="1"/>
  <c r="AH62" i="8"/>
  <c r="AJ62" i="8" s="1"/>
  <c r="AK62" i="8" s="1"/>
  <c r="AI66" i="8"/>
  <c r="AH66" i="8"/>
  <c r="AJ66" i="8" s="1"/>
  <c r="AH69" i="8"/>
  <c r="AJ69" i="8" s="1"/>
  <c r="AH73" i="8"/>
  <c r="AJ73" i="8" s="1"/>
  <c r="AK73" i="8" s="1"/>
  <c r="M75" i="8"/>
  <c r="AH80" i="8"/>
  <c r="AJ80" i="8" s="1"/>
  <c r="AK80" i="8" s="1"/>
  <c r="AH89" i="8"/>
  <c r="AJ89" i="8" s="1"/>
  <c r="AK89" i="8" s="1"/>
  <c r="J102" i="8"/>
  <c r="M107" i="8"/>
  <c r="P107" i="8" s="1"/>
  <c r="AK107" i="8" s="1"/>
  <c r="AH110" i="8"/>
  <c r="AJ110" i="8" s="1"/>
  <c r="M130" i="8"/>
  <c r="P130" i="8" s="1"/>
  <c r="AK130" i="8" s="1"/>
  <c r="AH137" i="8"/>
  <c r="AJ137" i="8" s="1"/>
  <c r="AK137" i="8" s="1"/>
  <c r="AI139" i="8"/>
  <c r="P142" i="8"/>
  <c r="J142" i="8"/>
  <c r="M22" i="10"/>
  <c r="P22" i="10" s="1"/>
  <c r="J89" i="10"/>
  <c r="J161" i="10"/>
  <c r="V161" i="10"/>
  <c r="J181" i="10"/>
  <c r="V181" i="10"/>
  <c r="P200" i="10"/>
  <c r="J200" i="10"/>
  <c r="V245" i="10"/>
  <c r="J245" i="10"/>
  <c r="J247" i="10"/>
  <c r="P247" i="10"/>
  <c r="P22" i="8"/>
  <c r="P27" i="8"/>
  <c r="AI28" i="8"/>
  <c r="P46" i="8"/>
  <c r="P51" i="8"/>
  <c r="AI52" i="8"/>
  <c r="P64" i="8"/>
  <c r="P65" i="8"/>
  <c r="AI70" i="8"/>
  <c r="J87" i="8"/>
  <c r="J88" i="8"/>
  <c r="AI93" i="8"/>
  <c r="AH93" i="8"/>
  <c r="AJ93" i="8" s="1"/>
  <c r="AK93" i="8" s="1"/>
  <c r="AI98" i="8"/>
  <c r="M102" i="8"/>
  <c r="P102" i="8" s="1"/>
  <c r="V105" i="8"/>
  <c r="AI122" i="8"/>
  <c r="AH122" i="8"/>
  <c r="AJ122" i="8" s="1"/>
  <c r="M132" i="8"/>
  <c r="P132" i="8" s="1"/>
  <c r="AK132" i="8" s="1"/>
  <c r="P134" i="8"/>
  <c r="AK134" i="8" s="1"/>
  <c r="J134" i="8"/>
  <c r="M142" i="8"/>
  <c r="AI146" i="8"/>
  <c r="AK147" i="8"/>
  <c r="AK156" i="8"/>
  <c r="J7" i="10"/>
  <c r="P7" i="10"/>
  <c r="V14" i="10"/>
  <c r="J14" i="10"/>
  <c r="J45" i="10"/>
  <c r="V71" i="10"/>
  <c r="J71" i="10"/>
  <c r="P160" i="10"/>
  <c r="V252" i="10"/>
  <c r="J252" i="10"/>
  <c r="P276" i="10"/>
  <c r="J276" i="10"/>
  <c r="V137" i="10"/>
  <c r="J137" i="10"/>
  <c r="J169" i="10"/>
  <c r="V169" i="10"/>
  <c r="V284" i="10"/>
  <c r="J284" i="10"/>
  <c r="J31" i="8"/>
  <c r="J43" i="8"/>
  <c r="J55" i="8"/>
  <c r="M98" i="8"/>
  <c r="P98" i="8" s="1"/>
  <c r="AK98" i="8" s="1"/>
  <c r="J98" i="8"/>
  <c r="P111" i="8"/>
  <c r="AK111" i="8" s="1"/>
  <c r="AK145" i="8"/>
  <c r="P9" i="10"/>
  <c r="J33" i="10"/>
  <c r="M33" i="10"/>
  <c r="P33" i="10" s="1"/>
  <c r="V46" i="10"/>
  <c r="J46" i="10"/>
  <c r="V111" i="10"/>
  <c r="J111" i="10"/>
  <c r="AJ74" i="8"/>
  <c r="AK74" i="8" s="1"/>
  <c r="P84" i="8"/>
  <c r="AK84" i="8" s="1"/>
  <c r="M84" i="8"/>
  <c r="AJ91" i="8"/>
  <c r="AK91" i="8" s="1"/>
  <c r="M115" i="8"/>
  <c r="P115" i="8" s="1"/>
  <c r="AK115" i="8" s="1"/>
  <c r="P120" i="8"/>
  <c r="AK120" i="8" s="1"/>
  <c r="P45" i="10"/>
  <c r="V51" i="10"/>
  <c r="J51" i="10"/>
  <c r="J119" i="10"/>
  <c r="V119" i="10"/>
  <c r="J135" i="10"/>
  <c r="P135" i="10"/>
  <c r="P82" i="8"/>
  <c r="M87" i="8"/>
  <c r="P87" i="8" s="1"/>
  <c r="AK87" i="8" s="1"/>
  <c r="AJ100" i="8"/>
  <c r="P108" i="8"/>
  <c r="J112" i="8"/>
  <c r="M120" i="8"/>
  <c r="J139" i="8"/>
  <c r="M5" i="10"/>
  <c r="P5" i="10" s="1"/>
  <c r="J5" i="10"/>
  <c r="V12" i="10"/>
  <c r="J23" i="10"/>
  <c r="J41" i="10"/>
  <c r="J60" i="10"/>
  <c r="P73" i="10"/>
  <c r="J205" i="10"/>
  <c r="V205" i="10"/>
  <c r="J236" i="10"/>
  <c r="J251" i="10"/>
  <c r="P251" i="10"/>
  <c r="P323" i="10"/>
  <c r="J323" i="10"/>
  <c r="V337" i="10"/>
  <c r="J337" i="10"/>
  <c r="J121" i="8"/>
  <c r="AI123" i="8"/>
  <c r="AH123" i="8"/>
  <c r="AJ123" i="8" s="1"/>
  <c r="AK123" i="8" s="1"/>
  <c r="P140" i="8"/>
  <c r="P152" i="8"/>
  <c r="AK152" i="8" s="1"/>
  <c r="M11" i="10"/>
  <c r="P11" i="10" s="1"/>
  <c r="V21" i="10"/>
  <c r="J21" i="10"/>
  <c r="P104" i="10"/>
  <c r="P204" i="10"/>
  <c r="AJ121" i="8"/>
  <c r="AE157" i="8"/>
  <c r="AE1" i="8" s="1"/>
  <c r="L157" i="8"/>
  <c r="P26" i="10"/>
  <c r="P36" i="10"/>
  <c r="P43" i="10"/>
  <c r="P132" i="10"/>
  <c r="P176" i="10"/>
  <c r="J176" i="10"/>
  <c r="P233" i="10"/>
  <c r="V249" i="10"/>
  <c r="J249" i="10"/>
  <c r="P258" i="10"/>
  <c r="D35" i="19"/>
  <c r="E32" i="19"/>
  <c r="F47" i="19"/>
  <c r="H47" i="19"/>
  <c r="N48" i="19" s="1"/>
  <c r="M96" i="8"/>
  <c r="P96" i="8" s="1"/>
  <c r="M108" i="8"/>
  <c r="AI114" i="8"/>
  <c r="AI119" i="8"/>
  <c r="AI121" i="8"/>
  <c r="M127" i="8"/>
  <c r="P127" i="8" s="1"/>
  <c r="AK127" i="8" s="1"/>
  <c r="Z149" i="8"/>
  <c r="M150" i="8"/>
  <c r="P150" i="8" s="1"/>
  <c r="P154" i="8"/>
  <c r="T157" i="8"/>
  <c r="T1" i="8" s="1"/>
  <c r="J10" i="10"/>
  <c r="J32" i="10"/>
  <c r="M43" i="10"/>
  <c r="P67" i="10"/>
  <c r="J72" i="10"/>
  <c r="P81" i="10"/>
  <c r="P112" i="10"/>
  <c r="J117" i="10"/>
  <c r="P129" i="10"/>
  <c r="P164" i="10"/>
  <c r="J164" i="10"/>
  <c r="J208" i="10"/>
  <c r="J209" i="10"/>
  <c r="V209" i="10"/>
  <c r="V241" i="10"/>
  <c r="J241" i="10"/>
  <c r="V256" i="10"/>
  <c r="J256" i="10"/>
  <c r="J316" i="10"/>
  <c r="P316" i="10"/>
  <c r="P324" i="10"/>
  <c r="V349" i="10"/>
  <c r="J349" i="10"/>
  <c r="P351" i="10"/>
  <c r="J369" i="10"/>
  <c r="P369" i="10"/>
  <c r="P118" i="8"/>
  <c r="AK118" i="8" s="1"/>
  <c r="AJ119" i="8"/>
  <c r="J135" i="8"/>
  <c r="M135" i="8"/>
  <c r="P135" i="8" s="1"/>
  <c r="P141" i="8"/>
  <c r="P52" i="10"/>
  <c r="P55" i="10"/>
  <c r="P87" i="10"/>
  <c r="P125" i="10"/>
  <c r="P152" i="10"/>
  <c r="J152" i="10"/>
  <c r="J197" i="10"/>
  <c r="V197" i="10"/>
  <c r="J221" i="10"/>
  <c r="V221" i="10"/>
  <c r="P248" i="10"/>
  <c r="J248" i="10"/>
  <c r="P253" i="10"/>
  <c r="M118" i="8"/>
  <c r="AI126" i="8"/>
  <c r="AH139" i="8"/>
  <c r="AJ139" i="8" s="1"/>
  <c r="AK139" i="8" s="1"/>
  <c r="M141" i="8"/>
  <c r="AH143" i="8"/>
  <c r="AJ143" i="8" s="1"/>
  <c r="AK143" i="8" s="1"/>
  <c r="M148" i="8"/>
  <c r="P148" i="8" s="1"/>
  <c r="AK148" i="8" s="1"/>
  <c r="M6" i="10"/>
  <c r="P6" i="10" s="1"/>
  <c r="J28" i="10"/>
  <c r="P39" i="10"/>
  <c r="P78" i="10"/>
  <c r="P99" i="10"/>
  <c r="P108" i="10"/>
  <c r="P117" i="10"/>
  <c r="V123" i="10"/>
  <c r="P140" i="10"/>
  <c r="J140" i="10"/>
  <c r="J185" i="10"/>
  <c r="V185" i="10"/>
  <c r="P196" i="10"/>
  <c r="P230" i="10"/>
  <c r="P240" i="10"/>
  <c r="P243" i="10"/>
  <c r="P272" i="10"/>
  <c r="J272" i="10"/>
  <c r="J282" i="10"/>
  <c r="P282" i="10"/>
  <c r="V314" i="10"/>
  <c r="J314" i="10"/>
  <c r="J340" i="10"/>
  <c r="V340" i="10"/>
  <c r="P345" i="10"/>
  <c r="AI117" i="8"/>
  <c r="P128" i="8"/>
  <c r="AK128" i="8" s="1"/>
  <c r="P10" i="10"/>
  <c r="J20" i="10"/>
  <c r="P24" i="10"/>
  <c r="P63" i="10"/>
  <c r="P75" i="10"/>
  <c r="P122" i="10"/>
  <c r="J173" i="10"/>
  <c r="V173" i="10"/>
  <c r="P184" i="10"/>
  <c r="P313" i="10"/>
  <c r="J313" i="10"/>
  <c r="J16" i="10"/>
  <c r="P53" i="10"/>
  <c r="P59" i="10"/>
  <c r="P91" i="10"/>
  <c r="J217" i="10"/>
  <c r="V217" i="10"/>
  <c r="P237" i="10"/>
  <c r="V273" i="10"/>
  <c r="J273" i="10"/>
  <c r="J275" i="10"/>
  <c r="P275" i="10"/>
  <c r="J320" i="10"/>
  <c r="P320" i="10"/>
  <c r="P339" i="10"/>
  <c r="J364" i="10"/>
  <c r="V364" i="10"/>
  <c r="H195" i="18"/>
  <c r="B190" i="18"/>
  <c r="B205" i="18" s="1"/>
  <c r="AI149" i="8"/>
  <c r="J3" i="10"/>
  <c r="M16" i="10"/>
  <c r="P42" i="10"/>
  <c r="P116" i="10"/>
  <c r="J141" i="10"/>
  <c r="V141" i="10"/>
  <c r="J153" i="10"/>
  <c r="V153" i="10"/>
  <c r="J165" i="10"/>
  <c r="V165" i="10"/>
  <c r="J177" i="10"/>
  <c r="V177" i="10"/>
  <c r="J189" i="10"/>
  <c r="V189" i="10"/>
  <c r="J201" i="10"/>
  <c r="V201" i="10"/>
  <c r="P216" i="10"/>
  <c r="P262" i="10"/>
  <c r="V288" i="10"/>
  <c r="P297" i="10"/>
  <c r="P310" i="10"/>
  <c r="J213" i="10"/>
  <c r="V213" i="10"/>
  <c r="J239" i="10"/>
  <c r="P239" i="10"/>
  <c r="P244" i="10"/>
  <c r="J244" i="10"/>
  <c r="J365" i="10"/>
  <c r="P264" i="10"/>
  <c r="J264" i="10"/>
  <c r="P269" i="10"/>
  <c r="V277" i="10"/>
  <c r="J277" i="10"/>
  <c r="P294" i="10"/>
  <c r="P304" i="10"/>
  <c r="P307" i="10"/>
  <c r="J327" i="10"/>
  <c r="P327" i="10"/>
  <c r="M22" i="16"/>
  <c r="M46" i="16" s="1"/>
  <c r="J223" i="10"/>
  <c r="P223" i="10"/>
  <c r="J231" i="10"/>
  <c r="V257" i="10"/>
  <c r="J257" i="10"/>
  <c r="J259" i="10"/>
  <c r="J281" i="10"/>
  <c r="J287" i="10"/>
  <c r="P287" i="10"/>
  <c r="J295" i="10"/>
  <c r="J332" i="10"/>
  <c r="P332" i="10"/>
  <c r="F46" i="19"/>
  <c r="F48" i="19" s="1"/>
  <c r="E48" i="19"/>
  <c r="H46" i="19"/>
  <c r="P228" i="10"/>
  <c r="J228" i="10"/>
  <c r="P256" i="10"/>
  <c r="P284" i="10"/>
  <c r="P292" i="10"/>
  <c r="J292" i="10"/>
  <c r="P329" i="10"/>
  <c r="J329" i="10"/>
  <c r="V350" i="10"/>
  <c r="J352" i="10"/>
  <c r="P356" i="10"/>
  <c r="V374" i="10"/>
  <c r="J376" i="10"/>
  <c r="F82" i="18"/>
  <c r="P280" i="10"/>
  <c r="J280" i="10"/>
  <c r="J283" i="10"/>
  <c r="P283" i="10"/>
  <c r="P348" i="10"/>
  <c r="P372" i="10"/>
  <c r="V225" i="10"/>
  <c r="J225" i="10"/>
  <c r="J227" i="10"/>
  <c r="J255" i="10"/>
  <c r="P255" i="10"/>
  <c r="J263" i="10"/>
  <c r="V289" i="10"/>
  <c r="J289" i="10"/>
  <c r="J291" i="10"/>
  <c r="V312" i="10"/>
  <c r="J328" i="10"/>
  <c r="P328" i="10"/>
  <c r="P111" i="10"/>
  <c r="P124" i="10"/>
  <c r="P224" i="10"/>
  <c r="P252" i="10"/>
  <c r="P260" i="10"/>
  <c r="J260" i="10"/>
  <c r="P288" i="10"/>
  <c r="P325" i="10"/>
  <c r="J325" i="10"/>
  <c r="J336" i="10"/>
  <c r="P344" i="10"/>
  <c r="P368" i="10"/>
  <c r="C152" i="18"/>
  <c r="E54" i="19"/>
  <c r="P232" i="10"/>
  <c r="J232" i="10"/>
  <c r="J235" i="10"/>
  <c r="P235" i="10"/>
  <c r="P296" i="10"/>
  <c r="J296" i="10"/>
  <c r="J299" i="10"/>
  <c r="P299" i="10"/>
  <c r="P333" i="10"/>
  <c r="P321" i="10"/>
  <c r="P9" i="13"/>
  <c r="P2" i="13"/>
  <c r="J2" i="13"/>
  <c r="G48" i="19"/>
  <c r="G35" i="19"/>
  <c r="J309" i="10"/>
  <c r="J322" i="10"/>
  <c r="B237" i="18"/>
  <c r="F33" i="19"/>
  <c r="F81" i="18"/>
  <c r="D48" i="19"/>
  <c r="V1121" i="3" l="1"/>
  <c r="V1111" i="3"/>
  <c r="V1112" i="3"/>
  <c r="V1117" i="3"/>
  <c r="V1120" i="3"/>
  <c r="V1114" i="3"/>
  <c r="V1115" i="3"/>
  <c r="V1116" i="3"/>
  <c r="V1118" i="3"/>
  <c r="V1119" i="3"/>
  <c r="V1110" i="3"/>
  <c r="V834" i="3"/>
  <c r="V1108" i="3"/>
  <c r="V1061" i="3"/>
  <c r="V1109" i="3"/>
  <c r="V749" i="3"/>
  <c r="V805" i="3"/>
  <c r="V873" i="3"/>
  <c r="V964" i="3"/>
  <c r="V783" i="3"/>
  <c r="V1052" i="3"/>
  <c r="V848" i="3"/>
  <c r="V1051" i="3"/>
  <c r="V757" i="3"/>
  <c r="V959" i="3"/>
  <c r="V915" i="3"/>
  <c r="V763" i="3"/>
  <c r="V1069" i="3"/>
  <c r="V1074" i="3"/>
  <c r="V1017" i="3"/>
  <c r="V907" i="3"/>
  <c r="V862" i="3"/>
  <c r="V1020" i="3"/>
  <c r="V930" i="3"/>
  <c r="V786" i="3"/>
  <c r="V918" i="3"/>
  <c r="V774" i="3"/>
  <c r="V906" i="3"/>
  <c r="V762" i="3"/>
  <c r="V894" i="3"/>
  <c r="V750" i="3"/>
  <c r="V882" i="3"/>
  <c r="V983" i="3"/>
  <c r="V817" i="3"/>
  <c r="V1090" i="3"/>
  <c r="V1103" i="3"/>
  <c r="V1054" i="3"/>
  <c r="V785" i="3"/>
  <c r="V1005" i="3"/>
  <c r="V1028" i="3"/>
  <c r="V1039" i="3"/>
  <c r="V1062" i="3"/>
  <c r="V1065" i="3"/>
  <c r="V879" i="3"/>
  <c r="V826" i="3"/>
  <c r="V769" i="3"/>
  <c r="V849" i="3"/>
  <c r="V824" i="3"/>
  <c r="V883" i="3"/>
  <c r="V1050" i="3"/>
  <c r="V818" i="3"/>
  <c r="V1091" i="3"/>
  <c r="V1070" i="3"/>
  <c r="V1021" i="3"/>
  <c r="V965" i="3"/>
  <c r="V912" i="3"/>
  <c r="V837" i="3"/>
  <c r="V812" i="3"/>
  <c r="V1038" i="3"/>
  <c r="V1059" i="3"/>
  <c r="V904" i="3"/>
  <c r="V761" i="3"/>
  <c r="V852" i="3"/>
  <c r="V1055" i="3"/>
  <c r="V843" i="3"/>
  <c r="V1006" i="3"/>
  <c r="V790" i="3"/>
  <c r="V949" i="3"/>
  <c r="V1097" i="3"/>
  <c r="V892" i="3"/>
  <c r="V969" i="3"/>
  <c r="V825" i="3"/>
  <c r="V992" i="3"/>
  <c r="V800" i="3"/>
  <c r="V1003" i="3"/>
  <c r="V1026" i="3"/>
  <c r="V758" i="3"/>
  <c r="V827" i="3"/>
  <c r="V770" i="3"/>
  <c r="V929" i="3"/>
  <c r="V876" i="3"/>
  <c r="V957" i="3"/>
  <c r="V968" i="3"/>
  <c r="V788" i="3"/>
  <c r="V991" i="3"/>
  <c r="V847" i="3"/>
  <c r="V980" i="3"/>
  <c r="V870" i="3"/>
  <c r="V782" i="3"/>
  <c r="V1107" i="3"/>
  <c r="V960" i="3"/>
  <c r="V905" i="3"/>
  <c r="V853" i="3"/>
  <c r="V1022" i="3"/>
  <c r="V970" i="3"/>
  <c r="V913" i="3"/>
  <c r="V856" i="3"/>
  <c r="V801" i="3"/>
  <c r="V979" i="3"/>
  <c r="V858" i="3"/>
  <c r="V937" i="3"/>
  <c r="V844" i="3"/>
  <c r="V791" i="3"/>
  <c r="V893" i="3"/>
  <c r="V840" i="3"/>
  <c r="V789" i="3"/>
  <c r="V967" i="3"/>
  <c r="V846" i="3"/>
  <c r="V1012" i="3"/>
  <c r="V961" i="3"/>
  <c r="V910" i="3"/>
  <c r="V828" i="3"/>
  <c r="V987" i="3"/>
  <c r="V771" i="3"/>
  <c r="V934" i="3"/>
  <c r="V1083" i="3"/>
  <c r="V877" i="3"/>
  <c r="V1034" i="3"/>
  <c r="V820" i="3"/>
  <c r="V921" i="3"/>
  <c r="V777" i="3"/>
  <c r="V908" i="3"/>
  <c r="V1099" i="3"/>
  <c r="V955" i="3"/>
  <c r="V811" i="3"/>
  <c r="V829" i="3"/>
  <c r="V765" i="3"/>
  <c r="V796" i="3"/>
  <c r="V797" i="3"/>
  <c r="V773" i="3"/>
  <c r="V803" i="3"/>
  <c r="V833" i="3"/>
  <c r="V867" i="3"/>
  <c r="V891" i="3"/>
  <c r="V923" i="3"/>
  <c r="V947" i="3"/>
  <c r="V975" i="3"/>
  <c r="V999" i="3"/>
  <c r="V1029" i="3"/>
  <c r="V1048" i="3"/>
  <c r="V1077" i="3"/>
  <c r="V1096" i="3"/>
  <c r="V809" i="3"/>
  <c r="V838" i="3"/>
  <c r="V868" i="3"/>
  <c r="V900" i="3"/>
  <c r="V924" i="3"/>
  <c r="V952" i="3"/>
  <c r="V976" i="3"/>
  <c r="V1008" i="3"/>
  <c r="V1030" i="3"/>
  <c r="V1056" i="3"/>
  <c r="V1078" i="3"/>
  <c r="V1104" i="3"/>
  <c r="V814" i="3"/>
  <c r="V901" i="3"/>
  <c r="V953" i="3"/>
  <c r="V1009" i="3"/>
  <c r="V1057" i="3"/>
  <c r="V1105" i="3"/>
  <c r="V781" i="3"/>
  <c r="V845" i="3"/>
  <c r="V902" i="3"/>
  <c r="V958" i="3"/>
  <c r="V1010" i="3"/>
  <c r="V1058" i="3"/>
  <c r="V1106" i="3"/>
  <c r="V795" i="3"/>
  <c r="V854" i="3"/>
  <c r="V887" i="3"/>
  <c r="V911" i="3"/>
  <c r="V939" i="3"/>
  <c r="V963" i="3"/>
  <c r="V995" i="3"/>
  <c r="V1018" i="3"/>
  <c r="V1044" i="3"/>
  <c r="V1066" i="3"/>
  <c r="V1092" i="3"/>
  <c r="V766" i="3"/>
  <c r="V830" i="3"/>
  <c r="V855" i="3"/>
  <c r="V888" i="3"/>
  <c r="V916" i="3"/>
  <c r="V940" i="3"/>
  <c r="V972" i="3"/>
  <c r="V996" i="3"/>
  <c r="V1023" i="3"/>
  <c r="V1045" i="3"/>
  <c r="V1071" i="3"/>
  <c r="V1093" i="3"/>
  <c r="V767" i="3"/>
  <c r="V831" i="3"/>
  <c r="V865" i="3"/>
  <c r="V889" i="3"/>
  <c r="V917" i="3"/>
  <c r="V941" i="3"/>
  <c r="V973" i="3"/>
  <c r="V997" i="3"/>
  <c r="V1024" i="3"/>
  <c r="V1046" i="3"/>
  <c r="V1072" i="3"/>
  <c r="V1094" i="3"/>
  <c r="V802" i="3"/>
  <c r="V832" i="3"/>
  <c r="V866" i="3"/>
  <c r="V890" i="3"/>
  <c r="V922" i="3"/>
  <c r="V946" i="3"/>
  <c r="V974" i="3"/>
  <c r="V998" i="3"/>
  <c r="V1025" i="3"/>
  <c r="V1047" i="3"/>
  <c r="V1073" i="3"/>
  <c r="V1095" i="3"/>
  <c r="V778" i="3"/>
  <c r="V779" i="3"/>
  <c r="V780" i="3"/>
  <c r="V839" i="3"/>
  <c r="V869" i="3"/>
  <c r="V925" i="3"/>
  <c r="V977" i="3"/>
  <c r="V1031" i="3"/>
  <c r="V1079" i="3"/>
  <c r="V815" i="3"/>
  <c r="V874" i="3"/>
  <c r="V926" i="3"/>
  <c r="V982" i="3"/>
  <c r="V1032" i="3"/>
  <c r="V1080" i="3"/>
  <c r="V895" i="3"/>
  <c r="V871" i="3"/>
  <c r="V1040" i="3"/>
  <c r="V1081" i="3"/>
  <c r="V936" i="3"/>
  <c r="V881" i="3"/>
  <c r="V794" i="3"/>
  <c r="V1037" i="3"/>
  <c r="V986" i="3"/>
  <c r="V1082" i="3"/>
  <c r="V813" i="3"/>
  <c r="V1014" i="3"/>
  <c r="V864" i="3"/>
  <c r="V807" i="3"/>
  <c r="V755" i="3"/>
  <c r="V1067" i="3"/>
  <c r="V945" i="3"/>
  <c r="V956" i="3"/>
  <c r="V776" i="3"/>
  <c r="V835" i="3"/>
  <c r="V1002" i="3"/>
  <c r="V816" i="3"/>
  <c r="V988" i="3"/>
  <c r="V886" i="3"/>
  <c r="V1007" i="3"/>
  <c r="V950" i="3"/>
  <c r="V1101" i="3"/>
  <c r="V1049" i="3"/>
  <c r="V933" i="3"/>
  <c r="V932" i="3"/>
  <c r="V764" i="3"/>
  <c r="V823" i="3"/>
  <c r="V990" i="3"/>
  <c r="V850" i="3"/>
  <c r="V978" i="3"/>
  <c r="V875" i="3"/>
  <c r="V1041" i="3"/>
  <c r="V989" i="3"/>
  <c r="V938" i="3"/>
  <c r="V808" i="3"/>
  <c r="V971" i="3"/>
  <c r="V756" i="3"/>
  <c r="V914" i="3"/>
  <c r="V1068" i="3"/>
  <c r="V857" i="3"/>
  <c r="V1019" i="3"/>
  <c r="V804" i="3"/>
  <c r="V909" i="3"/>
  <c r="V753" i="3"/>
  <c r="V896" i="3"/>
  <c r="V1087" i="3"/>
  <c r="V943" i="3"/>
  <c r="V799" i="3"/>
  <c r="V752" i="3"/>
  <c r="V966" i="3"/>
  <c r="V822" i="3"/>
  <c r="V903" i="3"/>
  <c r="V819" i="3"/>
  <c r="V1060" i="3"/>
  <c r="V1013" i="3"/>
  <c r="V962" i="3"/>
  <c r="V792" i="3"/>
  <c r="V951" i="3"/>
  <c r="V1102" i="3"/>
  <c r="V898" i="3"/>
  <c r="V1053" i="3"/>
  <c r="V841" i="3"/>
  <c r="V1000" i="3"/>
  <c r="V784" i="3"/>
  <c r="V897" i="3"/>
  <c r="V1088" i="3"/>
  <c r="V884" i="3"/>
  <c r="V1075" i="3"/>
  <c r="V931" i="3"/>
  <c r="V787" i="3"/>
  <c r="V1098" i="3"/>
  <c r="V954" i="3"/>
  <c r="V810" i="3"/>
  <c r="V760" i="3"/>
  <c r="V1043" i="3"/>
  <c r="V899" i="3"/>
  <c r="V842" i="3"/>
  <c r="V1001" i="3"/>
  <c r="V948" i="3"/>
  <c r="V861" i="3"/>
  <c r="V836" i="3"/>
  <c r="V751" i="3"/>
  <c r="V1011" i="3"/>
  <c r="V851" i="3"/>
  <c r="V793" i="3"/>
  <c r="V1085" i="3"/>
  <c r="V1036" i="3"/>
  <c r="V985" i="3"/>
  <c r="V928" i="3"/>
  <c r="V993" i="3"/>
  <c r="V1016" i="3"/>
  <c r="V1027" i="3"/>
  <c r="V1100" i="3"/>
  <c r="V1033" i="3"/>
  <c r="V880" i="3"/>
  <c r="V863" i="3"/>
  <c r="V806" i="3"/>
  <c r="V754" i="3"/>
  <c r="V981" i="3"/>
  <c r="V1004" i="3"/>
  <c r="V1015" i="3"/>
  <c r="V1076" i="3"/>
  <c r="V859" i="3"/>
  <c r="V944" i="3"/>
  <c r="V920" i="3"/>
  <c r="V860" i="3"/>
  <c r="V927" i="3"/>
  <c r="V759" i="3"/>
  <c r="V1089" i="3"/>
  <c r="V1042" i="3"/>
  <c r="V994" i="3"/>
  <c r="V772" i="3"/>
  <c r="V935" i="3"/>
  <c r="V1084" i="3"/>
  <c r="V878" i="3"/>
  <c r="V1035" i="3"/>
  <c r="V821" i="3"/>
  <c r="V984" i="3"/>
  <c r="V768" i="3"/>
  <c r="V885" i="3"/>
  <c r="V1064" i="3"/>
  <c r="V872" i="3"/>
  <c r="V1063" i="3"/>
  <c r="V919" i="3"/>
  <c r="V775" i="3"/>
  <c r="V1086" i="3"/>
  <c r="V942" i="3"/>
  <c r="V798" i="3"/>
  <c r="V748" i="3"/>
  <c r="U1" i="7"/>
  <c r="S1" i="3"/>
  <c r="U1" i="3"/>
  <c r="AN87" i="8"/>
  <c r="AM87" i="8"/>
  <c r="AO87" i="8" s="1"/>
  <c r="AN23" i="8"/>
  <c r="AM23" i="8"/>
  <c r="AO23" i="8" s="1"/>
  <c r="AM18" i="8"/>
  <c r="AO18" i="8" s="1"/>
  <c r="AN18" i="8"/>
  <c r="AN84" i="8"/>
  <c r="AM84" i="8"/>
  <c r="AO84" i="8" s="1"/>
  <c r="AN98" i="8"/>
  <c r="AM98" i="8"/>
  <c r="AO98" i="8" s="1"/>
  <c r="AN58" i="8"/>
  <c r="AM58" i="8"/>
  <c r="AO58" i="8" s="1"/>
  <c r="AN113" i="8"/>
  <c r="AM113" i="8"/>
  <c r="AO113" i="8" s="1"/>
  <c r="AN37" i="8"/>
  <c r="AM37" i="8"/>
  <c r="AO37" i="8" s="1"/>
  <c r="AN94" i="8"/>
  <c r="AM94" i="8"/>
  <c r="AO94" i="8" s="1"/>
  <c r="AN95" i="8"/>
  <c r="AM95" i="8"/>
  <c r="AO95" i="8" s="1"/>
  <c r="AN85" i="8"/>
  <c r="AM85" i="8"/>
  <c r="AO85" i="8" s="1"/>
  <c r="AN118" i="8"/>
  <c r="AM118" i="8"/>
  <c r="AO118" i="8" s="1"/>
  <c r="AN111" i="8"/>
  <c r="AM111" i="8"/>
  <c r="AO111" i="8" s="1"/>
  <c r="AM28" i="8"/>
  <c r="AO28" i="8" s="1"/>
  <c r="AN28" i="8"/>
  <c r="AN148" i="8"/>
  <c r="AM148" i="8"/>
  <c r="AO148" i="8" s="1"/>
  <c r="AN134" i="8"/>
  <c r="AM134" i="8"/>
  <c r="AO134" i="8" s="1"/>
  <c r="AN132" i="8"/>
  <c r="AM132" i="8"/>
  <c r="AO132" i="8" s="1"/>
  <c r="AN99" i="8"/>
  <c r="AM99" i="8"/>
  <c r="AO99" i="8" s="1"/>
  <c r="AN75" i="8"/>
  <c r="AM75" i="8"/>
  <c r="AO75" i="8" s="1"/>
  <c r="AN63" i="8"/>
  <c r="AM63" i="8"/>
  <c r="AO63" i="8" s="1"/>
  <c r="AM129" i="8"/>
  <c r="AO129" i="8" s="1"/>
  <c r="AN129" i="8"/>
  <c r="AN127" i="8"/>
  <c r="AM127" i="8"/>
  <c r="AO127" i="8" s="1"/>
  <c r="AM117" i="8"/>
  <c r="AO117" i="8" s="1"/>
  <c r="AN117" i="8"/>
  <c r="AN32" i="8"/>
  <c r="AM32" i="8"/>
  <c r="AO32" i="8" s="1"/>
  <c r="AM101" i="8"/>
  <c r="AO101" i="8" s="1"/>
  <c r="AN101" i="8"/>
  <c r="AM83" i="8"/>
  <c r="AO83" i="8" s="1"/>
  <c r="AN83" i="8"/>
  <c r="AN128" i="8"/>
  <c r="AM128" i="8"/>
  <c r="AO128" i="8" s="1"/>
  <c r="AN120" i="8"/>
  <c r="AM120" i="8"/>
  <c r="AO120" i="8" s="1"/>
  <c r="AN130" i="8"/>
  <c r="AM130" i="8"/>
  <c r="AO130" i="8" s="1"/>
  <c r="AM52" i="8"/>
  <c r="AO52" i="8" s="1"/>
  <c r="AN52" i="8"/>
  <c r="AN107" i="8"/>
  <c r="AM107" i="8"/>
  <c r="AO107" i="8" s="1"/>
  <c r="AN34" i="8"/>
  <c r="AM34" i="8"/>
  <c r="AO34" i="8" s="1"/>
  <c r="AN152" i="8"/>
  <c r="AM152" i="8"/>
  <c r="AO152" i="8" s="1"/>
  <c r="AN115" i="8"/>
  <c r="AM115" i="8"/>
  <c r="AO115" i="8" s="1"/>
  <c r="AN146" i="8"/>
  <c r="AM146" i="8"/>
  <c r="AO146" i="8" s="1"/>
  <c r="AN97" i="8"/>
  <c r="AM97" i="8"/>
  <c r="AO97" i="8" s="1"/>
  <c r="AN61" i="8"/>
  <c r="AM61" i="8"/>
  <c r="AO61" i="8" s="1"/>
  <c r="AN5" i="8"/>
  <c r="AM5" i="8"/>
  <c r="AO5" i="8" s="1"/>
  <c r="AM89" i="8"/>
  <c r="AO89" i="8" s="1"/>
  <c r="AN89" i="8"/>
  <c r="AN64" i="8"/>
  <c r="AM64" i="8"/>
  <c r="AO64" i="8" s="1"/>
  <c r="AN47" i="8"/>
  <c r="AM47" i="8"/>
  <c r="AO47" i="8" s="1"/>
  <c r="AJ3" i="8"/>
  <c r="AH1" i="8"/>
  <c r="AK17" i="8"/>
  <c r="AM144" i="8"/>
  <c r="AO144" i="8" s="1"/>
  <c r="AN144" i="8"/>
  <c r="AN25" i="8"/>
  <c r="AM25" i="8"/>
  <c r="AO25" i="8" s="1"/>
  <c r="P12" i="2"/>
  <c r="U16" i="2" s="1"/>
  <c r="U20" i="2" s="1"/>
  <c r="U13" i="2" s="1"/>
  <c r="Q3" i="2"/>
  <c r="S8" i="2"/>
  <c r="AK119" i="8"/>
  <c r="AN93" i="8"/>
  <c r="AM93" i="8"/>
  <c r="AO93" i="8" s="1"/>
  <c r="AN80" i="8"/>
  <c r="AM80" i="8"/>
  <c r="AO80" i="8" s="1"/>
  <c r="AK46" i="8"/>
  <c r="V25" i="7"/>
  <c r="S25" i="7"/>
  <c r="J25" i="7"/>
  <c r="AM133" i="8"/>
  <c r="AO133" i="8" s="1"/>
  <c r="AN133" i="8"/>
  <c r="AK21" i="8"/>
  <c r="S11" i="2"/>
  <c r="AN70" i="8"/>
  <c r="AM70" i="8"/>
  <c r="AO70" i="8" s="1"/>
  <c r="AN138" i="8"/>
  <c r="AM138" i="8"/>
  <c r="AO138" i="8" s="1"/>
  <c r="AN147" i="8"/>
  <c r="AM147" i="8"/>
  <c r="AO147" i="8" s="1"/>
  <c r="M158" i="8"/>
  <c r="P158" i="8"/>
  <c r="J158" i="8"/>
  <c r="AN54" i="8"/>
  <c r="AM54" i="8"/>
  <c r="AO54" i="8" s="1"/>
  <c r="AM9" i="8"/>
  <c r="AO9" i="8" s="1"/>
  <c r="AN9" i="8"/>
  <c r="AN105" i="8"/>
  <c r="AM105" i="8"/>
  <c r="AO105" i="8" s="1"/>
  <c r="AK6" i="8"/>
  <c r="AN143" i="8"/>
  <c r="AM143" i="8"/>
  <c r="AO143" i="8" s="1"/>
  <c r="AK142" i="8"/>
  <c r="AK45" i="8"/>
  <c r="V17" i="7"/>
  <c r="S17" i="7"/>
  <c r="J17" i="7"/>
  <c r="AN106" i="8"/>
  <c r="AM106" i="8"/>
  <c r="AO106" i="8" s="1"/>
  <c r="AK11" i="8"/>
  <c r="AN124" i="8"/>
  <c r="AM124" i="8"/>
  <c r="AO124" i="8" s="1"/>
  <c r="AN82" i="8"/>
  <c r="AM82" i="8"/>
  <c r="AO82" i="8" s="1"/>
  <c r="AK51" i="8"/>
  <c r="AK12" i="8"/>
  <c r="AN156" i="8"/>
  <c r="AM156" i="8"/>
  <c r="AO156" i="8" s="1"/>
  <c r="AI158" i="8"/>
  <c r="AH158" i="8"/>
  <c r="AJ158" i="8" s="1"/>
  <c r="AK158" i="8" s="1"/>
  <c r="AN39" i="8"/>
  <c r="AM39" i="8"/>
  <c r="AO39" i="8" s="1"/>
  <c r="AM78" i="8"/>
  <c r="AO78" i="8" s="1"/>
  <c r="AN78" i="8"/>
  <c r="AN73" i="8"/>
  <c r="AM73" i="8"/>
  <c r="AO73" i="8" s="1"/>
  <c r="AN40" i="8"/>
  <c r="AM40" i="8"/>
  <c r="AO40" i="8" s="1"/>
  <c r="D205" i="18"/>
  <c r="D208" i="18"/>
  <c r="AK69" i="8"/>
  <c r="AN114" i="8"/>
  <c r="AM114" i="8"/>
  <c r="AO114" i="8" s="1"/>
  <c r="AN59" i="8"/>
  <c r="AM59" i="8"/>
  <c r="AO59" i="8" s="1"/>
  <c r="AK100" i="8"/>
  <c r="AK66" i="8"/>
  <c r="AM26" i="8"/>
  <c r="AO26" i="8" s="1"/>
  <c r="AN26" i="8"/>
  <c r="V5" i="7"/>
  <c r="S5" i="7"/>
  <c r="J5" i="7"/>
  <c r="AN10" i="8"/>
  <c r="AM10" i="8"/>
  <c r="AO10" i="8" s="1"/>
  <c r="H32" i="19"/>
  <c r="H35" i="19" s="1"/>
  <c r="F32" i="19"/>
  <c r="F35" i="19" s="1"/>
  <c r="E35" i="19"/>
  <c r="J157" i="8"/>
  <c r="M157" i="8"/>
  <c r="P157" i="8"/>
  <c r="AM123" i="8"/>
  <c r="AO123" i="8" s="1"/>
  <c r="AN123" i="8"/>
  <c r="AN137" i="8"/>
  <c r="AM137" i="8"/>
  <c r="AO137" i="8" s="1"/>
  <c r="AK140" i="8"/>
  <c r="V18" i="7"/>
  <c r="S18" i="7"/>
  <c r="J18" i="7"/>
  <c r="S9" i="7"/>
  <c r="V9" i="7"/>
  <c r="AN116" i="8"/>
  <c r="AM116" i="8"/>
  <c r="AO116" i="8" s="1"/>
  <c r="AK135" i="8"/>
  <c r="AK33" i="8"/>
  <c r="AN50" i="8"/>
  <c r="AM50" i="8"/>
  <c r="AO50" i="8" s="1"/>
  <c r="J38" i="7"/>
  <c r="AM60" i="8"/>
  <c r="AO60" i="8" s="1"/>
  <c r="AN60" i="8"/>
  <c r="AN92" i="8"/>
  <c r="AM92" i="8"/>
  <c r="AO92" i="8" s="1"/>
  <c r="AK19" i="8"/>
  <c r="AM72" i="8"/>
  <c r="AO72" i="8" s="1"/>
  <c r="AN72" i="8"/>
  <c r="S6" i="2"/>
  <c r="AM104" i="8"/>
  <c r="AO104" i="8" s="1"/>
  <c r="AN104" i="8"/>
  <c r="S14" i="2"/>
  <c r="AN29" i="8"/>
  <c r="AM29" i="8"/>
  <c r="AO29" i="8" s="1"/>
  <c r="AM77" i="8"/>
  <c r="AO77" i="8" s="1"/>
  <c r="AN77" i="8"/>
  <c r="AM74" i="8"/>
  <c r="AO74" i="8" s="1"/>
  <c r="AN74" i="8"/>
  <c r="J29" i="7"/>
  <c r="AK150" i="8"/>
  <c r="AN151" i="8"/>
  <c r="AM151" i="8"/>
  <c r="AO151" i="8" s="1"/>
  <c r="AM16" i="8"/>
  <c r="AO16" i="8" s="1"/>
  <c r="AN16" i="8"/>
  <c r="AK141" i="8"/>
  <c r="AM91" i="8"/>
  <c r="AO91" i="8" s="1"/>
  <c r="AN91" i="8"/>
  <c r="AK122" i="8"/>
  <c r="AM62" i="8"/>
  <c r="AO62" i="8" s="1"/>
  <c r="AN62" i="8"/>
  <c r="AK108" i="8"/>
  <c r="AN27" i="8"/>
  <c r="AM27" i="8"/>
  <c r="AO27" i="8" s="1"/>
  <c r="S4" i="7"/>
  <c r="V4" i="7"/>
  <c r="J4" i="7"/>
  <c r="AN13" i="8"/>
  <c r="AM13" i="8"/>
  <c r="AO13" i="8" s="1"/>
  <c r="AN154" i="8"/>
  <c r="AM154" i="8"/>
  <c r="AO154" i="8" s="1"/>
  <c r="AN42" i="8"/>
  <c r="AM42" i="8"/>
  <c r="AO42" i="8" s="1"/>
  <c r="AK102" i="8"/>
  <c r="AN153" i="8"/>
  <c r="AM153" i="8"/>
  <c r="AO153" i="8" s="1"/>
  <c r="AK49" i="8"/>
  <c r="AK57" i="8"/>
  <c r="AN103" i="8"/>
  <c r="AM103" i="8"/>
  <c r="AO103" i="8" s="1"/>
  <c r="V746" i="3"/>
  <c r="V744" i="3"/>
  <c r="V742" i="3"/>
  <c r="V740" i="3"/>
  <c r="V738" i="3"/>
  <c r="V736" i="3"/>
  <c r="V734" i="3"/>
  <c r="V732" i="3"/>
  <c r="V730" i="3"/>
  <c r="V728" i="3"/>
  <c r="V726" i="3"/>
  <c r="V724" i="3"/>
  <c r="V722" i="3"/>
  <c r="V720" i="3"/>
  <c r="V718" i="3"/>
  <c r="V716" i="3"/>
  <c r="V714" i="3"/>
  <c r="V712" i="3"/>
  <c r="V710" i="3"/>
  <c r="V708" i="3"/>
  <c r="V706" i="3"/>
  <c r="V704" i="3"/>
  <c r="V702" i="3"/>
  <c r="V700" i="3"/>
  <c r="V698" i="3"/>
  <c r="V696" i="3"/>
  <c r="V694" i="3"/>
  <c r="V692" i="3"/>
  <c r="V690" i="3"/>
  <c r="V688" i="3"/>
  <c r="V686" i="3"/>
  <c r="V684" i="3"/>
  <c r="V682" i="3"/>
  <c r="V680" i="3"/>
  <c r="V678" i="3"/>
  <c r="V676" i="3"/>
  <c r="V674" i="3"/>
  <c r="V672" i="3"/>
  <c r="V670" i="3"/>
  <c r="V668" i="3"/>
  <c r="V666" i="3"/>
  <c r="V664" i="3"/>
  <c r="V662" i="3"/>
  <c r="V660" i="3"/>
  <c r="V658" i="3"/>
  <c r="V656" i="3"/>
  <c r="V654" i="3"/>
  <c r="V652" i="3"/>
  <c r="V650" i="3"/>
  <c r="V648" i="3"/>
  <c r="V646" i="3"/>
  <c r="V644" i="3"/>
  <c r="V642" i="3"/>
  <c r="V640" i="3"/>
  <c r="V638" i="3"/>
  <c r="V636" i="3"/>
  <c r="V634" i="3"/>
  <c r="V632" i="3"/>
  <c r="V735" i="3"/>
  <c r="V711" i="3"/>
  <c r="V687" i="3"/>
  <c r="V663" i="3"/>
  <c r="V639" i="3"/>
  <c r="V737" i="3"/>
  <c r="V713" i="3"/>
  <c r="V689" i="3"/>
  <c r="V665" i="3"/>
  <c r="V641" i="3"/>
  <c r="V465" i="3"/>
  <c r="V463" i="3"/>
  <c r="V442" i="3"/>
  <c r="V440" i="3"/>
  <c r="V438" i="3"/>
  <c r="V436" i="3"/>
  <c r="V434" i="3"/>
  <c r="V432" i="3"/>
  <c r="V421" i="3"/>
  <c r="V419" i="3"/>
  <c r="V417" i="3"/>
  <c r="V415" i="3"/>
  <c r="V413" i="3"/>
  <c r="V411" i="3"/>
  <c r="V739" i="3"/>
  <c r="V741" i="3"/>
  <c r="V717" i="3"/>
  <c r="V693" i="3"/>
  <c r="V669" i="3"/>
  <c r="V645" i="3"/>
  <c r="V610" i="3"/>
  <c r="V608" i="3"/>
  <c r="V606" i="3"/>
  <c r="V604" i="3"/>
  <c r="V602" i="3"/>
  <c r="V600" i="3"/>
  <c r="V598" i="3"/>
  <c r="V596" i="3"/>
  <c r="V594" i="3"/>
  <c r="V592" i="3"/>
  <c r="V590" i="3"/>
  <c r="V588" i="3"/>
  <c r="V586" i="3"/>
  <c r="V584" i="3"/>
  <c r="V582" i="3"/>
  <c r="V580" i="3"/>
  <c r="V578" i="3"/>
  <c r="V576" i="3"/>
  <c r="V574" i="3"/>
  <c r="V572" i="3"/>
  <c r="V570" i="3"/>
  <c r="V568" i="3"/>
  <c r="V566" i="3"/>
  <c r="V564" i="3"/>
  <c r="V562" i="3"/>
  <c r="V560" i="3"/>
  <c r="V558" i="3"/>
  <c r="V556" i="3"/>
  <c r="V554" i="3"/>
  <c r="V552" i="3"/>
  <c r="V550" i="3"/>
  <c r="V548" i="3"/>
  <c r="V546" i="3"/>
  <c r="V544" i="3"/>
  <c r="V542" i="3"/>
  <c r="V540" i="3"/>
  <c r="V538" i="3"/>
  <c r="V536" i="3"/>
  <c r="V534" i="3"/>
  <c r="V532" i="3"/>
  <c r="V530" i="3"/>
  <c r="V528" i="3"/>
  <c r="V526" i="3"/>
  <c r="V524" i="3"/>
  <c r="V522" i="3"/>
  <c r="V520" i="3"/>
  <c r="V518" i="3"/>
  <c r="V516" i="3"/>
  <c r="V514" i="3"/>
  <c r="V512" i="3"/>
  <c r="V510" i="3"/>
  <c r="V508" i="3"/>
  <c r="V506" i="3"/>
  <c r="V504" i="3"/>
  <c r="V502" i="3"/>
  <c r="V500" i="3"/>
  <c r="V498" i="3"/>
  <c r="V496" i="3"/>
  <c r="V494" i="3"/>
  <c r="V492" i="3"/>
  <c r="V490" i="3"/>
  <c r="V488" i="3"/>
  <c r="V486" i="3"/>
  <c r="V484" i="3"/>
  <c r="V482" i="3"/>
  <c r="V480" i="3"/>
  <c r="V478" i="3"/>
  <c r="V476" i="3"/>
  <c r="V474" i="3"/>
  <c r="V472" i="3"/>
  <c r="V461" i="3"/>
  <c r="V459" i="3"/>
  <c r="V457" i="3"/>
  <c r="V455" i="3"/>
  <c r="V453" i="3"/>
  <c r="V451" i="3"/>
  <c r="V449" i="3"/>
  <c r="V428" i="3"/>
  <c r="V386" i="3"/>
  <c r="V365" i="3"/>
  <c r="V363" i="3"/>
  <c r="V361" i="3"/>
  <c r="V359" i="3"/>
  <c r="V357" i="3"/>
  <c r="V346" i="3"/>
  <c r="V344" i="3"/>
  <c r="V342" i="3"/>
  <c r="V340" i="3"/>
  <c r="V338" i="3"/>
  <c r="V336" i="3"/>
  <c r="V292" i="3"/>
  <c r="V273" i="3"/>
  <c r="V271" i="3"/>
  <c r="V250" i="3"/>
  <c r="V248" i="3"/>
  <c r="V246" i="3"/>
  <c r="V244" i="3"/>
  <c r="V233" i="3"/>
  <c r="V231" i="3"/>
  <c r="V229" i="3"/>
  <c r="V725" i="3"/>
  <c r="V701" i="3"/>
  <c r="V683" i="3"/>
  <c r="V643" i="3"/>
  <c r="V601" i="3"/>
  <c r="V577" i="3"/>
  <c r="V553" i="3"/>
  <c r="V529" i="3"/>
  <c r="V505" i="3"/>
  <c r="V481" i="3"/>
  <c r="V456" i="3"/>
  <c r="V435" i="3"/>
  <c r="V427" i="3"/>
  <c r="V347" i="3"/>
  <c r="V311" i="3"/>
  <c r="V309" i="3"/>
  <c r="V274" i="3"/>
  <c r="V272" i="3"/>
  <c r="V270" i="3"/>
  <c r="V242" i="3"/>
  <c r="V240" i="3"/>
  <c r="V203" i="3"/>
  <c r="V201" i="3"/>
  <c r="V180" i="3"/>
  <c r="V159" i="3"/>
  <c r="V119" i="3"/>
  <c r="V102" i="3"/>
  <c r="V83" i="3"/>
  <c r="V20" i="3"/>
  <c r="V18" i="3"/>
  <c r="V16" i="3"/>
  <c r="V719" i="3"/>
  <c r="V685" i="3"/>
  <c r="V603" i="3"/>
  <c r="V579" i="3"/>
  <c r="V555" i="3"/>
  <c r="V531" i="3"/>
  <c r="V507" i="3"/>
  <c r="V483" i="3"/>
  <c r="V470" i="3"/>
  <c r="V468" i="3"/>
  <c r="V458" i="3"/>
  <c r="V437" i="3"/>
  <c r="V425" i="3"/>
  <c r="V410" i="3"/>
  <c r="V334" i="3"/>
  <c r="V332" i="3"/>
  <c r="V307" i="3"/>
  <c r="V305" i="3"/>
  <c r="V303" i="3"/>
  <c r="V301" i="3"/>
  <c r="V299" i="3"/>
  <c r="V297" i="3"/>
  <c r="V268" i="3"/>
  <c r="V266" i="3"/>
  <c r="V264" i="3"/>
  <c r="V262" i="3"/>
  <c r="V260" i="3"/>
  <c r="V258" i="3"/>
  <c r="V238" i="3"/>
  <c r="V228" i="3"/>
  <c r="V226" i="3"/>
  <c r="V224" i="3"/>
  <c r="V222" i="3"/>
  <c r="V178" i="3"/>
  <c r="V157" i="3"/>
  <c r="V136" i="3"/>
  <c r="V134" i="3"/>
  <c r="V132" i="3"/>
  <c r="V130" i="3"/>
  <c r="V128" i="3"/>
  <c r="V117" i="3"/>
  <c r="V115" i="3"/>
  <c r="V113" i="3"/>
  <c r="V111" i="3"/>
  <c r="V109" i="3"/>
  <c r="V107" i="3"/>
  <c r="V100" i="3"/>
  <c r="V81" i="3"/>
  <c r="V60" i="3"/>
  <c r="V58" i="3"/>
  <c r="V56" i="3"/>
  <c r="V54" i="3"/>
  <c r="V52" i="3"/>
  <c r="V50" i="3"/>
  <c r="V41" i="3"/>
  <c r="V39" i="3"/>
  <c r="V37" i="3"/>
  <c r="V35" i="3"/>
  <c r="V14" i="3"/>
  <c r="V12" i="3"/>
  <c r="V10" i="3"/>
  <c r="V8" i="3"/>
  <c r="V120" i="3"/>
  <c r="V103" i="3"/>
  <c r="V721" i="3"/>
  <c r="V703" i="3"/>
  <c r="V605" i="3"/>
  <c r="V581" i="3"/>
  <c r="V557" i="3"/>
  <c r="V533" i="3"/>
  <c r="V509" i="3"/>
  <c r="V485" i="3"/>
  <c r="V466" i="3"/>
  <c r="V464" i="3"/>
  <c r="V462" i="3"/>
  <c r="V460" i="3"/>
  <c r="V439" i="3"/>
  <c r="V423" i="3"/>
  <c r="V412" i="3"/>
  <c r="V408" i="3"/>
  <c r="V406" i="3"/>
  <c r="V330" i="3"/>
  <c r="V295" i="3"/>
  <c r="V293" i="3"/>
  <c r="V256" i="3"/>
  <c r="V254" i="3"/>
  <c r="V236" i="3"/>
  <c r="V230" i="3"/>
  <c r="V220" i="3"/>
  <c r="V218" i="3"/>
  <c r="V199" i="3"/>
  <c r="V155" i="3"/>
  <c r="V126" i="3"/>
  <c r="V79" i="3"/>
  <c r="V48" i="3"/>
  <c r="V46" i="3"/>
  <c r="V4" i="3"/>
  <c r="V651" i="3"/>
  <c r="V563" i="3"/>
  <c r="V539" i="3"/>
  <c r="V418" i="3"/>
  <c r="V214" i="3"/>
  <c r="V212" i="3"/>
  <c r="V210" i="3"/>
  <c r="V204" i="3"/>
  <c r="V185" i="3"/>
  <c r="V743" i="3"/>
  <c r="V727" i="3"/>
  <c r="V671" i="3"/>
  <c r="V635" i="3"/>
  <c r="V541" i="3"/>
  <c r="V312" i="3"/>
  <c r="V245" i="3"/>
  <c r="V202" i="3"/>
  <c r="V137" i="3"/>
  <c r="V21" i="3"/>
  <c r="V723" i="3"/>
  <c r="V705" i="3"/>
  <c r="V667" i="3"/>
  <c r="V647" i="3"/>
  <c r="V607" i="3"/>
  <c r="V583" i="3"/>
  <c r="V559" i="3"/>
  <c r="V535" i="3"/>
  <c r="V511" i="3"/>
  <c r="V487" i="3"/>
  <c r="V447" i="3"/>
  <c r="V441" i="3"/>
  <c r="V414" i="3"/>
  <c r="V404" i="3"/>
  <c r="V402" i="3"/>
  <c r="V400" i="3"/>
  <c r="V398" i="3"/>
  <c r="V396" i="3"/>
  <c r="V394" i="3"/>
  <c r="V384" i="3"/>
  <c r="V358" i="3"/>
  <c r="V356" i="3"/>
  <c r="V354" i="3"/>
  <c r="V328" i="3"/>
  <c r="V326" i="3"/>
  <c r="V324" i="3"/>
  <c r="V322" i="3"/>
  <c r="V320" i="3"/>
  <c r="V318" i="3"/>
  <c r="V291" i="3"/>
  <c r="V252" i="3"/>
  <c r="V234" i="3"/>
  <c r="V232" i="3"/>
  <c r="V197" i="3"/>
  <c r="V176" i="3"/>
  <c r="V174" i="3"/>
  <c r="V172" i="3"/>
  <c r="V170" i="3"/>
  <c r="V168" i="3"/>
  <c r="V166" i="3"/>
  <c r="V164" i="3"/>
  <c r="V153" i="3"/>
  <c r="V151" i="3"/>
  <c r="V149" i="3"/>
  <c r="V147" i="3"/>
  <c r="V145" i="3"/>
  <c r="V143" i="3"/>
  <c r="V124" i="3"/>
  <c r="V98" i="3"/>
  <c r="V96" i="3"/>
  <c r="V94" i="3"/>
  <c r="V92" i="3"/>
  <c r="V90" i="3"/>
  <c r="V88" i="3"/>
  <c r="V77" i="3"/>
  <c r="V75" i="3"/>
  <c r="V73" i="3"/>
  <c r="V71" i="3"/>
  <c r="V69" i="3"/>
  <c r="V67" i="3"/>
  <c r="V33" i="3"/>
  <c r="V31" i="3"/>
  <c r="V29" i="3"/>
  <c r="V27" i="3"/>
  <c r="V25" i="3"/>
  <c r="V23" i="3"/>
  <c r="V6" i="3"/>
  <c r="V86" i="3"/>
  <c r="V63" i="3"/>
  <c r="V44" i="3"/>
  <c r="V709" i="3"/>
  <c r="V362" i="3"/>
  <c r="V352" i="3"/>
  <c r="V275" i="3"/>
  <c r="V208" i="3"/>
  <c r="V189" i="3"/>
  <c r="V160" i="3"/>
  <c r="V366" i="3"/>
  <c r="V348" i="3"/>
  <c r="V310" i="3"/>
  <c r="V15" i="3"/>
  <c r="V745" i="3"/>
  <c r="V707" i="3"/>
  <c r="V649" i="3"/>
  <c r="V631" i="3"/>
  <c r="V629" i="3"/>
  <c r="V627" i="3"/>
  <c r="V625" i="3"/>
  <c r="V623" i="3"/>
  <c r="V621" i="3"/>
  <c r="V619" i="3"/>
  <c r="V617" i="3"/>
  <c r="V615" i="3"/>
  <c r="V613" i="3"/>
  <c r="V611" i="3"/>
  <c r="V609" i="3"/>
  <c r="V585" i="3"/>
  <c r="V561" i="3"/>
  <c r="V537" i="3"/>
  <c r="V513" i="3"/>
  <c r="V489" i="3"/>
  <c r="V445" i="3"/>
  <c r="V443" i="3"/>
  <c r="V416" i="3"/>
  <c r="V392" i="3"/>
  <c r="V390" i="3"/>
  <c r="V388" i="3"/>
  <c r="V382" i="3"/>
  <c r="V380" i="3"/>
  <c r="V378" i="3"/>
  <c r="V376" i="3"/>
  <c r="V374" i="3"/>
  <c r="V372" i="3"/>
  <c r="V370" i="3"/>
  <c r="V368" i="3"/>
  <c r="V360" i="3"/>
  <c r="V316" i="3"/>
  <c r="V314" i="3"/>
  <c r="V289" i="3"/>
  <c r="V287" i="3"/>
  <c r="V285" i="3"/>
  <c r="V283" i="3"/>
  <c r="V281" i="3"/>
  <c r="V279" i="3"/>
  <c r="V277" i="3"/>
  <c r="V216" i="3"/>
  <c r="V195" i="3"/>
  <c r="V162" i="3"/>
  <c r="V141" i="3"/>
  <c r="V139" i="3"/>
  <c r="V65" i="3"/>
  <c r="V633" i="3"/>
  <c r="V587" i="3"/>
  <c r="V515" i="3"/>
  <c r="V350" i="3"/>
  <c r="V243" i="3"/>
  <c r="V691" i="3"/>
  <c r="V653" i="3"/>
  <c r="V517" i="3"/>
  <c r="V493" i="3"/>
  <c r="V420" i="3"/>
  <c r="V364" i="3"/>
  <c r="V335" i="3"/>
  <c r="V181" i="3"/>
  <c r="V101" i="3"/>
  <c r="V19" i="3"/>
  <c r="V729" i="3"/>
  <c r="V637" i="3"/>
  <c r="V491" i="3"/>
  <c r="V430" i="3"/>
  <c r="V206" i="3"/>
  <c r="V193" i="3"/>
  <c r="V191" i="3"/>
  <c r="V187" i="3"/>
  <c r="V183" i="3"/>
  <c r="V122" i="3"/>
  <c r="V105" i="3"/>
  <c r="V84" i="3"/>
  <c r="V589" i="3"/>
  <c r="V565" i="3"/>
  <c r="V241" i="3"/>
  <c r="V179" i="3"/>
  <c r="V61" i="3"/>
  <c r="V17" i="3"/>
  <c r="V673" i="3"/>
  <c r="V655" i="3"/>
  <c r="V681" i="3"/>
  <c r="V573" i="3"/>
  <c r="V495" i="3"/>
  <c r="V426" i="3"/>
  <c r="V407" i="3"/>
  <c r="V389" i="3"/>
  <c r="V367" i="3"/>
  <c r="V333" i="3"/>
  <c r="V265" i="3"/>
  <c r="V235" i="3"/>
  <c r="V188" i="3"/>
  <c r="V154" i="3"/>
  <c r="V121" i="3"/>
  <c r="V114" i="3"/>
  <c r="V76" i="3"/>
  <c r="V28" i="3"/>
  <c r="V30" i="3"/>
  <c r="V321" i="3"/>
  <c r="V294" i="3"/>
  <c r="V269" i="3"/>
  <c r="V221" i="3"/>
  <c r="V163" i="3"/>
  <c r="V156" i="3"/>
  <c r="V125" i="3"/>
  <c r="V118" i="3"/>
  <c r="V87" i="3"/>
  <c r="V45" i="3"/>
  <c r="V43" i="3"/>
  <c r="V34" i="3"/>
  <c r="V620" i="3"/>
  <c r="V397" i="3"/>
  <c r="V343" i="3"/>
  <c r="V167" i="3"/>
  <c r="V47" i="3"/>
  <c r="V473" i="3"/>
  <c r="V429" i="3"/>
  <c r="V399" i="3"/>
  <c r="V129" i="3"/>
  <c r="V93" i="3"/>
  <c r="V599" i="3"/>
  <c r="V521" i="3"/>
  <c r="V284" i="3"/>
  <c r="V99" i="3"/>
  <c r="V68" i="3"/>
  <c r="V55" i="3"/>
  <c r="V13" i="3"/>
  <c r="V731" i="3"/>
  <c r="V675" i="3"/>
  <c r="V422" i="3"/>
  <c r="V313" i="3"/>
  <c r="V259" i="3"/>
  <c r="V108" i="3"/>
  <c r="V70" i="3"/>
  <c r="V677" i="3"/>
  <c r="V525" i="3"/>
  <c r="V315" i="3"/>
  <c r="V288" i="3"/>
  <c r="V150" i="3"/>
  <c r="V387" i="3"/>
  <c r="V695" i="3"/>
  <c r="V612" i="3"/>
  <c r="V575" i="3"/>
  <c r="V497" i="3"/>
  <c r="V467" i="3"/>
  <c r="V446" i="3"/>
  <c r="V444" i="3"/>
  <c r="V409" i="3"/>
  <c r="V369" i="3"/>
  <c r="V355" i="3"/>
  <c r="V353" i="3"/>
  <c r="V319" i="3"/>
  <c r="V267" i="3"/>
  <c r="V247" i="3"/>
  <c r="V237" i="3"/>
  <c r="V190" i="3"/>
  <c r="V161" i="3"/>
  <c r="V123" i="3"/>
  <c r="V116" i="3"/>
  <c r="V85" i="3"/>
  <c r="V78" i="3"/>
  <c r="V337" i="3"/>
  <c r="V296" i="3"/>
  <c r="V249" i="3"/>
  <c r="V219" i="3"/>
  <c r="V192" i="3"/>
  <c r="V32" i="3"/>
  <c r="V302" i="3"/>
  <c r="V227" i="3"/>
  <c r="V138" i="3"/>
  <c r="V36" i="3"/>
  <c r="V715" i="3"/>
  <c r="V622" i="3"/>
  <c r="V551" i="3"/>
  <c r="V345" i="3"/>
  <c r="V280" i="3"/>
  <c r="V140" i="3"/>
  <c r="V9" i="3"/>
  <c r="V477" i="3"/>
  <c r="V173" i="3"/>
  <c r="V146" i="3"/>
  <c r="V22" i="3"/>
  <c r="V567" i="3"/>
  <c r="V405" i="3"/>
  <c r="V148" i="3"/>
  <c r="V135" i="3"/>
  <c r="V733" i="3"/>
  <c r="V385" i="3"/>
  <c r="V261" i="3"/>
  <c r="V110" i="3"/>
  <c r="V59" i="3"/>
  <c r="V24" i="3"/>
  <c r="V571" i="3"/>
  <c r="V263" i="3"/>
  <c r="V152" i="3"/>
  <c r="V26" i="3"/>
  <c r="V697" i="3"/>
  <c r="V614" i="3"/>
  <c r="V543" i="3"/>
  <c r="V499" i="3"/>
  <c r="V448" i="3"/>
  <c r="V371" i="3"/>
  <c r="V213" i="3"/>
  <c r="V699" i="3"/>
  <c r="V616" i="3"/>
  <c r="V545" i="3"/>
  <c r="V501" i="3"/>
  <c r="V393" i="3"/>
  <c r="V391" i="3"/>
  <c r="V373" i="3"/>
  <c r="V339" i="3"/>
  <c r="V323" i="3"/>
  <c r="V298" i="3"/>
  <c r="V276" i="3"/>
  <c r="V251" i="3"/>
  <c r="V223" i="3"/>
  <c r="V196" i="3"/>
  <c r="V194" i="3"/>
  <c r="V158" i="3"/>
  <c r="V127" i="3"/>
  <c r="V80" i="3"/>
  <c r="V7" i="3"/>
  <c r="V5" i="3"/>
  <c r="V3" i="3"/>
  <c r="V327" i="3"/>
  <c r="V595" i="3"/>
  <c r="V452" i="3"/>
  <c r="V379" i="3"/>
  <c r="V329" i="3"/>
  <c r="V304" i="3"/>
  <c r="V205" i="3"/>
  <c r="V200" i="3"/>
  <c r="V169" i="3"/>
  <c r="V142" i="3"/>
  <c r="V62" i="3"/>
  <c r="V51" i="3"/>
  <c r="V661" i="3"/>
  <c r="V626" i="3"/>
  <c r="V257" i="3"/>
  <c r="V255" i="3"/>
  <c r="V209" i="3"/>
  <c r="V104" i="3"/>
  <c r="V42" i="3"/>
  <c r="V628" i="3"/>
  <c r="V523" i="3"/>
  <c r="V479" i="3"/>
  <c r="V211" i="3"/>
  <c r="V182" i="3"/>
  <c r="V177" i="3"/>
  <c r="V630" i="3"/>
  <c r="V569" i="3"/>
  <c r="V72" i="3"/>
  <c r="V317" i="3"/>
  <c r="V217" i="3"/>
  <c r="V186" i="3"/>
  <c r="V618" i="3"/>
  <c r="V591" i="3"/>
  <c r="V547" i="3"/>
  <c r="V503" i="3"/>
  <c r="V469" i="3"/>
  <c r="V395" i="3"/>
  <c r="V375" i="3"/>
  <c r="V341" i="3"/>
  <c r="V325" i="3"/>
  <c r="V300" i="3"/>
  <c r="V278" i="3"/>
  <c r="V239" i="3"/>
  <c r="V225" i="3"/>
  <c r="V198" i="3"/>
  <c r="V165" i="3"/>
  <c r="V89" i="3"/>
  <c r="V82" i="3"/>
  <c r="V593" i="3"/>
  <c r="V549" i="3"/>
  <c r="V471" i="3"/>
  <c r="V450" i="3"/>
  <c r="V377" i="3"/>
  <c r="V253" i="3"/>
  <c r="V91" i="3"/>
  <c r="V49" i="3"/>
  <c r="V657" i="3"/>
  <c r="V38" i="3"/>
  <c r="V433" i="3"/>
  <c r="V403" i="3"/>
  <c r="V383" i="3"/>
  <c r="V308" i="3"/>
  <c r="V133" i="3"/>
  <c r="V97" i="3"/>
  <c r="V331" i="3"/>
  <c r="V286" i="3"/>
  <c r="V175" i="3"/>
  <c r="V57" i="3"/>
  <c r="V349" i="3"/>
  <c r="V184" i="3"/>
  <c r="V747" i="3"/>
  <c r="V679" i="3"/>
  <c r="V527" i="3"/>
  <c r="V424" i="3"/>
  <c r="V351" i="3"/>
  <c r="V290" i="3"/>
  <c r="V215" i="3"/>
  <c r="V112" i="3"/>
  <c r="V74" i="3"/>
  <c r="V659" i="3"/>
  <c r="V624" i="3"/>
  <c r="V597" i="3"/>
  <c r="V519" i="3"/>
  <c r="V475" i="3"/>
  <c r="V454" i="3"/>
  <c r="V431" i="3"/>
  <c r="V401" i="3"/>
  <c r="V381" i="3"/>
  <c r="V306" i="3"/>
  <c r="V282" i="3"/>
  <c r="V207" i="3"/>
  <c r="V171" i="3"/>
  <c r="V144" i="3"/>
  <c r="V131" i="3"/>
  <c r="V106" i="3"/>
  <c r="V95" i="3"/>
  <c r="V66" i="3"/>
  <c r="V64" i="3"/>
  <c r="V53" i="3"/>
  <c r="V40" i="3"/>
  <c r="V11" i="3"/>
  <c r="AK71" i="8"/>
  <c r="AN35" i="8"/>
  <c r="AM35" i="8"/>
  <c r="AO35" i="8" s="1"/>
  <c r="AK53" i="8"/>
  <c r="AK86" i="8"/>
  <c r="AK65" i="8"/>
  <c r="AN8" i="8"/>
  <c r="AM8" i="8"/>
  <c r="AO8" i="8" s="1"/>
  <c r="S5" i="2"/>
  <c r="AN14" i="8"/>
  <c r="AM14" i="8"/>
  <c r="AO14" i="8" s="1"/>
  <c r="F54" i="19"/>
  <c r="F56" i="19" s="1"/>
  <c r="H54" i="19"/>
  <c r="H56" i="19" s="1"/>
  <c r="E56" i="19"/>
  <c r="AM76" i="8"/>
  <c r="AO76" i="8" s="1"/>
  <c r="AN76" i="8"/>
  <c r="AK15" i="8"/>
  <c r="O12" i="2"/>
  <c r="AN30" i="8"/>
  <c r="AM30" i="8"/>
  <c r="AO30" i="8" s="1"/>
  <c r="AM7" i="8"/>
  <c r="AO7" i="8" s="1"/>
  <c r="AN7" i="8"/>
  <c r="AN22" i="8"/>
  <c r="AM22" i="8"/>
  <c r="AO22" i="8" s="1"/>
  <c r="AN139" i="8"/>
  <c r="AM139" i="8"/>
  <c r="AO139" i="8" s="1"/>
  <c r="AN43" i="8"/>
  <c r="AM43" i="8"/>
  <c r="AO43" i="8" s="1"/>
  <c r="AM20" i="8"/>
  <c r="AO20" i="8" s="1"/>
  <c r="AN20" i="8"/>
  <c r="AN4" i="8"/>
  <c r="AM4" i="8"/>
  <c r="AO4" i="8" s="1"/>
  <c r="AI157" i="8"/>
  <c r="AH157" i="8"/>
  <c r="AJ157" i="8" s="1"/>
  <c r="AK157" i="8" s="1"/>
  <c r="H48" i="19"/>
  <c r="AK121" i="8"/>
  <c r="AN145" i="8"/>
  <c r="AM145" i="8"/>
  <c r="AO145" i="8" s="1"/>
  <c r="AK110" i="8"/>
  <c r="AK41" i="8"/>
  <c r="AK96" i="8"/>
  <c r="AK38" i="8"/>
  <c r="AM55" i="8"/>
  <c r="AO55" i="8" s="1"/>
  <c r="AN55" i="8"/>
  <c r="AM81" i="8"/>
  <c r="AO81" i="8" s="1"/>
  <c r="AN81" i="8"/>
  <c r="S9" i="2"/>
  <c r="AM31" i="8"/>
  <c r="AO31" i="8" s="1"/>
  <c r="AN31" i="8"/>
  <c r="AN158" i="8" l="1"/>
  <c r="AM158" i="8"/>
  <c r="AO158" i="8" s="1"/>
  <c r="AN141" i="8"/>
  <c r="AM141" i="8"/>
  <c r="AO141" i="8" s="1"/>
  <c r="AN140" i="8"/>
  <c r="AM140" i="8"/>
  <c r="AO140" i="8" s="1"/>
  <c r="AN69" i="8"/>
  <c r="AM69" i="8"/>
  <c r="AO69" i="8" s="1"/>
  <c r="AM119" i="8"/>
  <c r="AO119" i="8" s="1"/>
  <c r="AN119" i="8"/>
  <c r="AM38" i="8"/>
  <c r="AO38" i="8" s="1"/>
  <c r="AN38" i="8"/>
  <c r="AM65" i="8"/>
  <c r="AO65" i="8" s="1"/>
  <c r="AN65" i="8"/>
  <c r="AN96" i="8"/>
  <c r="AM96" i="8"/>
  <c r="AO96" i="8" s="1"/>
  <c r="AN15" i="8"/>
  <c r="AM15" i="8"/>
  <c r="AO15" i="8" s="1"/>
  <c r="AN86" i="8"/>
  <c r="AM86" i="8"/>
  <c r="AO86" i="8" s="1"/>
  <c r="AN21" i="8"/>
  <c r="AM21" i="8"/>
  <c r="AO21" i="8" s="1"/>
  <c r="AM11" i="8"/>
  <c r="AO11" i="8" s="1"/>
  <c r="AN11" i="8"/>
  <c r="AJ1" i="8"/>
  <c r="AK3" i="8"/>
  <c r="AM110" i="8"/>
  <c r="AO110" i="8" s="1"/>
  <c r="AN110" i="8"/>
  <c r="AN33" i="8"/>
  <c r="AM33" i="8"/>
  <c r="AO33" i="8" s="1"/>
  <c r="AM135" i="8"/>
  <c r="AO135" i="8" s="1"/>
  <c r="AN135" i="8"/>
  <c r="AN45" i="8"/>
  <c r="AM45" i="8"/>
  <c r="AO45" i="8" s="1"/>
  <c r="AM12" i="8"/>
  <c r="AO12" i="8" s="1"/>
  <c r="AN12" i="8"/>
  <c r="AN150" i="8"/>
  <c r="AM150" i="8"/>
  <c r="AO150" i="8" s="1"/>
  <c r="AN51" i="8"/>
  <c r="AM51" i="8"/>
  <c r="AO51" i="8" s="1"/>
  <c r="AN142" i="8"/>
  <c r="AM142" i="8"/>
  <c r="AO142" i="8" s="1"/>
  <c r="Q12" i="2"/>
  <c r="R3" i="2"/>
  <c r="AM102" i="8"/>
  <c r="AO102" i="8" s="1"/>
  <c r="AN102" i="8"/>
  <c r="AN108" i="8"/>
  <c r="AM108" i="8"/>
  <c r="AO108" i="8" s="1"/>
  <c r="AN66" i="8"/>
  <c r="AM66" i="8"/>
  <c r="AO66" i="8" s="1"/>
  <c r="AN49" i="8"/>
  <c r="AM49" i="8"/>
  <c r="AO49" i="8" s="1"/>
  <c r="AN71" i="8"/>
  <c r="AM71" i="8"/>
  <c r="AO71" i="8" s="1"/>
  <c r="AN19" i="8"/>
  <c r="AM19" i="8"/>
  <c r="AO19" i="8" s="1"/>
  <c r="AM100" i="8"/>
  <c r="AO100" i="8" s="1"/>
  <c r="AN100" i="8"/>
  <c r="AN46" i="8"/>
  <c r="AM46" i="8"/>
  <c r="AO46" i="8" s="1"/>
  <c r="AM122" i="8"/>
  <c r="AO122" i="8" s="1"/>
  <c r="AN122" i="8"/>
  <c r="AN41" i="8"/>
  <c r="AM41" i="8"/>
  <c r="AO41" i="8" s="1"/>
  <c r="AN53" i="8"/>
  <c r="AM53" i="8"/>
  <c r="AO53" i="8" s="1"/>
  <c r="AN57" i="8"/>
  <c r="AM57" i="8"/>
  <c r="AO57" i="8" s="1"/>
  <c r="AM121" i="8"/>
  <c r="AO121" i="8" s="1"/>
  <c r="AN121" i="8"/>
  <c r="AN157" i="8"/>
  <c r="AM157" i="8"/>
  <c r="AO157" i="8" s="1"/>
  <c r="AN6" i="8"/>
  <c r="AM6" i="8"/>
  <c r="AO6" i="8" s="1"/>
  <c r="AN17" i="8"/>
  <c r="AM17" i="8"/>
  <c r="AO17" i="8" s="1"/>
  <c r="R12" i="2" l="1"/>
  <c r="R16" i="2" s="1"/>
  <c r="R17" i="2" s="1"/>
  <c r="S3" i="2"/>
  <c r="S12" i="2" s="1"/>
  <c r="AM3" i="8"/>
  <c r="AO3" i="8" s="1"/>
  <c r="AK1" i="8"/>
  <c r="AN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2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6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7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8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9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30" authorId="0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69" authorId="0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0" authorId="0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1" authorId="0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2" authorId="0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3" authorId="0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4" authorId="0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5" authorId="0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J174" authorId="0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se registra en "Títulos Vencidos"</t>
        </r>
      </text>
    </comment>
    <comment ref="J620" authorId="0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1" authorId="0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2" authorId="0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3" authorId="0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4" authorId="0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5" authorId="0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R625" authorId="0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3 ventas parciales</t>
        </r>
      </text>
    </comment>
    <comment ref="J626" authorId="0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8" authorId="0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877" authorId="0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S2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User:
No cuadra con el pdf y punto</t>
        </r>
      </text>
    </comment>
    <comment ref="U2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User:
No cuadra con el pdf y punto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2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 xml:space="preserve">o Fecha Transacción
</t>
        </r>
      </text>
    </comment>
    <comment ref="AO2" authorId="0" shapeId="0" xr:uid="{00000000-0006-0000-0700-000002000000}">
      <text>
        <r>
          <rPr>
            <sz val="11"/>
            <color theme="1"/>
            <rFont val="Calibri"/>
            <family val="2"/>
            <scheme val="minor"/>
          </rPr>
          <t xml:space="preserve">=(1 + ROI)^(365 / Días) - 1
</t>
        </r>
      </text>
    </comment>
    <comment ref="U128" authorId="0" shapeId="0" xr:uid="{00000000-0006-0000-0700-000003000000}">
      <text>
        <r>
          <rPr>
            <sz val="11"/>
            <color theme="1"/>
            <rFont val="Calibri"/>
            <family val="2"/>
            <scheme val="minor"/>
          </rPr>
          <t>valor total de 58 NCs</t>
        </r>
      </text>
    </comment>
    <comment ref="U129" authorId="0" shapeId="0" xr:uid="{00000000-0006-0000-0700-000004000000}">
      <text>
        <r>
          <rPr>
            <sz val="11"/>
            <color theme="1"/>
            <rFont val="Calibri"/>
            <family val="2"/>
            <scheme val="minor"/>
          </rPr>
          <t># acciones</t>
        </r>
      </text>
    </comment>
    <comment ref="AJ129" authorId="0" shapeId="0" xr:uid="{00000000-0006-0000-0700-000005000000}">
      <text>
        <r>
          <rPr>
            <sz val="11"/>
            <color theme="1"/>
            <rFont val="Calibri"/>
            <family val="2"/>
            <scheme val="minor"/>
          </rPr>
          <t>utilidad recibida</t>
        </r>
      </text>
    </comment>
    <comment ref="Q131" authorId="0" shapeId="0" xr:uid="{00000000-0006-0000-0700-000006000000}">
      <text>
        <r>
          <rPr>
            <sz val="11"/>
            <color theme="1"/>
            <rFont val="Calibri"/>
            <family val="2"/>
            <scheme val="minor"/>
          </rPr>
          <t>venta parcial 1</t>
        </r>
      </text>
    </comment>
    <comment ref="AA131" authorId="0" shapeId="0" xr:uid="{00000000-0006-0000-0700-000007000000}">
      <text>
        <r>
          <rPr>
            <sz val="11"/>
            <color theme="1"/>
            <rFont val="Calibri"/>
            <family val="2"/>
            <scheme val="minor"/>
          </rPr>
          <t>venta parcial 1</t>
        </r>
      </text>
    </comment>
    <comment ref="U132" authorId="0" shapeId="0" xr:uid="{00000000-0006-0000-0700-000008000000}">
      <text>
        <r>
          <rPr>
            <sz val="11"/>
            <color theme="1"/>
            <rFont val="Calibri"/>
            <family val="2"/>
            <scheme val="minor"/>
          </rPr>
          <t>valor total de 37 NCs</t>
        </r>
      </text>
    </comment>
    <comment ref="Q133" authorId="0" shapeId="0" xr:uid="{00000000-0006-0000-0700-000009000000}">
      <text>
        <r>
          <rPr>
            <sz val="11"/>
            <color theme="1"/>
            <rFont val="Calibri"/>
            <family val="2"/>
            <scheme val="minor"/>
          </rPr>
          <t>venta parcial 2</t>
        </r>
      </text>
    </comment>
    <comment ref="AA133" authorId="0" shapeId="0" xr:uid="{00000000-0006-0000-0700-00000A000000}">
      <text>
        <r>
          <rPr>
            <sz val="11"/>
            <color theme="1"/>
            <rFont val="Calibri"/>
            <family val="2"/>
            <scheme val="minor"/>
          </rPr>
          <t>venta parcial 2</t>
        </r>
      </text>
    </comment>
    <comment ref="Q134" authorId="0" shapeId="0" xr:uid="{00000000-0006-0000-0700-00000B000000}">
      <text>
        <r>
          <rPr>
            <sz val="11"/>
            <color theme="1"/>
            <rFont val="Calibri"/>
            <family val="2"/>
            <scheme val="minor"/>
          </rPr>
          <t xml:space="preserve">venta parcial 3
</t>
        </r>
      </text>
    </comment>
    <comment ref="AA134" authorId="0" shapeId="0" xr:uid="{00000000-0006-0000-0700-00000C000000}">
      <text>
        <r>
          <rPr>
            <sz val="11"/>
            <color theme="1"/>
            <rFont val="Calibri"/>
            <family val="2"/>
            <scheme val="minor"/>
          </rPr>
          <t>venta parcial 3</t>
        </r>
      </text>
    </comment>
    <comment ref="Q135" authorId="0" shapeId="0" xr:uid="{00000000-0006-0000-0700-00000D000000}">
      <text>
        <r>
          <rPr>
            <sz val="11"/>
            <color theme="1"/>
            <rFont val="Calibri"/>
            <family val="2"/>
            <scheme val="minor"/>
          </rPr>
          <t>venta parcial 4</t>
        </r>
      </text>
    </comment>
    <comment ref="AA135" authorId="0" shapeId="0" xr:uid="{00000000-0006-0000-0700-00000E000000}">
      <text>
        <r>
          <rPr>
            <sz val="11"/>
            <color theme="1"/>
            <rFont val="Calibri"/>
            <family val="2"/>
            <scheme val="minor"/>
          </rPr>
          <t>venta parcial 4</t>
        </r>
      </text>
    </comment>
    <comment ref="U136" authorId="0" shapeId="0" xr:uid="{00000000-0006-0000-0700-00000F000000}">
      <text>
        <r>
          <rPr>
            <sz val="11"/>
            <color theme="1"/>
            <rFont val="Calibri"/>
            <family val="2"/>
            <scheme val="minor"/>
          </rPr>
          <t>Valor total de 39 NCs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U80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no cuadra con la liquidación del pdf</t>
        </r>
      </text>
    </comment>
    <comment ref="X80" authorId="0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no cuadra con la liquidación del pdf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Jhon Alfredo Orellana Ocaña</author>
  </authors>
  <commentList>
    <comment ref="B221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>cot 700 - 32900
cot 400 - 18800
real: 18878,44
acciones: 47</t>
        </r>
      </text>
    </comment>
    <comment ref="B223" authorId="0" shapeId="0" xr:uid="{00000000-0006-0000-1100-000002000000}">
      <text>
        <r>
          <rPr>
            <sz val="11"/>
            <color theme="1"/>
            <rFont val="Calibri"/>
            <family val="2"/>
            <scheme val="minor"/>
          </rPr>
          <t xml:space="preserve">Acciones: 17700
Real: 15.612,73
cot 1,12 - 19.824,00
</t>
        </r>
      </text>
    </comment>
    <comment ref="B247" authorId="0" shapeId="0" xr:uid="{00000000-0006-0000-1100-000003000000}">
      <text>
        <r>
          <rPr>
            <sz val="11"/>
            <color theme="1"/>
            <rFont val="Calibri"/>
            <family val="2"/>
            <scheme val="minor"/>
          </rPr>
          <t>cot 700 - 32900
cot 400 - 18800
real: 18878,44
acciones: 47</t>
        </r>
      </text>
    </comment>
    <comment ref="B249" authorId="0" shapeId="0" xr:uid="{00000000-0006-0000-1100-000004000000}">
      <text>
        <r>
          <rPr>
            <sz val="11"/>
            <color theme="1"/>
            <rFont val="Calibri"/>
            <family val="2"/>
            <scheme val="minor"/>
          </rPr>
          <t xml:space="preserve">Acciones: 17700
Real: 15.612,73
cot 1,12 - 19.824,00
</t>
        </r>
      </text>
    </comment>
  </commentList>
</comments>
</file>

<file path=xl/sharedStrings.xml><?xml version="1.0" encoding="utf-8"?>
<sst xmlns="http://schemas.openxmlformats.org/spreadsheetml/2006/main" count="7126" uniqueCount="592">
  <si>
    <t>0,09%AVE o US$4</t>
  </si>
  <si>
    <t>0,50%AVE o US$20</t>
  </si>
  <si>
    <t>#</t>
  </si>
  <si>
    <t>Título</t>
  </si>
  <si>
    <t>Emisor</t>
  </si>
  <si>
    <t>Fecha valor</t>
  </si>
  <si>
    <t>Valor Nominal</t>
  </si>
  <si>
    <t>Fecha de Emisión</t>
  </si>
  <si>
    <t>Fecha de vencimiento</t>
  </si>
  <si>
    <t>Tasa de Interés</t>
  </si>
  <si>
    <t>Plazo total</t>
  </si>
  <si>
    <t>Rendimiento</t>
  </si>
  <si>
    <t>Precio</t>
  </si>
  <si>
    <t>Valor Efectivo</t>
  </si>
  <si>
    <t>Plazo por vencer</t>
  </si>
  <si>
    <t>Días transcurridos</t>
  </si>
  <si>
    <t>Intereses devengados</t>
  </si>
  <si>
    <t>Comisión Bolsa</t>
  </si>
  <si>
    <t>Comisión Vendedor Casa</t>
  </si>
  <si>
    <t>Total  Vendedor</t>
  </si>
  <si>
    <t>Certificado de Inversión</t>
  </si>
  <si>
    <t>Diners Club</t>
  </si>
  <si>
    <t>Vendido</t>
  </si>
  <si>
    <t>SI</t>
  </si>
  <si>
    <t>Esperado</t>
  </si>
  <si>
    <t>Real</t>
  </si>
  <si>
    <t>REAL final</t>
  </si>
  <si>
    <t>DESDE</t>
  </si>
  <si>
    <t>VENCIMIENTO</t>
  </si>
  <si>
    <t>Dueño</t>
  </si>
  <si>
    <t>PLAZO meses</t>
  </si>
  <si>
    <t>PLAZO dias</t>
  </si>
  <si>
    <t>TASA</t>
  </si>
  <si>
    <t>Base</t>
  </si>
  <si>
    <t>INTERES</t>
  </si>
  <si>
    <t>MONTO</t>
  </si>
  <si>
    <t>Días pre-cancelacion</t>
  </si>
  <si>
    <t>Nueva Tasa</t>
  </si>
  <si>
    <t>Nuevo Interes ganado</t>
  </si>
  <si>
    <t>Diferencia</t>
  </si>
  <si>
    <t>Nuevo Monto
para Compra</t>
  </si>
  <si>
    <t>Monto después Venta</t>
  </si>
  <si>
    <t>Ganancia por Acciones</t>
  </si>
  <si>
    <t>Comparación</t>
  </si>
  <si>
    <t>Jaime</t>
  </si>
  <si>
    <t>Diners</t>
  </si>
  <si>
    <t>Cristian</t>
  </si>
  <si>
    <t>Jhon</t>
  </si>
  <si>
    <t>Isabel</t>
  </si>
  <si>
    <t>Total Ganancia Diners</t>
  </si>
  <si>
    <t>Total Ganancia Acciones</t>
  </si>
  <si>
    <t>CON AFECTACION POR 9%</t>
  </si>
  <si>
    <t>A Favor</t>
  </si>
  <si>
    <t>Recibido</t>
  </si>
  <si>
    <t>Perdida</t>
  </si>
  <si>
    <t>Días nuevo vencimiento</t>
  </si>
  <si>
    <t>Monto original del certificado</t>
  </si>
  <si>
    <t>Interes al 6%
(cubre Diners)</t>
  </si>
  <si>
    <t>Interes a la tasa de variación (3%)</t>
  </si>
  <si>
    <t>Total a favor Nuevo Cliente</t>
  </si>
  <si>
    <t>JHON</t>
  </si>
  <si>
    <t>JAIME</t>
  </si>
  <si>
    <t>Titular</t>
  </si>
  <si>
    <t>Tipo Inversión</t>
  </si>
  <si>
    <t>CAPITAL</t>
  </si>
  <si>
    <t>Retención</t>
  </si>
  <si>
    <t>Interés total</t>
  </si>
  <si>
    <t>Retención año</t>
  </si>
  <si>
    <t>Interes año</t>
  </si>
  <si>
    <t>Mensual</t>
  </si>
  <si>
    <t>Retención año2</t>
  </si>
  <si>
    <t>Interes año3</t>
  </si>
  <si>
    <t>Operación Compra No.</t>
  </si>
  <si>
    <t>CAPITAL + INTERES al Corte</t>
  </si>
  <si>
    <t>VIGENTE</t>
  </si>
  <si>
    <t>INTERES  al Corte</t>
  </si>
  <si>
    <t>SEMANA</t>
  </si>
  <si>
    <t>Día Semana</t>
  </si>
  <si>
    <t>Bonos</t>
  </si>
  <si>
    <t>BONOS DEL ESTADO 3/7/2029</t>
  </si>
  <si>
    <t>BONOS DEL ESTADO 04/12/2031</t>
  </si>
  <si>
    <t>BONOS DEL ESTADO 04/12/2030</t>
  </si>
  <si>
    <t>BONOS DEL ESTADO 06/09/2032</t>
  </si>
  <si>
    <t>BONOS DEL ESTADO 05/09/2032</t>
  </si>
  <si>
    <t>BONOS DEL ESTADO 06/08/2033</t>
  </si>
  <si>
    <t>BONOS DEL ESTADO 2034-08-06</t>
  </si>
  <si>
    <t>BONOS DEL ESTADO 2031-11-06</t>
  </si>
  <si>
    <t>BONOS DEL ESTADO 06/11/2032</t>
  </si>
  <si>
    <t>Obligaciones</t>
  </si>
  <si>
    <t>EMPAGRAM 2028-04-08</t>
  </si>
  <si>
    <t>BONOS DEL ESTADO 08/5/2034</t>
  </si>
  <si>
    <t>BONOS DEL ESTADO 10/09/2032</t>
  </si>
  <si>
    <t>BONOS DEL ESTADO 11/7/2033</t>
  </si>
  <si>
    <t>BONOS DEL ESTADO 12/06/2028</t>
  </si>
  <si>
    <t>TELCONET 2029-01-13</t>
  </si>
  <si>
    <t>BONOS DEL ESTADO 15/07/2027</t>
  </si>
  <si>
    <t>Acciones Sin Interés</t>
  </si>
  <si>
    <t>INTERES BRIKAPITAL 01/02/2030</t>
  </si>
  <si>
    <t>BONOS DEL ESTADO 17/5/2028</t>
  </si>
  <si>
    <t>BONOS DEL ESTADO 17/5/2030</t>
  </si>
  <si>
    <t>BONOS DEL ESTADO 2032-11-18</t>
  </si>
  <si>
    <t>BONOS DEL ESTADO 18/11/2032</t>
  </si>
  <si>
    <t>BONOS DEL ESTADO 18/11/2033</t>
  </si>
  <si>
    <t>BONOS DEL ESTADO 21/04/2029</t>
  </si>
  <si>
    <t>TELCONET 2029-01-21</t>
  </si>
  <si>
    <t>BONOS DEL ESTADO 24/05/2031</t>
  </si>
  <si>
    <t>BONOS DEL ESTADO 2033-07-25</t>
  </si>
  <si>
    <t>BONOS DEL ESTADO 26/04/2028</t>
  </si>
  <si>
    <t>BONOS DEL ESTADO 27/07/2029</t>
  </si>
  <si>
    <t>BONOS DEL ESTADO 2033-06-27</t>
  </si>
  <si>
    <t>BONOS DEL ESTADO 2032-06-27</t>
  </si>
  <si>
    <t>BONOS DEL ESTADO 28/04/2029</t>
  </si>
  <si>
    <t>TELCONET 2028-02-09</t>
  </si>
  <si>
    <t>TELCONET 2028-02-05</t>
  </si>
  <si>
    <t>TELCONET 2028-05-09</t>
  </si>
  <si>
    <t>AGRO SILVIA MARIA AGROSYLMA 30/8/2027</t>
  </si>
  <si>
    <t>OBLIGACION DUPOCSA 14/03/2027</t>
  </si>
  <si>
    <t>EMPAGRAN 2027-12-10</t>
  </si>
  <si>
    <t>Titularizaciones</t>
  </si>
  <si>
    <t>NUEVO TRANSPORTE 12/12/2028</t>
  </si>
  <si>
    <t>OBLIGACION FUROIANI 22/06/2026</t>
  </si>
  <si>
    <t>BLUE ENERGY 2033-03-11</t>
  </si>
  <si>
    <t>TELCONET 2028-02-10</t>
  </si>
  <si>
    <t>Papel Comercial</t>
  </si>
  <si>
    <t>EMPAGRAN 2026-08-21</t>
  </si>
  <si>
    <t>TELCONET 2028-02-13</t>
  </si>
  <si>
    <t>TELCONET 2028-02-14</t>
  </si>
  <si>
    <t>Acciones FAVORITA 31/12/2034</t>
  </si>
  <si>
    <t>Acciones BANCO AUSTRO 31/12/2034</t>
  </si>
  <si>
    <t>Acciones Pago Interés</t>
  </si>
  <si>
    <t>Acciones BRIKAPÌTAL 31/12/2034</t>
  </si>
  <si>
    <t>Acciones PRODUBANCO 31/12/2034</t>
  </si>
  <si>
    <t>Acciones Banco GUAYAQUIL 31/12/2034</t>
  </si>
  <si>
    <t>SUMA TR PREVIAS</t>
  </si>
  <si>
    <t>Acciones Banco PICHINCHA 31/12/2034</t>
  </si>
  <si>
    <t>BONOS DEL ESTADO 12/06/2029</t>
  </si>
  <si>
    <t>Acciones CRIDESA 31/12/2034</t>
  </si>
  <si>
    <t>EMPAGRAN 2027-04-09</t>
  </si>
  <si>
    <t>Argentina</t>
  </si>
  <si>
    <t>EMPAGRAN 2027-04-16</t>
  </si>
  <si>
    <t>Acciones BANCO BOLIVARIANO 31/12/2034</t>
  </si>
  <si>
    <t>11973 - VAD20</t>
  </si>
  <si>
    <t>BONOS DEL ESTADO 25/07/2033</t>
  </si>
  <si>
    <t>BONOS DEL ESTADO 25/07/2034</t>
  </si>
  <si>
    <t>BONOS DEL ESTADO 25/07/2035</t>
  </si>
  <si>
    <t>BONOS DEL ESTADO 25/07/2036</t>
  </si>
  <si>
    <t>BONOS DEL ESTADO 25/07/2037</t>
  </si>
  <si>
    <t>BONOS DEL ESTADO 25/07/2038</t>
  </si>
  <si>
    <t>BONOS DEL ESTADO 25/07/2039</t>
  </si>
  <si>
    <t>BONOS DEL ESTADO 25/07/2040</t>
  </si>
  <si>
    <t>BONOS DEL ESTADO 25/07/2041</t>
  </si>
  <si>
    <t>BONOS DEL ESTADO 25/07/2042</t>
  </si>
  <si>
    <t>BONOS DEL ESTADO 25/07/2044</t>
  </si>
  <si>
    <t>BONOS DEL ESTADO 2033-05-08</t>
  </si>
  <si>
    <t>BONOS DEL ESTADO 2033-11-18</t>
  </si>
  <si>
    <t>BONOS DEL ESTADO 2030-11-24</t>
  </si>
  <si>
    <t>BONOS DEL ESTADO 2035-05-07</t>
  </si>
  <si>
    <t>BONOS DEL ESTADO 2031-05-07</t>
  </si>
  <si>
    <t>BONOS DEL ESTADO 2029-04-26</t>
  </si>
  <si>
    <t>14034 - VAD14</t>
  </si>
  <si>
    <t>14035 - VAD15</t>
  </si>
  <si>
    <t>BONOS DEL ESTADO 2028-12-08</t>
  </si>
  <si>
    <t>14698 - VAD02</t>
  </si>
  <si>
    <t>domingo</t>
  </si>
  <si>
    <t>sábado</t>
  </si>
  <si>
    <t>martes</t>
  </si>
  <si>
    <t>miércoles</t>
  </si>
  <si>
    <t>jueves</t>
  </si>
  <si>
    <t>BONOS DEL ESTADO 17/5/2032</t>
  </si>
  <si>
    <t>BONOS DEL ESTADO 7/5/2030</t>
  </si>
  <si>
    <t>16087_05 - VAD16</t>
  </si>
  <si>
    <t>BONOS DEL ESTADO 2035-07-02</t>
  </si>
  <si>
    <t>BONOS DEL ESTADO 2034-07-02</t>
  </si>
  <si>
    <t>BONOS DEL ESTADO 2033-07-02</t>
  </si>
  <si>
    <t>20425_05 - VAD13</t>
  </si>
  <si>
    <t>20473 - VAD05</t>
  </si>
  <si>
    <t>20697_04 - VAD37</t>
  </si>
  <si>
    <t>21163 - VAD07</t>
  </si>
  <si>
    <t>21164 - VAD08</t>
  </si>
  <si>
    <t>Suscripcion</t>
  </si>
  <si>
    <t>23076_05 - VAD07</t>
  </si>
  <si>
    <t>23890 - VAD02</t>
  </si>
  <si>
    <t>24176_01 - VAD23</t>
  </si>
  <si>
    <t>24199_03 - VAD05</t>
  </si>
  <si>
    <t>24455_02 - VAD12</t>
  </si>
  <si>
    <t>CORTE:</t>
  </si>
  <si>
    <t>SEMANA:</t>
  </si>
  <si>
    <t>al</t>
  </si>
  <si>
    <t>VERDADERO</t>
  </si>
  <si>
    <t>Suma de CAPITAL + INTERES al Corte</t>
  </si>
  <si>
    <t>Vencimiento</t>
  </si>
  <si>
    <t>Total general</t>
  </si>
  <si>
    <t>Origen Fondo</t>
  </si>
  <si>
    <t>Valor</t>
  </si>
  <si>
    <t>Origen</t>
  </si>
  <si>
    <t>Santa Fe Argentina</t>
  </si>
  <si>
    <t>Vistas de OperacionesReales</t>
  </si>
  <si>
    <t>Santa Fe Cristian</t>
  </si>
  <si>
    <t>Santa Fe Isabel</t>
  </si>
  <si>
    <t>Nuevo Transporte</t>
  </si>
  <si>
    <t>Santa Fe Jhon</t>
  </si>
  <si>
    <t>Pendiente</t>
  </si>
  <si>
    <t>Pichincha Jhon</t>
  </si>
  <si>
    <t>Manual</t>
  </si>
  <si>
    <t>Pacífico Jhon</t>
  </si>
  <si>
    <t>Pacífico Cristian</t>
  </si>
  <si>
    <t>Pacífico Argentina</t>
  </si>
  <si>
    <t>Produbanco Jhon</t>
  </si>
  <si>
    <t>Guayaquil Jhon</t>
  </si>
  <si>
    <t>IESS (día 10)</t>
  </si>
  <si>
    <t>Deuda Tarjeta Jhon (día 07)</t>
  </si>
  <si>
    <t>Deuda Tarjeta Isabel (día 14)</t>
  </si>
  <si>
    <t>Jaime - Intereses (día 07) -452,81</t>
  </si>
  <si>
    <t>Total</t>
  </si>
  <si>
    <t>Jaime - Intereses (día 10) -227,60</t>
  </si>
  <si>
    <t>Servicios básicos (día 08)</t>
  </si>
  <si>
    <t>Reserva Matrícula Negro</t>
  </si>
  <si>
    <t>Deuda Cristian</t>
  </si>
  <si>
    <t>Deuda Isabel</t>
  </si>
  <si>
    <t>CORTE DESDE:</t>
  </si>
  <si>
    <t>MAÑANA</t>
  </si>
  <si>
    <t>MESES:</t>
  </si>
  <si>
    <t>PATRIMONIO TOTAL:</t>
  </si>
  <si>
    <t>CONSOLIDADO INVERSIONES POR VENCIMIENTO:</t>
  </si>
  <si>
    <t>CONSOLIDADO TITULOS:</t>
  </si>
  <si>
    <t>CONSOLIDADO OTROS FONDOS:</t>
  </si>
  <si>
    <t>CONSOLIDADO INVERSIONES POR TIPO:</t>
  </si>
  <si>
    <t>Valores</t>
  </si>
  <si>
    <t>Suma de Valor Comprado Con Comisión</t>
  </si>
  <si>
    <t>Suma de Valor</t>
  </si>
  <si>
    <t>Suma de CAPITAL</t>
  </si>
  <si>
    <t>Suma de INTERES  al Corte</t>
  </si>
  <si>
    <t>Suma de INTERES</t>
  </si>
  <si>
    <t>Bono Estado</t>
  </si>
  <si>
    <t>TIPO</t>
  </si>
  <si>
    <t>2026</t>
  </si>
  <si>
    <t>Trim.4</t>
  </si>
  <si>
    <t>2027</t>
  </si>
  <si>
    <t>2028</t>
  </si>
  <si>
    <t>2029</t>
  </si>
  <si>
    <t>Estado NC</t>
  </si>
  <si>
    <t>Activo</t>
  </si>
  <si>
    <t>2030</t>
  </si>
  <si>
    <t>2031</t>
  </si>
  <si>
    <t>Otros Títulos</t>
  </si>
  <si>
    <t>2032</t>
  </si>
  <si>
    <t>2033</t>
  </si>
  <si>
    <t>2034</t>
  </si>
  <si>
    <t>Capital Inversiones + Acciones + Bonos y punto</t>
  </si>
  <si>
    <t>Fecha Actual</t>
  </si>
  <si>
    <t>Fecha de 
Compra</t>
  </si>
  <si>
    <t>Fecha Primer Pago</t>
  </si>
  <si>
    <t>Fecha de 
Emisión</t>
  </si>
  <si>
    <t>Fecha de 
Vencim.</t>
  </si>
  <si>
    <t>Tasa 
Mensual</t>
  </si>
  <si>
    <t>Tasa Mensual Real</t>
  </si>
  <si>
    <t>Rendim.</t>
  </si>
  <si>
    <t>Interés
Mensual</t>
  </si>
  <si>
    <t>Interés Primer Mes</t>
  </si>
  <si>
    <t>Períodos Recibidos</t>
  </si>
  <si>
    <t>Interés al Vencimiento</t>
  </si>
  <si>
    <t>Interés 
Recibido</t>
  </si>
  <si>
    <t>Valor 
Nominal</t>
  </si>
  <si>
    <t>% Precio Comprado</t>
  </si>
  <si>
    <t>% Precio Neto Comprado</t>
  </si>
  <si>
    <t>Valor 
Comprado Sin Comisión</t>
  </si>
  <si>
    <t>Valor Comprado Con Comisión</t>
  </si>
  <si>
    <t>PAGADO
incluye interés acumulado</t>
  </si>
  <si>
    <t>Interés
Acumulado 
Previo</t>
  </si>
  <si>
    <t>Comisión Santa Fé
Compra</t>
  </si>
  <si>
    <t>Comisión
Bolsa Compra</t>
  </si>
  <si>
    <t>Total 
Comisiones</t>
  </si>
  <si>
    <t>Fecha Venta</t>
  </si>
  <si>
    <t>% Precio Vendido</t>
  </si>
  <si>
    <t>% Precio Neto Vendido</t>
  </si>
  <si>
    <t xml:space="preserve">Interes Previo Transacción </t>
  </si>
  <si>
    <t>Valor venta 
sin comisión</t>
  </si>
  <si>
    <t>Comisión Santa Fe
Venta</t>
  </si>
  <si>
    <t>Comisión
Bolsa Venta</t>
  </si>
  <si>
    <t>Valor Venta Con Comisión</t>
  </si>
  <si>
    <t>Utilidad Sin 
Considerar Comisión</t>
  </si>
  <si>
    <t>Utilidad Considera 
Comisión
(Ganancia de Capital)</t>
  </si>
  <si>
    <t>Utilidad / Pérdida
(Rendimiento Total)</t>
  </si>
  <si>
    <t>Dias 
Transcurridos</t>
  </si>
  <si>
    <t>Tasa de Rentabilidad Porcentual (ROI)</t>
  </si>
  <si>
    <t>% Ganancia Anual estimado</t>
  </si>
  <si>
    <t>Tasa Anualizada</t>
  </si>
  <si>
    <t>Total Comisiones Santa Fe</t>
  </si>
  <si>
    <t>Operación Venta No.</t>
  </si>
  <si>
    <t>CRISTIAN REAL</t>
  </si>
  <si>
    <t>Nota Crédito SRI</t>
  </si>
  <si>
    <t>58 NCs</t>
  </si>
  <si>
    <t>Utilidades por Acciones PRODUBANCO</t>
  </si>
  <si>
    <t>no aplica</t>
  </si>
  <si>
    <t>13031 - VRF59</t>
  </si>
  <si>
    <t>37 NCs</t>
  </si>
  <si>
    <t>39 NCs</t>
  </si>
  <si>
    <t>21 NCs</t>
  </si>
  <si>
    <t>22 NCs</t>
  </si>
  <si>
    <t>15514_01 - VRF59</t>
  </si>
  <si>
    <t>38 NCs</t>
  </si>
  <si>
    <t>16322 - VRF26</t>
  </si>
  <si>
    <t>26 NCs</t>
  </si>
  <si>
    <t>19 NCs</t>
  </si>
  <si>
    <t>8 NCs</t>
  </si>
  <si>
    <t>10 NCs</t>
  </si>
  <si>
    <t>20060_02 - VRF54</t>
  </si>
  <si>
    <t>7 NCs</t>
  </si>
  <si>
    <t>20524_01 - VRF35</t>
  </si>
  <si>
    <t>5 NCs</t>
  </si>
  <si>
    <t>22208_04 - VRF48</t>
  </si>
  <si>
    <t>6 NCs</t>
  </si>
  <si>
    <t>2 NCs</t>
  </si>
  <si>
    <t xml:space="preserve">Suma de Utilidad Considera </t>
  </si>
  <si>
    <t>Suma de Total Comisiones Santa Fe</t>
  </si>
  <si>
    <t>Promedio de % Ganancia Anual estimado</t>
  </si>
  <si>
    <t>Estado</t>
  </si>
  <si>
    <t>11587 - VRF56</t>
  </si>
  <si>
    <t>11588 - VRF57</t>
  </si>
  <si>
    <t>12506 - VRF61</t>
  </si>
  <si>
    <t>13704 - VRF17</t>
  </si>
  <si>
    <t>Vendido parcial</t>
  </si>
  <si>
    <t>367634; 367638</t>
  </si>
  <si>
    <t>14027 - VRF57</t>
  </si>
  <si>
    <t>14051 - VRF75</t>
  </si>
  <si>
    <t>14064 - VRF84</t>
  </si>
  <si>
    <t>14071 - VRF91</t>
  </si>
  <si>
    <t>14075- VRF04</t>
  </si>
  <si>
    <t>14192 - VRF53</t>
  </si>
  <si>
    <t>14193 - VRF54</t>
  </si>
  <si>
    <t>14196 - VRF56</t>
  </si>
  <si>
    <t>14580 - VRF32</t>
  </si>
  <si>
    <t>14586 - VRF38</t>
  </si>
  <si>
    <t>14695 - VRF37</t>
  </si>
  <si>
    <t>15006 - VRF45</t>
  </si>
  <si>
    <t>15020 - VRF57</t>
  </si>
  <si>
    <t>15050 - VRF79</t>
  </si>
  <si>
    <t>Estos dos se quedan por fuera</t>
  </si>
  <si>
    <t>15167 - VRF40</t>
  </si>
  <si>
    <t>15573 - VRF16</t>
  </si>
  <si>
    <t>15583 - VRF24</t>
  </si>
  <si>
    <t>15617 - VRF53</t>
  </si>
  <si>
    <t>17550 - VRF67</t>
  </si>
  <si>
    <t>19824 - VRF75</t>
  </si>
  <si>
    <t>Fecha</t>
  </si>
  <si>
    <t>(Todas)</t>
  </si>
  <si>
    <t>Titular/Operación</t>
  </si>
  <si>
    <t>Suma de Utilidad</t>
  </si>
  <si>
    <t># Operaciones</t>
  </si>
  <si>
    <t>Operación</t>
  </si>
  <si>
    <t>Utilidad</t>
  </si>
  <si>
    <t>Dato PDF</t>
  </si>
  <si>
    <t>Diferencias</t>
  </si>
  <si>
    <t>Venta Bonos</t>
  </si>
  <si>
    <t>Transf. Produbanco</t>
  </si>
  <si>
    <t>Transf. Pacífico</t>
  </si>
  <si>
    <t>Transf. Pichincha</t>
  </si>
  <si>
    <t>Compra Bonos</t>
  </si>
  <si>
    <t>Compra Acciones Guayaquil</t>
  </si>
  <si>
    <t>Recibido fondos en Banco</t>
  </si>
  <si>
    <t>Compra Acciones Pichincha</t>
  </si>
  <si>
    <t>Compra Acciones CRIDESA</t>
  </si>
  <si>
    <t>Compra Nota Crédito</t>
  </si>
  <si>
    <t>Venta Obligacion AGROSYLMA</t>
  </si>
  <si>
    <t>Compra Papel EMPAGRAN</t>
  </si>
  <si>
    <t>Pago Saldo Isabel</t>
  </si>
  <si>
    <t>Pago Saldo Cristian</t>
  </si>
  <si>
    <t>Transf. Pacifico Isabel</t>
  </si>
  <si>
    <t>Compra Acciones Bolivariano</t>
  </si>
  <si>
    <t>Transf. Pacifico Cristian</t>
  </si>
  <si>
    <t>Transf. Produbanco Jhon</t>
  </si>
  <si>
    <t>Transf. Pacifico Jhon</t>
  </si>
  <si>
    <t>Venta Nota Crédito</t>
  </si>
  <si>
    <t>Compensación para encerar saldo</t>
  </si>
  <si>
    <t>Venta Papel Comercial</t>
  </si>
  <si>
    <t>Retención Decevale por Venta Papel Comercial</t>
  </si>
  <si>
    <t>Compra Obligacion BlueEnergy</t>
  </si>
  <si>
    <t>Transf. Pichincha Isabel</t>
  </si>
  <si>
    <t>Transf. Produbanco Isabel</t>
  </si>
  <si>
    <t>Retención Decevale por Venta Nota Credito</t>
  </si>
  <si>
    <t>Devolucion Saldo</t>
  </si>
  <si>
    <t>Transf. Pichincha Jhon</t>
  </si>
  <si>
    <t>Compra Acciones Produbanco</t>
  </si>
  <si>
    <t>Venta Acciones Austro</t>
  </si>
  <si>
    <t>Saldo Total</t>
  </si>
  <si>
    <t>Importación</t>
  </si>
  <si>
    <t>Total Propio</t>
  </si>
  <si>
    <t>Depósito</t>
  </si>
  <si>
    <t xml:space="preserve">Impresora 1 </t>
  </si>
  <si>
    <t xml:space="preserve">Impresora 2 </t>
  </si>
  <si>
    <t>Impresora 3</t>
  </si>
  <si>
    <t>Impresora 4</t>
  </si>
  <si>
    <t xml:space="preserve">PLA </t>
  </si>
  <si>
    <t>GEEETECH</t>
  </si>
  <si>
    <t>A 10</t>
  </si>
  <si>
    <t>10 kg</t>
  </si>
  <si>
    <t>51.8 x 45.8 x 21.8</t>
  </si>
  <si>
    <t>A 30 M</t>
  </si>
  <si>
    <t>20 kg</t>
  </si>
  <si>
    <t>65,3 x 53,8 x 30,5</t>
  </si>
  <si>
    <t>PLA</t>
  </si>
  <si>
    <t>GANANCIA</t>
  </si>
  <si>
    <t>Recuperado</t>
  </si>
  <si>
    <t>Recolectado</t>
  </si>
  <si>
    <t>blancos</t>
  </si>
  <si>
    <t>negros</t>
  </si>
  <si>
    <t>plata</t>
  </si>
  <si>
    <t>amarillo</t>
  </si>
  <si>
    <t>Impresora</t>
  </si>
  <si>
    <t>bronce</t>
  </si>
  <si>
    <t>dorado</t>
  </si>
  <si>
    <t>piel</t>
  </si>
  <si>
    <t>`20/10/2022</t>
  </si>
  <si>
    <t>TOTAL</t>
  </si>
  <si>
    <t>Mes</t>
  </si>
  <si>
    <t>Valor Accion</t>
  </si>
  <si>
    <t>Diciembre</t>
  </si>
  <si>
    <t>calculado</t>
  </si>
  <si>
    <t>Liquidación Jhon</t>
  </si>
  <si>
    <t>5 meses ahorros (ingresos locales)</t>
  </si>
  <si>
    <t>Agosto</t>
  </si>
  <si>
    <t>declarado</t>
  </si>
  <si>
    <t>Herencia</t>
  </si>
  <si>
    <t>Liquidación Isabel</t>
  </si>
  <si>
    <t>Fondos de cesantía Isabel</t>
  </si>
  <si>
    <t>Maestria</t>
  </si>
  <si>
    <t>Crecimiento patrimonial estimado</t>
  </si>
  <si>
    <t>Crecimiento patrimonial declarado</t>
  </si>
  <si>
    <t>JUNIO</t>
  </si>
  <si>
    <t>Pacifico Isabel</t>
  </si>
  <si>
    <t>Pacífico Inversión</t>
  </si>
  <si>
    <t>VECTORQUIM CÍA. LTDA.</t>
  </si>
  <si>
    <t>CARTIMEX S. A.</t>
  </si>
  <si>
    <t>DINERS</t>
  </si>
  <si>
    <t>Papel comercial</t>
  </si>
  <si>
    <t>ACCIONES</t>
  </si>
  <si>
    <t>XBB1665</t>
  </si>
  <si>
    <t>PSB0071</t>
  </si>
  <si>
    <t>CASA NAYON</t>
  </si>
  <si>
    <t>JULIO</t>
  </si>
  <si>
    <t>Pichincha Isabel 1</t>
  </si>
  <si>
    <t>Pichincha Isabel 2</t>
  </si>
  <si>
    <t>REPAPERS RECICLAJE DEL ECUADOR SA</t>
  </si>
  <si>
    <t>INDUGEM - INDUSTRIAL GEMINIS</t>
  </si>
  <si>
    <t>SURPAPEL</t>
  </si>
  <si>
    <t>PRODUCTORA CARTONERA S.A.</t>
  </si>
  <si>
    <t>INTEROC S.A.</t>
  </si>
  <si>
    <t>Acciones</t>
  </si>
  <si>
    <t>Impresoras y Facturas de Cristian</t>
  </si>
  <si>
    <t>Agrosylvia</t>
  </si>
  <si>
    <t>SuperDeporte</t>
  </si>
  <si>
    <t>AGRO SILVIA MARIA AGROSYLMA</t>
  </si>
  <si>
    <t>Bono</t>
  </si>
  <si>
    <t>Bonos del Estado</t>
  </si>
  <si>
    <t>Superdeporte</t>
  </si>
  <si>
    <t>Colmena</t>
  </si>
  <si>
    <t>Enero</t>
  </si>
  <si>
    <t>AGROSILVIA</t>
  </si>
  <si>
    <t>Acciones previas</t>
  </si>
  <si>
    <t>Pacifico Jhon</t>
  </si>
  <si>
    <t>Nayón</t>
  </si>
  <si>
    <t xml:space="preserve">PRODUCTORA CARTONERA S.A.  </t>
  </si>
  <si>
    <t xml:space="preserve">Bonos </t>
  </si>
  <si>
    <t>AGRO SILVIA MARIA AGROSYLMA 04/12/2024</t>
  </si>
  <si>
    <t>Boyacá 29/11/2023</t>
  </si>
  <si>
    <t>PRODUCTORA CARTONERA S.A.  18/11/2025</t>
  </si>
  <si>
    <t xml:space="preserve">BONOS </t>
  </si>
  <si>
    <t>Agrosylma</t>
  </si>
  <si>
    <t>Boyaca</t>
  </si>
  <si>
    <t>PROCARSA</t>
  </si>
  <si>
    <t>EMPRESA</t>
  </si>
  <si>
    <t>PROPIETARIO</t>
  </si>
  <si>
    <t>VALOR</t>
  </si>
  <si>
    <t>CORPETROLSA</t>
  </si>
  <si>
    <t>DUPOCSA</t>
  </si>
  <si>
    <t>FUROIANI</t>
  </si>
  <si>
    <t>FAC SURGALARE - SENEFELDER</t>
  </si>
  <si>
    <t>INTEROC S,A,</t>
  </si>
  <si>
    <t>1,70 COTIZACIÓN</t>
  </si>
  <si>
    <t>PRODUCTORA CARTONERA S,A,</t>
  </si>
  <si>
    <t>BONOS</t>
  </si>
  <si>
    <t>Cristian Real</t>
  </si>
  <si>
    <t>call investment.SP_OTHER_INVESTMENT_DETAIL();</t>
  </si>
  <si>
    <t>ok</t>
  </si>
  <si>
    <t xml:space="preserve">PRODUCTORA CARTONERA S,A, </t>
  </si>
  <si>
    <t xml:space="preserve">FUROIANI </t>
  </si>
  <si>
    <t xml:space="preserve">NUEVO TRANSPORTE </t>
  </si>
  <si>
    <t xml:space="preserve">DUPOCSA </t>
  </si>
  <si>
    <t xml:space="preserve">AGRO SILVIA MARIA AGROSYLMA </t>
  </si>
  <si>
    <t>Acciones BRIKAPITAL</t>
  </si>
  <si>
    <t>450 cotizacion</t>
  </si>
  <si>
    <t>Acciones Favorita</t>
  </si>
  <si>
    <t>1,87 COTIZACIÓN</t>
  </si>
  <si>
    <t>Acciones Produbanco</t>
  </si>
  <si>
    <t>0,87 cotizacion</t>
  </si>
  <si>
    <t xml:space="preserve">BRIKAPITAL </t>
  </si>
  <si>
    <t xml:space="preserve">LA FAVORITA </t>
  </si>
  <si>
    <t>PBT8928</t>
  </si>
  <si>
    <t>call investment.SP_INVESTMENT_BY_OWNER_TOTAL('YES');</t>
  </si>
  <si>
    <t>tipo</t>
  </si>
  <si>
    <t>propietario</t>
  </si>
  <si>
    <t>capital</t>
  </si>
  <si>
    <t>BONO</t>
  </si>
  <si>
    <t>OTRAS INVERSIONES</t>
  </si>
  <si>
    <t>ok Decevale</t>
  </si>
  <si>
    <t>Calculo mio - lo que dice decevale - 3.5%</t>
  </si>
  <si>
    <t>Calculos mios</t>
  </si>
  <si>
    <t>Sociedad Conyugal</t>
  </si>
  <si>
    <t>Diferencia Año Anterior</t>
  </si>
  <si>
    <t>call SP_OTHER_INVESTMENT_DETAIL();</t>
  </si>
  <si>
    <t>Propietario</t>
  </si>
  <si>
    <t>Empresa</t>
  </si>
  <si>
    <t>Capital</t>
  </si>
  <si>
    <t>Tasa interés</t>
  </si>
  <si>
    <t>TELCONET</t>
  </si>
  <si>
    <t>EMPAGRAN</t>
  </si>
  <si>
    <t>700 cotizacion</t>
  </si>
  <si>
    <t>NUEVO TRANSPORTE</t>
  </si>
  <si>
    <t>1,93 COTIZACIÓN</t>
  </si>
  <si>
    <t>BRIKAPITAL</t>
  </si>
  <si>
    <t>1,12 cotizacion</t>
  </si>
  <si>
    <t>LA FAVORITA</t>
  </si>
  <si>
    <t>BANCO PICHINCHA</t>
  </si>
  <si>
    <t>PRODUBANCO</t>
  </si>
  <si>
    <t>Deuda Tarjeta Pacifico Jhon</t>
  </si>
  <si>
    <t>Deuda Tarjeta Pacifico Isabel</t>
  </si>
  <si>
    <t>18,830.03</t>
  </si>
  <si>
    <t>BANCO GUAYAQUIL</t>
  </si>
  <si>
    <t>X</t>
  </si>
  <si>
    <t>call SP_INVESTMENT_BY_OWNER_TOTAL('YES');</t>
  </si>
  <si>
    <t>ISABEL</t>
  </si>
  <si>
    <t>Pacifico</t>
  </si>
  <si>
    <t>Pichincha</t>
  </si>
  <si>
    <t>Produbanco</t>
  </si>
  <si>
    <t>Internacional</t>
  </si>
  <si>
    <t>Tasa</t>
  </si>
  <si>
    <t>Anual</t>
  </si>
  <si>
    <t>Intereses</t>
  </si>
  <si>
    <t>Fecha de pago</t>
  </si>
  <si>
    <t>Fecha Inicio</t>
  </si>
  <si>
    <t>Fecha Fin</t>
  </si>
  <si>
    <t>10 de cada mes</t>
  </si>
  <si>
    <t>1 de cada mes</t>
  </si>
  <si>
    <t>Se han realizado pagos de 460.63 desde el 1 de Mayo de 2025</t>
  </si>
  <si>
    <t>Se han realizado pagos de 227,60 desde el 1 de enero de 2026</t>
  </si>
  <si>
    <t>NUEVO DEL 2026:</t>
  </si>
  <si>
    <t>Adicion de fondos de Jaime 13 de Agosto - valor 7000</t>
  </si>
  <si>
    <t>Espejo rayado</t>
  </si>
  <si>
    <t>Sensores de llantas negro</t>
  </si>
  <si>
    <t>Llaves del jeep negro</t>
  </si>
  <si>
    <t>Jose Luis navidad</t>
  </si>
  <si>
    <t>Radiador - limpieza negro</t>
  </si>
  <si>
    <t>Cortinas Jhon / Cristian</t>
  </si>
  <si>
    <t>Arreglo arranque negro</t>
  </si>
  <si>
    <t>Moquetas</t>
  </si>
  <si>
    <t>Pago préstamo Isabel</t>
  </si>
  <si>
    <t>Azul - Cambio de bujias ABC motor</t>
  </si>
  <si>
    <t>Azul -ABC Frenos</t>
  </si>
  <si>
    <t>Puertas del garage</t>
  </si>
  <si>
    <t>Espejo retrovisor</t>
  </si>
  <si>
    <t>Compra camisetas</t>
  </si>
  <si>
    <t>Pago arreglo motor negro</t>
  </si>
  <si>
    <t>Impuesto predial</t>
  </si>
  <si>
    <t>Programacion llaves</t>
  </si>
  <si>
    <t>Matricula e impronta</t>
  </si>
  <si>
    <t>Pulido de pintura</t>
  </si>
  <si>
    <t>Tapizado</t>
  </si>
  <si>
    <t>Lentes</t>
  </si>
  <si>
    <t>Gimnasio</t>
  </si>
  <si>
    <t>deudas</t>
  </si>
  <si>
    <t>Pago Angel</t>
  </si>
  <si>
    <t>UPS</t>
  </si>
  <si>
    <t>Cable</t>
  </si>
  <si>
    <t>Limpieza baños</t>
  </si>
  <si>
    <t>Entradas Ushimana</t>
  </si>
  <si>
    <t>Almuerzo Ushimana</t>
  </si>
  <si>
    <t>https://es.tradingview.com/</t>
  </si>
  <si>
    <t>https://www.highcharts.com/products/grid/</t>
  </si>
  <si>
    <t>https://www.highcharts.com/demo/highcharts/pictorial</t>
  </si>
  <si>
    <t>https://www.futurocasadevalores.com/</t>
  </si>
  <si>
    <t>https://www.tradingview.com/chart/</t>
  </si>
  <si>
    <t>Compra Acciones Austro</t>
  </si>
  <si>
    <t>Acciones Banco AUSTRO 31/12/2034</t>
  </si>
  <si>
    <t>Deuda Angel</t>
  </si>
  <si>
    <t>24815_02 - VAD20</t>
  </si>
  <si>
    <t>Acciones BOLSA VALORES QUITO 31/12/2034</t>
  </si>
  <si>
    <t>24885_01 - VAD07</t>
  </si>
  <si>
    <t>24961 - VAD16</t>
  </si>
  <si>
    <t>Compra Acciones BVQ</t>
  </si>
  <si>
    <t>Bolivariano Jhon</t>
  </si>
  <si>
    <t>BONOS DEL ESTADO 2028-07-15</t>
  </si>
  <si>
    <t>Venta Acciones Guayaquil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</si>
</sst>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€&quot;#,##0.00"/>
    <numFmt numFmtId="165" formatCode="d\-mmm\-yyyy"/>
    <numFmt numFmtId="166" formatCode="_-* #,##0.00_-;\-* #,##0.00_-;_-* &quot;-&quot;??_-;_-@_-"/>
    <numFmt numFmtId="167" formatCode="0.0000%"/>
    <numFmt numFmtId="168" formatCode="0.0000000000000000"/>
    <numFmt numFmtId="169" formatCode="[$$-300A]#,##0.00"/>
    <numFmt numFmtId="170" formatCode="yyyy\-mm\-dd;@"/>
    <numFmt numFmtId="171" formatCode="_ [$$-300A]* #,##0.00_ ;_ [$$-300A]* \-#,##0.00_ ;_ [$$-300A]* &quot;-&quot;??_ ;_ @_ "/>
    <numFmt numFmtId="172" formatCode="&quot;$&quot;#,##0.00"/>
    <numFmt numFmtId="173" formatCode="0.00000000"/>
    <numFmt numFmtId="174" formatCode="0_ ;\-0\ "/>
    <numFmt numFmtId="175" formatCode="0.000000%"/>
    <numFmt numFmtId="176" formatCode="0.000000"/>
    <numFmt numFmtId="177" formatCode="_-* #,##0.00\ [$€]_-;\-* #,##0.00\ [$€]_-;_-* &quot;-&quot;??\ [$€]_-;_-@_-"/>
    <numFmt numFmtId="178" formatCode="_-* #,##0\ _p_t_a_-;\-* #,##0\ _p_t_a_-;_-* &quot;-&quot;\ _p_t_a_-;_-@_-"/>
    <numFmt numFmtId="179" formatCode="&quot;€&quot;\ #,##0;[Red]&quot;€&quot;\ \-#,##0"/>
    <numFmt numFmtId="180" formatCode="_-* #,##0.00\ _p_t_a_-;\-* #,##0.00\ _p_t_a_-;_-* &quot;-&quot;??\ _p_t_a_-;_-@_-"/>
    <numFmt numFmtId="181" formatCode="&quot;€&quot;\ #,##0.00;[Red]&quot;€&quot;\ \-#,##0.00"/>
    <numFmt numFmtId="182" formatCode="_-* #,##0.00\ _$_-;\-* #,##0.00\ _$_-;_-* &quot;-&quot;??\ _$_-;_-@_-"/>
    <numFmt numFmtId="183" formatCode="_-&quot;€&quot;* #,##0.00_-;\-&quot;€&quot;* #,##0.00_-;_-&quot;€&quot;* &quot;-&quot;??_-;_-@_-"/>
    <numFmt numFmtId="184" formatCode="_ [$€-2]\ * #,##0.00_ ;_ [$€-2]\ * \-#,##0.00_ ;_ [$€-2]\ * &quot;-&quot;??_ 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8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1E7DD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theme="4" tint="0.399975585192419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380">
    <xf numFmtId="0" fontId="0" fillId="0" borderId="0"/>
    <xf numFmtId="0" fontId="13" fillId="0" borderId="0"/>
    <xf numFmtId="0" fontId="13" fillId="0" borderId="0"/>
    <xf numFmtId="0" fontId="13" fillId="0" borderId="0"/>
    <xf numFmtId="177" fontId="13" fillId="0" borderId="0"/>
    <xf numFmtId="43" fontId="5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9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9" fontId="13" fillId="0" borderId="0"/>
    <xf numFmtId="178" fontId="13" fillId="0" borderId="0"/>
    <xf numFmtId="178" fontId="13" fillId="0" borderId="0"/>
    <xf numFmtId="178" fontId="13" fillId="0" borderId="0"/>
    <xf numFmtId="179" fontId="13" fillId="0" borderId="0"/>
    <xf numFmtId="179" fontId="13" fillId="0" borderId="0"/>
    <xf numFmtId="179" fontId="13" fillId="0" borderId="0"/>
    <xf numFmtId="178" fontId="13" fillId="0" borderId="0"/>
    <xf numFmtId="178" fontId="13" fillId="0" borderId="0"/>
    <xf numFmtId="178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1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1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1" fontId="13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1" fontId="13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1" fontId="13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0" fontId="13" fillId="0" borderId="0"/>
    <xf numFmtId="180" fontId="13" fillId="0" borderId="0"/>
    <xf numFmtId="180" fontId="13" fillId="0" borderId="0"/>
    <xf numFmtId="0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0" fontId="7" fillId="0" borderId="0"/>
    <xf numFmtId="166" fontId="7" fillId="0" borderId="0"/>
    <xf numFmtId="9" fontId="7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5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0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82" fontId="6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0" fontId="13" fillId="0" borderId="0"/>
    <xf numFmtId="183" fontId="5" fillId="0" borderId="0"/>
    <xf numFmtId="0" fontId="13" fillId="0" borderId="0"/>
    <xf numFmtId="0" fontId="13" fillId="0" borderId="0"/>
    <xf numFmtId="184" fontId="13" fillId="0" borderId="0"/>
    <xf numFmtId="43" fontId="13" fillId="0" borderId="0"/>
    <xf numFmtId="0" fontId="13" fillId="0" borderId="0"/>
    <xf numFmtId="0" fontId="14" fillId="0" borderId="0"/>
    <xf numFmtId="9" fontId="5" fillId="0" borderId="0"/>
  </cellStyleXfs>
  <cellXfs count="527">
    <xf numFmtId="0" fontId="0" fillId="0" borderId="0" xfId="0"/>
    <xf numFmtId="14" fontId="0" fillId="0" borderId="0" xfId="0" applyNumberFormat="1"/>
    <xf numFmtId="0" fontId="0" fillId="4" borderId="0" xfId="0" applyFill="1"/>
    <xf numFmtId="2" fontId="0" fillId="0" borderId="0" xfId="0" applyNumberFormat="1"/>
    <xf numFmtId="0" fontId="0" fillId="0" borderId="1" xfId="0" applyBorder="1"/>
    <xf numFmtId="0" fontId="0" fillId="3" borderId="1" xfId="0" applyFill="1" applyBorder="1"/>
    <xf numFmtId="0" fontId="0" fillId="5" borderId="1" xfId="0" applyFill="1" applyBorder="1"/>
    <xf numFmtId="0" fontId="2" fillId="8" borderId="1" xfId="0" applyFont="1" applyFill="1" applyBorder="1" applyAlignment="1">
      <alignment horizontal="center" vertical="center" wrapText="1"/>
    </xf>
    <xf numFmtId="4" fontId="2" fillId="8" borderId="1" xfId="0" applyNumberFormat="1" applyFont="1" applyFill="1" applyBorder="1" applyAlignment="1">
      <alignment horizontal="center" vertical="center" wrapText="1"/>
    </xf>
    <xf numFmtId="17" fontId="3" fillId="0" borderId="1" xfId="0" applyNumberFormat="1" applyFont="1" applyBorder="1" applyAlignment="1">
      <alignment horizontal="center" vertical="center" wrapText="1"/>
    </xf>
    <xf numFmtId="4" fontId="0" fillId="0" borderId="1" xfId="0" applyNumberFormat="1" applyBorder="1"/>
    <xf numFmtId="17" fontId="3" fillId="9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right" vertical="center" wrapText="1"/>
    </xf>
    <xf numFmtId="0" fontId="4" fillId="9" borderId="1" xfId="0" applyFont="1" applyFill="1" applyBorder="1" applyAlignment="1">
      <alignment horizontal="right" vertical="center" wrapText="1"/>
    </xf>
    <xf numFmtId="14" fontId="0" fillId="5" borderId="0" xfId="0" applyNumberFormat="1" applyFill="1"/>
    <xf numFmtId="0" fontId="0" fillId="5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5" fontId="0" fillId="6" borderId="18" xfId="0" applyNumberFormat="1" applyFill="1" applyBorder="1" applyAlignment="1">
      <alignment horizontal="right"/>
    </xf>
    <xf numFmtId="15" fontId="0" fillId="6" borderId="1" xfId="0" applyNumberFormat="1" applyFill="1" applyBorder="1" applyAlignment="1">
      <alignment horizontal="right"/>
    </xf>
    <xf numFmtId="0" fontId="0" fillId="6" borderId="1" xfId="0" applyFill="1" applyBorder="1" applyAlignment="1">
      <alignment horizontal="center"/>
    </xf>
    <xf numFmtId="2" fontId="0" fillId="6" borderId="1" xfId="0" applyNumberFormat="1" applyFill="1" applyBorder="1"/>
    <xf numFmtId="4" fontId="0" fillId="6" borderId="1" xfId="0" applyNumberFormat="1" applyFill="1" applyBorder="1" applyAlignment="1">
      <alignment horizontal="right"/>
    </xf>
    <xf numFmtId="4" fontId="0" fillId="6" borderId="1" xfId="0" applyNumberFormat="1" applyFill="1" applyBorder="1"/>
    <xf numFmtId="4" fontId="0" fillId="14" borderId="5" xfId="0" applyNumberFormat="1" applyFill="1" applyBorder="1"/>
    <xf numFmtId="0" fontId="0" fillId="11" borderId="1" xfId="0" applyFill="1" applyBorder="1"/>
    <xf numFmtId="4" fontId="0" fillId="11" borderId="1" xfId="0" applyNumberFormat="1" applyFill="1" applyBorder="1"/>
    <xf numFmtId="4" fontId="0" fillId="14" borderId="1" xfId="0" applyNumberFormat="1" applyFill="1" applyBorder="1"/>
    <xf numFmtId="4" fontId="0" fillId="0" borderId="0" xfId="0" applyNumberFormat="1"/>
    <xf numFmtId="0" fontId="0" fillId="6" borderId="1" xfId="0" applyFill="1" applyBorder="1"/>
    <xf numFmtId="4" fontId="0" fillId="2" borderId="14" xfId="0" applyNumberFormat="1" applyFill="1" applyBorder="1"/>
    <xf numFmtId="0" fontId="1" fillId="0" borderId="0" xfId="0" applyFont="1"/>
    <xf numFmtId="0" fontId="1" fillId="0" borderId="1" xfId="0" applyFont="1" applyBorder="1"/>
    <xf numFmtId="164" fontId="0" fillId="0" borderId="1" xfId="0" applyNumberFormat="1" applyBorder="1"/>
    <xf numFmtId="164" fontId="0" fillId="0" borderId="0" xfId="0" applyNumberFormat="1"/>
    <xf numFmtId="164" fontId="0" fillId="5" borderId="1" xfId="0" applyNumberFormat="1" applyFill="1" applyBorder="1"/>
    <xf numFmtId="164" fontId="0" fillId="5" borderId="0" xfId="0" applyNumberFormat="1" applyFill="1"/>
    <xf numFmtId="0" fontId="0" fillId="15" borderId="1" xfId="0" applyFill="1" applyBorder="1"/>
    <xf numFmtId="15" fontId="0" fillId="5" borderId="1" xfId="0" applyNumberFormat="1" applyFill="1" applyBorder="1" applyAlignment="1">
      <alignment horizontal="right"/>
    </xf>
    <xf numFmtId="0" fontId="1" fillId="10" borderId="3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28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64" fontId="0" fillId="4" borderId="1" xfId="0" applyNumberFormat="1" applyFill="1" applyBorder="1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/>
    </xf>
    <xf numFmtId="164" fontId="0" fillId="4" borderId="0" xfId="0" applyNumberFormat="1" applyFill="1"/>
    <xf numFmtId="164" fontId="1" fillId="0" borderId="1" xfId="0" applyNumberFormat="1" applyFont="1" applyBorder="1"/>
    <xf numFmtId="164" fontId="1" fillId="0" borderId="0" xfId="0" applyNumberFormat="1" applyFont="1"/>
    <xf numFmtId="0" fontId="1" fillId="4" borderId="0" xfId="0" applyFont="1" applyFill="1"/>
    <xf numFmtId="0" fontId="0" fillId="4" borderId="1" xfId="0" applyFill="1" applyBorder="1"/>
    <xf numFmtId="164" fontId="1" fillId="18" borderId="0" xfId="0" applyNumberFormat="1" applyFont="1" applyFill="1"/>
    <xf numFmtId="0" fontId="1" fillId="19" borderId="0" xfId="0" applyFont="1" applyFill="1" applyAlignment="1">
      <alignment horizontal="center" vertical="center" wrapText="1"/>
    </xf>
    <xf numFmtId="164" fontId="0" fillId="18" borderId="0" xfId="0" applyNumberFormat="1" applyFill="1" applyAlignment="1">
      <alignment vertical="center"/>
    </xf>
    <xf numFmtId="0" fontId="0" fillId="18" borderId="0" xfId="0" applyFill="1" applyAlignment="1">
      <alignment wrapText="1"/>
    </xf>
    <xf numFmtId="4" fontId="0" fillId="20" borderId="1" xfId="0" applyNumberFormat="1" applyFill="1" applyBorder="1"/>
    <xf numFmtId="0" fontId="1" fillId="5" borderId="0" xfId="0" applyFont="1" applyFill="1" applyAlignment="1">
      <alignment horizontal="center" vertical="center" wrapText="1"/>
    </xf>
    <xf numFmtId="0" fontId="8" fillId="0" borderId="0" xfId="0" applyFont="1"/>
    <xf numFmtId="15" fontId="8" fillId="0" borderId="0" xfId="0" applyNumberFormat="1" applyFont="1"/>
    <xf numFmtId="165" fontId="8" fillId="0" borderId="0" xfId="0" applyNumberFormat="1" applyFont="1" applyAlignment="1">
      <alignment horizontal="center"/>
    </xf>
    <xf numFmtId="14" fontId="8" fillId="0" borderId="0" xfId="0" applyNumberFormat="1" applyFont="1"/>
    <xf numFmtId="0" fontId="8" fillId="0" borderId="0" xfId="0" applyFont="1" applyAlignment="1">
      <alignment horizontal="center"/>
    </xf>
    <xf numFmtId="15" fontId="8" fillId="0" borderId="27" xfId="0" applyNumberFormat="1" applyFont="1" applyBorder="1" applyAlignment="1">
      <alignment horizontal="center"/>
    </xf>
    <xf numFmtId="15" fontId="8" fillId="0" borderId="0" xfId="0" applyNumberFormat="1" applyFont="1" applyAlignment="1">
      <alignment horizontal="center"/>
    </xf>
    <xf numFmtId="10" fontId="8" fillId="0" borderId="1" xfId="0" applyNumberFormat="1" applyFont="1" applyBorder="1" applyAlignment="1">
      <alignment horizontal="center" vertical="center"/>
    </xf>
    <xf numFmtId="10" fontId="8" fillId="0" borderId="8" xfId="0" applyNumberFormat="1" applyFont="1" applyBorder="1" applyAlignment="1">
      <alignment horizontal="center" vertical="center"/>
    </xf>
    <xf numFmtId="0" fontId="9" fillId="21" borderId="1" xfId="0" applyFont="1" applyFill="1" applyBorder="1" applyAlignment="1">
      <alignment horizontal="center" vertical="center" wrapText="1"/>
    </xf>
    <xf numFmtId="0" fontId="10" fillId="21" borderId="8" xfId="0" applyFont="1" applyFill="1" applyBorder="1" applyAlignment="1">
      <alignment horizontal="center" vertical="center" wrapText="1"/>
    </xf>
    <xf numFmtId="15" fontId="10" fillId="21" borderId="8" xfId="0" applyNumberFormat="1" applyFont="1" applyFill="1" applyBorder="1" applyAlignment="1">
      <alignment horizontal="center" vertical="center" wrapText="1"/>
    </xf>
    <xf numFmtId="0" fontId="11" fillId="21" borderId="8" xfId="0" applyFont="1" applyFill="1" applyBorder="1" applyAlignment="1">
      <alignment horizontal="center" vertical="center" wrapText="1"/>
    </xf>
    <xf numFmtId="0" fontId="10" fillId="21" borderId="29" xfId="0" applyFont="1" applyFill="1" applyBorder="1" applyAlignment="1">
      <alignment horizontal="center" vertical="center" wrapText="1"/>
    </xf>
    <xf numFmtId="0" fontId="10" fillId="21" borderId="1" xfId="0" applyFont="1" applyFill="1" applyBorder="1" applyAlignment="1">
      <alignment horizontal="center" vertical="center" wrapText="1"/>
    </xf>
    <xf numFmtId="0" fontId="10" fillId="21" borderId="23" xfId="0" applyFont="1" applyFill="1" applyBorder="1" applyAlignment="1">
      <alignment horizontal="center" vertical="center" wrapText="1"/>
    </xf>
    <xf numFmtId="0" fontId="10" fillId="22" borderId="8" xfId="0" applyFont="1" applyFill="1" applyBorder="1" applyAlignment="1">
      <alignment horizontal="center" vertical="center" wrapText="1"/>
    </xf>
    <xf numFmtId="166" fontId="8" fillId="0" borderId="0" xfId="801" applyFont="1" applyAlignment="1">
      <alignment horizontal="center"/>
    </xf>
    <xf numFmtId="10" fontId="8" fillId="0" borderId="0" xfId="802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10" fontId="8" fillId="0" borderId="0" xfId="802" applyNumberFormat="1" applyFont="1"/>
    <xf numFmtId="167" fontId="12" fillId="0" borderId="0" xfId="802" applyNumberFormat="1" applyFont="1" applyAlignment="1">
      <alignment horizontal="center"/>
    </xf>
    <xf numFmtId="166" fontId="12" fillId="0" borderId="0" xfId="801" applyFont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166" fontId="8" fillId="0" borderId="0" xfId="801" applyFont="1"/>
    <xf numFmtId="166" fontId="8" fillId="22" borderId="0" xfId="0" applyNumberFormat="1" applyFont="1" applyFill="1"/>
    <xf numFmtId="0" fontId="8" fillId="23" borderId="0" xfId="0" applyFont="1" applyFill="1"/>
    <xf numFmtId="0" fontId="8" fillId="23" borderId="0" xfId="0" applyFont="1" applyFill="1" applyAlignment="1">
      <alignment horizontal="center"/>
    </xf>
    <xf numFmtId="165" fontId="8" fillId="23" borderId="0" xfId="0" applyNumberFormat="1" applyFont="1" applyFill="1" applyAlignment="1">
      <alignment horizontal="center"/>
    </xf>
    <xf numFmtId="166" fontId="8" fillId="23" borderId="0" xfId="801" applyFont="1" applyFill="1" applyAlignment="1">
      <alignment horizontal="center"/>
    </xf>
    <xf numFmtId="10" fontId="8" fillId="23" borderId="0" xfId="802" applyNumberFormat="1" applyFont="1" applyFill="1" applyAlignment="1">
      <alignment horizontal="center"/>
    </xf>
    <xf numFmtId="1" fontId="8" fillId="23" borderId="0" xfId="0" applyNumberFormat="1" applyFont="1" applyFill="1" applyAlignment="1">
      <alignment horizontal="center"/>
    </xf>
    <xf numFmtId="10" fontId="8" fillId="23" borderId="0" xfId="802" applyNumberFormat="1" applyFont="1" applyFill="1"/>
    <xf numFmtId="167" fontId="12" fillId="23" borderId="0" xfId="802" applyNumberFormat="1" applyFont="1" applyFill="1" applyAlignment="1">
      <alignment horizontal="center"/>
    </xf>
    <xf numFmtId="166" fontId="12" fillId="23" borderId="0" xfId="801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166" fontId="12" fillId="23" borderId="0" xfId="0" applyNumberFormat="1" applyFont="1" applyFill="1" applyAlignment="1">
      <alignment horizontal="center"/>
    </xf>
    <xf numFmtId="166" fontId="8" fillId="23" borderId="0" xfId="801" applyFont="1" applyFill="1"/>
    <xf numFmtId="4" fontId="0" fillId="0" borderId="1" xfId="0" applyNumberFormat="1" applyBorder="1" applyAlignment="1">
      <alignment horizontal="right"/>
    </xf>
    <xf numFmtId="4" fontId="0" fillId="0" borderId="8" xfId="0" applyNumberFormat="1" applyBorder="1"/>
    <xf numFmtId="15" fontId="0" fillId="0" borderId="18" xfId="0" applyNumberFormat="1" applyBorder="1" applyAlignment="1">
      <alignment horizontal="right"/>
    </xf>
    <xf numFmtId="15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4" fontId="0" fillId="11" borderId="14" xfId="0" applyNumberFormat="1" applyFill="1" applyBorder="1"/>
    <xf numFmtId="4" fontId="1" fillId="0" borderId="1" xfId="0" applyNumberFormat="1" applyFont="1" applyBorder="1"/>
    <xf numFmtId="4" fontId="1" fillId="0" borderId="0" xfId="0" applyNumberFormat="1" applyFont="1"/>
    <xf numFmtId="4" fontId="0" fillId="15" borderId="1" xfId="0" applyNumberFormat="1" applyFill="1" applyBorder="1"/>
    <xf numFmtId="4" fontId="0" fillId="15" borderId="14" xfId="0" applyNumberFormat="1" applyFill="1" applyBorder="1"/>
    <xf numFmtId="4" fontId="0" fillId="0" borderId="26" xfId="0" applyNumberFormat="1" applyBorder="1"/>
    <xf numFmtId="0" fontId="0" fillId="11" borderId="18" xfId="0" applyFill="1" applyBorder="1"/>
    <xf numFmtId="2" fontId="1" fillId="0" borderId="0" xfId="0" applyNumberFormat="1" applyFont="1"/>
    <xf numFmtId="17" fontId="1" fillId="0" borderId="0" xfId="0" applyNumberFormat="1" applyFont="1"/>
    <xf numFmtId="2" fontId="0" fillId="5" borderId="0" xfId="0" applyNumberFormat="1" applyFill="1"/>
    <xf numFmtId="0" fontId="0" fillId="24" borderId="1" xfId="0" applyFill="1" applyBorder="1"/>
    <xf numFmtId="164" fontId="0" fillId="24" borderId="1" xfId="0" applyNumberFormat="1" applyFill="1" applyBorder="1"/>
    <xf numFmtId="0" fontId="0" fillId="24" borderId="1" xfId="0" applyFill="1" applyBorder="1" applyAlignment="1">
      <alignment horizontal="left"/>
    </xf>
    <xf numFmtId="0" fontId="1" fillId="14" borderId="1" xfId="0" applyFont="1" applyFill="1" applyBorder="1" applyAlignment="1">
      <alignment horizontal="left"/>
    </xf>
    <xf numFmtId="164" fontId="1" fillId="14" borderId="1" xfId="0" applyNumberFormat="1" applyFont="1" applyFill="1" applyBorder="1"/>
    <xf numFmtId="0" fontId="0" fillId="0" borderId="1" xfId="0" applyBorder="1" applyAlignment="1">
      <alignment horizontal="left"/>
    </xf>
    <xf numFmtId="0" fontId="1" fillId="5" borderId="0" xfId="0" applyFont="1" applyFill="1"/>
    <xf numFmtId="164" fontId="0" fillId="0" borderId="1" xfId="0" applyNumberFormat="1" applyBorder="1" applyAlignment="1">
      <alignment horizontal="right"/>
    </xf>
    <xf numFmtId="164" fontId="1" fillId="5" borderId="0" xfId="0" applyNumberFormat="1" applyFont="1" applyFill="1"/>
    <xf numFmtId="0" fontId="1" fillId="0" borderId="1" xfId="0" applyFont="1" applyBorder="1" applyAlignment="1">
      <alignment horizontal="center"/>
    </xf>
    <xf numFmtId="164" fontId="0" fillId="7" borderId="1" xfId="0" applyNumberFormat="1" applyFill="1" applyBorder="1"/>
    <xf numFmtId="3" fontId="0" fillId="0" borderId="1" xfId="0" applyNumberFormat="1" applyBorder="1"/>
    <xf numFmtId="4" fontId="0" fillId="14" borderId="7" xfId="0" applyNumberFormat="1" applyFill="1" applyBorder="1"/>
    <xf numFmtId="4" fontId="0" fillId="16" borderId="3" xfId="0" applyNumberFormat="1" applyFill="1" applyBorder="1"/>
    <xf numFmtId="4" fontId="0" fillId="2" borderId="3" xfId="0" applyNumberFormat="1" applyFill="1" applyBorder="1"/>
    <xf numFmtId="4" fontId="0" fillId="25" borderId="7" xfId="0" applyNumberFormat="1" applyFill="1" applyBorder="1"/>
    <xf numFmtId="4" fontId="0" fillId="27" borderId="5" xfId="0" applyNumberFormat="1" applyFill="1" applyBorder="1"/>
    <xf numFmtId="4" fontId="0" fillId="16" borderId="13" xfId="0" applyNumberFormat="1" applyFill="1" applyBorder="1"/>
    <xf numFmtId="4" fontId="0" fillId="5" borderId="1" xfId="0" applyNumberFormat="1" applyFill="1" applyBorder="1"/>
    <xf numFmtId="4" fontId="0" fillId="5" borderId="11" xfId="0" applyNumberFormat="1" applyFill="1" applyBorder="1"/>
    <xf numFmtId="4" fontId="0" fillId="27" borderId="7" xfId="0" applyNumberFormat="1" applyFill="1" applyBorder="1"/>
    <xf numFmtId="0" fontId="0" fillId="0" borderId="4" xfId="0" applyBorder="1"/>
    <xf numFmtId="164" fontId="1" fillId="0" borderId="22" xfId="0" applyNumberFormat="1" applyFont="1" applyBorder="1"/>
    <xf numFmtId="0" fontId="0" fillId="0" borderId="18" xfId="0" applyBorder="1" applyAlignment="1">
      <alignment horizontal="left"/>
    </xf>
    <xf numFmtId="4" fontId="0" fillId="0" borderId="14" xfId="0" applyNumberFormat="1" applyBorder="1"/>
    <xf numFmtId="164" fontId="0" fillId="0" borderId="14" xfId="0" applyNumberFormat="1" applyBorder="1" applyAlignment="1">
      <alignment horizontal="right"/>
    </xf>
    <xf numFmtId="164" fontId="0" fillId="0" borderId="6" xfId="0" applyNumberFormat="1" applyBorder="1"/>
    <xf numFmtId="0" fontId="0" fillId="0" borderId="18" xfId="0" applyBorder="1"/>
    <xf numFmtId="164" fontId="0" fillId="0" borderId="14" xfId="0" applyNumberFormat="1" applyBorder="1"/>
    <xf numFmtId="0" fontId="1" fillId="0" borderId="30" xfId="0" applyFont="1" applyBorder="1"/>
    <xf numFmtId="4" fontId="0" fillId="5" borderId="0" xfId="0" applyNumberFormat="1" applyFill="1"/>
    <xf numFmtId="0" fontId="0" fillId="16" borderId="1" xfId="0" applyFill="1" applyBorder="1"/>
    <xf numFmtId="4" fontId="0" fillId="16" borderId="1" xfId="0" applyNumberFormat="1" applyFill="1" applyBorder="1"/>
    <xf numFmtId="0" fontId="0" fillId="26" borderId="1" xfId="0" applyFill="1" applyBorder="1"/>
    <xf numFmtId="4" fontId="0" fillId="26" borderId="1" xfId="0" applyNumberFormat="1" applyFill="1" applyBorder="1"/>
    <xf numFmtId="4" fontId="0" fillId="26" borderId="14" xfId="0" applyNumberFormat="1" applyFill="1" applyBorder="1"/>
    <xf numFmtId="4" fontId="0" fillId="12" borderId="14" xfId="0" applyNumberFormat="1" applyFill="1" applyBorder="1"/>
    <xf numFmtId="0" fontId="0" fillId="26" borderId="18" xfId="0" applyFill="1" applyBorder="1"/>
    <xf numFmtId="0" fontId="0" fillId="12" borderId="18" xfId="0" applyFill="1" applyBorder="1"/>
    <xf numFmtId="0" fontId="0" fillId="4" borderId="18" xfId="0" applyFill="1" applyBorder="1"/>
    <xf numFmtId="17" fontId="1" fillId="0" borderId="4" xfId="0" applyNumberFormat="1" applyFont="1" applyBorder="1"/>
    <xf numFmtId="0" fontId="1" fillId="0" borderId="6" xfId="0" applyFont="1" applyBorder="1"/>
    <xf numFmtId="0" fontId="0" fillId="0" borderId="10" xfId="0" applyBorder="1"/>
    <xf numFmtId="4" fontId="1" fillId="0" borderId="12" xfId="0" applyNumberFormat="1" applyFont="1" applyBorder="1"/>
    <xf numFmtId="0" fontId="0" fillId="15" borderId="18" xfId="0" applyFill="1" applyBorder="1"/>
    <xf numFmtId="4" fontId="0" fillId="16" borderId="14" xfId="0" applyNumberFormat="1" applyFill="1" applyBorder="1"/>
    <xf numFmtId="0" fontId="0" fillId="5" borderId="18" xfId="0" applyFill="1" applyBorder="1"/>
    <xf numFmtId="4" fontId="0" fillId="5" borderId="14" xfId="0" applyNumberFormat="1" applyFill="1" applyBorder="1"/>
    <xf numFmtId="4" fontId="0" fillId="4" borderId="14" xfId="0" applyNumberFormat="1" applyFill="1" applyBorder="1"/>
    <xf numFmtId="2" fontId="0" fillId="0" borderId="25" xfId="0" applyNumberFormat="1" applyBorder="1"/>
    <xf numFmtId="168" fontId="0" fillId="0" borderId="0" xfId="0" applyNumberFormat="1"/>
    <xf numFmtId="164" fontId="0" fillId="5" borderId="14" xfId="0" applyNumberFormat="1" applyFill="1" applyBorder="1" applyAlignment="1">
      <alignment horizontal="right"/>
    </xf>
    <xf numFmtId="0" fontId="0" fillId="0" borderId="8" xfId="0" applyBorder="1"/>
    <xf numFmtId="4" fontId="0" fillId="26" borderId="6" xfId="0" applyNumberFormat="1" applyFill="1" applyBorder="1"/>
    <xf numFmtId="4" fontId="0" fillId="25" borderId="17" xfId="0" applyNumberFormat="1" applyFill="1" applyBorder="1"/>
    <xf numFmtId="0" fontId="0" fillId="15" borderId="0" xfId="0" applyFill="1"/>
    <xf numFmtId="164" fontId="0" fillId="15" borderId="14" xfId="0" applyNumberFormat="1" applyFill="1" applyBorder="1" applyAlignment="1">
      <alignment horizontal="right"/>
    </xf>
    <xf numFmtId="1" fontId="0" fillId="5" borderId="1" xfId="0" applyNumberFormat="1" applyFill="1" applyBorder="1"/>
    <xf numFmtId="169" fontId="0" fillId="0" borderId="0" xfId="0" applyNumberFormat="1"/>
    <xf numFmtId="169" fontId="0" fillId="4" borderId="1" xfId="0" applyNumberFormat="1" applyFill="1" applyBorder="1"/>
    <xf numFmtId="0" fontId="0" fillId="16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0" fontId="0" fillId="2" borderId="18" xfId="0" applyFill="1" applyBorder="1"/>
    <xf numFmtId="0" fontId="0" fillId="2" borderId="0" xfId="0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0" fillId="16" borderId="18" xfId="0" applyFill="1" applyBorder="1"/>
    <xf numFmtId="4" fontId="0" fillId="3" borderId="1" xfId="0" applyNumberFormat="1" applyFill="1" applyBorder="1"/>
    <xf numFmtId="4" fontId="0" fillId="3" borderId="14" xfId="0" applyNumberFormat="1" applyFill="1" applyBorder="1"/>
    <xf numFmtId="1" fontId="0" fillId="0" borderId="0" xfId="0" applyNumberFormat="1"/>
    <xf numFmtId="1" fontId="0" fillId="0" borderId="1" xfId="0" applyNumberFormat="1" applyBorder="1"/>
    <xf numFmtId="1" fontId="0" fillId="4" borderId="1" xfId="0" applyNumberFormat="1" applyFill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0" fillId="3" borderId="18" xfId="0" applyFill="1" applyBorder="1"/>
    <xf numFmtId="4" fontId="0" fillId="0" borderId="7" xfId="0" applyNumberFormat="1" applyBorder="1" applyAlignment="1">
      <alignment horizontal="right"/>
    </xf>
    <xf numFmtId="2" fontId="0" fillId="11" borderId="0" xfId="0" applyNumberFormat="1" applyFill="1"/>
    <xf numFmtId="0" fontId="0" fillId="11" borderId="0" xfId="0" applyFill="1"/>
    <xf numFmtId="0" fontId="0" fillId="18" borderId="18" xfId="0" applyFill="1" applyBorder="1"/>
    <xf numFmtId="4" fontId="0" fillId="18" borderId="14" xfId="0" applyNumberFormat="1" applyFill="1" applyBorder="1"/>
    <xf numFmtId="0" fontId="0" fillId="18" borderId="1" xfId="0" applyFill="1" applyBorder="1"/>
    <xf numFmtId="4" fontId="0" fillId="18" borderId="1" xfId="0" applyNumberFormat="1" applyFill="1" applyBorder="1"/>
    <xf numFmtId="0" fontId="0" fillId="0" borderId="26" xfId="0" applyBorder="1"/>
    <xf numFmtId="0" fontId="0" fillId="0" borderId="7" xfId="0" applyBorder="1"/>
    <xf numFmtId="0" fontId="1" fillId="0" borderId="3" xfId="0" applyFont="1" applyBorder="1"/>
    <xf numFmtId="0" fontId="0" fillId="3" borderId="35" xfId="0" applyFill="1" applyBorder="1"/>
    <xf numFmtId="0" fontId="14" fillId="0" borderId="0" xfId="2378"/>
    <xf numFmtId="0" fontId="0" fillId="0" borderId="11" xfId="0" applyBorder="1"/>
    <xf numFmtId="0" fontId="0" fillId="25" borderId="42" xfId="0" applyFill="1" applyBorder="1" applyAlignment="1">
      <alignment horizontal="right"/>
    </xf>
    <xf numFmtId="4" fontId="0" fillId="25" borderId="16" xfId="0" applyNumberFormat="1" applyFill="1" applyBorder="1"/>
    <xf numFmtId="0" fontId="1" fillId="0" borderId="2" xfId="0" applyFont="1" applyBorder="1"/>
    <xf numFmtId="4" fontId="0" fillId="11" borderId="18" xfId="0" applyNumberFormat="1" applyFill="1" applyBorder="1"/>
    <xf numFmtId="4" fontId="0" fillId="11" borderId="10" xfId="0" applyNumberFormat="1" applyFill="1" applyBorder="1"/>
    <xf numFmtId="4" fontId="0" fillId="11" borderId="11" xfId="0" applyNumberFormat="1" applyFill="1" applyBorder="1"/>
    <xf numFmtId="4" fontId="0" fillId="14" borderId="33" xfId="0" applyNumberFormat="1" applyFill="1" applyBorder="1"/>
    <xf numFmtId="4" fontId="0" fillId="11" borderId="8" xfId="0" applyNumberFormat="1" applyFill="1" applyBorder="1"/>
    <xf numFmtId="4" fontId="0" fillId="14" borderId="2" xfId="0" applyNumberFormat="1" applyFill="1" applyBorder="1"/>
    <xf numFmtId="4" fontId="0" fillId="14" borderId="3" xfId="0" applyNumberFormat="1" applyFill="1" applyBorder="1"/>
    <xf numFmtId="0" fontId="1" fillId="0" borderId="15" xfId="0" applyFont="1" applyBorder="1"/>
    <xf numFmtId="4" fontId="0" fillId="14" borderId="15" xfId="0" applyNumberFormat="1" applyFill="1" applyBorder="1"/>
    <xf numFmtId="4" fontId="0" fillId="14" borderId="32" xfId="0" applyNumberFormat="1" applyFill="1" applyBorder="1"/>
    <xf numFmtId="0" fontId="1" fillId="0" borderId="34" xfId="0" applyFont="1" applyBorder="1"/>
    <xf numFmtId="4" fontId="0" fillId="11" borderId="38" xfId="0" applyNumberFormat="1" applyFill="1" applyBorder="1" applyAlignment="1">
      <alignment horizontal="right"/>
    </xf>
    <xf numFmtId="14" fontId="0" fillId="0" borderId="11" xfId="0" applyNumberFormat="1" applyBorder="1"/>
    <xf numFmtId="14" fontId="0" fillId="0" borderId="12" xfId="0" applyNumberFormat="1" applyBorder="1"/>
    <xf numFmtId="0" fontId="1" fillId="0" borderId="40" xfId="0" applyFont="1" applyBorder="1"/>
    <xf numFmtId="0" fontId="1" fillId="0" borderId="41" xfId="0" applyFont="1" applyBorder="1"/>
    <xf numFmtId="4" fontId="0" fillId="0" borderId="30" xfId="0" applyNumberFormat="1" applyBorder="1"/>
    <xf numFmtId="0" fontId="0" fillId="0" borderId="13" xfId="0" applyBorder="1"/>
    <xf numFmtId="0" fontId="0" fillId="0" borderId="39" xfId="0" applyBorder="1"/>
    <xf numFmtId="4" fontId="0" fillId="10" borderId="10" xfId="0" applyNumberFormat="1" applyFill="1" applyBorder="1"/>
    <xf numFmtId="0" fontId="0" fillId="0" borderId="1" xfId="0" applyBorder="1" applyAlignment="1">
      <alignment vertical="center" wrapText="1"/>
    </xf>
    <xf numFmtId="0" fontId="0" fillId="0" borderId="5" xfId="0" applyBorder="1"/>
    <xf numFmtId="4" fontId="0" fillId="0" borderId="5" xfId="0" applyNumberFormat="1" applyBorder="1"/>
    <xf numFmtId="4" fontId="0" fillId="0" borderId="6" xfId="0" applyNumberFormat="1" applyBorder="1"/>
    <xf numFmtId="0" fontId="0" fillId="0" borderId="18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4" fontId="0" fillId="0" borderId="12" xfId="0" applyNumberFormat="1" applyBorder="1"/>
    <xf numFmtId="0" fontId="0" fillId="16" borderId="18" xfId="0" applyFill="1" applyBorder="1" applyAlignment="1">
      <alignment vertical="center" wrapText="1"/>
    </xf>
    <xf numFmtId="0" fontId="0" fillId="16" borderId="1" xfId="0" applyFill="1" applyBorder="1" applyAlignment="1">
      <alignment vertical="center" wrapText="1"/>
    </xf>
    <xf numFmtId="17" fontId="1" fillId="0" borderId="43" xfId="0" applyNumberFormat="1" applyFont="1" applyBorder="1"/>
    <xf numFmtId="0" fontId="0" fillId="26" borderId="4" xfId="0" applyFill="1" applyBorder="1"/>
    <xf numFmtId="0" fontId="0" fillId="31" borderId="18" xfId="0" applyFill="1" applyBorder="1"/>
    <xf numFmtId="0" fontId="0" fillId="28" borderId="18" xfId="0" applyFill="1" applyBorder="1"/>
    <xf numFmtId="0" fontId="0" fillId="19" borderId="18" xfId="0" applyFill="1" applyBorder="1"/>
    <xf numFmtId="4" fontId="16" fillId="31" borderId="14" xfId="0" applyNumberFormat="1" applyFont="1" applyFill="1" applyBorder="1" applyAlignment="1">
      <alignment horizontal="right" vertical="center" wrapText="1"/>
    </xf>
    <xf numFmtId="0" fontId="8" fillId="15" borderId="16" xfId="0" applyFont="1" applyFill="1" applyBorder="1"/>
    <xf numFmtId="4" fontId="8" fillId="15" borderId="16" xfId="0" applyNumberFormat="1" applyFont="1" applyFill="1" applyBorder="1"/>
    <xf numFmtId="170" fontId="8" fillId="15" borderId="16" xfId="0" applyNumberFormat="1" applyFont="1" applyFill="1" applyBorder="1"/>
    <xf numFmtId="0" fontId="8" fillId="26" borderId="18" xfId="0" applyFont="1" applyFill="1" applyBorder="1"/>
    <xf numFmtId="4" fontId="8" fillId="26" borderId="1" xfId="0" applyNumberFormat="1" applyFont="1" applyFill="1" applyBorder="1"/>
    <xf numFmtId="170" fontId="8" fillId="26" borderId="1" xfId="0" applyNumberFormat="1" applyFont="1" applyFill="1" applyBorder="1"/>
    <xf numFmtId="4" fontId="8" fillId="26" borderId="14" xfId="0" applyNumberFormat="1" applyFont="1" applyFill="1" applyBorder="1"/>
    <xf numFmtId="0" fontId="8" fillId="31" borderId="18" xfId="0" applyFont="1" applyFill="1" applyBorder="1"/>
    <xf numFmtId="4" fontId="8" fillId="31" borderId="1" xfId="0" applyNumberFormat="1" applyFont="1" applyFill="1" applyBorder="1"/>
    <xf numFmtId="170" fontId="8" fillId="31" borderId="1" xfId="0" applyNumberFormat="1" applyFont="1" applyFill="1" applyBorder="1"/>
    <xf numFmtId="4" fontId="8" fillId="31" borderId="14" xfId="0" applyNumberFormat="1" applyFont="1" applyFill="1" applyBorder="1"/>
    <xf numFmtId="0" fontId="8" fillId="3" borderId="18" xfId="0" applyFont="1" applyFill="1" applyBorder="1"/>
    <xf numFmtId="4" fontId="8" fillId="3" borderId="14" xfId="0" applyNumberFormat="1" applyFont="1" applyFill="1" applyBorder="1"/>
    <xf numFmtId="4" fontId="8" fillId="3" borderId="18" xfId="0" applyNumberFormat="1" applyFont="1" applyFill="1" applyBorder="1"/>
    <xf numFmtId="170" fontId="8" fillId="3" borderId="14" xfId="0" applyNumberFormat="1" applyFont="1" applyFill="1" applyBorder="1"/>
    <xf numFmtId="0" fontId="9" fillId="30" borderId="4" xfId="0" applyFont="1" applyFill="1" applyBorder="1" applyAlignment="1">
      <alignment horizontal="center" vertical="center" wrapText="1"/>
    </xf>
    <xf numFmtId="0" fontId="9" fillId="30" borderId="5" xfId="0" applyFont="1" applyFill="1" applyBorder="1" applyAlignment="1">
      <alignment horizontal="center" vertical="center" wrapText="1"/>
    </xf>
    <xf numFmtId="4" fontId="9" fillId="30" borderId="5" xfId="0" applyNumberFormat="1" applyFont="1" applyFill="1" applyBorder="1" applyAlignment="1">
      <alignment horizontal="center" vertical="center" wrapText="1"/>
    </xf>
    <xf numFmtId="4" fontId="9" fillId="30" borderId="6" xfId="0" applyNumberFormat="1" applyFont="1" applyFill="1" applyBorder="1" applyAlignment="1">
      <alignment horizontal="center" vertical="center" wrapText="1"/>
    </xf>
    <xf numFmtId="0" fontId="17" fillId="30" borderId="18" xfId="0" applyFont="1" applyFill="1" applyBorder="1" applyAlignment="1">
      <alignment vertical="center" wrapText="1"/>
    </xf>
    <xf numFmtId="0" fontId="17" fillId="30" borderId="1" xfId="0" applyFont="1" applyFill="1" applyBorder="1" applyAlignment="1">
      <alignment vertical="center" wrapText="1"/>
    </xf>
    <xf numFmtId="4" fontId="17" fillId="30" borderId="1" xfId="0" applyNumberFormat="1" applyFont="1" applyFill="1" applyBorder="1" applyAlignment="1">
      <alignment horizontal="right" vertical="center" wrapText="1"/>
    </xf>
    <xf numFmtId="170" fontId="17" fillId="30" borderId="1" xfId="0" applyNumberFormat="1" applyFont="1" applyFill="1" applyBorder="1" applyAlignment="1">
      <alignment vertical="center" wrapText="1"/>
    </xf>
    <xf numFmtId="4" fontId="17" fillId="30" borderId="14" xfId="0" applyNumberFormat="1" applyFont="1" applyFill="1" applyBorder="1" applyAlignment="1">
      <alignment horizontal="right" vertical="center" wrapText="1"/>
    </xf>
    <xf numFmtId="0" fontId="17" fillId="5" borderId="18" xfId="0" applyFont="1" applyFill="1" applyBorder="1" applyAlignment="1">
      <alignment vertical="center" wrapText="1"/>
    </xf>
    <xf numFmtId="0" fontId="17" fillId="5" borderId="1" xfId="0" applyFont="1" applyFill="1" applyBorder="1" applyAlignment="1">
      <alignment vertical="center" wrapText="1"/>
    </xf>
    <xf numFmtId="4" fontId="17" fillId="5" borderId="1" xfId="0" applyNumberFormat="1" applyFont="1" applyFill="1" applyBorder="1" applyAlignment="1">
      <alignment horizontal="right" vertical="center" wrapText="1"/>
    </xf>
    <xf numFmtId="170" fontId="17" fillId="5" borderId="1" xfId="0" applyNumberFormat="1" applyFont="1" applyFill="1" applyBorder="1" applyAlignment="1">
      <alignment vertical="center" wrapText="1"/>
    </xf>
    <xf numFmtId="4" fontId="17" fillId="5" borderId="14" xfId="0" applyNumberFormat="1" applyFont="1" applyFill="1" applyBorder="1" applyAlignment="1">
      <alignment horizontal="right" vertical="center" wrapText="1"/>
    </xf>
    <xf numFmtId="0" fontId="17" fillId="28" borderId="18" xfId="0" applyFont="1" applyFill="1" applyBorder="1" applyAlignment="1">
      <alignment vertical="center" wrapText="1"/>
    </xf>
    <xf numFmtId="0" fontId="17" fillId="28" borderId="1" xfId="0" applyFont="1" applyFill="1" applyBorder="1" applyAlignment="1">
      <alignment vertical="center" wrapText="1"/>
    </xf>
    <xf numFmtId="4" fontId="17" fillId="28" borderId="1" xfId="0" applyNumberFormat="1" applyFont="1" applyFill="1" applyBorder="1" applyAlignment="1">
      <alignment horizontal="right" vertical="center" wrapText="1"/>
    </xf>
    <xf numFmtId="170" fontId="17" fillId="28" borderId="1" xfId="0" applyNumberFormat="1" applyFont="1" applyFill="1" applyBorder="1" applyAlignment="1">
      <alignment vertical="center" wrapText="1"/>
    </xf>
    <xf numFmtId="4" fontId="17" fillId="28" borderId="14" xfId="0" applyNumberFormat="1" applyFont="1" applyFill="1" applyBorder="1" applyAlignment="1">
      <alignment horizontal="right" vertical="center" wrapText="1"/>
    </xf>
    <xf numFmtId="0" fontId="17" fillId="19" borderId="18" xfId="0" applyFont="1" applyFill="1" applyBorder="1" applyAlignment="1">
      <alignment vertical="center" wrapText="1"/>
    </xf>
    <xf numFmtId="0" fontId="17" fillId="19" borderId="1" xfId="0" applyFont="1" applyFill="1" applyBorder="1" applyAlignment="1">
      <alignment vertical="center" wrapText="1"/>
    </xf>
    <xf numFmtId="4" fontId="17" fillId="19" borderId="1" xfId="0" applyNumberFormat="1" applyFont="1" applyFill="1" applyBorder="1" applyAlignment="1">
      <alignment horizontal="right" vertical="center" wrapText="1"/>
    </xf>
    <xf numFmtId="170" fontId="17" fillId="19" borderId="1" xfId="0" applyNumberFormat="1" applyFont="1" applyFill="1" applyBorder="1" applyAlignment="1">
      <alignment vertical="center" wrapText="1"/>
    </xf>
    <xf numFmtId="4" fontId="17" fillId="19" borderId="14" xfId="0" applyNumberFormat="1" applyFont="1" applyFill="1" applyBorder="1" applyAlignment="1">
      <alignment horizontal="right" vertical="center" wrapText="1"/>
    </xf>
    <xf numFmtId="0" fontId="17" fillId="2" borderId="18" xfId="0" applyFont="1" applyFill="1" applyBorder="1" applyAlignment="1">
      <alignment vertical="center" wrapText="1"/>
    </xf>
    <xf numFmtId="0" fontId="17" fillId="2" borderId="1" xfId="0" applyFont="1" applyFill="1" applyBorder="1" applyAlignment="1">
      <alignment vertical="center" wrapText="1"/>
    </xf>
    <xf numFmtId="4" fontId="17" fillId="2" borderId="1" xfId="0" applyNumberFormat="1" applyFont="1" applyFill="1" applyBorder="1" applyAlignment="1">
      <alignment horizontal="right" vertical="center" wrapText="1"/>
    </xf>
    <xf numFmtId="170" fontId="17" fillId="2" borderId="1" xfId="0" applyNumberFormat="1" applyFont="1" applyFill="1" applyBorder="1" applyAlignment="1">
      <alignment vertical="center" wrapText="1"/>
    </xf>
    <xf numFmtId="4" fontId="17" fillId="2" borderId="14" xfId="0" applyNumberFormat="1" applyFont="1" applyFill="1" applyBorder="1" applyAlignment="1">
      <alignment horizontal="right" vertical="center" wrapText="1"/>
    </xf>
    <xf numFmtId="0" fontId="17" fillId="30" borderId="10" xfId="0" applyFont="1" applyFill="1" applyBorder="1" applyAlignment="1">
      <alignment vertical="center" wrapText="1"/>
    </xf>
    <xf numFmtId="0" fontId="17" fillId="30" borderId="11" xfId="0" applyFont="1" applyFill="1" applyBorder="1" applyAlignment="1">
      <alignment vertical="center" wrapText="1"/>
    </xf>
    <xf numFmtId="4" fontId="17" fillId="30" borderId="11" xfId="0" applyNumberFormat="1" applyFont="1" applyFill="1" applyBorder="1" applyAlignment="1">
      <alignment horizontal="right" vertical="center" wrapText="1"/>
    </xf>
    <xf numFmtId="170" fontId="17" fillId="30" borderId="11" xfId="0" applyNumberFormat="1" applyFont="1" applyFill="1" applyBorder="1" applyAlignment="1">
      <alignment vertical="center" wrapText="1"/>
    </xf>
    <xf numFmtId="4" fontId="17" fillId="30" borderId="12" xfId="0" applyNumberFormat="1" applyFont="1" applyFill="1" applyBorder="1" applyAlignment="1">
      <alignment horizontal="right" vertical="center" wrapText="1"/>
    </xf>
    <xf numFmtId="4" fontId="0" fillId="0" borderId="1" xfId="0" applyNumberFormat="1" applyBorder="1" applyAlignment="1">
      <alignment vertical="center" wrapText="1"/>
    </xf>
    <xf numFmtId="4" fontId="0" fillId="16" borderId="1" xfId="0" applyNumberFormat="1" applyFill="1" applyBorder="1" applyAlignment="1">
      <alignment vertical="center" wrapText="1"/>
    </xf>
    <xf numFmtId="4" fontId="0" fillId="0" borderId="11" xfId="0" applyNumberFormat="1" applyBorder="1" applyAlignment="1">
      <alignment vertical="center" wrapText="1"/>
    </xf>
    <xf numFmtId="4" fontId="0" fillId="11" borderId="29" xfId="0" applyNumberFormat="1" applyFill="1" applyBorder="1" applyAlignment="1">
      <alignment horizontal="right"/>
    </xf>
    <xf numFmtId="0" fontId="0" fillId="11" borderId="38" xfId="0" applyFill="1" applyBorder="1" applyAlignment="1">
      <alignment horizontal="center"/>
    </xf>
    <xf numFmtId="4" fontId="0" fillId="25" borderId="24" xfId="0" applyNumberFormat="1" applyFill="1" applyBorder="1"/>
    <xf numFmtId="4" fontId="0" fillId="13" borderId="4" xfId="0" applyNumberFormat="1" applyFill="1" applyBorder="1"/>
    <xf numFmtId="14" fontId="0" fillId="0" borderId="5" xfId="0" applyNumberFormat="1" applyBorder="1"/>
    <xf numFmtId="14" fontId="0" fillId="0" borderId="6" xfId="0" applyNumberFormat="1" applyBorder="1"/>
    <xf numFmtId="171" fontId="0" fillId="0" borderId="0" xfId="0" applyNumberFormat="1"/>
    <xf numFmtId="14" fontId="1" fillId="0" borderId="0" xfId="0" applyNumberFormat="1" applyFont="1"/>
    <xf numFmtId="171" fontId="1" fillId="0" borderId="0" xfId="0" applyNumberFormat="1" applyFont="1"/>
    <xf numFmtId="0" fontId="0" fillId="3" borderId="36" xfId="0" applyFill="1" applyBorder="1"/>
    <xf numFmtId="0" fontId="1" fillId="3" borderId="34" xfId="0" applyFont="1" applyFill="1" applyBorder="1"/>
    <xf numFmtId="0" fontId="1" fillId="11" borderId="34" xfId="0" applyFont="1" applyFill="1" applyBorder="1"/>
    <xf numFmtId="0" fontId="0" fillId="11" borderId="36" xfId="0" applyFill="1" applyBorder="1"/>
    <xf numFmtId="0" fontId="0" fillId="24" borderId="0" xfId="0" applyFill="1"/>
    <xf numFmtId="0" fontId="0" fillId="24" borderId="0" xfId="0" applyFill="1" applyAlignment="1">
      <alignment horizontal="center"/>
    </xf>
    <xf numFmtId="0" fontId="0" fillId="24" borderId="0" xfId="0" applyFill="1" applyAlignment="1">
      <alignment horizontal="left"/>
    </xf>
    <xf numFmtId="4" fontId="0" fillId="24" borderId="0" xfId="0" applyNumberFormat="1" applyFill="1"/>
    <xf numFmtId="2" fontId="0" fillId="24" borderId="0" xfId="0" applyNumberFormat="1" applyFill="1"/>
    <xf numFmtId="4" fontId="0" fillId="24" borderId="0" xfId="0" quotePrefix="1" applyNumberFormat="1" applyFill="1"/>
    <xf numFmtId="4" fontId="0" fillId="24" borderId="0" xfId="0" quotePrefix="1" applyNumberFormat="1" applyFill="1" applyAlignment="1">
      <alignment horizontal="center"/>
    </xf>
    <xf numFmtId="4" fontId="0" fillId="24" borderId="0" xfId="0" quotePrefix="1" applyNumberFormat="1" applyFill="1" applyAlignment="1">
      <alignment horizontal="left"/>
    </xf>
    <xf numFmtId="0" fontId="0" fillId="0" borderId="0" xfId="0" applyProtection="1">
      <protection locked="0"/>
    </xf>
    <xf numFmtId="0" fontId="18" fillId="32" borderId="34" xfId="0" applyFont="1" applyFill="1" applyBorder="1" applyAlignment="1" applyProtection="1">
      <alignment horizontal="right"/>
      <protection locked="0"/>
    </xf>
    <xf numFmtId="0" fontId="7" fillId="32" borderId="36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Protection="1">
      <protection hidden="1"/>
    </xf>
    <xf numFmtId="0" fontId="7" fillId="0" borderId="0" xfId="0" applyFont="1" applyProtection="1">
      <protection locked="0"/>
    </xf>
    <xf numFmtId="0" fontId="0" fillId="0" borderId="0" xfId="0" pivotButton="1" applyProtection="1"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171" fontId="18" fillId="32" borderId="36" xfId="2372" applyNumberFormat="1" applyFont="1" applyFill="1" applyBorder="1" applyProtection="1">
      <protection hidden="1"/>
    </xf>
    <xf numFmtId="44" fontId="0" fillId="0" borderId="0" xfId="0" applyNumberFormat="1"/>
    <xf numFmtId="44" fontId="1" fillId="0" borderId="0" xfId="0" applyNumberFormat="1" applyFont="1"/>
    <xf numFmtId="14" fontId="0" fillId="0" borderId="0" xfId="0" applyNumberFormat="1" applyProtection="1">
      <protection locked="0"/>
    </xf>
    <xf numFmtId="170" fontId="0" fillId="0" borderId="0" xfId="0" applyNumberFormat="1"/>
    <xf numFmtId="14" fontId="7" fillId="32" borderId="35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pivotButton="1"/>
    <xf numFmtId="14" fontId="7" fillId="4" borderId="33" xfId="0" applyNumberFormat="1" applyFont="1" applyFill="1" applyBorder="1" applyAlignment="1" applyProtection="1">
      <alignment horizontal="center"/>
      <protection hidden="1"/>
    </xf>
    <xf numFmtId="14" fontId="7" fillId="32" borderId="34" xfId="0" applyNumberFormat="1" applyFont="1" applyFill="1" applyBorder="1" applyAlignment="1" applyProtection="1">
      <alignment horizontal="center"/>
      <protection hidden="1"/>
    </xf>
    <xf numFmtId="14" fontId="7" fillId="32" borderId="36" xfId="0" applyNumberFormat="1" applyFont="1" applyFill="1" applyBorder="1" applyAlignment="1" applyProtection="1">
      <alignment horizontal="center"/>
      <protection hidden="1"/>
    </xf>
    <xf numFmtId="14" fontId="7" fillId="32" borderId="33" xfId="0" applyNumberFormat="1" applyFont="1" applyFill="1" applyBorder="1" applyAlignment="1" applyProtection="1">
      <alignment horizontal="center"/>
      <protection hidden="1"/>
    </xf>
    <xf numFmtId="170" fontId="0" fillId="24" borderId="0" xfId="0" applyNumberFormat="1" applyFill="1" applyAlignment="1">
      <alignment horizontal="right"/>
    </xf>
    <xf numFmtId="170" fontId="0" fillId="24" borderId="0" xfId="0" quotePrefix="1" applyNumberFormat="1" applyFill="1" applyAlignment="1">
      <alignment horizontal="right"/>
    </xf>
    <xf numFmtId="0" fontId="1" fillId="0" borderId="0" xfId="0" applyFont="1" applyProtection="1">
      <protection locked="0"/>
    </xf>
    <xf numFmtId="44" fontId="0" fillId="24" borderId="0" xfId="0" applyNumberFormat="1" applyFill="1"/>
    <xf numFmtId="44" fontId="0" fillId="24" borderId="0" xfId="0" quotePrefix="1" applyNumberFormat="1" applyFill="1"/>
    <xf numFmtId="170" fontId="1" fillId="0" borderId="0" xfId="0" applyNumberFormat="1" applyFont="1" applyAlignment="1">
      <alignment vertical="center" wrapText="1"/>
    </xf>
    <xf numFmtId="0" fontId="1" fillId="0" borderId="0" xfId="0" applyFont="1" applyAlignment="1">
      <alignment vertical="center" wrapText="1"/>
    </xf>
    <xf numFmtId="44" fontId="1" fillId="0" borderId="0" xfId="0" applyNumberFormat="1" applyFont="1" applyAlignment="1">
      <alignment vertical="center" wrapText="1"/>
    </xf>
    <xf numFmtId="44" fontId="1" fillId="33" borderId="0" xfId="0" applyNumberFormat="1" applyFont="1" applyFill="1" applyAlignment="1">
      <alignment vertical="center" wrapText="1"/>
    </xf>
    <xf numFmtId="44" fontId="1" fillId="4" borderId="0" xfId="0" applyNumberFormat="1" applyFont="1" applyFill="1"/>
    <xf numFmtId="44" fontId="1" fillId="3" borderId="0" xfId="0" applyNumberFormat="1" applyFont="1" applyFill="1"/>
    <xf numFmtId="0" fontId="1" fillId="34" borderId="0" xfId="0" applyFont="1" applyFill="1" applyAlignment="1">
      <alignment vertical="center" wrapText="1"/>
    </xf>
    <xf numFmtId="44" fontId="1" fillId="34" borderId="0" xfId="0" applyNumberFormat="1" applyFont="1" applyFill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0" fillId="0" borderId="0" xfId="0" applyAlignment="1" applyProtection="1">
      <alignment horizontal="left" indent="1"/>
      <protection locked="0"/>
    </xf>
    <xf numFmtId="44" fontId="0" fillId="0" borderId="0" xfId="0" applyNumberFormat="1" applyProtection="1">
      <protection locked="0"/>
    </xf>
    <xf numFmtId="0" fontId="0" fillId="0" borderId="0" xfId="0" pivotButton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44" fontId="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0" fontId="15" fillId="0" borderId="0" xfId="0" applyFont="1"/>
    <xf numFmtId="0" fontId="1" fillId="24" borderId="0" xfId="0" applyFont="1" applyFill="1" applyAlignment="1">
      <alignment horizontal="center" vertical="center"/>
    </xf>
    <xf numFmtId="4" fontId="1" fillId="24" borderId="0" xfId="0" applyNumberFormat="1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" fontId="1" fillId="0" borderId="30" xfId="0" applyNumberFormat="1" applyFont="1" applyBorder="1"/>
    <xf numFmtId="171" fontId="0" fillId="0" borderId="0" xfId="0" applyNumberFormat="1" applyAlignment="1">
      <alignment vertical="center" wrapText="1"/>
    </xf>
    <xf numFmtId="172" fontId="0" fillId="0" borderId="0" xfId="0" applyNumberFormat="1"/>
    <xf numFmtId="0" fontId="1" fillId="17" borderId="33" xfId="0" applyFont="1" applyFill="1" applyBorder="1"/>
    <xf numFmtId="173" fontId="0" fillId="0" borderId="0" xfId="0" applyNumberFormat="1"/>
    <xf numFmtId="0" fontId="1" fillId="35" borderId="44" xfId="0" applyFont="1" applyFill="1" applyBorder="1" applyAlignment="1">
      <alignment horizontal="left"/>
    </xf>
    <xf numFmtId="44" fontId="1" fillId="35" borderId="44" xfId="0" applyNumberFormat="1" applyFont="1" applyFill="1" applyBorder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0" xfId="0" pivotButton="1" applyAlignment="1">
      <alignment vertical="center" wrapText="1"/>
    </xf>
    <xf numFmtId="170" fontId="0" fillId="24" borderId="0" xfId="0" quotePrefix="1" applyNumberFormat="1" applyFill="1" applyAlignment="1">
      <alignment horizontal="left"/>
    </xf>
    <xf numFmtId="170" fontId="0" fillId="24" borderId="0" xfId="0" applyNumberFormat="1" applyFill="1" applyAlignment="1">
      <alignment horizontal="left"/>
    </xf>
    <xf numFmtId="0" fontId="0" fillId="36" borderId="0" xfId="0" applyFill="1" applyProtection="1">
      <protection locked="0"/>
    </xf>
    <xf numFmtId="0" fontId="7" fillId="36" borderId="0" xfId="0" applyFont="1" applyFill="1" applyProtection="1">
      <protection locked="0"/>
    </xf>
    <xf numFmtId="0" fontId="0" fillId="36" borderId="0" xfId="0" applyFill="1" applyAlignment="1" applyProtection="1">
      <alignment vertical="center"/>
      <protection locked="0"/>
    </xf>
    <xf numFmtId="0" fontId="0" fillId="36" borderId="0" xfId="0" applyFill="1"/>
    <xf numFmtId="44" fontId="0" fillId="0" borderId="0" xfId="0" applyNumberFormat="1" applyAlignment="1" applyProtection="1">
      <alignment vertical="center"/>
      <protection locked="0"/>
    </xf>
    <xf numFmtId="0" fontId="21" fillId="0" borderId="0" xfId="0" pivotButton="1" applyFont="1"/>
    <xf numFmtId="0" fontId="21" fillId="0" borderId="0" xfId="0" applyFont="1"/>
    <xf numFmtId="0" fontId="0" fillId="0" borderId="0" xfId="0" pivotButton="1" applyAlignment="1">
      <alignment horizontal="center" vertical="center"/>
    </xf>
    <xf numFmtId="0" fontId="1" fillId="33" borderId="34" xfId="0" applyFont="1" applyFill="1" applyBorder="1"/>
    <xf numFmtId="44" fontId="0" fillId="0" borderId="0" xfId="2379" applyNumberFormat="1" applyFont="1"/>
    <xf numFmtId="1" fontId="0" fillId="0" borderId="0" xfId="2379" applyNumberFormat="1" applyFont="1"/>
    <xf numFmtId="4" fontId="0" fillId="24" borderId="0" xfId="0" applyNumberFormat="1" applyFill="1" applyAlignment="1">
      <alignment horizontal="center"/>
    </xf>
    <xf numFmtId="44" fontId="0" fillId="24" borderId="0" xfId="0" applyNumberFormat="1" applyFill="1" applyAlignment="1">
      <alignment vertical="center" wrapText="1"/>
    </xf>
    <xf numFmtId="4" fontId="0" fillId="37" borderId="14" xfId="0" applyNumberFormat="1" applyFill="1" applyBorder="1"/>
    <xf numFmtId="174" fontId="0" fillId="0" borderId="0" xfId="0" applyNumberFormat="1"/>
    <xf numFmtId="1" fontId="0" fillId="0" borderId="0" xfId="2379" applyNumberFormat="1" applyFont="1" applyAlignment="1">
      <alignment horizontal="right"/>
    </xf>
    <xf numFmtId="14" fontId="0" fillId="0" borderId="0" xfId="0" applyNumberFormat="1" applyAlignment="1">
      <alignment horizontal="center" vertical="center"/>
    </xf>
    <xf numFmtId="1" fontId="0" fillId="24" borderId="0" xfId="0" applyNumberFormat="1" applyFill="1" applyAlignment="1">
      <alignment horizontal="right"/>
    </xf>
    <xf numFmtId="171" fontId="0" fillId="0" borderId="45" xfId="0" applyNumberFormat="1" applyBorder="1"/>
    <xf numFmtId="0" fontId="0" fillId="33" borderId="35" xfId="0" applyFill="1" applyBorder="1"/>
    <xf numFmtId="0" fontId="1" fillId="33" borderId="36" xfId="0" applyFont="1" applyFill="1" applyBorder="1"/>
    <xf numFmtId="44" fontId="1" fillId="38" borderId="0" xfId="0" applyNumberFormat="1" applyFont="1" applyFill="1"/>
    <xf numFmtId="170" fontId="5" fillId="0" borderId="0" xfId="0" applyNumberFormat="1" applyFont="1"/>
    <xf numFmtId="2" fontId="5" fillId="0" borderId="0" xfId="0" applyNumberFormat="1" applyFont="1"/>
    <xf numFmtId="44" fontId="5" fillId="0" borderId="0" xfId="0" applyNumberFormat="1" applyFont="1"/>
    <xf numFmtId="1" fontId="5" fillId="0" borderId="0" xfId="0" applyNumberFormat="1" applyFont="1"/>
    <xf numFmtId="14" fontId="5" fillId="0" borderId="0" xfId="0" applyNumberFormat="1" applyFont="1"/>
    <xf numFmtId="171" fontId="5" fillId="0" borderId="0" xfId="0" applyNumberFormat="1" applyFont="1"/>
    <xf numFmtId="44" fontId="5" fillId="0" borderId="0" xfId="2379" applyNumberFormat="1"/>
    <xf numFmtId="44" fontId="1" fillId="0" borderId="0" xfId="0" applyNumberFormat="1" applyFont="1" applyProtection="1">
      <protection locked="0"/>
    </xf>
    <xf numFmtId="1" fontId="5" fillId="0" borderId="0" xfId="2379" applyNumberFormat="1"/>
    <xf numFmtId="8" fontId="0" fillId="0" borderId="0" xfId="0" applyNumberFormat="1"/>
    <xf numFmtId="174" fontId="0" fillId="5" borderId="0" xfId="0" applyNumberFormat="1" applyFill="1"/>
    <xf numFmtId="0" fontId="1" fillId="5" borderId="0" xfId="0" applyFont="1" applyFill="1" applyAlignment="1">
      <alignment horizontal="right"/>
    </xf>
    <xf numFmtId="4" fontId="0" fillId="0" borderId="0" xfId="0" applyNumberFormat="1" applyProtection="1">
      <protection locked="0"/>
    </xf>
    <xf numFmtId="4" fontId="22" fillId="0" borderId="0" xfId="0" applyNumberFormat="1" applyFont="1"/>
    <xf numFmtId="175" fontId="0" fillId="0" borderId="0" xfId="2379" applyNumberFormat="1" applyFont="1"/>
    <xf numFmtId="175" fontId="5" fillId="0" borderId="0" xfId="2379" applyNumberFormat="1"/>
    <xf numFmtId="175" fontId="1" fillId="0" borderId="0" xfId="0" applyNumberFormat="1" applyFont="1"/>
    <xf numFmtId="175" fontId="1" fillId="0" borderId="0" xfId="0" applyNumberFormat="1" applyFont="1" applyAlignment="1">
      <alignment vertical="center" wrapText="1"/>
    </xf>
    <xf numFmtId="175" fontId="20" fillId="0" borderId="0" xfId="0" applyNumberFormat="1" applyFont="1" applyAlignment="1">
      <alignment vertical="center" wrapText="1"/>
    </xf>
    <xf numFmtId="175" fontId="0" fillId="0" borderId="0" xfId="0" applyNumberFormat="1"/>
    <xf numFmtId="0" fontId="1" fillId="39" borderId="2" xfId="0" applyFont="1" applyFill="1" applyBorder="1"/>
    <xf numFmtId="0" fontId="1" fillId="39" borderId="50" xfId="0" applyFont="1" applyFill="1" applyBorder="1"/>
    <xf numFmtId="170" fontId="0" fillId="4" borderId="0" xfId="0" applyNumberFormat="1" applyFill="1" applyAlignment="1">
      <alignment horizontal="right"/>
    </xf>
    <xf numFmtId="176" fontId="0" fillId="0" borderId="0" xfId="0" applyNumberFormat="1"/>
    <xf numFmtId="0" fontId="1" fillId="39" borderId="30" xfId="0" applyFont="1" applyFill="1" applyBorder="1"/>
    <xf numFmtId="0" fontId="1" fillId="39" borderId="39" xfId="0" applyFont="1" applyFill="1" applyBorder="1"/>
    <xf numFmtId="0" fontId="0" fillId="19" borderId="4" xfId="0" applyFill="1" applyBorder="1"/>
    <xf numFmtId="0" fontId="0" fillId="19" borderId="1" xfId="0" applyFill="1" applyBorder="1"/>
    <xf numFmtId="2" fontId="0" fillId="19" borderId="19" xfId="0" applyNumberFormat="1" applyFill="1" applyBorder="1"/>
    <xf numFmtId="2" fontId="0" fillId="19" borderId="1" xfId="0" applyNumberFormat="1" applyFill="1" applyBorder="1"/>
    <xf numFmtId="2" fontId="1" fillId="19" borderId="14" xfId="0" applyNumberFormat="1" applyFont="1" applyFill="1" applyBorder="1"/>
    <xf numFmtId="0" fontId="0" fillId="19" borderId="11" xfId="0" applyFill="1" applyBorder="1"/>
    <xf numFmtId="0" fontId="0" fillId="19" borderId="10" xfId="0" applyFill="1" applyBorder="1"/>
    <xf numFmtId="2" fontId="0" fillId="19" borderId="11" xfId="0" applyNumberFormat="1" applyFill="1" applyBorder="1"/>
    <xf numFmtId="2" fontId="1" fillId="19" borderId="12" xfId="0" applyNumberFormat="1" applyFont="1" applyFill="1" applyBorder="1"/>
    <xf numFmtId="0" fontId="1" fillId="0" borderId="24" xfId="0" applyFont="1" applyBorder="1"/>
    <xf numFmtId="0" fontId="1" fillId="0" borderId="48" xfId="0" applyFont="1" applyBorder="1"/>
    <xf numFmtId="0" fontId="1" fillId="0" borderId="49" xfId="0" applyFont="1" applyBorder="1"/>
    <xf numFmtId="0" fontId="1" fillId="7" borderId="18" xfId="0" applyFont="1" applyFill="1" applyBorder="1"/>
    <xf numFmtId="0" fontId="0" fillId="7" borderId="14" xfId="0" applyFill="1" applyBorder="1"/>
    <xf numFmtId="0" fontId="1" fillId="7" borderId="10" xfId="0" applyFont="1" applyFill="1" applyBorder="1"/>
    <xf numFmtId="0" fontId="0" fillId="7" borderId="12" xfId="0" applyFill="1" applyBorder="1"/>
    <xf numFmtId="0" fontId="0" fillId="7" borderId="43" xfId="0" applyFill="1" applyBorder="1"/>
    <xf numFmtId="0" fontId="1" fillId="7" borderId="41" xfId="0" applyFont="1" applyFill="1" applyBorder="1"/>
    <xf numFmtId="14" fontId="1" fillId="19" borderId="40" xfId="0" applyNumberFormat="1" applyFont="1" applyFill="1" applyBorder="1"/>
    <xf numFmtId="0" fontId="0" fillId="19" borderId="43" xfId="0" applyFill="1" applyBorder="1"/>
    <xf numFmtId="0" fontId="1" fillId="19" borderId="53" xfId="0" applyFont="1" applyFill="1" applyBorder="1"/>
    <xf numFmtId="0" fontId="1" fillId="19" borderId="41" xfId="0" applyFont="1" applyFill="1" applyBorder="1"/>
    <xf numFmtId="0" fontId="1" fillId="7" borderId="4" xfId="0" applyFont="1" applyFill="1" applyBorder="1"/>
    <xf numFmtId="0" fontId="0" fillId="7" borderId="6" xfId="0" applyFill="1" applyBorder="1"/>
    <xf numFmtId="0" fontId="0" fillId="19" borderId="5" xfId="0" applyFill="1" applyBorder="1"/>
    <xf numFmtId="2" fontId="0" fillId="19" borderId="52" xfId="0" applyNumberFormat="1" applyFill="1" applyBorder="1"/>
    <xf numFmtId="2" fontId="0" fillId="19" borderId="5" xfId="0" applyNumberFormat="1" applyFill="1" applyBorder="1"/>
    <xf numFmtId="2" fontId="1" fillId="19" borderId="6" xfId="0" applyNumberFormat="1" applyFont="1" applyFill="1" applyBorder="1"/>
    <xf numFmtId="2" fontId="0" fillId="19" borderId="51" xfId="0" applyNumberFormat="1" applyFill="1" applyBorder="1"/>
    <xf numFmtId="0" fontId="1" fillId="7" borderId="33" xfId="0" applyFont="1" applyFill="1" applyBorder="1"/>
    <xf numFmtId="176" fontId="1" fillId="19" borderId="54" xfId="0" applyNumberFormat="1" applyFont="1" applyFill="1" applyBorder="1"/>
    <xf numFmtId="176" fontId="0" fillId="19" borderId="47" xfId="0" applyNumberFormat="1" applyFill="1" applyBorder="1"/>
    <xf numFmtId="176" fontId="0" fillId="19" borderId="37" xfId="0" applyNumberFormat="1" applyFill="1" applyBorder="1"/>
    <xf numFmtId="176" fontId="0" fillId="19" borderId="38" xfId="0" applyNumberFormat="1" applyFill="1" applyBorder="1"/>
    <xf numFmtId="14" fontId="1" fillId="19" borderId="2" xfId="0" applyNumberFormat="1" applyFont="1" applyFill="1" applyBorder="1"/>
    <xf numFmtId="0" fontId="1" fillId="19" borderId="50" xfId="0" applyFont="1" applyFill="1" applyBorder="1"/>
    <xf numFmtId="2" fontId="1" fillId="19" borderId="39" xfId="0" applyNumberFormat="1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0" fontId="0" fillId="10" borderId="8" xfId="0" applyFill="1" applyBorder="1"/>
    <xf numFmtId="2" fontId="0" fillId="10" borderId="8" xfId="0" applyNumberFormat="1" applyFill="1" applyBorder="1"/>
    <xf numFmtId="0" fontId="1" fillId="40" borderId="2" xfId="0" applyFont="1" applyFill="1" applyBorder="1"/>
    <xf numFmtId="0" fontId="1" fillId="40" borderId="3" xfId="0" applyFont="1" applyFill="1" applyBorder="1"/>
    <xf numFmtId="2" fontId="1" fillId="40" borderId="3" xfId="0" applyNumberFormat="1" applyFont="1" applyFill="1" applyBorder="1"/>
    <xf numFmtId="2" fontId="1" fillId="40" borderId="50" xfId="0" applyNumberFormat="1" applyFont="1" applyFill="1" applyBorder="1"/>
    <xf numFmtId="0" fontId="0" fillId="10" borderId="9" xfId="0" applyFill="1" applyBorder="1"/>
    <xf numFmtId="0" fontId="0" fillId="10" borderId="23" xfId="0" applyFill="1" applyBorder="1"/>
    <xf numFmtId="0" fontId="0" fillId="40" borderId="55" xfId="0" applyFill="1" applyBorder="1"/>
    <xf numFmtId="0" fontId="0" fillId="40" borderId="56" xfId="0" applyFill="1" applyBorder="1"/>
    <xf numFmtId="0" fontId="0" fillId="40" borderId="57" xfId="0" applyFill="1" applyBorder="1"/>
    <xf numFmtId="0" fontId="1" fillId="10" borderId="19" xfId="0" applyFont="1" applyFill="1" applyBorder="1"/>
    <xf numFmtId="2" fontId="0" fillId="10" borderId="7" xfId="0" applyNumberFormat="1" applyFill="1" applyBorder="1"/>
    <xf numFmtId="0" fontId="0" fillId="10" borderId="7" xfId="0" applyFill="1" applyBorder="1"/>
    <xf numFmtId="0" fontId="1" fillId="40" borderId="50" xfId="0" applyFont="1" applyFill="1" applyBorder="1"/>
    <xf numFmtId="0" fontId="1" fillId="40" borderId="58" xfId="0" applyFont="1" applyFill="1" applyBorder="1"/>
    <xf numFmtId="0" fontId="1" fillId="40" borderId="33" xfId="0" applyFont="1" applyFill="1" applyBorder="1"/>
    <xf numFmtId="171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8" fillId="32" borderId="33" xfId="0" applyFont="1" applyFill="1" applyBorder="1" applyAlignment="1" applyProtection="1">
      <alignment horizontal="center"/>
      <protection locked="0"/>
    </xf>
    <xf numFmtId="0" fontId="0" fillId="0" borderId="36" xfId="0" applyBorder="1" applyProtection="1">
      <protection locked="0"/>
    </xf>
    <xf numFmtId="0" fontId="1" fillId="0" borderId="1" xfId="0" applyFont="1" applyBorder="1" applyAlignment="1">
      <alignment horizontal="center"/>
    </xf>
    <xf numFmtId="0" fontId="0" fillId="0" borderId="31" xfId="0" applyBorder="1"/>
    <xf numFmtId="0" fontId="0" fillId="0" borderId="9" xfId="0" applyBorder="1"/>
    <xf numFmtId="2" fontId="0" fillId="0" borderId="33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2" fontId="0" fillId="4" borderId="36" xfId="0" applyNumberFormat="1" applyFill="1" applyBorder="1" applyAlignment="1">
      <alignment horizontal="center"/>
    </xf>
    <xf numFmtId="0" fontId="0" fillId="0" borderId="22" xfId="0" applyBorder="1"/>
    <xf numFmtId="2" fontId="0" fillId="4" borderId="33" xfId="0" applyNumberFormat="1" applyFill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15" fillId="0" borderId="33" xfId="0" applyFont="1" applyBorder="1" applyAlignment="1">
      <alignment horizontal="center"/>
    </xf>
    <xf numFmtId="0" fontId="0" fillId="0" borderId="36" xfId="0" applyBorder="1"/>
    <xf numFmtId="2" fontId="0" fillId="15" borderId="25" xfId="0" applyNumberFormat="1" applyFill="1" applyBorder="1" applyAlignment="1">
      <alignment horizontal="center"/>
    </xf>
    <xf numFmtId="0" fontId="0" fillId="0" borderId="25" xfId="0" applyBorder="1"/>
    <xf numFmtId="0" fontId="0" fillId="12" borderId="0" xfId="0" applyFill="1" applyAlignment="1">
      <alignment horizontal="center"/>
    </xf>
    <xf numFmtId="0" fontId="0" fillId="0" borderId="0" xfId="0"/>
    <xf numFmtId="4" fontId="0" fillId="0" borderId="1" xfId="0" applyNumberFormat="1" applyBorder="1" applyAlignment="1">
      <alignment horizontal="right"/>
    </xf>
    <xf numFmtId="0" fontId="0" fillId="0" borderId="26" xfId="0" applyBorder="1"/>
    <xf numFmtId="0" fontId="0" fillId="0" borderId="7" xfId="0" applyBorder="1"/>
    <xf numFmtId="2" fontId="0" fillId="0" borderId="36" xfId="0" applyNumberFormat="1" applyBorder="1" applyAlignment="1">
      <alignment horizontal="center"/>
    </xf>
    <xf numFmtId="4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4" fontId="0" fillId="18" borderId="1" xfId="0" applyNumberForma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0" fillId="5" borderId="0" xfId="0" applyFill="1"/>
    <xf numFmtId="2" fontId="0" fillId="0" borderId="22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0" fontId="0" fillId="0" borderId="46" xfId="0" applyBorder="1"/>
    <xf numFmtId="4" fontId="0" fillId="0" borderId="1" xfId="0" applyNumberFormat="1" applyBorder="1" applyAlignment="1">
      <alignment horizontal="center"/>
    </xf>
    <xf numFmtId="4" fontId="0" fillId="16" borderId="14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4" fontId="0" fillId="13" borderId="4" xfId="0" applyNumberFormat="1" applyFill="1" applyBorder="1" applyAlignment="1">
      <alignment horizontal="right"/>
    </xf>
    <xf numFmtId="0" fontId="0" fillId="0" borderId="16" xfId="0" applyBorder="1"/>
    <xf numFmtId="0" fontId="0" fillId="11" borderId="37" xfId="0" applyFill="1" applyBorder="1" applyAlignment="1">
      <alignment horizontal="center"/>
    </xf>
    <xf numFmtId="0" fontId="0" fillId="0" borderId="42" xfId="0" applyBorder="1"/>
    <xf numFmtId="4" fontId="0" fillId="11" borderId="19" xfId="0" applyNumberFormat="1" applyFill="1" applyBorder="1" applyAlignment="1">
      <alignment horizontal="right"/>
    </xf>
    <xf numFmtId="0" fontId="0" fillId="0" borderId="17" xfId="0" applyBorder="1"/>
    <xf numFmtId="4" fontId="0" fillId="25" borderId="47" xfId="0" applyNumberFormat="1" applyFill="1" applyBorder="1" applyAlignment="1">
      <alignment horizontal="right"/>
    </xf>
    <xf numFmtId="14" fontId="0" fillId="0" borderId="5" xfId="0" applyNumberFormat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2380">
    <cellStyle name="ANCLAS,REZONES Y SUS PARTES,DE FUNDICION,DE HIERRO O DE ACERO" xfId="1" xr:uid="{00000000-0005-0000-0000-000001000000}"/>
    <cellStyle name="Euro" xfId="4" xr:uid="{00000000-0005-0000-0000-000004000000}"/>
    <cellStyle name="Euro 2" xfId="2375" xr:uid="{00000000-0005-0000-0000-000047090000}"/>
    <cellStyle name="Hipervínculo" xfId="2378" builtinId="8"/>
    <cellStyle name="Millares [0] 10" xfId="6" xr:uid="{00000000-0005-0000-0000-000006000000}"/>
    <cellStyle name="Millares [0] 11" xfId="7" xr:uid="{00000000-0005-0000-0000-000007000000}"/>
    <cellStyle name="Millares [0] 12" xfId="8" xr:uid="{00000000-0005-0000-0000-000008000000}"/>
    <cellStyle name="Millares [0] 13" xfId="9" xr:uid="{00000000-0005-0000-0000-000009000000}"/>
    <cellStyle name="Millares [0] 14" xfId="10" xr:uid="{00000000-0005-0000-0000-00000A000000}"/>
    <cellStyle name="Millares [0] 15" xfId="11" xr:uid="{00000000-0005-0000-0000-00000B000000}"/>
    <cellStyle name="Millares [0] 16" xfId="12" xr:uid="{00000000-0005-0000-0000-00000C000000}"/>
    <cellStyle name="Millares [0] 17" xfId="13" xr:uid="{00000000-0005-0000-0000-00000D000000}"/>
    <cellStyle name="Millares [0] 18" xfId="14" xr:uid="{00000000-0005-0000-0000-00000E000000}"/>
    <cellStyle name="Millares [0] 19" xfId="15" xr:uid="{00000000-0005-0000-0000-00000F000000}"/>
    <cellStyle name="Millares [0] 2" xfId="16" xr:uid="{00000000-0005-0000-0000-000010000000}"/>
    <cellStyle name="Millares [0] 20" xfId="17" xr:uid="{00000000-0005-0000-0000-000011000000}"/>
    <cellStyle name="Millares [0] 21" xfId="18" xr:uid="{00000000-0005-0000-0000-000012000000}"/>
    <cellStyle name="Millares [0] 22" xfId="19" xr:uid="{00000000-0005-0000-0000-000013000000}"/>
    <cellStyle name="Millares [0] 23" xfId="20" xr:uid="{00000000-0005-0000-0000-000014000000}"/>
    <cellStyle name="Millares [0] 24" xfId="21" xr:uid="{00000000-0005-0000-0000-000015000000}"/>
    <cellStyle name="Millares [0] 25" xfId="22" xr:uid="{00000000-0005-0000-0000-000016000000}"/>
    <cellStyle name="Millares [0] 26" xfId="23" xr:uid="{00000000-0005-0000-0000-000017000000}"/>
    <cellStyle name="Millares [0] 27" xfId="24" xr:uid="{00000000-0005-0000-0000-000018000000}"/>
    <cellStyle name="Millares [0] 28" xfId="25" xr:uid="{00000000-0005-0000-0000-000019000000}"/>
    <cellStyle name="Millares [0] 29" xfId="26" xr:uid="{00000000-0005-0000-0000-00001A000000}"/>
    <cellStyle name="Millares [0] 3" xfId="27" xr:uid="{00000000-0005-0000-0000-00001B000000}"/>
    <cellStyle name="Millares [0] 30" xfId="28" xr:uid="{00000000-0005-0000-0000-00001C000000}"/>
    <cellStyle name="Millares [0] 30 2" xfId="29" xr:uid="{00000000-0005-0000-0000-00001D000000}"/>
    <cellStyle name="Millares [0] 30 3" xfId="30" xr:uid="{00000000-0005-0000-0000-00001E000000}"/>
    <cellStyle name="Millares [0] 4" xfId="31" xr:uid="{00000000-0005-0000-0000-00001F000000}"/>
    <cellStyle name="Millares [0] 5" xfId="32" xr:uid="{00000000-0005-0000-0000-000020000000}"/>
    <cellStyle name="Millares [0] 6" xfId="33" xr:uid="{00000000-0005-0000-0000-000021000000}"/>
    <cellStyle name="Millares [0] 7" xfId="34" xr:uid="{00000000-0005-0000-0000-000022000000}"/>
    <cellStyle name="Millares [0] 8" xfId="35" xr:uid="{00000000-0005-0000-0000-000023000000}"/>
    <cellStyle name="Millares [0] 9" xfId="36" xr:uid="{00000000-0005-0000-0000-000024000000}"/>
    <cellStyle name="Millares 10" xfId="37" xr:uid="{00000000-0005-0000-0000-000025000000}"/>
    <cellStyle name="Millares 100" xfId="2217" xr:uid="{00000000-0005-0000-0000-0000A9080000}"/>
    <cellStyle name="Millares 101" xfId="2219" xr:uid="{00000000-0005-0000-0000-0000AB080000}"/>
    <cellStyle name="Millares 102" xfId="2220" xr:uid="{00000000-0005-0000-0000-0000AC080000}"/>
    <cellStyle name="Millares 103" xfId="2221" xr:uid="{00000000-0005-0000-0000-0000AD080000}"/>
    <cellStyle name="Millares 104" xfId="2222" xr:uid="{00000000-0005-0000-0000-0000AE080000}"/>
    <cellStyle name="Millares 105" xfId="2223" xr:uid="{00000000-0005-0000-0000-0000AF080000}"/>
    <cellStyle name="Millares 106" xfId="2225" xr:uid="{00000000-0005-0000-0000-0000B1080000}"/>
    <cellStyle name="Millares 107" xfId="2224" xr:uid="{00000000-0005-0000-0000-0000B0080000}"/>
    <cellStyle name="Millares 108" xfId="2226" xr:uid="{00000000-0005-0000-0000-0000B2080000}"/>
    <cellStyle name="Millares 109" xfId="2228" xr:uid="{00000000-0005-0000-0000-0000B4080000}"/>
    <cellStyle name="Millares 11" xfId="38" xr:uid="{00000000-0005-0000-0000-000026000000}"/>
    <cellStyle name="Millares 110" xfId="2227" xr:uid="{00000000-0005-0000-0000-0000B3080000}"/>
    <cellStyle name="Millares 111" xfId="2229" xr:uid="{00000000-0005-0000-0000-0000B5080000}"/>
    <cellStyle name="Millares 112" xfId="2230" xr:uid="{00000000-0005-0000-0000-0000B6080000}"/>
    <cellStyle name="Millares 113" xfId="2231" xr:uid="{00000000-0005-0000-0000-0000B7080000}"/>
    <cellStyle name="Millares 114" xfId="2233" xr:uid="{00000000-0005-0000-0000-0000B9080000}"/>
    <cellStyle name="Millares 115" xfId="2232" xr:uid="{00000000-0005-0000-0000-0000B8080000}"/>
    <cellStyle name="Millares 116" xfId="2234" xr:uid="{00000000-0005-0000-0000-0000BA080000}"/>
    <cellStyle name="Millares 117" xfId="2235" xr:uid="{00000000-0005-0000-0000-0000BB080000}"/>
    <cellStyle name="Millares 118" xfId="2236" xr:uid="{00000000-0005-0000-0000-0000BC080000}"/>
    <cellStyle name="Millares 119" xfId="2237" xr:uid="{00000000-0005-0000-0000-0000BD080000}"/>
    <cellStyle name="Millares 12" xfId="39" xr:uid="{00000000-0005-0000-0000-000027000000}"/>
    <cellStyle name="Millares 120" xfId="2238" xr:uid="{00000000-0005-0000-0000-0000BE080000}"/>
    <cellStyle name="Millares 121" xfId="2239" xr:uid="{00000000-0005-0000-0000-0000BF080000}"/>
    <cellStyle name="Millares 122" xfId="2240" xr:uid="{00000000-0005-0000-0000-0000C0080000}"/>
    <cellStyle name="Millares 123" xfId="2241" xr:uid="{00000000-0005-0000-0000-0000C1080000}"/>
    <cellStyle name="Millares 124" xfId="2242" xr:uid="{00000000-0005-0000-0000-0000C2080000}"/>
    <cellStyle name="Millares 125" xfId="2243" xr:uid="{00000000-0005-0000-0000-0000C3080000}"/>
    <cellStyle name="Millares 126" xfId="2244" xr:uid="{00000000-0005-0000-0000-0000C4080000}"/>
    <cellStyle name="Millares 127" xfId="2245" xr:uid="{00000000-0005-0000-0000-0000C5080000}"/>
    <cellStyle name="Millares 128" xfId="2246" xr:uid="{00000000-0005-0000-0000-0000C6080000}"/>
    <cellStyle name="Millares 129" xfId="2247" xr:uid="{00000000-0005-0000-0000-0000C7080000}"/>
    <cellStyle name="Millares 13" xfId="40" xr:uid="{00000000-0005-0000-0000-000028000000}"/>
    <cellStyle name="Millares 130" xfId="2249" xr:uid="{00000000-0005-0000-0000-0000C9080000}"/>
    <cellStyle name="Millares 131" xfId="2248" xr:uid="{00000000-0005-0000-0000-0000C8080000}"/>
    <cellStyle name="Millares 132" xfId="2251" xr:uid="{00000000-0005-0000-0000-0000CB080000}"/>
    <cellStyle name="Millares 133" xfId="2253" xr:uid="{00000000-0005-0000-0000-0000CD080000}"/>
    <cellStyle name="Millares 134" xfId="2252" xr:uid="{00000000-0005-0000-0000-0000CC080000}"/>
    <cellStyle name="Millares 135" xfId="2250" xr:uid="{00000000-0005-0000-0000-0000CA080000}"/>
    <cellStyle name="Millares 136" xfId="2254" xr:uid="{00000000-0005-0000-0000-0000CE080000}"/>
    <cellStyle name="Millares 137" xfId="2255" xr:uid="{00000000-0005-0000-0000-0000CF080000}"/>
    <cellStyle name="Millares 138" xfId="2256" xr:uid="{00000000-0005-0000-0000-0000D0080000}"/>
    <cellStyle name="Millares 139" xfId="2257" xr:uid="{00000000-0005-0000-0000-0000D1080000}"/>
    <cellStyle name="Millares 14" xfId="41" xr:uid="{00000000-0005-0000-0000-000029000000}"/>
    <cellStyle name="Millares 140" xfId="2258" xr:uid="{00000000-0005-0000-0000-0000D2080000}"/>
    <cellStyle name="Millares 141" xfId="2259" xr:uid="{00000000-0005-0000-0000-0000D3080000}"/>
    <cellStyle name="Millares 142" xfId="2260" xr:uid="{00000000-0005-0000-0000-0000D4080000}"/>
    <cellStyle name="Millares 143" xfId="2261" xr:uid="{00000000-0005-0000-0000-0000D5080000}"/>
    <cellStyle name="Millares 144" xfId="2262" xr:uid="{00000000-0005-0000-0000-0000D6080000}"/>
    <cellStyle name="Millares 145" xfId="2263" xr:uid="{00000000-0005-0000-0000-0000D7080000}"/>
    <cellStyle name="Millares 146" xfId="2264" xr:uid="{00000000-0005-0000-0000-0000D8080000}"/>
    <cellStyle name="Millares 147" xfId="2265" xr:uid="{00000000-0005-0000-0000-0000D9080000}"/>
    <cellStyle name="Millares 148" xfId="2266" xr:uid="{00000000-0005-0000-0000-0000DA080000}"/>
    <cellStyle name="Millares 149" xfId="2267" xr:uid="{00000000-0005-0000-0000-0000DB080000}"/>
    <cellStyle name="Millares 15" xfId="42" xr:uid="{00000000-0005-0000-0000-00002A000000}"/>
    <cellStyle name="Millares 150" xfId="2268" xr:uid="{00000000-0005-0000-0000-0000DC080000}"/>
    <cellStyle name="Millares 151" xfId="2269" xr:uid="{00000000-0005-0000-0000-0000DD080000}"/>
    <cellStyle name="Millares 152" xfId="2270" xr:uid="{00000000-0005-0000-0000-0000DE080000}"/>
    <cellStyle name="Millares 153" xfId="2271" xr:uid="{00000000-0005-0000-0000-0000DF080000}"/>
    <cellStyle name="Millares 154" xfId="2272" xr:uid="{00000000-0005-0000-0000-0000E0080000}"/>
    <cellStyle name="Millares 155" xfId="2273" xr:uid="{00000000-0005-0000-0000-0000E1080000}"/>
    <cellStyle name="Millares 156" xfId="2274" xr:uid="{00000000-0005-0000-0000-0000E2080000}"/>
    <cellStyle name="Millares 157" xfId="2275" xr:uid="{00000000-0005-0000-0000-0000E3080000}"/>
    <cellStyle name="Millares 158" xfId="2276" xr:uid="{00000000-0005-0000-0000-0000E4080000}"/>
    <cellStyle name="Millares 159" xfId="2277" xr:uid="{00000000-0005-0000-0000-0000E5080000}"/>
    <cellStyle name="Millares 16" xfId="43" xr:uid="{00000000-0005-0000-0000-00002B000000}"/>
    <cellStyle name="Millares 160" xfId="2278" xr:uid="{00000000-0005-0000-0000-0000E6080000}"/>
    <cellStyle name="Millares 161" xfId="2279" xr:uid="{00000000-0005-0000-0000-0000E7080000}"/>
    <cellStyle name="Millares 162" xfId="2281" xr:uid="{00000000-0005-0000-0000-0000E9080000}"/>
    <cellStyle name="Millares 163" xfId="2280" xr:uid="{00000000-0005-0000-0000-0000E8080000}"/>
    <cellStyle name="Millares 164" xfId="2282" xr:uid="{00000000-0005-0000-0000-0000EA080000}"/>
    <cellStyle name="Millares 165" xfId="2283" xr:uid="{00000000-0005-0000-0000-0000EB080000}"/>
    <cellStyle name="Millares 166" xfId="2284" xr:uid="{00000000-0005-0000-0000-0000EC080000}"/>
    <cellStyle name="Millares 167" xfId="2285" xr:uid="{00000000-0005-0000-0000-0000ED080000}"/>
    <cellStyle name="Millares 168" xfId="2286" xr:uid="{00000000-0005-0000-0000-0000EE080000}"/>
    <cellStyle name="Millares 169" xfId="2287" xr:uid="{00000000-0005-0000-0000-0000EF080000}"/>
    <cellStyle name="Millares 17" xfId="44" xr:uid="{00000000-0005-0000-0000-00002C000000}"/>
    <cellStyle name="Millares 170" xfId="2288" xr:uid="{00000000-0005-0000-0000-0000F0080000}"/>
    <cellStyle name="Millares 171" xfId="2290" xr:uid="{00000000-0005-0000-0000-0000F2080000}"/>
    <cellStyle name="Millares 172" xfId="2289" xr:uid="{00000000-0005-0000-0000-0000F1080000}"/>
    <cellStyle name="Millares 173" xfId="2291" xr:uid="{00000000-0005-0000-0000-0000F3080000}"/>
    <cellStyle name="Millares 174" xfId="2292" xr:uid="{00000000-0005-0000-0000-0000F4080000}"/>
    <cellStyle name="Millares 175" xfId="2293" xr:uid="{00000000-0005-0000-0000-0000F5080000}"/>
    <cellStyle name="Millares 176" xfId="2295" xr:uid="{00000000-0005-0000-0000-0000F7080000}"/>
    <cellStyle name="Millares 177" xfId="2294" xr:uid="{00000000-0005-0000-0000-0000F6080000}"/>
    <cellStyle name="Millares 178" xfId="2296" xr:uid="{00000000-0005-0000-0000-0000F8080000}"/>
    <cellStyle name="Millares 179" xfId="2298" xr:uid="{00000000-0005-0000-0000-0000FA080000}"/>
    <cellStyle name="Millares 18" xfId="45" xr:uid="{00000000-0005-0000-0000-00002D000000}"/>
    <cellStyle name="Millares 180" xfId="2297" xr:uid="{00000000-0005-0000-0000-0000F9080000}"/>
    <cellStyle name="Millares 181" xfId="2299" xr:uid="{00000000-0005-0000-0000-0000FB080000}"/>
    <cellStyle name="Millares 182" xfId="2300" xr:uid="{00000000-0005-0000-0000-0000FC080000}"/>
    <cellStyle name="Millares 183" xfId="2301" xr:uid="{00000000-0005-0000-0000-0000FD080000}"/>
    <cellStyle name="Millares 184" xfId="2318" xr:uid="{00000000-0005-0000-0000-00000E090000}"/>
    <cellStyle name="Millares 185" xfId="2319" xr:uid="{00000000-0005-0000-0000-00000F090000}"/>
    <cellStyle name="Millares 186" xfId="2321" xr:uid="{00000000-0005-0000-0000-000011090000}"/>
    <cellStyle name="Millares 187" xfId="2323" xr:uid="{00000000-0005-0000-0000-000013090000}"/>
    <cellStyle name="Millares 188" xfId="2322" xr:uid="{00000000-0005-0000-0000-000012090000}"/>
    <cellStyle name="Millares 189" xfId="2320" xr:uid="{00000000-0005-0000-0000-000010090000}"/>
    <cellStyle name="Millares 19" xfId="46" xr:uid="{00000000-0005-0000-0000-00002E000000}"/>
    <cellStyle name="Millares 190" xfId="2324" xr:uid="{00000000-0005-0000-0000-000014090000}"/>
    <cellStyle name="Millares 191" xfId="2325" xr:uid="{00000000-0005-0000-0000-000015090000}"/>
    <cellStyle name="Millares 192" xfId="2326" xr:uid="{00000000-0005-0000-0000-000016090000}"/>
    <cellStyle name="Millares 193" xfId="2327" xr:uid="{00000000-0005-0000-0000-000017090000}"/>
    <cellStyle name="Millares 194" xfId="2328" xr:uid="{00000000-0005-0000-0000-000018090000}"/>
    <cellStyle name="Millares 195" xfId="2330" xr:uid="{00000000-0005-0000-0000-00001A090000}"/>
    <cellStyle name="Millares 196" xfId="2332" xr:uid="{00000000-0005-0000-0000-00001C090000}"/>
    <cellStyle name="Millares 197" xfId="2331" xr:uid="{00000000-0005-0000-0000-00001B090000}"/>
    <cellStyle name="Millares 198" xfId="2329" xr:uid="{00000000-0005-0000-0000-000019090000}"/>
    <cellStyle name="Millares 199" xfId="2333" xr:uid="{00000000-0005-0000-0000-00001D090000}"/>
    <cellStyle name="Millares 2" xfId="47" xr:uid="{00000000-0005-0000-0000-00002F000000}"/>
    <cellStyle name="Millares 2 2" xfId="2376" xr:uid="{00000000-0005-0000-0000-000048090000}"/>
    <cellStyle name="Millares 20" xfId="48" xr:uid="{00000000-0005-0000-0000-000030000000}"/>
    <cellStyle name="Millares 200" xfId="2334" xr:uid="{00000000-0005-0000-0000-00001E090000}"/>
    <cellStyle name="Millares 201" xfId="2337" xr:uid="{00000000-0005-0000-0000-000021090000}"/>
    <cellStyle name="Millares 202" xfId="2335" xr:uid="{00000000-0005-0000-0000-00001F090000}"/>
    <cellStyle name="Millares 203" xfId="2336" xr:uid="{00000000-0005-0000-0000-000020090000}"/>
    <cellStyle name="Millares 204" xfId="2338" xr:uid="{00000000-0005-0000-0000-000022090000}"/>
    <cellStyle name="Millares 205" xfId="2339" xr:uid="{00000000-0005-0000-0000-000023090000}"/>
    <cellStyle name="Millares 206" xfId="2340" xr:uid="{00000000-0005-0000-0000-000024090000}"/>
    <cellStyle name="Millares 207" xfId="2342" xr:uid="{00000000-0005-0000-0000-000026090000}"/>
    <cellStyle name="Millares 208" xfId="2344" xr:uid="{00000000-0005-0000-0000-000028090000}"/>
    <cellStyle name="Millares 209" xfId="2343" xr:uid="{00000000-0005-0000-0000-000027090000}"/>
    <cellStyle name="Millares 21" xfId="49" xr:uid="{00000000-0005-0000-0000-000031000000}"/>
    <cellStyle name="Millares 210" xfId="2341" xr:uid="{00000000-0005-0000-0000-000025090000}"/>
    <cellStyle name="Millares 211" xfId="2345" xr:uid="{00000000-0005-0000-0000-000029090000}"/>
    <cellStyle name="Millares 212" xfId="2346" xr:uid="{00000000-0005-0000-0000-00002A090000}"/>
    <cellStyle name="Millares 213" xfId="2347" xr:uid="{00000000-0005-0000-0000-00002B090000}"/>
    <cellStyle name="Millares 214" xfId="2348" xr:uid="{00000000-0005-0000-0000-00002C090000}"/>
    <cellStyle name="Millares 215" xfId="2349" xr:uid="{00000000-0005-0000-0000-00002D090000}"/>
    <cellStyle name="Millares 216" xfId="2350" xr:uid="{00000000-0005-0000-0000-00002E090000}"/>
    <cellStyle name="Millares 217" xfId="2351" xr:uid="{00000000-0005-0000-0000-00002F090000}"/>
    <cellStyle name="Millares 218" xfId="2352" xr:uid="{00000000-0005-0000-0000-000030090000}"/>
    <cellStyle name="Millares 219" xfId="2353" xr:uid="{00000000-0005-0000-0000-000031090000}"/>
    <cellStyle name="Millares 22" xfId="50" xr:uid="{00000000-0005-0000-0000-000032000000}"/>
    <cellStyle name="Millares 220" xfId="2355" xr:uid="{00000000-0005-0000-0000-000033090000}"/>
    <cellStyle name="Millares 221" xfId="2360" xr:uid="{00000000-0005-0000-0000-000038090000}"/>
    <cellStyle name="Millares 222" xfId="2356" xr:uid="{00000000-0005-0000-0000-000034090000}"/>
    <cellStyle name="Millares 223" xfId="2354" xr:uid="{00000000-0005-0000-0000-000032090000}"/>
    <cellStyle name="Millares 224" xfId="2358" xr:uid="{00000000-0005-0000-0000-000036090000}"/>
    <cellStyle name="Millares 225" xfId="2361" xr:uid="{00000000-0005-0000-0000-000039090000}"/>
    <cellStyle name="Millares 226" xfId="2359" xr:uid="{00000000-0005-0000-0000-000037090000}"/>
    <cellStyle name="Millares 227" xfId="2357" xr:uid="{00000000-0005-0000-0000-000035090000}"/>
    <cellStyle name="Millares 228" xfId="2362" xr:uid="{00000000-0005-0000-0000-00003A090000}"/>
    <cellStyle name="Millares 229" xfId="2363" xr:uid="{00000000-0005-0000-0000-00003B090000}"/>
    <cellStyle name="Millares 23" xfId="51" xr:uid="{00000000-0005-0000-0000-000033000000}"/>
    <cellStyle name="Millares 230" xfId="2364" xr:uid="{00000000-0005-0000-0000-00003C090000}"/>
    <cellStyle name="Millares 231" xfId="2365" xr:uid="{00000000-0005-0000-0000-00003D090000}"/>
    <cellStyle name="Millares 232" xfId="2366" xr:uid="{00000000-0005-0000-0000-00003E090000}"/>
    <cellStyle name="Millares 233" xfId="2367" xr:uid="{00000000-0005-0000-0000-00003F090000}"/>
    <cellStyle name="Millares 234" xfId="2370" xr:uid="{00000000-0005-0000-0000-000042090000}"/>
    <cellStyle name="Millares 235" xfId="2368" xr:uid="{00000000-0005-0000-0000-000040090000}"/>
    <cellStyle name="Millares 236" xfId="2369" xr:uid="{00000000-0005-0000-0000-000041090000}"/>
    <cellStyle name="Millares 24" xfId="52" xr:uid="{00000000-0005-0000-0000-000034000000}"/>
    <cellStyle name="Millares 25" xfId="53" xr:uid="{00000000-0005-0000-0000-000035000000}"/>
    <cellStyle name="Millares 26" xfId="54" xr:uid="{00000000-0005-0000-0000-000036000000}"/>
    <cellStyle name="Millares 27" xfId="55" xr:uid="{00000000-0005-0000-0000-000037000000}"/>
    <cellStyle name="Millares 28" xfId="56" xr:uid="{00000000-0005-0000-0000-000038000000}"/>
    <cellStyle name="Millares 29" xfId="57" xr:uid="{00000000-0005-0000-0000-000039000000}"/>
    <cellStyle name="Millares 3" xfId="58" xr:uid="{00000000-0005-0000-0000-00003A000000}"/>
    <cellStyle name="Millares 30" xfId="59" xr:uid="{00000000-0005-0000-0000-00003B000000}"/>
    <cellStyle name="Millares 30 2" xfId="60" xr:uid="{00000000-0005-0000-0000-00003C000000}"/>
    <cellStyle name="Millares 30 3" xfId="61" xr:uid="{00000000-0005-0000-0000-00003D000000}"/>
    <cellStyle name="Millares 31" xfId="62" xr:uid="{00000000-0005-0000-0000-00003E000000}"/>
    <cellStyle name="Millares 32" xfId="63" xr:uid="{00000000-0005-0000-0000-00003F000000}"/>
    <cellStyle name="Millares 33" xfId="64" xr:uid="{00000000-0005-0000-0000-000040000000}"/>
    <cellStyle name="Millares 34" xfId="65" xr:uid="{00000000-0005-0000-0000-000041000000}"/>
    <cellStyle name="Millares 35" xfId="66" xr:uid="{00000000-0005-0000-0000-000042000000}"/>
    <cellStyle name="Millares 36" xfId="67" xr:uid="{00000000-0005-0000-0000-000043000000}"/>
    <cellStyle name="Millares 37" xfId="68" xr:uid="{00000000-0005-0000-0000-000044000000}"/>
    <cellStyle name="Millares 38" xfId="69" xr:uid="{00000000-0005-0000-0000-000045000000}"/>
    <cellStyle name="Millares 39" xfId="70" xr:uid="{00000000-0005-0000-0000-000046000000}"/>
    <cellStyle name="Millares 4" xfId="71" xr:uid="{00000000-0005-0000-0000-000047000000}"/>
    <cellStyle name="Millares 40" xfId="72" xr:uid="{00000000-0005-0000-0000-000048000000}"/>
    <cellStyle name="Millares 40 2" xfId="73" xr:uid="{00000000-0005-0000-0000-000049000000}"/>
    <cellStyle name="Millares 40 2 10" xfId="898" xr:uid="{00000000-0005-0000-0000-000082030000}"/>
    <cellStyle name="Millares 40 2 11" xfId="1847" xr:uid="{00000000-0005-0000-0000-000037070000}"/>
    <cellStyle name="Millares 40 2 2" xfId="74" xr:uid="{00000000-0005-0000-0000-00004A000000}"/>
    <cellStyle name="Millares 40 2 2 2" xfId="75" xr:uid="{00000000-0005-0000-0000-00004B000000}"/>
    <cellStyle name="Millares 40 2 2 2 2" xfId="76" xr:uid="{00000000-0005-0000-0000-00004C000000}"/>
    <cellStyle name="Millares 40 2 2 2 2 2" xfId="447" xr:uid="{00000000-0005-0000-0000-0000BF010000}"/>
    <cellStyle name="Millares 40 2 2 2 2 3" xfId="899" xr:uid="{00000000-0005-0000-0000-000083030000}"/>
    <cellStyle name="Millares 40 2 2 2 2 4" xfId="1848" xr:uid="{00000000-0005-0000-0000-000038070000}"/>
    <cellStyle name="Millares 40 2 2 2 3" xfId="448" xr:uid="{00000000-0005-0000-0000-0000C0010000}"/>
    <cellStyle name="Millares 40 2 2 2 3 2" xfId="900" xr:uid="{00000000-0005-0000-0000-000084030000}"/>
    <cellStyle name="Millares 40 2 2 2 4" xfId="901" xr:uid="{00000000-0005-0000-0000-000085030000}"/>
    <cellStyle name="Millares 40 2 2 2 5" xfId="902" xr:uid="{00000000-0005-0000-0000-000086030000}"/>
    <cellStyle name="Millares 40 2 2 2 6" xfId="1849" xr:uid="{00000000-0005-0000-0000-000039070000}"/>
    <cellStyle name="Millares 40 2 2 3" xfId="77" xr:uid="{00000000-0005-0000-0000-00004D000000}"/>
    <cellStyle name="Millares 40 2 2 3 2" xfId="449" xr:uid="{00000000-0005-0000-0000-0000C1010000}"/>
    <cellStyle name="Millares 40 2 2 3 2 2" xfId="903" xr:uid="{00000000-0005-0000-0000-000087030000}"/>
    <cellStyle name="Millares 40 2 2 3 3" xfId="904" xr:uid="{00000000-0005-0000-0000-000088030000}"/>
    <cellStyle name="Millares 40 2 2 3 4" xfId="905" xr:uid="{00000000-0005-0000-0000-000089030000}"/>
    <cellStyle name="Millares 40 2 2 3 5" xfId="1850" xr:uid="{00000000-0005-0000-0000-00003A070000}"/>
    <cellStyle name="Millares 40 2 2 4" xfId="450" xr:uid="{00000000-0005-0000-0000-0000C2010000}"/>
    <cellStyle name="Millares 40 2 2 4 2" xfId="906" xr:uid="{00000000-0005-0000-0000-00008A030000}"/>
    <cellStyle name="Millares 40 2 2 5" xfId="808" xr:uid="{00000000-0005-0000-0000-000028030000}"/>
    <cellStyle name="Millares 40 2 2 5 2" xfId="907" xr:uid="{00000000-0005-0000-0000-00008B030000}"/>
    <cellStyle name="Millares 40 2 2 6" xfId="908" xr:uid="{00000000-0005-0000-0000-00008C030000}"/>
    <cellStyle name="Millares 40 2 2 7" xfId="909" xr:uid="{00000000-0005-0000-0000-00008D030000}"/>
    <cellStyle name="Millares 40 2 2 8" xfId="1851" xr:uid="{00000000-0005-0000-0000-00003B070000}"/>
    <cellStyle name="Millares 40 2 3" xfId="78" xr:uid="{00000000-0005-0000-0000-00004E000000}"/>
    <cellStyle name="Millares 40 2 3 2" xfId="79" xr:uid="{00000000-0005-0000-0000-00004F000000}"/>
    <cellStyle name="Millares 40 2 3 2 2" xfId="80" xr:uid="{00000000-0005-0000-0000-000050000000}"/>
    <cellStyle name="Millares 40 2 3 2 2 2" xfId="451" xr:uid="{00000000-0005-0000-0000-0000C3010000}"/>
    <cellStyle name="Millares 40 2 3 2 2 3" xfId="910" xr:uid="{00000000-0005-0000-0000-00008E030000}"/>
    <cellStyle name="Millares 40 2 3 2 2 4" xfId="1852" xr:uid="{00000000-0005-0000-0000-00003C070000}"/>
    <cellStyle name="Millares 40 2 3 2 3" xfId="452" xr:uid="{00000000-0005-0000-0000-0000C4010000}"/>
    <cellStyle name="Millares 40 2 3 2 3 2" xfId="911" xr:uid="{00000000-0005-0000-0000-00008F030000}"/>
    <cellStyle name="Millares 40 2 3 2 4" xfId="912" xr:uid="{00000000-0005-0000-0000-000090030000}"/>
    <cellStyle name="Millares 40 2 3 2 5" xfId="913" xr:uid="{00000000-0005-0000-0000-000091030000}"/>
    <cellStyle name="Millares 40 2 3 2 6" xfId="1853" xr:uid="{00000000-0005-0000-0000-00003D070000}"/>
    <cellStyle name="Millares 40 2 3 3" xfId="81" xr:uid="{00000000-0005-0000-0000-000051000000}"/>
    <cellStyle name="Millares 40 2 3 3 2" xfId="453" xr:uid="{00000000-0005-0000-0000-0000C5010000}"/>
    <cellStyle name="Millares 40 2 3 3 3" xfId="914" xr:uid="{00000000-0005-0000-0000-000092030000}"/>
    <cellStyle name="Millares 40 2 3 3 4" xfId="1854" xr:uid="{00000000-0005-0000-0000-00003E070000}"/>
    <cellStyle name="Millares 40 2 3 4" xfId="454" xr:uid="{00000000-0005-0000-0000-0000C6010000}"/>
    <cellStyle name="Millares 40 2 3 4 2" xfId="915" xr:uid="{00000000-0005-0000-0000-000093030000}"/>
    <cellStyle name="Millares 40 2 3 5" xfId="809" xr:uid="{00000000-0005-0000-0000-000029030000}"/>
    <cellStyle name="Millares 40 2 3 5 2" xfId="916" xr:uid="{00000000-0005-0000-0000-000094030000}"/>
    <cellStyle name="Millares 40 2 3 6" xfId="917" xr:uid="{00000000-0005-0000-0000-000095030000}"/>
    <cellStyle name="Millares 40 2 3 7" xfId="1855" xr:uid="{00000000-0005-0000-0000-00003F070000}"/>
    <cellStyle name="Millares 40 2 4" xfId="82" xr:uid="{00000000-0005-0000-0000-000052000000}"/>
    <cellStyle name="Millares 40 2 4 2" xfId="83" xr:uid="{00000000-0005-0000-0000-000053000000}"/>
    <cellStyle name="Millares 40 2 4 2 2" xfId="455" xr:uid="{00000000-0005-0000-0000-0000C7010000}"/>
    <cellStyle name="Millares 40 2 4 2 3" xfId="918" xr:uid="{00000000-0005-0000-0000-000096030000}"/>
    <cellStyle name="Millares 40 2 4 2 4" xfId="1856" xr:uid="{00000000-0005-0000-0000-000040070000}"/>
    <cellStyle name="Millares 40 2 4 3" xfId="456" xr:uid="{00000000-0005-0000-0000-0000C8010000}"/>
    <cellStyle name="Millares 40 2 4 3 2" xfId="919" xr:uid="{00000000-0005-0000-0000-000097030000}"/>
    <cellStyle name="Millares 40 2 4 4" xfId="920" xr:uid="{00000000-0005-0000-0000-000098030000}"/>
    <cellStyle name="Millares 40 2 4 5" xfId="921" xr:uid="{00000000-0005-0000-0000-000099030000}"/>
    <cellStyle name="Millares 40 2 4 6" xfId="1857" xr:uid="{00000000-0005-0000-0000-000041070000}"/>
    <cellStyle name="Millares 40 2 5" xfId="84" xr:uid="{00000000-0005-0000-0000-000054000000}"/>
    <cellStyle name="Millares 40 2 5 2" xfId="457" xr:uid="{00000000-0005-0000-0000-0000C9010000}"/>
    <cellStyle name="Millares 40 2 5 2 2" xfId="922" xr:uid="{00000000-0005-0000-0000-00009A030000}"/>
    <cellStyle name="Millares 40 2 5 3" xfId="923" xr:uid="{00000000-0005-0000-0000-00009B030000}"/>
    <cellStyle name="Millares 40 2 5 4" xfId="924" xr:uid="{00000000-0005-0000-0000-00009C030000}"/>
    <cellStyle name="Millares 40 2 5 5" xfId="1858" xr:uid="{00000000-0005-0000-0000-000042070000}"/>
    <cellStyle name="Millares 40 2 6" xfId="458" xr:uid="{00000000-0005-0000-0000-0000CA010000}"/>
    <cellStyle name="Millares 40 2 6 2" xfId="925" xr:uid="{00000000-0005-0000-0000-00009D030000}"/>
    <cellStyle name="Millares 40 2 7" xfId="810" xr:uid="{00000000-0005-0000-0000-00002A030000}"/>
    <cellStyle name="Millares 40 2 7 2" xfId="926" xr:uid="{00000000-0005-0000-0000-00009E030000}"/>
    <cellStyle name="Millares 40 2 8" xfId="927" xr:uid="{00000000-0005-0000-0000-00009F030000}"/>
    <cellStyle name="Millares 40 2 9" xfId="928" xr:uid="{00000000-0005-0000-0000-0000A0030000}"/>
    <cellStyle name="Millares 40 3" xfId="85" xr:uid="{00000000-0005-0000-0000-000055000000}"/>
    <cellStyle name="Millares 40 3 2" xfId="86" xr:uid="{00000000-0005-0000-0000-000056000000}"/>
    <cellStyle name="Millares 40 3 2 2" xfId="87" xr:uid="{00000000-0005-0000-0000-000057000000}"/>
    <cellStyle name="Millares 40 3 2 2 2" xfId="459" xr:uid="{00000000-0005-0000-0000-0000CB010000}"/>
    <cellStyle name="Millares 40 3 2 2 2 2" xfId="929" xr:uid="{00000000-0005-0000-0000-0000A1030000}"/>
    <cellStyle name="Millares 40 3 2 2 3" xfId="930" xr:uid="{00000000-0005-0000-0000-0000A2030000}"/>
    <cellStyle name="Millares 40 3 2 2 4" xfId="931" xr:uid="{00000000-0005-0000-0000-0000A3030000}"/>
    <cellStyle name="Millares 40 3 2 2 5" xfId="932" xr:uid="{00000000-0005-0000-0000-0000A4030000}"/>
    <cellStyle name="Millares 40 3 2 2 6" xfId="1859" xr:uid="{00000000-0005-0000-0000-000043070000}"/>
    <cellStyle name="Millares 40 3 2 3" xfId="460" xr:uid="{00000000-0005-0000-0000-0000CC010000}"/>
    <cellStyle name="Millares 40 3 2 3 2" xfId="933" xr:uid="{00000000-0005-0000-0000-0000A5030000}"/>
    <cellStyle name="Millares 40 3 2 3 3" xfId="934" xr:uid="{00000000-0005-0000-0000-0000A6030000}"/>
    <cellStyle name="Millares 40 3 2 3 4" xfId="935" xr:uid="{00000000-0005-0000-0000-0000A7030000}"/>
    <cellStyle name="Millares 40 3 2 4" xfId="936" xr:uid="{00000000-0005-0000-0000-0000A8030000}"/>
    <cellStyle name="Millares 40 3 2 5" xfId="937" xr:uid="{00000000-0005-0000-0000-0000A9030000}"/>
    <cellStyle name="Millares 40 3 2 6" xfId="938" xr:uid="{00000000-0005-0000-0000-0000AA030000}"/>
    <cellStyle name="Millares 40 3 2 7" xfId="939" xr:uid="{00000000-0005-0000-0000-0000AB030000}"/>
    <cellStyle name="Millares 40 3 2 8" xfId="1860" xr:uid="{00000000-0005-0000-0000-000044070000}"/>
    <cellStyle name="Millares 40 3 3" xfId="88" xr:uid="{00000000-0005-0000-0000-000058000000}"/>
    <cellStyle name="Millares 40 3 3 2" xfId="461" xr:uid="{00000000-0005-0000-0000-0000CD010000}"/>
    <cellStyle name="Millares 40 3 3 3" xfId="1861" xr:uid="{00000000-0005-0000-0000-000045070000}"/>
    <cellStyle name="Millares 40 3 4" xfId="462" xr:uid="{00000000-0005-0000-0000-0000CE010000}"/>
    <cellStyle name="Millares 40 3 5" xfId="811" xr:uid="{00000000-0005-0000-0000-00002B030000}"/>
    <cellStyle name="Millares 40 3 6" xfId="1862" xr:uid="{00000000-0005-0000-0000-000046070000}"/>
    <cellStyle name="Millares 40 4" xfId="2302" xr:uid="{00000000-0005-0000-0000-0000FE080000}"/>
    <cellStyle name="Millares 41" xfId="89" xr:uid="{00000000-0005-0000-0000-000059000000}"/>
    <cellStyle name="Millares 41 2" xfId="90" xr:uid="{00000000-0005-0000-0000-00005A000000}"/>
    <cellStyle name="Millares 41 2 10" xfId="940" xr:uid="{00000000-0005-0000-0000-0000AC030000}"/>
    <cellStyle name="Millares 41 2 11" xfId="1863" xr:uid="{00000000-0005-0000-0000-000047070000}"/>
    <cellStyle name="Millares 41 2 2" xfId="91" xr:uid="{00000000-0005-0000-0000-00005B000000}"/>
    <cellStyle name="Millares 41 2 2 2" xfId="92" xr:uid="{00000000-0005-0000-0000-00005C000000}"/>
    <cellStyle name="Millares 41 2 2 2 2" xfId="93" xr:uid="{00000000-0005-0000-0000-00005D000000}"/>
    <cellStyle name="Millares 41 2 2 2 2 2" xfId="463" xr:uid="{00000000-0005-0000-0000-0000CF010000}"/>
    <cellStyle name="Millares 41 2 2 2 2 3" xfId="941" xr:uid="{00000000-0005-0000-0000-0000AD030000}"/>
    <cellStyle name="Millares 41 2 2 2 2 4" xfId="1864" xr:uid="{00000000-0005-0000-0000-000048070000}"/>
    <cellStyle name="Millares 41 2 2 2 3" xfId="464" xr:uid="{00000000-0005-0000-0000-0000D0010000}"/>
    <cellStyle name="Millares 41 2 2 2 3 2" xfId="942" xr:uid="{00000000-0005-0000-0000-0000AE030000}"/>
    <cellStyle name="Millares 41 2 2 2 4" xfId="943" xr:uid="{00000000-0005-0000-0000-0000AF030000}"/>
    <cellStyle name="Millares 41 2 2 2 5" xfId="944" xr:uid="{00000000-0005-0000-0000-0000B0030000}"/>
    <cellStyle name="Millares 41 2 2 2 6" xfId="1865" xr:uid="{00000000-0005-0000-0000-000049070000}"/>
    <cellStyle name="Millares 41 2 2 3" xfId="94" xr:uid="{00000000-0005-0000-0000-00005E000000}"/>
    <cellStyle name="Millares 41 2 2 3 2" xfId="465" xr:uid="{00000000-0005-0000-0000-0000D1010000}"/>
    <cellStyle name="Millares 41 2 2 3 2 2" xfId="945" xr:uid="{00000000-0005-0000-0000-0000B1030000}"/>
    <cellStyle name="Millares 41 2 2 3 3" xfId="946" xr:uid="{00000000-0005-0000-0000-0000B2030000}"/>
    <cellStyle name="Millares 41 2 2 3 4" xfId="947" xr:uid="{00000000-0005-0000-0000-0000B3030000}"/>
    <cellStyle name="Millares 41 2 2 3 5" xfId="1866" xr:uid="{00000000-0005-0000-0000-00004A070000}"/>
    <cellStyle name="Millares 41 2 2 4" xfId="466" xr:uid="{00000000-0005-0000-0000-0000D2010000}"/>
    <cellStyle name="Millares 41 2 2 4 2" xfId="948" xr:uid="{00000000-0005-0000-0000-0000B4030000}"/>
    <cellStyle name="Millares 41 2 2 5" xfId="812" xr:uid="{00000000-0005-0000-0000-00002C030000}"/>
    <cellStyle name="Millares 41 2 2 5 2" xfId="949" xr:uid="{00000000-0005-0000-0000-0000B5030000}"/>
    <cellStyle name="Millares 41 2 2 6" xfId="950" xr:uid="{00000000-0005-0000-0000-0000B6030000}"/>
    <cellStyle name="Millares 41 2 2 7" xfId="951" xr:uid="{00000000-0005-0000-0000-0000B7030000}"/>
    <cellStyle name="Millares 41 2 2 8" xfId="1867" xr:uid="{00000000-0005-0000-0000-00004B070000}"/>
    <cellStyle name="Millares 41 2 3" xfId="95" xr:uid="{00000000-0005-0000-0000-00005F000000}"/>
    <cellStyle name="Millares 41 2 3 2" xfId="96" xr:uid="{00000000-0005-0000-0000-000060000000}"/>
    <cellStyle name="Millares 41 2 3 2 2" xfId="97" xr:uid="{00000000-0005-0000-0000-000061000000}"/>
    <cellStyle name="Millares 41 2 3 2 2 2" xfId="467" xr:uid="{00000000-0005-0000-0000-0000D3010000}"/>
    <cellStyle name="Millares 41 2 3 2 2 3" xfId="952" xr:uid="{00000000-0005-0000-0000-0000B8030000}"/>
    <cellStyle name="Millares 41 2 3 2 2 4" xfId="1868" xr:uid="{00000000-0005-0000-0000-00004C070000}"/>
    <cellStyle name="Millares 41 2 3 2 3" xfId="468" xr:uid="{00000000-0005-0000-0000-0000D4010000}"/>
    <cellStyle name="Millares 41 2 3 2 3 2" xfId="953" xr:uid="{00000000-0005-0000-0000-0000B9030000}"/>
    <cellStyle name="Millares 41 2 3 2 4" xfId="954" xr:uid="{00000000-0005-0000-0000-0000BA030000}"/>
    <cellStyle name="Millares 41 2 3 2 5" xfId="955" xr:uid="{00000000-0005-0000-0000-0000BB030000}"/>
    <cellStyle name="Millares 41 2 3 2 6" xfId="1869" xr:uid="{00000000-0005-0000-0000-00004D070000}"/>
    <cellStyle name="Millares 41 2 3 3" xfId="98" xr:uid="{00000000-0005-0000-0000-000062000000}"/>
    <cellStyle name="Millares 41 2 3 3 2" xfId="469" xr:uid="{00000000-0005-0000-0000-0000D5010000}"/>
    <cellStyle name="Millares 41 2 3 3 3" xfId="956" xr:uid="{00000000-0005-0000-0000-0000BC030000}"/>
    <cellStyle name="Millares 41 2 3 3 4" xfId="1870" xr:uid="{00000000-0005-0000-0000-00004E070000}"/>
    <cellStyle name="Millares 41 2 3 4" xfId="470" xr:uid="{00000000-0005-0000-0000-0000D6010000}"/>
    <cellStyle name="Millares 41 2 3 4 2" xfId="957" xr:uid="{00000000-0005-0000-0000-0000BD030000}"/>
    <cellStyle name="Millares 41 2 3 5" xfId="813" xr:uid="{00000000-0005-0000-0000-00002D030000}"/>
    <cellStyle name="Millares 41 2 3 5 2" xfId="958" xr:uid="{00000000-0005-0000-0000-0000BE030000}"/>
    <cellStyle name="Millares 41 2 3 6" xfId="959" xr:uid="{00000000-0005-0000-0000-0000BF030000}"/>
    <cellStyle name="Millares 41 2 3 7" xfId="1871" xr:uid="{00000000-0005-0000-0000-00004F070000}"/>
    <cellStyle name="Millares 41 2 4" xfId="99" xr:uid="{00000000-0005-0000-0000-000063000000}"/>
    <cellStyle name="Millares 41 2 4 2" xfId="100" xr:uid="{00000000-0005-0000-0000-000064000000}"/>
    <cellStyle name="Millares 41 2 4 2 2" xfId="471" xr:uid="{00000000-0005-0000-0000-0000D7010000}"/>
    <cellStyle name="Millares 41 2 4 2 3" xfId="960" xr:uid="{00000000-0005-0000-0000-0000C0030000}"/>
    <cellStyle name="Millares 41 2 4 2 4" xfId="1872" xr:uid="{00000000-0005-0000-0000-000050070000}"/>
    <cellStyle name="Millares 41 2 4 3" xfId="472" xr:uid="{00000000-0005-0000-0000-0000D8010000}"/>
    <cellStyle name="Millares 41 2 4 3 2" xfId="961" xr:uid="{00000000-0005-0000-0000-0000C1030000}"/>
    <cellStyle name="Millares 41 2 4 4" xfId="962" xr:uid="{00000000-0005-0000-0000-0000C2030000}"/>
    <cellStyle name="Millares 41 2 4 5" xfId="963" xr:uid="{00000000-0005-0000-0000-0000C3030000}"/>
    <cellStyle name="Millares 41 2 4 6" xfId="1873" xr:uid="{00000000-0005-0000-0000-000051070000}"/>
    <cellStyle name="Millares 41 2 5" xfId="101" xr:uid="{00000000-0005-0000-0000-000065000000}"/>
    <cellStyle name="Millares 41 2 5 2" xfId="473" xr:uid="{00000000-0005-0000-0000-0000D9010000}"/>
    <cellStyle name="Millares 41 2 5 2 2" xfId="964" xr:uid="{00000000-0005-0000-0000-0000C4030000}"/>
    <cellStyle name="Millares 41 2 5 3" xfId="965" xr:uid="{00000000-0005-0000-0000-0000C5030000}"/>
    <cellStyle name="Millares 41 2 5 4" xfId="966" xr:uid="{00000000-0005-0000-0000-0000C6030000}"/>
    <cellStyle name="Millares 41 2 5 5" xfId="1874" xr:uid="{00000000-0005-0000-0000-000052070000}"/>
    <cellStyle name="Millares 41 2 6" xfId="474" xr:uid="{00000000-0005-0000-0000-0000DA010000}"/>
    <cellStyle name="Millares 41 2 6 2" xfId="967" xr:uid="{00000000-0005-0000-0000-0000C7030000}"/>
    <cellStyle name="Millares 41 2 7" xfId="814" xr:uid="{00000000-0005-0000-0000-00002E030000}"/>
    <cellStyle name="Millares 41 2 7 2" xfId="968" xr:uid="{00000000-0005-0000-0000-0000C8030000}"/>
    <cellStyle name="Millares 41 2 8" xfId="969" xr:uid="{00000000-0005-0000-0000-0000C9030000}"/>
    <cellStyle name="Millares 41 2 9" xfId="970" xr:uid="{00000000-0005-0000-0000-0000CA030000}"/>
    <cellStyle name="Millares 41 3" xfId="102" xr:uid="{00000000-0005-0000-0000-000066000000}"/>
    <cellStyle name="Millares 41 3 2" xfId="103" xr:uid="{00000000-0005-0000-0000-000067000000}"/>
    <cellStyle name="Millares 41 3 2 2" xfId="104" xr:uid="{00000000-0005-0000-0000-000068000000}"/>
    <cellStyle name="Millares 41 3 2 2 2" xfId="475" xr:uid="{00000000-0005-0000-0000-0000DB010000}"/>
    <cellStyle name="Millares 41 3 2 2 2 2" xfId="971" xr:uid="{00000000-0005-0000-0000-0000CB030000}"/>
    <cellStyle name="Millares 41 3 2 2 3" xfId="972" xr:uid="{00000000-0005-0000-0000-0000CC030000}"/>
    <cellStyle name="Millares 41 3 2 2 4" xfId="973" xr:uid="{00000000-0005-0000-0000-0000CD030000}"/>
    <cellStyle name="Millares 41 3 2 2 5" xfId="974" xr:uid="{00000000-0005-0000-0000-0000CE030000}"/>
    <cellStyle name="Millares 41 3 2 2 6" xfId="1875" xr:uid="{00000000-0005-0000-0000-000053070000}"/>
    <cellStyle name="Millares 41 3 2 3" xfId="476" xr:uid="{00000000-0005-0000-0000-0000DC010000}"/>
    <cellStyle name="Millares 41 3 2 3 2" xfId="975" xr:uid="{00000000-0005-0000-0000-0000CF030000}"/>
    <cellStyle name="Millares 41 3 2 3 3" xfId="976" xr:uid="{00000000-0005-0000-0000-0000D0030000}"/>
    <cellStyle name="Millares 41 3 2 3 4" xfId="977" xr:uid="{00000000-0005-0000-0000-0000D1030000}"/>
    <cellStyle name="Millares 41 3 2 4" xfId="978" xr:uid="{00000000-0005-0000-0000-0000D2030000}"/>
    <cellStyle name="Millares 41 3 2 5" xfId="979" xr:uid="{00000000-0005-0000-0000-0000D3030000}"/>
    <cellStyle name="Millares 41 3 2 6" xfId="980" xr:uid="{00000000-0005-0000-0000-0000D4030000}"/>
    <cellStyle name="Millares 41 3 2 7" xfId="981" xr:uid="{00000000-0005-0000-0000-0000D5030000}"/>
    <cellStyle name="Millares 41 3 2 8" xfId="1876" xr:uid="{00000000-0005-0000-0000-000054070000}"/>
    <cellStyle name="Millares 41 3 3" xfId="105" xr:uid="{00000000-0005-0000-0000-000069000000}"/>
    <cellStyle name="Millares 41 3 3 2" xfId="477" xr:uid="{00000000-0005-0000-0000-0000DD010000}"/>
    <cellStyle name="Millares 41 3 3 3" xfId="1877" xr:uid="{00000000-0005-0000-0000-000055070000}"/>
    <cellStyle name="Millares 41 3 4" xfId="478" xr:uid="{00000000-0005-0000-0000-0000DE010000}"/>
    <cellStyle name="Millares 41 3 5" xfId="815" xr:uid="{00000000-0005-0000-0000-00002F030000}"/>
    <cellStyle name="Millares 41 3 6" xfId="1878" xr:uid="{00000000-0005-0000-0000-000056070000}"/>
    <cellStyle name="Millares 41 4" xfId="2303" xr:uid="{00000000-0005-0000-0000-0000FF080000}"/>
    <cellStyle name="Millares 42" xfId="106" xr:uid="{00000000-0005-0000-0000-00006A000000}"/>
    <cellStyle name="Millares 42 2" xfId="107" xr:uid="{00000000-0005-0000-0000-00006B000000}"/>
    <cellStyle name="Millares 42 2 10" xfId="982" xr:uid="{00000000-0005-0000-0000-0000D6030000}"/>
    <cellStyle name="Millares 42 2 11" xfId="1879" xr:uid="{00000000-0005-0000-0000-000057070000}"/>
    <cellStyle name="Millares 42 2 2" xfId="108" xr:uid="{00000000-0005-0000-0000-00006C000000}"/>
    <cellStyle name="Millares 42 2 2 2" xfId="109" xr:uid="{00000000-0005-0000-0000-00006D000000}"/>
    <cellStyle name="Millares 42 2 2 2 2" xfId="110" xr:uid="{00000000-0005-0000-0000-00006E000000}"/>
    <cellStyle name="Millares 42 2 2 2 2 2" xfId="479" xr:uid="{00000000-0005-0000-0000-0000DF010000}"/>
    <cellStyle name="Millares 42 2 2 2 2 3" xfId="983" xr:uid="{00000000-0005-0000-0000-0000D7030000}"/>
    <cellStyle name="Millares 42 2 2 2 2 4" xfId="1880" xr:uid="{00000000-0005-0000-0000-000058070000}"/>
    <cellStyle name="Millares 42 2 2 2 3" xfId="480" xr:uid="{00000000-0005-0000-0000-0000E0010000}"/>
    <cellStyle name="Millares 42 2 2 2 3 2" xfId="984" xr:uid="{00000000-0005-0000-0000-0000D8030000}"/>
    <cellStyle name="Millares 42 2 2 2 4" xfId="985" xr:uid="{00000000-0005-0000-0000-0000D9030000}"/>
    <cellStyle name="Millares 42 2 2 2 5" xfId="986" xr:uid="{00000000-0005-0000-0000-0000DA030000}"/>
    <cellStyle name="Millares 42 2 2 2 6" xfId="1881" xr:uid="{00000000-0005-0000-0000-000059070000}"/>
    <cellStyle name="Millares 42 2 2 3" xfId="111" xr:uid="{00000000-0005-0000-0000-00006F000000}"/>
    <cellStyle name="Millares 42 2 2 3 2" xfId="481" xr:uid="{00000000-0005-0000-0000-0000E1010000}"/>
    <cellStyle name="Millares 42 2 2 3 2 2" xfId="987" xr:uid="{00000000-0005-0000-0000-0000DB030000}"/>
    <cellStyle name="Millares 42 2 2 3 3" xfId="988" xr:uid="{00000000-0005-0000-0000-0000DC030000}"/>
    <cellStyle name="Millares 42 2 2 3 4" xfId="989" xr:uid="{00000000-0005-0000-0000-0000DD030000}"/>
    <cellStyle name="Millares 42 2 2 3 5" xfId="1882" xr:uid="{00000000-0005-0000-0000-00005A070000}"/>
    <cellStyle name="Millares 42 2 2 4" xfId="482" xr:uid="{00000000-0005-0000-0000-0000E2010000}"/>
    <cellStyle name="Millares 42 2 2 4 2" xfId="990" xr:uid="{00000000-0005-0000-0000-0000DE030000}"/>
    <cellStyle name="Millares 42 2 2 5" xfId="816" xr:uid="{00000000-0005-0000-0000-000030030000}"/>
    <cellStyle name="Millares 42 2 2 5 2" xfId="991" xr:uid="{00000000-0005-0000-0000-0000DF030000}"/>
    <cellStyle name="Millares 42 2 2 6" xfId="992" xr:uid="{00000000-0005-0000-0000-0000E0030000}"/>
    <cellStyle name="Millares 42 2 2 7" xfId="993" xr:uid="{00000000-0005-0000-0000-0000E1030000}"/>
    <cellStyle name="Millares 42 2 2 8" xfId="1883" xr:uid="{00000000-0005-0000-0000-00005B070000}"/>
    <cellStyle name="Millares 42 2 3" xfId="112" xr:uid="{00000000-0005-0000-0000-000070000000}"/>
    <cellStyle name="Millares 42 2 3 2" xfId="113" xr:uid="{00000000-0005-0000-0000-000071000000}"/>
    <cellStyle name="Millares 42 2 3 2 2" xfId="114" xr:uid="{00000000-0005-0000-0000-000072000000}"/>
    <cellStyle name="Millares 42 2 3 2 2 2" xfId="483" xr:uid="{00000000-0005-0000-0000-0000E3010000}"/>
    <cellStyle name="Millares 42 2 3 2 2 3" xfId="994" xr:uid="{00000000-0005-0000-0000-0000E2030000}"/>
    <cellStyle name="Millares 42 2 3 2 2 4" xfId="1884" xr:uid="{00000000-0005-0000-0000-00005C070000}"/>
    <cellStyle name="Millares 42 2 3 2 3" xfId="484" xr:uid="{00000000-0005-0000-0000-0000E4010000}"/>
    <cellStyle name="Millares 42 2 3 2 3 2" xfId="995" xr:uid="{00000000-0005-0000-0000-0000E3030000}"/>
    <cellStyle name="Millares 42 2 3 2 4" xfId="996" xr:uid="{00000000-0005-0000-0000-0000E4030000}"/>
    <cellStyle name="Millares 42 2 3 2 5" xfId="997" xr:uid="{00000000-0005-0000-0000-0000E5030000}"/>
    <cellStyle name="Millares 42 2 3 2 6" xfId="1885" xr:uid="{00000000-0005-0000-0000-00005D070000}"/>
    <cellStyle name="Millares 42 2 3 3" xfId="115" xr:uid="{00000000-0005-0000-0000-000073000000}"/>
    <cellStyle name="Millares 42 2 3 3 2" xfId="485" xr:uid="{00000000-0005-0000-0000-0000E5010000}"/>
    <cellStyle name="Millares 42 2 3 3 3" xfId="998" xr:uid="{00000000-0005-0000-0000-0000E6030000}"/>
    <cellStyle name="Millares 42 2 3 3 4" xfId="1886" xr:uid="{00000000-0005-0000-0000-00005E070000}"/>
    <cellStyle name="Millares 42 2 3 4" xfId="486" xr:uid="{00000000-0005-0000-0000-0000E6010000}"/>
    <cellStyle name="Millares 42 2 3 4 2" xfId="999" xr:uid="{00000000-0005-0000-0000-0000E7030000}"/>
    <cellStyle name="Millares 42 2 3 5" xfId="817" xr:uid="{00000000-0005-0000-0000-000031030000}"/>
    <cellStyle name="Millares 42 2 3 5 2" xfId="1000" xr:uid="{00000000-0005-0000-0000-0000E8030000}"/>
    <cellStyle name="Millares 42 2 3 6" xfId="1001" xr:uid="{00000000-0005-0000-0000-0000E9030000}"/>
    <cellStyle name="Millares 42 2 3 7" xfId="1887" xr:uid="{00000000-0005-0000-0000-00005F070000}"/>
    <cellStyle name="Millares 42 2 4" xfId="116" xr:uid="{00000000-0005-0000-0000-000074000000}"/>
    <cellStyle name="Millares 42 2 4 2" xfId="117" xr:uid="{00000000-0005-0000-0000-000075000000}"/>
    <cellStyle name="Millares 42 2 4 2 2" xfId="487" xr:uid="{00000000-0005-0000-0000-0000E7010000}"/>
    <cellStyle name="Millares 42 2 4 2 3" xfId="1002" xr:uid="{00000000-0005-0000-0000-0000EA030000}"/>
    <cellStyle name="Millares 42 2 4 2 4" xfId="1888" xr:uid="{00000000-0005-0000-0000-000060070000}"/>
    <cellStyle name="Millares 42 2 4 3" xfId="488" xr:uid="{00000000-0005-0000-0000-0000E8010000}"/>
    <cellStyle name="Millares 42 2 4 3 2" xfId="1003" xr:uid="{00000000-0005-0000-0000-0000EB030000}"/>
    <cellStyle name="Millares 42 2 4 4" xfId="1004" xr:uid="{00000000-0005-0000-0000-0000EC030000}"/>
    <cellStyle name="Millares 42 2 4 5" xfId="1005" xr:uid="{00000000-0005-0000-0000-0000ED030000}"/>
    <cellStyle name="Millares 42 2 4 6" xfId="1889" xr:uid="{00000000-0005-0000-0000-000061070000}"/>
    <cellStyle name="Millares 42 2 5" xfId="118" xr:uid="{00000000-0005-0000-0000-000076000000}"/>
    <cellStyle name="Millares 42 2 5 2" xfId="489" xr:uid="{00000000-0005-0000-0000-0000E9010000}"/>
    <cellStyle name="Millares 42 2 5 2 2" xfId="1006" xr:uid="{00000000-0005-0000-0000-0000EE030000}"/>
    <cellStyle name="Millares 42 2 5 3" xfId="1007" xr:uid="{00000000-0005-0000-0000-0000EF030000}"/>
    <cellStyle name="Millares 42 2 5 4" xfId="1008" xr:uid="{00000000-0005-0000-0000-0000F0030000}"/>
    <cellStyle name="Millares 42 2 5 5" xfId="1890" xr:uid="{00000000-0005-0000-0000-000062070000}"/>
    <cellStyle name="Millares 42 2 6" xfId="490" xr:uid="{00000000-0005-0000-0000-0000EA010000}"/>
    <cellStyle name="Millares 42 2 6 2" xfId="1009" xr:uid="{00000000-0005-0000-0000-0000F1030000}"/>
    <cellStyle name="Millares 42 2 7" xfId="818" xr:uid="{00000000-0005-0000-0000-000032030000}"/>
    <cellStyle name="Millares 42 2 7 2" xfId="1010" xr:uid="{00000000-0005-0000-0000-0000F2030000}"/>
    <cellStyle name="Millares 42 2 8" xfId="1011" xr:uid="{00000000-0005-0000-0000-0000F3030000}"/>
    <cellStyle name="Millares 42 2 9" xfId="1012" xr:uid="{00000000-0005-0000-0000-0000F4030000}"/>
    <cellStyle name="Millares 42 3" xfId="119" xr:uid="{00000000-0005-0000-0000-000077000000}"/>
    <cellStyle name="Millares 42 3 2" xfId="120" xr:uid="{00000000-0005-0000-0000-000078000000}"/>
    <cellStyle name="Millares 42 3 2 2" xfId="121" xr:uid="{00000000-0005-0000-0000-000079000000}"/>
    <cellStyle name="Millares 42 3 2 2 2" xfId="491" xr:uid="{00000000-0005-0000-0000-0000EB010000}"/>
    <cellStyle name="Millares 42 3 2 2 2 2" xfId="1013" xr:uid="{00000000-0005-0000-0000-0000F5030000}"/>
    <cellStyle name="Millares 42 3 2 2 3" xfId="1014" xr:uid="{00000000-0005-0000-0000-0000F6030000}"/>
    <cellStyle name="Millares 42 3 2 2 4" xfId="1015" xr:uid="{00000000-0005-0000-0000-0000F7030000}"/>
    <cellStyle name="Millares 42 3 2 2 5" xfId="1016" xr:uid="{00000000-0005-0000-0000-0000F8030000}"/>
    <cellStyle name="Millares 42 3 2 2 6" xfId="1891" xr:uid="{00000000-0005-0000-0000-000063070000}"/>
    <cellStyle name="Millares 42 3 2 3" xfId="492" xr:uid="{00000000-0005-0000-0000-0000EC010000}"/>
    <cellStyle name="Millares 42 3 2 3 2" xfId="1017" xr:uid="{00000000-0005-0000-0000-0000F9030000}"/>
    <cellStyle name="Millares 42 3 2 3 3" xfId="1018" xr:uid="{00000000-0005-0000-0000-0000FA030000}"/>
    <cellStyle name="Millares 42 3 2 3 4" xfId="1019" xr:uid="{00000000-0005-0000-0000-0000FB030000}"/>
    <cellStyle name="Millares 42 3 2 4" xfId="1020" xr:uid="{00000000-0005-0000-0000-0000FC030000}"/>
    <cellStyle name="Millares 42 3 2 5" xfId="1021" xr:uid="{00000000-0005-0000-0000-0000FD030000}"/>
    <cellStyle name="Millares 42 3 2 6" xfId="1022" xr:uid="{00000000-0005-0000-0000-0000FE030000}"/>
    <cellStyle name="Millares 42 3 2 7" xfId="1023" xr:uid="{00000000-0005-0000-0000-0000FF030000}"/>
    <cellStyle name="Millares 42 3 2 8" xfId="1892" xr:uid="{00000000-0005-0000-0000-000064070000}"/>
    <cellStyle name="Millares 42 3 3" xfId="122" xr:uid="{00000000-0005-0000-0000-00007A000000}"/>
    <cellStyle name="Millares 42 3 3 2" xfId="493" xr:uid="{00000000-0005-0000-0000-0000ED010000}"/>
    <cellStyle name="Millares 42 3 3 3" xfId="1893" xr:uid="{00000000-0005-0000-0000-000065070000}"/>
    <cellStyle name="Millares 42 3 4" xfId="494" xr:uid="{00000000-0005-0000-0000-0000EE010000}"/>
    <cellStyle name="Millares 42 3 5" xfId="819" xr:uid="{00000000-0005-0000-0000-000033030000}"/>
    <cellStyle name="Millares 42 3 6" xfId="1894" xr:uid="{00000000-0005-0000-0000-000066070000}"/>
    <cellStyle name="Millares 42 4" xfId="2304" xr:uid="{00000000-0005-0000-0000-000000090000}"/>
    <cellStyle name="Millares 43" xfId="123" xr:uid="{00000000-0005-0000-0000-00007B000000}"/>
    <cellStyle name="Millares 43 2" xfId="124" xr:uid="{00000000-0005-0000-0000-00007C000000}"/>
    <cellStyle name="Millares 43 2 10" xfId="1024" xr:uid="{00000000-0005-0000-0000-000000040000}"/>
    <cellStyle name="Millares 43 2 11" xfId="1895" xr:uid="{00000000-0005-0000-0000-000067070000}"/>
    <cellStyle name="Millares 43 2 2" xfId="125" xr:uid="{00000000-0005-0000-0000-00007D000000}"/>
    <cellStyle name="Millares 43 2 2 2" xfId="126" xr:uid="{00000000-0005-0000-0000-00007E000000}"/>
    <cellStyle name="Millares 43 2 2 2 2" xfId="127" xr:uid="{00000000-0005-0000-0000-00007F000000}"/>
    <cellStyle name="Millares 43 2 2 2 2 2" xfId="495" xr:uid="{00000000-0005-0000-0000-0000EF010000}"/>
    <cellStyle name="Millares 43 2 2 2 2 3" xfId="1025" xr:uid="{00000000-0005-0000-0000-000001040000}"/>
    <cellStyle name="Millares 43 2 2 2 2 4" xfId="1896" xr:uid="{00000000-0005-0000-0000-000068070000}"/>
    <cellStyle name="Millares 43 2 2 2 3" xfId="496" xr:uid="{00000000-0005-0000-0000-0000F0010000}"/>
    <cellStyle name="Millares 43 2 2 2 3 2" xfId="1026" xr:uid="{00000000-0005-0000-0000-000002040000}"/>
    <cellStyle name="Millares 43 2 2 2 4" xfId="1027" xr:uid="{00000000-0005-0000-0000-000003040000}"/>
    <cellStyle name="Millares 43 2 2 2 5" xfId="1028" xr:uid="{00000000-0005-0000-0000-000004040000}"/>
    <cellStyle name="Millares 43 2 2 2 6" xfId="1897" xr:uid="{00000000-0005-0000-0000-000069070000}"/>
    <cellStyle name="Millares 43 2 2 3" xfId="128" xr:uid="{00000000-0005-0000-0000-000080000000}"/>
    <cellStyle name="Millares 43 2 2 3 2" xfId="497" xr:uid="{00000000-0005-0000-0000-0000F1010000}"/>
    <cellStyle name="Millares 43 2 2 3 2 2" xfId="1029" xr:uid="{00000000-0005-0000-0000-000005040000}"/>
    <cellStyle name="Millares 43 2 2 3 3" xfId="1030" xr:uid="{00000000-0005-0000-0000-000006040000}"/>
    <cellStyle name="Millares 43 2 2 3 4" xfId="1031" xr:uid="{00000000-0005-0000-0000-000007040000}"/>
    <cellStyle name="Millares 43 2 2 3 5" xfId="1898" xr:uid="{00000000-0005-0000-0000-00006A070000}"/>
    <cellStyle name="Millares 43 2 2 4" xfId="498" xr:uid="{00000000-0005-0000-0000-0000F2010000}"/>
    <cellStyle name="Millares 43 2 2 4 2" xfId="1032" xr:uid="{00000000-0005-0000-0000-000008040000}"/>
    <cellStyle name="Millares 43 2 2 5" xfId="820" xr:uid="{00000000-0005-0000-0000-000034030000}"/>
    <cellStyle name="Millares 43 2 2 5 2" xfId="1033" xr:uid="{00000000-0005-0000-0000-000009040000}"/>
    <cellStyle name="Millares 43 2 2 6" xfId="1034" xr:uid="{00000000-0005-0000-0000-00000A040000}"/>
    <cellStyle name="Millares 43 2 2 7" xfId="1035" xr:uid="{00000000-0005-0000-0000-00000B040000}"/>
    <cellStyle name="Millares 43 2 2 8" xfId="1899" xr:uid="{00000000-0005-0000-0000-00006B070000}"/>
    <cellStyle name="Millares 43 2 3" xfId="129" xr:uid="{00000000-0005-0000-0000-000081000000}"/>
    <cellStyle name="Millares 43 2 3 2" xfId="130" xr:uid="{00000000-0005-0000-0000-000082000000}"/>
    <cellStyle name="Millares 43 2 3 2 2" xfId="131" xr:uid="{00000000-0005-0000-0000-000083000000}"/>
    <cellStyle name="Millares 43 2 3 2 2 2" xfId="499" xr:uid="{00000000-0005-0000-0000-0000F3010000}"/>
    <cellStyle name="Millares 43 2 3 2 2 3" xfId="1036" xr:uid="{00000000-0005-0000-0000-00000C040000}"/>
    <cellStyle name="Millares 43 2 3 2 2 4" xfId="1900" xr:uid="{00000000-0005-0000-0000-00006C070000}"/>
    <cellStyle name="Millares 43 2 3 2 3" xfId="500" xr:uid="{00000000-0005-0000-0000-0000F4010000}"/>
    <cellStyle name="Millares 43 2 3 2 3 2" xfId="1037" xr:uid="{00000000-0005-0000-0000-00000D040000}"/>
    <cellStyle name="Millares 43 2 3 2 4" xfId="1038" xr:uid="{00000000-0005-0000-0000-00000E040000}"/>
    <cellStyle name="Millares 43 2 3 2 5" xfId="1039" xr:uid="{00000000-0005-0000-0000-00000F040000}"/>
    <cellStyle name="Millares 43 2 3 2 6" xfId="1901" xr:uid="{00000000-0005-0000-0000-00006D070000}"/>
    <cellStyle name="Millares 43 2 3 3" xfId="132" xr:uid="{00000000-0005-0000-0000-000084000000}"/>
    <cellStyle name="Millares 43 2 3 3 2" xfId="501" xr:uid="{00000000-0005-0000-0000-0000F5010000}"/>
    <cellStyle name="Millares 43 2 3 3 3" xfId="1040" xr:uid="{00000000-0005-0000-0000-000010040000}"/>
    <cellStyle name="Millares 43 2 3 3 4" xfId="1902" xr:uid="{00000000-0005-0000-0000-00006E070000}"/>
    <cellStyle name="Millares 43 2 3 4" xfId="502" xr:uid="{00000000-0005-0000-0000-0000F6010000}"/>
    <cellStyle name="Millares 43 2 3 4 2" xfId="1041" xr:uid="{00000000-0005-0000-0000-000011040000}"/>
    <cellStyle name="Millares 43 2 3 5" xfId="821" xr:uid="{00000000-0005-0000-0000-000035030000}"/>
    <cellStyle name="Millares 43 2 3 5 2" xfId="1042" xr:uid="{00000000-0005-0000-0000-000012040000}"/>
    <cellStyle name="Millares 43 2 3 6" xfId="1043" xr:uid="{00000000-0005-0000-0000-000013040000}"/>
    <cellStyle name="Millares 43 2 3 7" xfId="1903" xr:uid="{00000000-0005-0000-0000-00006F070000}"/>
    <cellStyle name="Millares 43 2 4" xfId="133" xr:uid="{00000000-0005-0000-0000-000085000000}"/>
    <cellStyle name="Millares 43 2 4 2" xfId="134" xr:uid="{00000000-0005-0000-0000-000086000000}"/>
    <cellStyle name="Millares 43 2 4 2 2" xfId="503" xr:uid="{00000000-0005-0000-0000-0000F7010000}"/>
    <cellStyle name="Millares 43 2 4 2 3" xfId="1044" xr:uid="{00000000-0005-0000-0000-000014040000}"/>
    <cellStyle name="Millares 43 2 4 2 4" xfId="1904" xr:uid="{00000000-0005-0000-0000-000070070000}"/>
    <cellStyle name="Millares 43 2 4 3" xfId="504" xr:uid="{00000000-0005-0000-0000-0000F8010000}"/>
    <cellStyle name="Millares 43 2 4 3 2" xfId="1045" xr:uid="{00000000-0005-0000-0000-000015040000}"/>
    <cellStyle name="Millares 43 2 4 4" xfId="1046" xr:uid="{00000000-0005-0000-0000-000016040000}"/>
    <cellStyle name="Millares 43 2 4 5" xfId="1047" xr:uid="{00000000-0005-0000-0000-000017040000}"/>
    <cellStyle name="Millares 43 2 4 6" xfId="1905" xr:uid="{00000000-0005-0000-0000-000071070000}"/>
    <cellStyle name="Millares 43 2 5" xfId="135" xr:uid="{00000000-0005-0000-0000-000087000000}"/>
    <cellStyle name="Millares 43 2 5 2" xfId="505" xr:uid="{00000000-0005-0000-0000-0000F9010000}"/>
    <cellStyle name="Millares 43 2 5 2 2" xfId="1048" xr:uid="{00000000-0005-0000-0000-000018040000}"/>
    <cellStyle name="Millares 43 2 5 3" xfId="1049" xr:uid="{00000000-0005-0000-0000-000019040000}"/>
    <cellStyle name="Millares 43 2 5 4" xfId="1050" xr:uid="{00000000-0005-0000-0000-00001A040000}"/>
    <cellStyle name="Millares 43 2 5 5" xfId="1906" xr:uid="{00000000-0005-0000-0000-000072070000}"/>
    <cellStyle name="Millares 43 2 6" xfId="506" xr:uid="{00000000-0005-0000-0000-0000FA010000}"/>
    <cellStyle name="Millares 43 2 6 2" xfId="1051" xr:uid="{00000000-0005-0000-0000-00001B040000}"/>
    <cellStyle name="Millares 43 2 7" xfId="822" xr:uid="{00000000-0005-0000-0000-000036030000}"/>
    <cellStyle name="Millares 43 2 7 2" xfId="1052" xr:uid="{00000000-0005-0000-0000-00001C040000}"/>
    <cellStyle name="Millares 43 2 8" xfId="1053" xr:uid="{00000000-0005-0000-0000-00001D040000}"/>
    <cellStyle name="Millares 43 2 9" xfId="1054" xr:uid="{00000000-0005-0000-0000-00001E040000}"/>
    <cellStyle name="Millares 43 3" xfId="136" xr:uid="{00000000-0005-0000-0000-000088000000}"/>
    <cellStyle name="Millares 43 3 2" xfId="137" xr:uid="{00000000-0005-0000-0000-000089000000}"/>
    <cellStyle name="Millares 43 3 2 2" xfId="138" xr:uid="{00000000-0005-0000-0000-00008A000000}"/>
    <cellStyle name="Millares 43 3 2 2 2" xfId="507" xr:uid="{00000000-0005-0000-0000-0000FB010000}"/>
    <cellStyle name="Millares 43 3 2 2 2 2" xfId="1055" xr:uid="{00000000-0005-0000-0000-00001F040000}"/>
    <cellStyle name="Millares 43 3 2 2 3" xfId="1056" xr:uid="{00000000-0005-0000-0000-000020040000}"/>
    <cellStyle name="Millares 43 3 2 2 4" xfId="1057" xr:uid="{00000000-0005-0000-0000-000021040000}"/>
    <cellStyle name="Millares 43 3 2 2 5" xfId="1058" xr:uid="{00000000-0005-0000-0000-000022040000}"/>
    <cellStyle name="Millares 43 3 2 2 6" xfId="1907" xr:uid="{00000000-0005-0000-0000-000073070000}"/>
    <cellStyle name="Millares 43 3 2 3" xfId="508" xr:uid="{00000000-0005-0000-0000-0000FC010000}"/>
    <cellStyle name="Millares 43 3 2 3 2" xfId="1059" xr:uid="{00000000-0005-0000-0000-000023040000}"/>
    <cellStyle name="Millares 43 3 2 3 3" xfId="1060" xr:uid="{00000000-0005-0000-0000-000024040000}"/>
    <cellStyle name="Millares 43 3 2 3 4" xfId="1061" xr:uid="{00000000-0005-0000-0000-000025040000}"/>
    <cellStyle name="Millares 43 3 2 4" xfId="1062" xr:uid="{00000000-0005-0000-0000-000026040000}"/>
    <cellStyle name="Millares 43 3 2 5" xfId="1063" xr:uid="{00000000-0005-0000-0000-000027040000}"/>
    <cellStyle name="Millares 43 3 2 6" xfId="1064" xr:uid="{00000000-0005-0000-0000-000028040000}"/>
    <cellStyle name="Millares 43 3 2 7" xfId="1065" xr:uid="{00000000-0005-0000-0000-000029040000}"/>
    <cellStyle name="Millares 43 3 2 8" xfId="1908" xr:uid="{00000000-0005-0000-0000-000074070000}"/>
    <cellStyle name="Millares 43 3 3" xfId="139" xr:uid="{00000000-0005-0000-0000-00008B000000}"/>
    <cellStyle name="Millares 43 3 3 2" xfId="509" xr:uid="{00000000-0005-0000-0000-0000FD010000}"/>
    <cellStyle name="Millares 43 3 3 3" xfId="1909" xr:uid="{00000000-0005-0000-0000-000075070000}"/>
    <cellStyle name="Millares 43 3 4" xfId="510" xr:uid="{00000000-0005-0000-0000-0000FE010000}"/>
    <cellStyle name="Millares 43 3 5" xfId="823" xr:uid="{00000000-0005-0000-0000-000037030000}"/>
    <cellStyle name="Millares 43 3 6" xfId="1910" xr:uid="{00000000-0005-0000-0000-000076070000}"/>
    <cellStyle name="Millares 43 4" xfId="2305" xr:uid="{00000000-0005-0000-0000-000001090000}"/>
    <cellStyle name="Millares 44" xfId="140" xr:uid="{00000000-0005-0000-0000-00008C000000}"/>
    <cellStyle name="Millares 44 2" xfId="141" xr:uid="{00000000-0005-0000-0000-00008D000000}"/>
    <cellStyle name="Millares 44 2 10" xfId="1066" xr:uid="{00000000-0005-0000-0000-00002A040000}"/>
    <cellStyle name="Millares 44 2 11" xfId="1911" xr:uid="{00000000-0005-0000-0000-000077070000}"/>
    <cellStyle name="Millares 44 2 2" xfId="142" xr:uid="{00000000-0005-0000-0000-00008E000000}"/>
    <cellStyle name="Millares 44 2 2 2" xfId="143" xr:uid="{00000000-0005-0000-0000-00008F000000}"/>
    <cellStyle name="Millares 44 2 2 2 2" xfId="144" xr:uid="{00000000-0005-0000-0000-000090000000}"/>
    <cellStyle name="Millares 44 2 2 2 2 2" xfId="511" xr:uid="{00000000-0005-0000-0000-0000FF010000}"/>
    <cellStyle name="Millares 44 2 2 2 2 3" xfId="1067" xr:uid="{00000000-0005-0000-0000-00002B040000}"/>
    <cellStyle name="Millares 44 2 2 2 2 4" xfId="1912" xr:uid="{00000000-0005-0000-0000-000078070000}"/>
    <cellStyle name="Millares 44 2 2 2 3" xfId="512" xr:uid="{00000000-0005-0000-0000-000000020000}"/>
    <cellStyle name="Millares 44 2 2 2 3 2" xfId="1068" xr:uid="{00000000-0005-0000-0000-00002C040000}"/>
    <cellStyle name="Millares 44 2 2 2 4" xfId="1069" xr:uid="{00000000-0005-0000-0000-00002D040000}"/>
    <cellStyle name="Millares 44 2 2 2 5" xfId="1070" xr:uid="{00000000-0005-0000-0000-00002E040000}"/>
    <cellStyle name="Millares 44 2 2 2 6" xfId="1913" xr:uid="{00000000-0005-0000-0000-000079070000}"/>
    <cellStyle name="Millares 44 2 2 3" xfId="145" xr:uid="{00000000-0005-0000-0000-000091000000}"/>
    <cellStyle name="Millares 44 2 2 3 2" xfId="513" xr:uid="{00000000-0005-0000-0000-000001020000}"/>
    <cellStyle name="Millares 44 2 2 3 2 2" xfId="1071" xr:uid="{00000000-0005-0000-0000-00002F040000}"/>
    <cellStyle name="Millares 44 2 2 3 3" xfId="1072" xr:uid="{00000000-0005-0000-0000-000030040000}"/>
    <cellStyle name="Millares 44 2 2 3 4" xfId="1073" xr:uid="{00000000-0005-0000-0000-000031040000}"/>
    <cellStyle name="Millares 44 2 2 3 5" xfId="1914" xr:uid="{00000000-0005-0000-0000-00007A070000}"/>
    <cellStyle name="Millares 44 2 2 4" xfId="514" xr:uid="{00000000-0005-0000-0000-000002020000}"/>
    <cellStyle name="Millares 44 2 2 4 2" xfId="1074" xr:uid="{00000000-0005-0000-0000-000032040000}"/>
    <cellStyle name="Millares 44 2 2 5" xfId="824" xr:uid="{00000000-0005-0000-0000-000038030000}"/>
    <cellStyle name="Millares 44 2 2 5 2" xfId="1075" xr:uid="{00000000-0005-0000-0000-000033040000}"/>
    <cellStyle name="Millares 44 2 2 6" xfId="1076" xr:uid="{00000000-0005-0000-0000-000034040000}"/>
    <cellStyle name="Millares 44 2 2 7" xfId="1077" xr:uid="{00000000-0005-0000-0000-000035040000}"/>
    <cellStyle name="Millares 44 2 2 8" xfId="1915" xr:uid="{00000000-0005-0000-0000-00007B070000}"/>
    <cellStyle name="Millares 44 2 3" xfId="146" xr:uid="{00000000-0005-0000-0000-000092000000}"/>
    <cellStyle name="Millares 44 2 3 2" xfId="147" xr:uid="{00000000-0005-0000-0000-000093000000}"/>
    <cellStyle name="Millares 44 2 3 2 2" xfId="148" xr:uid="{00000000-0005-0000-0000-000094000000}"/>
    <cellStyle name="Millares 44 2 3 2 2 2" xfId="515" xr:uid="{00000000-0005-0000-0000-000003020000}"/>
    <cellStyle name="Millares 44 2 3 2 2 3" xfId="1078" xr:uid="{00000000-0005-0000-0000-000036040000}"/>
    <cellStyle name="Millares 44 2 3 2 2 4" xfId="1916" xr:uid="{00000000-0005-0000-0000-00007C070000}"/>
    <cellStyle name="Millares 44 2 3 2 3" xfId="516" xr:uid="{00000000-0005-0000-0000-000004020000}"/>
    <cellStyle name="Millares 44 2 3 2 3 2" xfId="1079" xr:uid="{00000000-0005-0000-0000-000037040000}"/>
    <cellStyle name="Millares 44 2 3 2 4" xfId="1080" xr:uid="{00000000-0005-0000-0000-000038040000}"/>
    <cellStyle name="Millares 44 2 3 2 5" xfId="1081" xr:uid="{00000000-0005-0000-0000-000039040000}"/>
    <cellStyle name="Millares 44 2 3 2 6" xfId="1917" xr:uid="{00000000-0005-0000-0000-00007D070000}"/>
    <cellStyle name="Millares 44 2 3 3" xfId="149" xr:uid="{00000000-0005-0000-0000-000095000000}"/>
    <cellStyle name="Millares 44 2 3 3 2" xfId="517" xr:uid="{00000000-0005-0000-0000-000005020000}"/>
    <cellStyle name="Millares 44 2 3 3 3" xfId="1082" xr:uid="{00000000-0005-0000-0000-00003A040000}"/>
    <cellStyle name="Millares 44 2 3 3 4" xfId="1918" xr:uid="{00000000-0005-0000-0000-00007E070000}"/>
    <cellStyle name="Millares 44 2 3 4" xfId="518" xr:uid="{00000000-0005-0000-0000-000006020000}"/>
    <cellStyle name="Millares 44 2 3 4 2" xfId="1083" xr:uid="{00000000-0005-0000-0000-00003B040000}"/>
    <cellStyle name="Millares 44 2 3 5" xfId="825" xr:uid="{00000000-0005-0000-0000-000039030000}"/>
    <cellStyle name="Millares 44 2 3 5 2" xfId="1084" xr:uid="{00000000-0005-0000-0000-00003C040000}"/>
    <cellStyle name="Millares 44 2 3 6" xfId="1085" xr:uid="{00000000-0005-0000-0000-00003D040000}"/>
    <cellStyle name="Millares 44 2 3 7" xfId="1919" xr:uid="{00000000-0005-0000-0000-00007F070000}"/>
    <cellStyle name="Millares 44 2 4" xfId="150" xr:uid="{00000000-0005-0000-0000-000096000000}"/>
    <cellStyle name="Millares 44 2 4 2" xfId="151" xr:uid="{00000000-0005-0000-0000-000097000000}"/>
    <cellStyle name="Millares 44 2 4 2 2" xfId="519" xr:uid="{00000000-0005-0000-0000-000007020000}"/>
    <cellStyle name="Millares 44 2 4 2 3" xfId="1086" xr:uid="{00000000-0005-0000-0000-00003E040000}"/>
    <cellStyle name="Millares 44 2 4 2 4" xfId="1920" xr:uid="{00000000-0005-0000-0000-000080070000}"/>
    <cellStyle name="Millares 44 2 4 3" xfId="520" xr:uid="{00000000-0005-0000-0000-000008020000}"/>
    <cellStyle name="Millares 44 2 4 3 2" xfId="1087" xr:uid="{00000000-0005-0000-0000-00003F040000}"/>
    <cellStyle name="Millares 44 2 4 4" xfId="1088" xr:uid="{00000000-0005-0000-0000-000040040000}"/>
    <cellStyle name="Millares 44 2 4 5" xfId="1089" xr:uid="{00000000-0005-0000-0000-000041040000}"/>
    <cellStyle name="Millares 44 2 4 6" xfId="1921" xr:uid="{00000000-0005-0000-0000-000081070000}"/>
    <cellStyle name="Millares 44 2 5" xfId="152" xr:uid="{00000000-0005-0000-0000-000098000000}"/>
    <cellStyle name="Millares 44 2 5 2" xfId="521" xr:uid="{00000000-0005-0000-0000-000009020000}"/>
    <cellStyle name="Millares 44 2 5 2 2" xfId="1090" xr:uid="{00000000-0005-0000-0000-000042040000}"/>
    <cellStyle name="Millares 44 2 5 3" xfId="1091" xr:uid="{00000000-0005-0000-0000-000043040000}"/>
    <cellStyle name="Millares 44 2 5 4" xfId="1092" xr:uid="{00000000-0005-0000-0000-000044040000}"/>
    <cellStyle name="Millares 44 2 5 5" xfId="1922" xr:uid="{00000000-0005-0000-0000-000082070000}"/>
    <cellStyle name="Millares 44 2 6" xfId="522" xr:uid="{00000000-0005-0000-0000-00000A020000}"/>
    <cellStyle name="Millares 44 2 6 2" xfId="1093" xr:uid="{00000000-0005-0000-0000-000045040000}"/>
    <cellStyle name="Millares 44 2 7" xfId="826" xr:uid="{00000000-0005-0000-0000-00003A030000}"/>
    <cellStyle name="Millares 44 2 7 2" xfId="1094" xr:uid="{00000000-0005-0000-0000-000046040000}"/>
    <cellStyle name="Millares 44 2 8" xfId="1095" xr:uid="{00000000-0005-0000-0000-000047040000}"/>
    <cellStyle name="Millares 44 2 9" xfId="1096" xr:uid="{00000000-0005-0000-0000-000048040000}"/>
    <cellStyle name="Millares 44 3" xfId="153" xr:uid="{00000000-0005-0000-0000-000099000000}"/>
    <cellStyle name="Millares 44 3 2" xfId="154" xr:uid="{00000000-0005-0000-0000-00009A000000}"/>
    <cellStyle name="Millares 44 3 2 2" xfId="155" xr:uid="{00000000-0005-0000-0000-00009B000000}"/>
    <cellStyle name="Millares 44 3 2 2 2" xfId="523" xr:uid="{00000000-0005-0000-0000-00000B020000}"/>
    <cellStyle name="Millares 44 3 2 2 2 2" xfId="1097" xr:uid="{00000000-0005-0000-0000-000049040000}"/>
    <cellStyle name="Millares 44 3 2 2 3" xfId="1098" xr:uid="{00000000-0005-0000-0000-00004A040000}"/>
    <cellStyle name="Millares 44 3 2 2 4" xfId="1099" xr:uid="{00000000-0005-0000-0000-00004B040000}"/>
    <cellStyle name="Millares 44 3 2 2 5" xfId="1100" xr:uid="{00000000-0005-0000-0000-00004C040000}"/>
    <cellStyle name="Millares 44 3 2 2 6" xfId="1923" xr:uid="{00000000-0005-0000-0000-000083070000}"/>
    <cellStyle name="Millares 44 3 2 3" xfId="524" xr:uid="{00000000-0005-0000-0000-00000C020000}"/>
    <cellStyle name="Millares 44 3 2 3 2" xfId="1101" xr:uid="{00000000-0005-0000-0000-00004D040000}"/>
    <cellStyle name="Millares 44 3 2 3 3" xfId="1102" xr:uid="{00000000-0005-0000-0000-00004E040000}"/>
    <cellStyle name="Millares 44 3 2 3 4" xfId="1103" xr:uid="{00000000-0005-0000-0000-00004F040000}"/>
    <cellStyle name="Millares 44 3 2 4" xfId="1104" xr:uid="{00000000-0005-0000-0000-000050040000}"/>
    <cellStyle name="Millares 44 3 2 5" xfId="1105" xr:uid="{00000000-0005-0000-0000-000051040000}"/>
    <cellStyle name="Millares 44 3 2 6" xfId="1106" xr:uid="{00000000-0005-0000-0000-000052040000}"/>
    <cellStyle name="Millares 44 3 2 7" xfId="1107" xr:uid="{00000000-0005-0000-0000-000053040000}"/>
    <cellStyle name="Millares 44 3 2 8" xfId="1924" xr:uid="{00000000-0005-0000-0000-000084070000}"/>
    <cellStyle name="Millares 44 3 3" xfId="156" xr:uid="{00000000-0005-0000-0000-00009C000000}"/>
    <cellStyle name="Millares 44 3 3 2" xfId="525" xr:uid="{00000000-0005-0000-0000-00000D020000}"/>
    <cellStyle name="Millares 44 3 3 3" xfId="1925" xr:uid="{00000000-0005-0000-0000-000085070000}"/>
    <cellStyle name="Millares 44 3 4" xfId="526" xr:uid="{00000000-0005-0000-0000-00000E020000}"/>
    <cellStyle name="Millares 44 3 5" xfId="827" xr:uid="{00000000-0005-0000-0000-00003B030000}"/>
    <cellStyle name="Millares 44 3 6" xfId="1926" xr:uid="{00000000-0005-0000-0000-000086070000}"/>
    <cellStyle name="Millares 44 4" xfId="2306" xr:uid="{00000000-0005-0000-0000-000002090000}"/>
    <cellStyle name="Millares 45" xfId="157" xr:uid="{00000000-0005-0000-0000-00009D000000}"/>
    <cellStyle name="Millares 45 2" xfId="158" xr:uid="{00000000-0005-0000-0000-00009E000000}"/>
    <cellStyle name="Millares 45 2 10" xfId="1108" xr:uid="{00000000-0005-0000-0000-000054040000}"/>
    <cellStyle name="Millares 45 2 11" xfId="1927" xr:uid="{00000000-0005-0000-0000-000087070000}"/>
    <cellStyle name="Millares 45 2 2" xfId="159" xr:uid="{00000000-0005-0000-0000-00009F000000}"/>
    <cellStyle name="Millares 45 2 2 2" xfId="160" xr:uid="{00000000-0005-0000-0000-0000A0000000}"/>
    <cellStyle name="Millares 45 2 2 2 2" xfId="161" xr:uid="{00000000-0005-0000-0000-0000A1000000}"/>
    <cellStyle name="Millares 45 2 2 2 2 2" xfId="527" xr:uid="{00000000-0005-0000-0000-00000F020000}"/>
    <cellStyle name="Millares 45 2 2 2 2 3" xfId="1109" xr:uid="{00000000-0005-0000-0000-000055040000}"/>
    <cellStyle name="Millares 45 2 2 2 2 4" xfId="1928" xr:uid="{00000000-0005-0000-0000-000088070000}"/>
    <cellStyle name="Millares 45 2 2 2 3" xfId="528" xr:uid="{00000000-0005-0000-0000-000010020000}"/>
    <cellStyle name="Millares 45 2 2 2 3 2" xfId="1110" xr:uid="{00000000-0005-0000-0000-000056040000}"/>
    <cellStyle name="Millares 45 2 2 2 4" xfId="1111" xr:uid="{00000000-0005-0000-0000-000057040000}"/>
    <cellStyle name="Millares 45 2 2 2 5" xfId="1112" xr:uid="{00000000-0005-0000-0000-000058040000}"/>
    <cellStyle name="Millares 45 2 2 2 6" xfId="1929" xr:uid="{00000000-0005-0000-0000-000089070000}"/>
    <cellStyle name="Millares 45 2 2 3" xfId="162" xr:uid="{00000000-0005-0000-0000-0000A2000000}"/>
    <cellStyle name="Millares 45 2 2 3 2" xfId="529" xr:uid="{00000000-0005-0000-0000-000011020000}"/>
    <cellStyle name="Millares 45 2 2 3 2 2" xfId="1113" xr:uid="{00000000-0005-0000-0000-000059040000}"/>
    <cellStyle name="Millares 45 2 2 3 3" xfId="1114" xr:uid="{00000000-0005-0000-0000-00005A040000}"/>
    <cellStyle name="Millares 45 2 2 3 4" xfId="1115" xr:uid="{00000000-0005-0000-0000-00005B040000}"/>
    <cellStyle name="Millares 45 2 2 3 5" xfId="1930" xr:uid="{00000000-0005-0000-0000-00008A070000}"/>
    <cellStyle name="Millares 45 2 2 4" xfId="530" xr:uid="{00000000-0005-0000-0000-000012020000}"/>
    <cellStyle name="Millares 45 2 2 4 2" xfId="1116" xr:uid="{00000000-0005-0000-0000-00005C040000}"/>
    <cellStyle name="Millares 45 2 2 5" xfId="828" xr:uid="{00000000-0005-0000-0000-00003C030000}"/>
    <cellStyle name="Millares 45 2 2 5 2" xfId="1117" xr:uid="{00000000-0005-0000-0000-00005D040000}"/>
    <cellStyle name="Millares 45 2 2 6" xfId="1118" xr:uid="{00000000-0005-0000-0000-00005E040000}"/>
    <cellStyle name="Millares 45 2 2 7" xfId="1119" xr:uid="{00000000-0005-0000-0000-00005F040000}"/>
    <cellStyle name="Millares 45 2 2 8" xfId="1931" xr:uid="{00000000-0005-0000-0000-00008B070000}"/>
    <cellStyle name="Millares 45 2 3" xfId="163" xr:uid="{00000000-0005-0000-0000-0000A3000000}"/>
    <cellStyle name="Millares 45 2 3 2" xfId="164" xr:uid="{00000000-0005-0000-0000-0000A4000000}"/>
    <cellStyle name="Millares 45 2 3 2 2" xfId="165" xr:uid="{00000000-0005-0000-0000-0000A5000000}"/>
    <cellStyle name="Millares 45 2 3 2 2 2" xfId="531" xr:uid="{00000000-0005-0000-0000-000013020000}"/>
    <cellStyle name="Millares 45 2 3 2 2 3" xfId="1120" xr:uid="{00000000-0005-0000-0000-000060040000}"/>
    <cellStyle name="Millares 45 2 3 2 2 4" xfId="1932" xr:uid="{00000000-0005-0000-0000-00008C070000}"/>
    <cellStyle name="Millares 45 2 3 2 3" xfId="532" xr:uid="{00000000-0005-0000-0000-000014020000}"/>
    <cellStyle name="Millares 45 2 3 2 3 2" xfId="1121" xr:uid="{00000000-0005-0000-0000-000061040000}"/>
    <cellStyle name="Millares 45 2 3 2 4" xfId="1122" xr:uid="{00000000-0005-0000-0000-000062040000}"/>
    <cellStyle name="Millares 45 2 3 2 5" xfId="1123" xr:uid="{00000000-0005-0000-0000-000063040000}"/>
    <cellStyle name="Millares 45 2 3 2 6" xfId="1933" xr:uid="{00000000-0005-0000-0000-00008D070000}"/>
    <cellStyle name="Millares 45 2 3 3" xfId="166" xr:uid="{00000000-0005-0000-0000-0000A6000000}"/>
    <cellStyle name="Millares 45 2 3 3 2" xfId="533" xr:uid="{00000000-0005-0000-0000-000015020000}"/>
    <cellStyle name="Millares 45 2 3 3 3" xfId="1124" xr:uid="{00000000-0005-0000-0000-000064040000}"/>
    <cellStyle name="Millares 45 2 3 3 4" xfId="1934" xr:uid="{00000000-0005-0000-0000-00008E070000}"/>
    <cellStyle name="Millares 45 2 3 4" xfId="534" xr:uid="{00000000-0005-0000-0000-000016020000}"/>
    <cellStyle name="Millares 45 2 3 4 2" xfId="1125" xr:uid="{00000000-0005-0000-0000-000065040000}"/>
    <cellStyle name="Millares 45 2 3 5" xfId="829" xr:uid="{00000000-0005-0000-0000-00003D030000}"/>
    <cellStyle name="Millares 45 2 3 5 2" xfId="1126" xr:uid="{00000000-0005-0000-0000-000066040000}"/>
    <cellStyle name="Millares 45 2 3 6" xfId="1127" xr:uid="{00000000-0005-0000-0000-000067040000}"/>
    <cellStyle name="Millares 45 2 3 7" xfId="1935" xr:uid="{00000000-0005-0000-0000-00008F070000}"/>
    <cellStyle name="Millares 45 2 4" xfId="167" xr:uid="{00000000-0005-0000-0000-0000A7000000}"/>
    <cellStyle name="Millares 45 2 4 2" xfId="168" xr:uid="{00000000-0005-0000-0000-0000A8000000}"/>
    <cellStyle name="Millares 45 2 4 2 2" xfId="535" xr:uid="{00000000-0005-0000-0000-000017020000}"/>
    <cellStyle name="Millares 45 2 4 2 3" xfId="1128" xr:uid="{00000000-0005-0000-0000-000068040000}"/>
    <cellStyle name="Millares 45 2 4 2 4" xfId="1936" xr:uid="{00000000-0005-0000-0000-000090070000}"/>
    <cellStyle name="Millares 45 2 4 3" xfId="536" xr:uid="{00000000-0005-0000-0000-000018020000}"/>
    <cellStyle name="Millares 45 2 4 3 2" xfId="1129" xr:uid="{00000000-0005-0000-0000-000069040000}"/>
    <cellStyle name="Millares 45 2 4 4" xfId="1130" xr:uid="{00000000-0005-0000-0000-00006A040000}"/>
    <cellStyle name="Millares 45 2 4 5" xfId="1131" xr:uid="{00000000-0005-0000-0000-00006B040000}"/>
    <cellStyle name="Millares 45 2 4 6" xfId="1937" xr:uid="{00000000-0005-0000-0000-000091070000}"/>
    <cellStyle name="Millares 45 2 5" xfId="169" xr:uid="{00000000-0005-0000-0000-0000A9000000}"/>
    <cellStyle name="Millares 45 2 5 2" xfId="537" xr:uid="{00000000-0005-0000-0000-000019020000}"/>
    <cellStyle name="Millares 45 2 5 2 2" xfId="1132" xr:uid="{00000000-0005-0000-0000-00006C040000}"/>
    <cellStyle name="Millares 45 2 5 3" xfId="1133" xr:uid="{00000000-0005-0000-0000-00006D040000}"/>
    <cellStyle name="Millares 45 2 5 4" xfId="1134" xr:uid="{00000000-0005-0000-0000-00006E040000}"/>
    <cellStyle name="Millares 45 2 5 5" xfId="1938" xr:uid="{00000000-0005-0000-0000-000092070000}"/>
    <cellStyle name="Millares 45 2 6" xfId="538" xr:uid="{00000000-0005-0000-0000-00001A020000}"/>
    <cellStyle name="Millares 45 2 6 2" xfId="1135" xr:uid="{00000000-0005-0000-0000-00006F040000}"/>
    <cellStyle name="Millares 45 2 7" xfId="830" xr:uid="{00000000-0005-0000-0000-00003E030000}"/>
    <cellStyle name="Millares 45 2 7 2" xfId="1136" xr:uid="{00000000-0005-0000-0000-000070040000}"/>
    <cellStyle name="Millares 45 2 8" xfId="1137" xr:uid="{00000000-0005-0000-0000-000071040000}"/>
    <cellStyle name="Millares 45 2 9" xfId="1138" xr:uid="{00000000-0005-0000-0000-000072040000}"/>
    <cellStyle name="Millares 45 3" xfId="170" xr:uid="{00000000-0005-0000-0000-0000AA000000}"/>
    <cellStyle name="Millares 45 3 2" xfId="171" xr:uid="{00000000-0005-0000-0000-0000AB000000}"/>
    <cellStyle name="Millares 45 3 2 2" xfId="172" xr:uid="{00000000-0005-0000-0000-0000AC000000}"/>
    <cellStyle name="Millares 45 3 2 2 2" xfId="539" xr:uid="{00000000-0005-0000-0000-00001B020000}"/>
    <cellStyle name="Millares 45 3 2 2 2 2" xfId="1139" xr:uid="{00000000-0005-0000-0000-000073040000}"/>
    <cellStyle name="Millares 45 3 2 2 3" xfId="1140" xr:uid="{00000000-0005-0000-0000-000074040000}"/>
    <cellStyle name="Millares 45 3 2 2 4" xfId="1141" xr:uid="{00000000-0005-0000-0000-000075040000}"/>
    <cellStyle name="Millares 45 3 2 2 5" xfId="1142" xr:uid="{00000000-0005-0000-0000-000076040000}"/>
    <cellStyle name="Millares 45 3 2 2 6" xfId="1939" xr:uid="{00000000-0005-0000-0000-000093070000}"/>
    <cellStyle name="Millares 45 3 2 3" xfId="540" xr:uid="{00000000-0005-0000-0000-00001C020000}"/>
    <cellStyle name="Millares 45 3 2 3 2" xfId="1143" xr:uid="{00000000-0005-0000-0000-000077040000}"/>
    <cellStyle name="Millares 45 3 2 3 3" xfId="1144" xr:uid="{00000000-0005-0000-0000-000078040000}"/>
    <cellStyle name="Millares 45 3 2 3 4" xfId="1145" xr:uid="{00000000-0005-0000-0000-000079040000}"/>
    <cellStyle name="Millares 45 3 2 4" xfId="1146" xr:uid="{00000000-0005-0000-0000-00007A040000}"/>
    <cellStyle name="Millares 45 3 2 5" xfId="1147" xr:uid="{00000000-0005-0000-0000-00007B040000}"/>
    <cellStyle name="Millares 45 3 2 6" xfId="1148" xr:uid="{00000000-0005-0000-0000-00007C040000}"/>
    <cellStyle name="Millares 45 3 2 7" xfId="1149" xr:uid="{00000000-0005-0000-0000-00007D040000}"/>
    <cellStyle name="Millares 45 3 2 8" xfId="1940" xr:uid="{00000000-0005-0000-0000-000094070000}"/>
    <cellStyle name="Millares 45 3 3" xfId="173" xr:uid="{00000000-0005-0000-0000-0000AD000000}"/>
    <cellStyle name="Millares 45 3 3 2" xfId="541" xr:uid="{00000000-0005-0000-0000-00001D020000}"/>
    <cellStyle name="Millares 45 3 3 3" xfId="1941" xr:uid="{00000000-0005-0000-0000-000095070000}"/>
    <cellStyle name="Millares 45 3 4" xfId="542" xr:uid="{00000000-0005-0000-0000-00001E020000}"/>
    <cellStyle name="Millares 45 3 5" xfId="831" xr:uid="{00000000-0005-0000-0000-00003F030000}"/>
    <cellStyle name="Millares 45 3 6" xfId="1942" xr:uid="{00000000-0005-0000-0000-000096070000}"/>
    <cellStyle name="Millares 45 4" xfId="2307" xr:uid="{00000000-0005-0000-0000-000003090000}"/>
    <cellStyle name="Millares 46" xfId="174" xr:uid="{00000000-0005-0000-0000-0000AE000000}"/>
    <cellStyle name="Millares 46 2" xfId="175" xr:uid="{00000000-0005-0000-0000-0000AF000000}"/>
    <cellStyle name="Millares 46 2 10" xfId="1150" xr:uid="{00000000-0005-0000-0000-00007E040000}"/>
    <cellStyle name="Millares 46 2 11" xfId="1943" xr:uid="{00000000-0005-0000-0000-000097070000}"/>
    <cellStyle name="Millares 46 2 2" xfId="176" xr:uid="{00000000-0005-0000-0000-0000B0000000}"/>
    <cellStyle name="Millares 46 2 2 2" xfId="177" xr:uid="{00000000-0005-0000-0000-0000B1000000}"/>
    <cellStyle name="Millares 46 2 2 2 2" xfId="178" xr:uid="{00000000-0005-0000-0000-0000B2000000}"/>
    <cellStyle name="Millares 46 2 2 2 2 2" xfId="543" xr:uid="{00000000-0005-0000-0000-00001F020000}"/>
    <cellStyle name="Millares 46 2 2 2 2 3" xfId="1151" xr:uid="{00000000-0005-0000-0000-00007F040000}"/>
    <cellStyle name="Millares 46 2 2 2 2 4" xfId="1944" xr:uid="{00000000-0005-0000-0000-000098070000}"/>
    <cellStyle name="Millares 46 2 2 2 3" xfId="544" xr:uid="{00000000-0005-0000-0000-000020020000}"/>
    <cellStyle name="Millares 46 2 2 2 3 2" xfId="1152" xr:uid="{00000000-0005-0000-0000-000080040000}"/>
    <cellStyle name="Millares 46 2 2 2 4" xfId="1153" xr:uid="{00000000-0005-0000-0000-000081040000}"/>
    <cellStyle name="Millares 46 2 2 2 5" xfId="1154" xr:uid="{00000000-0005-0000-0000-000082040000}"/>
    <cellStyle name="Millares 46 2 2 2 6" xfId="1945" xr:uid="{00000000-0005-0000-0000-000099070000}"/>
    <cellStyle name="Millares 46 2 2 3" xfId="179" xr:uid="{00000000-0005-0000-0000-0000B3000000}"/>
    <cellStyle name="Millares 46 2 2 3 2" xfId="545" xr:uid="{00000000-0005-0000-0000-000021020000}"/>
    <cellStyle name="Millares 46 2 2 3 2 2" xfId="1155" xr:uid="{00000000-0005-0000-0000-000083040000}"/>
    <cellStyle name="Millares 46 2 2 3 3" xfId="1156" xr:uid="{00000000-0005-0000-0000-000084040000}"/>
    <cellStyle name="Millares 46 2 2 3 4" xfId="1157" xr:uid="{00000000-0005-0000-0000-000085040000}"/>
    <cellStyle name="Millares 46 2 2 3 5" xfId="1946" xr:uid="{00000000-0005-0000-0000-00009A070000}"/>
    <cellStyle name="Millares 46 2 2 4" xfId="546" xr:uid="{00000000-0005-0000-0000-000022020000}"/>
    <cellStyle name="Millares 46 2 2 4 2" xfId="1158" xr:uid="{00000000-0005-0000-0000-000086040000}"/>
    <cellStyle name="Millares 46 2 2 5" xfId="832" xr:uid="{00000000-0005-0000-0000-000040030000}"/>
    <cellStyle name="Millares 46 2 2 5 2" xfId="1159" xr:uid="{00000000-0005-0000-0000-000087040000}"/>
    <cellStyle name="Millares 46 2 2 6" xfId="1160" xr:uid="{00000000-0005-0000-0000-000088040000}"/>
    <cellStyle name="Millares 46 2 2 7" xfId="1161" xr:uid="{00000000-0005-0000-0000-000089040000}"/>
    <cellStyle name="Millares 46 2 2 8" xfId="1947" xr:uid="{00000000-0005-0000-0000-00009B070000}"/>
    <cellStyle name="Millares 46 2 3" xfId="180" xr:uid="{00000000-0005-0000-0000-0000B4000000}"/>
    <cellStyle name="Millares 46 2 3 2" xfId="181" xr:uid="{00000000-0005-0000-0000-0000B5000000}"/>
    <cellStyle name="Millares 46 2 3 2 2" xfId="182" xr:uid="{00000000-0005-0000-0000-0000B6000000}"/>
    <cellStyle name="Millares 46 2 3 2 2 2" xfId="547" xr:uid="{00000000-0005-0000-0000-000023020000}"/>
    <cellStyle name="Millares 46 2 3 2 2 3" xfId="1162" xr:uid="{00000000-0005-0000-0000-00008A040000}"/>
    <cellStyle name="Millares 46 2 3 2 2 4" xfId="1948" xr:uid="{00000000-0005-0000-0000-00009C070000}"/>
    <cellStyle name="Millares 46 2 3 2 3" xfId="548" xr:uid="{00000000-0005-0000-0000-000024020000}"/>
    <cellStyle name="Millares 46 2 3 2 3 2" xfId="1163" xr:uid="{00000000-0005-0000-0000-00008B040000}"/>
    <cellStyle name="Millares 46 2 3 2 4" xfId="1164" xr:uid="{00000000-0005-0000-0000-00008C040000}"/>
    <cellStyle name="Millares 46 2 3 2 5" xfId="1165" xr:uid="{00000000-0005-0000-0000-00008D040000}"/>
    <cellStyle name="Millares 46 2 3 2 6" xfId="1949" xr:uid="{00000000-0005-0000-0000-00009D070000}"/>
    <cellStyle name="Millares 46 2 3 3" xfId="183" xr:uid="{00000000-0005-0000-0000-0000B7000000}"/>
    <cellStyle name="Millares 46 2 3 3 2" xfId="549" xr:uid="{00000000-0005-0000-0000-000025020000}"/>
    <cellStyle name="Millares 46 2 3 3 3" xfId="1166" xr:uid="{00000000-0005-0000-0000-00008E040000}"/>
    <cellStyle name="Millares 46 2 3 3 4" xfId="1950" xr:uid="{00000000-0005-0000-0000-00009E070000}"/>
    <cellStyle name="Millares 46 2 3 4" xfId="550" xr:uid="{00000000-0005-0000-0000-000026020000}"/>
    <cellStyle name="Millares 46 2 3 4 2" xfId="1167" xr:uid="{00000000-0005-0000-0000-00008F040000}"/>
    <cellStyle name="Millares 46 2 3 5" xfId="833" xr:uid="{00000000-0005-0000-0000-000041030000}"/>
    <cellStyle name="Millares 46 2 3 5 2" xfId="1168" xr:uid="{00000000-0005-0000-0000-000090040000}"/>
    <cellStyle name="Millares 46 2 3 6" xfId="1169" xr:uid="{00000000-0005-0000-0000-000091040000}"/>
    <cellStyle name="Millares 46 2 3 7" xfId="1951" xr:uid="{00000000-0005-0000-0000-00009F070000}"/>
    <cellStyle name="Millares 46 2 4" xfId="184" xr:uid="{00000000-0005-0000-0000-0000B8000000}"/>
    <cellStyle name="Millares 46 2 4 2" xfId="185" xr:uid="{00000000-0005-0000-0000-0000B9000000}"/>
    <cellStyle name="Millares 46 2 4 2 2" xfId="551" xr:uid="{00000000-0005-0000-0000-000027020000}"/>
    <cellStyle name="Millares 46 2 4 2 3" xfId="1170" xr:uid="{00000000-0005-0000-0000-000092040000}"/>
    <cellStyle name="Millares 46 2 4 2 4" xfId="1952" xr:uid="{00000000-0005-0000-0000-0000A0070000}"/>
    <cellStyle name="Millares 46 2 4 3" xfId="552" xr:uid="{00000000-0005-0000-0000-000028020000}"/>
    <cellStyle name="Millares 46 2 4 3 2" xfId="1171" xr:uid="{00000000-0005-0000-0000-000093040000}"/>
    <cellStyle name="Millares 46 2 4 4" xfId="1172" xr:uid="{00000000-0005-0000-0000-000094040000}"/>
    <cellStyle name="Millares 46 2 4 5" xfId="1173" xr:uid="{00000000-0005-0000-0000-000095040000}"/>
    <cellStyle name="Millares 46 2 4 6" xfId="1953" xr:uid="{00000000-0005-0000-0000-0000A1070000}"/>
    <cellStyle name="Millares 46 2 5" xfId="186" xr:uid="{00000000-0005-0000-0000-0000BA000000}"/>
    <cellStyle name="Millares 46 2 5 2" xfId="553" xr:uid="{00000000-0005-0000-0000-000029020000}"/>
    <cellStyle name="Millares 46 2 5 2 2" xfId="1174" xr:uid="{00000000-0005-0000-0000-000096040000}"/>
    <cellStyle name="Millares 46 2 5 3" xfId="1175" xr:uid="{00000000-0005-0000-0000-000097040000}"/>
    <cellStyle name="Millares 46 2 5 4" xfId="1176" xr:uid="{00000000-0005-0000-0000-000098040000}"/>
    <cellStyle name="Millares 46 2 5 5" xfId="1954" xr:uid="{00000000-0005-0000-0000-0000A2070000}"/>
    <cellStyle name="Millares 46 2 6" xfId="554" xr:uid="{00000000-0005-0000-0000-00002A020000}"/>
    <cellStyle name="Millares 46 2 6 2" xfId="1177" xr:uid="{00000000-0005-0000-0000-000099040000}"/>
    <cellStyle name="Millares 46 2 7" xfId="834" xr:uid="{00000000-0005-0000-0000-000042030000}"/>
    <cellStyle name="Millares 46 2 7 2" xfId="1178" xr:uid="{00000000-0005-0000-0000-00009A040000}"/>
    <cellStyle name="Millares 46 2 8" xfId="1179" xr:uid="{00000000-0005-0000-0000-00009B040000}"/>
    <cellStyle name="Millares 46 2 9" xfId="1180" xr:uid="{00000000-0005-0000-0000-00009C040000}"/>
    <cellStyle name="Millares 46 3" xfId="187" xr:uid="{00000000-0005-0000-0000-0000BB000000}"/>
    <cellStyle name="Millares 46 3 2" xfId="188" xr:uid="{00000000-0005-0000-0000-0000BC000000}"/>
    <cellStyle name="Millares 46 3 2 2" xfId="189" xr:uid="{00000000-0005-0000-0000-0000BD000000}"/>
    <cellStyle name="Millares 46 3 2 2 2" xfId="555" xr:uid="{00000000-0005-0000-0000-00002B020000}"/>
    <cellStyle name="Millares 46 3 2 2 2 2" xfId="1181" xr:uid="{00000000-0005-0000-0000-00009D040000}"/>
    <cellStyle name="Millares 46 3 2 2 3" xfId="1182" xr:uid="{00000000-0005-0000-0000-00009E040000}"/>
    <cellStyle name="Millares 46 3 2 2 4" xfId="1183" xr:uid="{00000000-0005-0000-0000-00009F040000}"/>
    <cellStyle name="Millares 46 3 2 2 5" xfId="1184" xr:uid="{00000000-0005-0000-0000-0000A0040000}"/>
    <cellStyle name="Millares 46 3 2 2 6" xfId="1955" xr:uid="{00000000-0005-0000-0000-0000A3070000}"/>
    <cellStyle name="Millares 46 3 2 3" xfId="556" xr:uid="{00000000-0005-0000-0000-00002C020000}"/>
    <cellStyle name="Millares 46 3 2 3 2" xfId="1185" xr:uid="{00000000-0005-0000-0000-0000A1040000}"/>
    <cellStyle name="Millares 46 3 2 3 3" xfId="1186" xr:uid="{00000000-0005-0000-0000-0000A2040000}"/>
    <cellStyle name="Millares 46 3 2 3 4" xfId="1187" xr:uid="{00000000-0005-0000-0000-0000A3040000}"/>
    <cellStyle name="Millares 46 3 2 4" xfId="1188" xr:uid="{00000000-0005-0000-0000-0000A4040000}"/>
    <cellStyle name="Millares 46 3 2 5" xfId="1189" xr:uid="{00000000-0005-0000-0000-0000A5040000}"/>
    <cellStyle name="Millares 46 3 2 6" xfId="1190" xr:uid="{00000000-0005-0000-0000-0000A6040000}"/>
    <cellStyle name="Millares 46 3 2 7" xfId="1191" xr:uid="{00000000-0005-0000-0000-0000A7040000}"/>
    <cellStyle name="Millares 46 3 2 8" xfId="1956" xr:uid="{00000000-0005-0000-0000-0000A4070000}"/>
    <cellStyle name="Millares 46 3 3" xfId="190" xr:uid="{00000000-0005-0000-0000-0000BE000000}"/>
    <cellStyle name="Millares 46 3 3 2" xfId="557" xr:uid="{00000000-0005-0000-0000-00002D020000}"/>
    <cellStyle name="Millares 46 3 3 3" xfId="1957" xr:uid="{00000000-0005-0000-0000-0000A5070000}"/>
    <cellStyle name="Millares 46 3 4" xfId="558" xr:uid="{00000000-0005-0000-0000-00002E020000}"/>
    <cellStyle name="Millares 46 3 5" xfId="835" xr:uid="{00000000-0005-0000-0000-000043030000}"/>
    <cellStyle name="Millares 46 3 6" xfId="1958" xr:uid="{00000000-0005-0000-0000-0000A6070000}"/>
    <cellStyle name="Millares 46 4" xfId="2308" xr:uid="{00000000-0005-0000-0000-000004090000}"/>
    <cellStyle name="Millares 47" xfId="191" xr:uid="{00000000-0005-0000-0000-0000BF000000}"/>
    <cellStyle name="Millares 47 2" xfId="192" xr:uid="{00000000-0005-0000-0000-0000C0000000}"/>
    <cellStyle name="Millares 47 2 10" xfId="1192" xr:uid="{00000000-0005-0000-0000-0000A8040000}"/>
    <cellStyle name="Millares 47 2 11" xfId="1959" xr:uid="{00000000-0005-0000-0000-0000A7070000}"/>
    <cellStyle name="Millares 47 2 2" xfId="193" xr:uid="{00000000-0005-0000-0000-0000C1000000}"/>
    <cellStyle name="Millares 47 2 2 2" xfId="194" xr:uid="{00000000-0005-0000-0000-0000C2000000}"/>
    <cellStyle name="Millares 47 2 2 2 2" xfId="195" xr:uid="{00000000-0005-0000-0000-0000C3000000}"/>
    <cellStyle name="Millares 47 2 2 2 2 2" xfId="559" xr:uid="{00000000-0005-0000-0000-00002F020000}"/>
    <cellStyle name="Millares 47 2 2 2 2 3" xfId="1193" xr:uid="{00000000-0005-0000-0000-0000A9040000}"/>
    <cellStyle name="Millares 47 2 2 2 2 4" xfId="1960" xr:uid="{00000000-0005-0000-0000-0000A8070000}"/>
    <cellStyle name="Millares 47 2 2 2 3" xfId="560" xr:uid="{00000000-0005-0000-0000-000030020000}"/>
    <cellStyle name="Millares 47 2 2 2 3 2" xfId="1194" xr:uid="{00000000-0005-0000-0000-0000AA040000}"/>
    <cellStyle name="Millares 47 2 2 2 4" xfId="1195" xr:uid="{00000000-0005-0000-0000-0000AB040000}"/>
    <cellStyle name="Millares 47 2 2 2 5" xfId="1196" xr:uid="{00000000-0005-0000-0000-0000AC040000}"/>
    <cellStyle name="Millares 47 2 2 2 6" xfId="1961" xr:uid="{00000000-0005-0000-0000-0000A9070000}"/>
    <cellStyle name="Millares 47 2 2 3" xfId="196" xr:uid="{00000000-0005-0000-0000-0000C4000000}"/>
    <cellStyle name="Millares 47 2 2 3 2" xfId="561" xr:uid="{00000000-0005-0000-0000-000031020000}"/>
    <cellStyle name="Millares 47 2 2 3 2 2" xfId="1197" xr:uid="{00000000-0005-0000-0000-0000AD040000}"/>
    <cellStyle name="Millares 47 2 2 3 3" xfId="1198" xr:uid="{00000000-0005-0000-0000-0000AE040000}"/>
    <cellStyle name="Millares 47 2 2 3 4" xfId="1199" xr:uid="{00000000-0005-0000-0000-0000AF040000}"/>
    <cellStyle name="Millares 47 2 2 3 5" xfId="1962" xr:uid="{00000000-0005-0000-0000-0000AA070000}"/>
    <cellStyle name="Millares 47 2 2 4" xfId="562" xr:uid="{00000000-0005-0000-0000-000032020000}"/>
    <cellStyle name="Millares 47 2 2 4 2" xfId="1200" xr:uid="{00000000-0005-0000-0000-0000B0040000}"/>
    <cellStyle name="Millares 47 2 2 5" xfId="836" xr:uid="{00000000-0005-0000-0000-000044030000}"/>
    <cellStyle name="Millares 47 2 2 5 2" xfId="1201" xr:uid="{00000000-0005-0000-0000-0000B1040000}"/>
    <cellStyle name="Millares 47 2 2 6" xfId="1202" xr:uid="{00000000-0005-0000-0000-0000B2040000}"/>
    <cellStyle name="Millares 47 2 2 7" xfId="1203" xr:uid="{00000000-0005-0000-0000-0000B3040000}"/>
    <cellStyle name="Millares 47 2 2 8" xfId="1963" xr:uid="{00000000-0005-0000-0000-0000AB070000}"/>
    <cellStyle name="Millares 47 2 3" xfId="197" xr:uid="{00000000-0005-0000-0000-0000C5000000}"/>
    <cellStyle name="Millares 47 2 3 2" xfId="198" xr:uid="{00000000-0005-0000-0000-0000C6000000}"/>
    <cellStyle name="Millares 47 2 3 2 2" xfId="199" xr:uid="{00000000-0005-0000-0000-0000C7000000}"/>
    <cellStyle name="Millares 47 2 3 2 2 2" xfId="563" xr:uid="{00000000-0005-0000-0000-000033020000}"/>
    <cellStyle name="Millares 47 2 3 2 2 3" xfId="1204" xr:uid="{00000000-0005-0000-0000-0000B4040000}"/>
    <cellStyle name="Millares 47 2 3 2 2 4" xfId="1964" xr:uid="{00000000-0005-0000-0000-0000AC070000}"/>
    <cellStyle name="Millares 47 2 3 2 3" xfId="564" xr:uid="{00000000-0005-0000-0000-000034020000}"/>
    <cellStyle name="Millares 47 2 3 2 3 2" xfId="1205" xr:uid="{00000000-0005-0000-0000-0000B5040000}"/>
    <cellStyle name="Millares 47 2 3 2 4" xfId="1206" xr:uid="{00000000-0005-0000-0000-0000B6040000}"/>
    <cellStyle name="Millares 47 2 3 2 5" xfId="1207" xr:uid="{00000000-0005-0000-0000-0000B7040000}"/>
    <cellStyle name="Millares 47 2 3 2 6" xfId="1965" xr:uid="{00000000-0005-0000-0000-0000AD070000}"/>
    <cellStyle name="Millares 47 2 3 3" xfId="200" xr:uid="{00000000-0005-0000-0000-0000C8000000}"/>
    <cellStyle name="Millares 47 2 3 3 2" xfId="565" xr:uid="{00000000-0005-0000-0000-000035020000}"/>
    <cellStyle name="Millares 47 2 3 3 3" xfId="1208" xr:uid="{00000000-0005-0000-0000-0000B8040000}"/>
    <cellStyle name="Millares 47 2 3 3 4" xfId="1966" xr:uid="{00000000-0005-0000-0000-0000AE070000}"/>
    <cellStyle name="Millares 47 2 3 4" xfId="566" xr:uid="{00000000-0005-0000-0000-000036020000}"/>
    <cellStyle name="Millares 47 2 3 4 2" xfId="1209" xr:uid="{00000000-0005-0000-0000-0000B9040000}"/>
    <cellStyle name="Millares 47 2 3 5" xfId="837" xr:uid="{00000000-0005-0000-0000-000045030000}"/>
    <cellStyle name="Millares 47 2 3 5 2" xfId="1210" xr:uid="{00000000-0005-0000-0000-0000BA040000}"/>
    <cellStyle name="Millares 47 2 3 6" xfId="1211" xr:uid="{00000000-0005-0000-0000-0000BB040000}"/>
    <cellStyle name="Millares 47 2 3 7" xfId="1967" xr:uid="{00000000-0005-0000-0000-0000AF070000}"/>
    <cellStyle name="Millares 47 2 4" xfId="201" xr:uid="{00000000-0005-0000-0000-0000C9000000}"/>
    <cellStyle name="Millares 47 2 4 2" xfId="202" xr:uid="{00000000-0005-0000-0000-0000CA000000}"/>
    <cellStyle name="Millares 47 2 4 2 2" xfId="567" xr:uid="{00000000-0005-0000-0000-000037020000}"/>
    <cellStyle name="Millares 47 2 4 2 3" xfId="1212" xr:uid="{00000000-0005-0000-0000-0000BC040000}"/>
    <cellStyle name="Millares 47 2 4 2 4" xfId="1968" xr:uid="{00000000-0005-0000-0000-0000B0070000}"/>
    <cellStyle name="Millares 47 2 4 3" xfId="568" xr:uid="{00000000-0005-0000-0000-000038020000}"/>
    <cellStyle name="Millares 47 2 4 3 2" xfId="1213" xr:uid="{00000000-0005-0000-0000-0000BD040000}"/>
    <cellStyle name="Millares 47 2 4 4" xfId="1214" xr:uid="{00000000-0005-0000-0000-0000BE040000}"/>
    <cellStyle name="Millares 47 2 4 5" xfId="1215" xr:uid="{00000000-0005-0000-0000-0000BF040000}"/>
    <cellStyle name="Millares 47 2 4 6" xfId="1969" xr:uid="{00000000-0005-0000-0000-0000B1070000}"/>
    <cellStyle name="Millares 47 2 5" xfId="203" xr:uid="{00000000-0005-0000-0000-0000CB000000}"/>
    <cellStyle name="Millares 47 2 5 2" xfId="569" xr:uid="{00000000-0005-0000-0000-000039020000}"/>
    <cellStyle name="Millares 47 2 5 2 2" xfId="1216" xr:uid="{00000000-0005-0000-0000-0000C0040000}"/>
    <cellStyle name="Millares 47 2 5 3" xfId="1217" xr:uid="{00000000-0005-0000-0000-0000C1040000}"/>
    <cellStyle name="Millares 47 2 5 4" xfId="1218" xr:uid="{00000000-0005-0000-0000-0000C2040000}"/>
    <cellStyle name="Millares 47 2 5 5" xfId="1970" xr:uid="{00000000-0005-0000-0000-0000B2070000}"/>
    <cellStyle name="Millares 47 2 6" xfId="570" xr:uid="{00000000-0005-0000-0000-00003A020000}"/>
    <cellStyle name="Millares 47 2 6 2" xfId="1219" xr:uid="{00000000-0005-0000-0000-0000C3040000}"/>
    <cellStyle name="Millares 47 2 7" xfId="838" xr:uid="{00000000-0005-0000-0000-000046030000}"/>
    <cellStyle name="Millares 47 2 7 2" xfId="1220" xr:uid="{00000000-0005-0000-0000-0000C4040000}"/>
    <cellStyle name="Millares 47 2 8" xfId="1221" xr:uid="{00000000-0005-0000-0000-0000C5040000}"/>
    <cellStyle name="Millares 47 2 9" xfId="1222" xr:uid="{00000000-0005-0000-0000-0000C6040000}"/>
    <cellStyle name="Millares 47 3" xfId="204" xr:uid="{00000000-0005-0000-0000-0000CC000000}"/>
    <cellStyle name="Millares 47 3 2" xfId="205" xr:uid="{00000000-0005-0000-0000-0000CD000000}"/>
    <cellStyle name="Millares 47 3 2 2" xfId="206" xr:uid="{00000000-0005-0000-0000-0000CE000000}"/>
    <cellStyle name="Millares 47 3 2 2 2" xfId="571" xr:uid="{00000000-0005-0000-0000-00003B020000}"/>
    <cellStyle name="Millares 47 3 2 2 2 2" xfId="1223" xr:uid="{00000000-0005-0000-0000-0000C7040000}"/>
    <cellStyle name="Millares 47 3 2 2 3" xfId="1224" xr:uid="{00000000-0005-0000-0000-0000C8040000}"/>
    <cellStyle name="Millares 47 3 2 2 4" xfId="1225" xr:uid="{00000000-0005-0000-0000-0000C9040000}"/>
    <cellStyle name="Millares 47 3 2 2 5" xfId="1226" xr:uid="{00000000-0005-0000-0000-0000CA040000}"/>
    <cellStyle name="Millares 47 3 2 2 6" xfId="1971" xr:uid="{00000000-0005-0000-0000-0000B3070000}"/>
    <cellStyle name="Millares 47 3 2 3" xfId="572" xr:uid="{00000000-0005-0000-0000-00003C020000}"/>
    <cellStyle name="Millares 47 3 2 3 2" xfId="1227" xr:uid="{00000000-0005-0000-0000-0000CB040000}"/>
    <cellStyle name="Millares 47 3 2 3 3" xfId="1228" xr:uid="{00000000-0005-0000-0000-0000CC040000}"/>
    <cellStyle name="Millares 47 3 2 3 4" xfId="1229" xr:uid="{00000000-0005-0000-0000-0000CD040000}"/>
    <cellStyle name="Millares 47 3 2 4" xfId="1230" xr:uid="{00000000-0005-0000-0000-0000CE040000}"/>
    <cellStyle name="Millares 47 3 2 5" xfId="1231" xr:uid="{00000000-0005-0000-0000-0000CF040000}"/>
    <cellStyle name="Millares 47 3 2 6" xfId="1232" xr:uid="{00000000-0005-0000-0000-0000D0040000}"/>
    <cellStyle name="Millares 47 3 2 7" xfId="1233" xr:uid="{00000000-0005-0000-0000-0000D1040000}"/>
    <cellStyle name="Millares 47 3 2 8" xfId="1972" xr:uid="{00000000-0005-0000-0000-0000B4070000}"/>
    <cellStyle name="Millares 47 3 3" xfId="207" xr:uid="{00000000-0005-0000-0000-0000CF000000}"/>
    <cellStyle name="Millares 47 3 3 2" xfId="573" xr:uid="{00000000-0005-0000-0000-00003D020000}"/>
    <cellStyle name="Millares 47 3 3 3" xfId="1973" xr:uid="{00000000-0005-0000-0000-0000B5070000}"/>
    <cellStyle name="Millares 47 3 4" xfId="574" xr:uid="{00000000-0005-0000-0000-00003E020000}"/>
    <cellStyle name="Millares 47 3 5" xfId="839" xr:uid="{00000000-0005-0000-0000-000047030000}"/>
    <cellStyle name="Millares 47 3 6" xfId="1974" xr:uid="{00000000-0005-0000-0000-0000B6070000}"/>
    <cellStyle name="Millares 47 4" xfId="2309" xr:uid="{00000000-0005-0000-0000-000005090000}"/>
    <cellStyle name="Millares 48" xfId="208" xr:uid="{00000000-0005-0000-0000-0000D0000000}"/>
    <cellStyle name="Millares 48 2" xfId="209" xr:uid="{00000000-0005-0000-0000-0000D1000000}"/>
    <cellStyle name="Millares 48 2 10" xfId="1234" xr:uid="{00000000-0005-0000-0000-0000D2040000}"/>
    <cellStyle name="Millares 48 2 11" xfId="1975" xr:uid="{00000000-0005-0000-0000-0000B7070000}"/>
    <cellStyle name="Millares 48 2 2" xfId="210" xr:uid="{00000000-0005-0000-0000-0000D2000000}"/>
    <cellStyle name="Millares 48 2 2 2" xfId="211" xr:uid="{00000000-0005-0000-0000-0000D3000000}"/>
    <cellStyle name="Millares 48 2 2 2 2" xfId="212" xr:uid="{00000000-0005-0000-0000-0000D4000000}"/>
    <cellStyle name="Millares 48 2 2 2 2 2" xfId="575" xr:uid="{00000000-0005-0000-0000-00003F020000}"/>
    <cellStyle name="Millares 48 2 2 2 2 3" xfId="1235" xr:uid="{00000000-0005-0000-0000-0000D3040000}"/>
    <cellStyle name="Millares 48 2 2 2 2 4" xfId="1976" xr:uid="{00000000-0005-0000-0000-0000B8070000}"/>
    <cellStyle name="Millares 48 2 2 2 3" xfId="576" xr:uid="{00000000-0005-0000-0000-000040020000}"/>
    <cellStyle name="Millares 48 2 2 2 3 2" xfId="1236" xr:uid="{00000000-0005-0000-0000-0000D4040000}"/>
    <cellStyle name="Millares 48 2 2 2 4" xfId="1237" xr:uid="{00000000-0005-0000-0000-0000D5040000}"/>
    <cellStyle name="Millares 48 2 2 2 5" xfId="1238" xr:uid="{00000000-0005-0000-0000-0000D6040000}"/>
    <cellStyle name="Millares 48 2 2 2 6" xfId="1977" xr:uid="{00000000-0005-0000-0000-0000B9070000}"/>
    <cellStyle name="Millares 48 2 2 3" xfId="213" xr:uid="{00000000-0005-0000-0000-0000D5000000}"/>
    <cellStyle name="Millares 48 2 2 3 2" xfId="577" xr:uid="{00000000-0005-0000-0000-000041020000}"/>
    <cellStyle name="Millares 48 2 2 3 2 2" xfId="1239" xr:uid="{00000000-0005-0000-0000-0000D7040000}"/>
    <cellStyle name="Millares 48 2 2 3 3" xfId="1240" xr:uid="{00000000-0005-0000-0000-0000D8040000}"/>
    <cellStyle name="Millares 48 2 2 3 4" xfId="1241" xr:uid="{00000000-0005-0000-0000-0000D9040000}"/>
    <cellStyle name="Millares 48 2 2 3 5" xfId="1978" xr:uid="{00000000-0005-0000-0000-0000BA070000}"/>
    <cellStyle name="Millares 48 2 2 4" xfId="578" xr:uid="{00000000-0005-0000-0000-000042020000}"/>
    <cellStyle name="Millares 48 2 2 4 2" xfId="1242" xr:uid="{00000000-0005-0000-0000-0000DA040000}"/>
    <cellStyle name="Millares 48 2 2 5" xfId="840" xr:uid="{00000000-0005-0000-0000-000048030000}"/>
    <cellStyle name="Millares 48 2 2 5 2" xfId="1243" xr:uid="{00000000-0005-0000-0000-0000DB040000}"/>
    <cellStyle name="Millares 48 2 2 6" xfId="1244" xr:uid="{00000000-0005-0000-0000-0000DC040000}"/>
    <cellStyle name="Millares 48 2 2 7" xfId="1245" xr:uid="{00000000-0005-0000-0000-0000DD040000}"/>
    <cellStyle name="Millares 48 2 2 8" xfId="1979" xr:uid="{00000000-0005-0000-0000-0000BB070000}"/>
    <cellStyle name="Millares 48 2 3" xfId="214" xr:uid="{00000000-0005-0000-0000-0000D6000000}"/>
    <cellStyle name="Millares 48 2 3 2" xfId="215" xr:uid="{00000000-0005-0000-0000-0000D7000000}"/>
    <cellStyle name="Millares 48 2 3 2 2" xfId="216" xr:uid="{00000000-0005-0000-0000-0000D8000000}"/>
    <cellStyle name="Millares 48 2 3 2 2 2" xfId="579" xr:uid="{00000000-0005-0000-0000-000043020000}"/>
    <cellStyle name="Millares 48 2 3 2 2 3" xfId="1246" xr:uid="{00000000-0005-0000-0000-0000DE040000}"/>
    <cellStyle name="Millares 48 2 3 2 2 4" xfId="1980" xr:uid="{00000000-0005-0000-0000-0000BC070000}"/>
    <cellStyle name="Millares 48 2 3 2 3" xfId="580" xr:uid="{00000000-0005-0000-0000-000044020000}"/>
    <cellStyle name="Millares 48 2 3 2 3 2" xfId="1247" xr:uid="{00000000-0005-0000-0000-0000DF040000}"/>
    <cellStyle name="Millares 48 2 3 2 4" xfId="1248" xr:uid="{00000000-0005-0000-0000-0000E0040000}"/>
    <cellStyle name="Millares 48 2 3 2 5" xfId="1249" xr:uid="{00000000-0005-0000-0000-0000E1040000}"/>
    <cellStyle name="Millares 48 2 3 2 6" xfId="1981" xr:uid="{00000000-0005-0000-0000-0000BD070000}"/>
    <cellStyle name="Millares 48 2 3 3" xfId="217" xr:uid="{00000000-0005-0000-0000-0000D9000000}"/>
    <cellStyle name="Millares 48 2 3 3 2" xfId="581" xr:uid="{00000000-0005-0000-0000-000045020000}"/>
    <cellStyle name="Millares 48 2 3 3 3" xfId="1250" xr:uid="{00000000-0005-0000-0000-0000E2040000}"/>
    <cellStyle name="Millares 48 2 3 3 4" xfId="1982" xr:uid="{00000000-0005-0000-0000-0000BE070000}"/>
    <cellStyle name="Millares 48 2 3 4" xfId="582" xr:uid="{00000000-0005-0000-0000-000046020000}"/>
    <cellStyle name="Millares 48 2 3 4 2" xfId="1251" xr:uid="{00000000-0005-0000-0000-0000E3040000}"/>
    <cellStyle name="Millares 48 2 3 5" xfId="841" xr:uid="{00000000-0005-0000-0000-000049030000}"/>
    <cellStyle name="Millares 48 2 3 5 2" xfId="1252" xr:uid="{00000000-0005-0000-0000-0000E4040000}"/>
    <cellStyle name="Millares 48 2 3 6" xfId="1253" xr:uid="{00000000-0005-0000-0000-0000E5040000}"/>
    <cellStyle name="Millares 48 2 3 7" xfId="1983" xr:uid="{00000000-0005-0000-0000-0000BF070000}"/>
    <cellStyle name="Millares 48 2 4" xfId="218" xr:uid="{00000000-0005-0000-0000-0000DA000000}"/>
    <cellStyle name="Millares 48 2 4 2" xfId="219" xr:uid="{00000000-0005-0000-0000-0000DB000000}"/>
    <cellStyle name="Millares 48 2 4 2 2" xfId="583" xr:uid="{00000000-0005-0000-0000-000047020000}"/>
    <cellStyle name="Millares 48 2 4 2 3" xfId="1254" xr:uid="{00000000-0005-0000-0000-0000E6040000}"/>
    <cellStyle name="Millares 48 2 4 2 4" xfId="1984" xr:uid="{00000000-0005-0000-0000-0000C0070000}"/>
    <cellStyle name="Millares 48 2 4 3" xfId="584" xr:uid="{00000000-0005-0000-0000-000048020000}"/>
    <cellStyle name="Millares 48 2 4 3 2" xfId="1255" xr:uid="{00000000-0005-0000-0000-0000E7040000}"/>
    <cellStyle name="Millares 48 2 4 4" xfId="1256" xr:uid="{00000000-0005-0000-0000-0000E8040000}"/>
    <cellStyle name="Millares 48 2 4 5" xfId="1257" xr:uid="{00000000-0005-0000-0000-0000E9040000}"/>
    <cellStyle name="Millares 48 2 4 6" xfId="1985" xr:uid="{00000000-0005-0000-0000-0000C1070000}"/>
    <cellStyle name="Millares 48 2 5" xfId="220" xr:uid="{00000000-0005-0000-0000-0000DC000000}"/>
    <cellStyle name="Millares 48 2 5 2" xfId="585" xr:uid="{00000000-0005-0000-0000-000049020000}"/>
    <cellStyle name="Millares 48 2 5 2 2" xfId="1258" xr:uid="{00000000-0005-0000-0000-0000EA040000}"/>
    <cellStyle name="Millares 48 2 5 3" xfId="1259" xr:uid="{00000000-0005-0000-0000-0000EB040000}"/>
    <cellStyle name="Millares 48 2 5 4" xfId="1260" xr:uid="{00000000-0005-0000-0000-0000EC040000}"/>
    <cellStyle name="Millares 48 2 5 5" xfId="1986" xr:uid="{00000000-0005-0000-0000-0000C2070000}"/>
    <cellStyle name="Millares 48 2 6" xfId="586" xr:uid="{00000000-0005-0000-0000-00004A020000}"/>
    <cellStyle name="Millares 48 2 6 2" xfId="1261" xr:uid="{00000000-0005-0000-0000-0000ED040000}"/>
    <cellStyle name="Millares 48 2 7" xfId="842" xr:uid="{00000000-0005-0000-0000-00004A030000}"/>
    <cellStyle name="Millares 48 2 7 2" xfId="1262" xr:uid="{00000000-0005-0000-0000-0000EE040000}"/>
    <cellStyle name="Millares 48 2 8" xfId="1263" xr:uid="{00000000-0005-0000-0000-0000EF040000}"/>
    <cellStyle name="Millares 48 2 9" xfId="1264" xr:uid="{00000000-0005-0000-0000-0000F0040000}"/>
    <cellStyle name="Millares 48 3" xfId="221" xr:uid="{00000000-0005-0000-0000-0000DD000000}"/>
    <cellStyle name="Millares 48 3 2" xfId="222" xr:uid="{00000000-0005-0000-0000-0000DE000000}"/>
    <cellStyle name="Millares 48 3 2 2" xfId="223" xr:uid="{00000000-0005-0000-0000-0000DF000000}"/>
    <cellStyle name="Millares 48 3 2 2 2" xfId="587" xr:uid="{00000000-0005-0000-0000-00004B020000}"/>
    <cellStyle name="Millares 48 3 2 2 2 2" xfId="1265" xr:uid="{00000000-0005-0000-0000-0000F1040000}"/>
    <cellStyle name="Millares 48 3 2 2 3" xfId="1266" xr:uid="{00000000-0005-0000-0000-0000F2040000}"/>
    <cellStyle name="Millares 48 3 2 2 4" xfId="1267" xr:uid="{00000000-0005-0000-0000-0000F3040000}"/>
    <cellStyle name="Millares 48 3 2 2 5" xfId="1268" xr:uid="{00000000-0005-0000-0000-0000F4040000}"/>
    <cellStyle name="Millares 48 3 2 2 6" xfId="1987" xr:uid="{00000000-0005-0000-0000-0000C3070000}"/>
    <cellStyle name="Millares 48 3 2 3" xfId="588" xr:uid="{00000000-0005-0000-0000-00004C020000}"/>
    <cellStyle name="Millares 48 3 2 3 2" xfId="1269" xr:uid="{00000000-0005-0000-0000-0000F5040000}"/>
    <cellStyle name="Millares 48 3 2 3 3" xfId="1270" xr:uid="{00000000-0005-0000-0000-0000F6040000}"/>
    <cellStyle name="Millares 48 3 2 3 4" xfId="1271" xr:uid="{00000000-0005-0000-0000-0000F7040000}"/>
    <cellStyle name="Millares 48 3 2 4" xfId="1272" xr:uid="{00000000-0005-0000-0000-0000F8040000}"/>
    <cellStyle name="Millares 48 3 2 5" xfId="1273" xr:uid="{00000000-0005-0000-0000-0000F9040000}"/>
    <cellStyle name="Millares 48 3 2 6" xfId="1274" xr:uid="{00000000-0005-0000-0000-0000FA040000}"/>
    <cellStyle name="Millares 48 3 2 7" xfId="1275" xr:uid="{00000000-0005-0000-0000-0000FB040000}"/>
    <cellStyle name="Millares 48 3 2 8" xfId="1988" xr:uid="{00000000-0005-0000-0000-0000C4070000}"/>
    <cellStyle name="Millares 48 3 3" xfId="224" xr:uid="{00000000-0005-0000-0000-0000E0000000}"/>
    <cellStyle name="Millares 48 3 3 2" xfId="589" xr:uid="{00000000-0005-0000-0000-00004D020000}"/>
    <cellStyle name="Millares 48 3 3 3" xfId="1989" xr:uid="{00000000-0005-0000-0000-0000C5070000}"/>
    <cellStyle name="Millares 48 3 4" xfId="590" xr:uid="{00000000-0005-0000-0000-00004E020000}"/>
    <cellStyle name="Millares 48 3 5" xfId="843" xr:uid="{00000000-0005-0000-0000-00004B030000}"/>
    <cellStyle name="Millares 48 3 6" xfId="1990" xr:uid="{00000000-0005-0000-0000-0000C6070000}"/>
    <cellStyle name="Millares 48 4" xfId="2310" xr:uid="{00000000-0005-0000-0000-000006090000}"/>
    <cellStyle name="Millares 49" xfId="225" xr:uid="{00000000-0005-0000-0000-0000E1000000}"/>
    <cellStyle name="Millares 49 2" xfId="226" xr:uid="{00000000-0005-0000-0000-0000E2000000}"/>
    <cellStyle name="Millares 49 2 10" xfId="1276" xr:uid="{00000000-0005-0000-0000-0000FC040000}"/>
    <cellStyle name="Millares 49 2 11" xfId="1991" xr:uid="{00000000-0005-0000-0000-0000C7070000}"/>
    <cellStyle name="Millares 49 2 2" xfId="227" xr:uid="{00000000-0005-0000-0000-0000E3000000}"/>
    <cellStyle name="Millares 49 2 2 2" xfId="228" xr:uid="{00000000-0005-0000-0000-0000E4000000}"/>
    <cellStyle name="Millares 49 2 2 2 2" xfId="229" xr:uid="{00000000-0005-0000-0000-0000E5000000}"/>
    <cellStyle name="Millares 49 2 2 2 2 2" xfId="591" xr:uid="{00000000-0005-0000-0000-00004F020000}"/>
    <cellStyle name="Millares 49 2 2 2 2 3" xfId="1277" xr:uid="{00000000-0005-0000-0000-0000FD040000}"/>
    <cellStyle name="Millares 49 2 2 2 2 4" xfId="1992" xr:uid="{00000000-0005-0000-0000-0000C8070000}"/>
    <cellStyle name="Millares 49 2 2 2 3" xfId="592" xr:uid="{00000000-0005-0000-0000-000050020000}"/>
    <cellStyle name="Millares 49 2 2 2 3 2" xfId="1278" xr:uid="{00000000-0005-0000-0000-0000FE040000}"/>
    <cellStyle name="Millares 49 2 2 2 4" xfId="1279" xr:uid="{00000000-0005-0000-0000-0000FF040000}"/>
    <cellStyle name="Millares 49 2 2 2 5" xfId="1280" xr:uid="{00000000-0005-0000-0000-000000050000}"/>
    <cellStyle name="Millares 49 2 2 2 6" xfId="1993" xr:uid="{00000000-0005-0000-0000-0000C9070000}"/>
    <cellStyle name="Millares 49 2 2 3" xfId="230" xr:uid="{00000000-0005-0000-0000-0000E6000000}"/>
    <cellStyle name="Millares 49 2 2 3 2" xfId="593" xr:uid="{00000000-0005-0000-0000-000051020000}"/>
    <cellStyle name="Millares 49 2 2 3 2 2" xfId="1281" xr:uid="{00000000-0005-0000-0000-000001050000}"/>
    <cellStyle name="Millares 49 2 2 3 3" xfId="1282" xr:uid="{00000000-0005-0000-0000-000002050000}"/>
    <cellStyle name="Millares 49 2 2 3 4" xfId="1283" xr:uid="{00000000-0005-0000-0000-000003050000}"/>
    <cellStyle name="Millares 49 2 2 3 5" xfId="1994" xr:uid="{00000000-0005-0000-0000-0000CA070000}"/>
    <cellStyle name="Millares 49 2 2 4" xfId="594" xr:uid="{00000000-0005-0000-0000-000052020000}"/>
    <cellStyle name="Millares 49 2 2 4 2" xfId="1284" xr:uid="{00000000-0005-0000-0000-000004050000}"/>
    <cellStyle name="Millares 49 2 2 5" xfId="844" xr:uid="{00000000-0005-0000-0000-00004C030000}"/>
    <cellStyle name="Millares 49 2 2 5 2" xfId="1285" xr:uid="{00000000-0005-0000-0000-000005050000}"/>
    <cellStyle name="Millares 49 2 2 6" xfId="1286" xr:uid="{00000000-0005-0000-0000-000006050000}"/>
    <cellStyle name="Millares 49 2 2 7" xfId="1287" xr:uid="{00000000-0005-0000-0000-000007050000}"/>
    <cellStyle name="Millares 49 2 2 8" xfId="1995" xr:uid="{00000000-0005-0000-0000-0000CB070000}"/>
    <cellStyle name="Millares 49 2 3" xfId="231" xr:uid="{00000000-0005-0000-0000-0000E7000000}"/>
    <cellStyle name="Millares 49 2 3 2" xfId="232" xr:uid="{00000000-0005-0000-0000-0000E8000000}"/>
    <cellStyle name="Millares 49 2 3 2 2" xfId="233" xr:uid="{00000000-0005-0000-0000-0000E9000000}"/>
    <cellStyle name="Millares 49 2 3 2 2 2" xfId="595" xr:uid="{00000000-0005-0000-0000-000053020000}"/>
    <cellStyle name="Millares 49 2 3 2 2 3" xfId="1288" xr:uid="{00000000-0005-0000-0000-000008050000}"/>
    <cellStyle name="Millares 49 2 3 2 2 4" xfId="1996" xr:uid="{00000000-0005-0000-0000-0000CC070000}"/>
    <cellStyle name="Millares 49 2 3 2 3" xfId="596" xr:uid="{00000000-0005-0000-0000-000054020000}"/>
    <cellStyle name="Millares 49 2 3 2 3 2" xfId="1289" xr:uid="{00000000-0005-0000-0000-000009050000}"/>
    <cellStyle name="Millares 49 2 3 2 4" xfId="1290" xr:uid="{00000000-0005-0000-0000-00000A050000}"/>
    <cellStyle name="Millares 49 2 3 2 5" xfId="1291" xr:uid="{00000000-0005-0000-0000-00000B050000}"/>
    <cellStyle name="Millares 49 2 3 2 6" xfId="1997" xr:uid="{00000000-0005-0000-0000-0000CD070000}"/>
    <cellStyle name="Millares 49 2 3 3" xfId="234" xr:uid="{00000000-0005-0000-0000-0000EA000000}"/>
    <cellStyle name="Millares 49 2 3 3 2" xfId="597" xr:uid="{00000000-0005-0000-0000-000055020000}"/>
    <cellStyle name="Millares 49 2 3 3 3" xfId="1292" xr:uid="{00000000-0005-0000-0000-00000C050000}"/>
    <cellStyle name="Millares 49 2 3 3 4" xfId="1998" xr:uid="{00000000-0005-0000-0000-0000CE070000}"/>
    <cellStyle name="Millares 49 2 3 4" xfId="598" xr:uid="{00000000-0005-0000-0000-000056020000}"/>
    <cellStyle name="Millares 49 2 3 4 2" xfId="1293" xr:uid="{00000000-0005-0000-0000-00000D050000}"/>
    <cellStyle name="Millares 49 2 3 5" xfId="845" xr:uid="{00000000-0005-0000-0000-00004D030000}"/>
    <cellStyle name="Millares 49 2 3 5 2" xfId="1294" xr:uid="{00000000-0005-0000-0000-00000E050000}"/>
    <cellStyle name="Millares 49 2 3 6" xfId="1295" xr:uid="{00000000-0005-0000-0000-00000F050000}"/>
    <cellStyle name="Millares 49 2 3 7" xfId="1999" xr:uid="{00000000-0005-0000-0000-0000CF070000}"/>
    <cellStyle name="Millares 49 2 4" xfId="235" xr:uid="{00000000-0005-0000-0000-0000EB000000}"/>
    <cellStyle name="Millares 49 2 4 2" xfId="236" xr:uid="{00000000-0005-0000-0000-0000EC000000}"/>
    <cellStyle name="Millares 49 2 4 2 2" xfId="599" xr:uid="{00000000-0005-0000-0000-000057020000}"/>
    <cellStyle name="Millares 49 2 4 2 3" xfId="1296" xr:uid="{00000000-0005-0000-0000-000010050000}"/>
    <cellStyle name="Millares 49 2 4 2 4" xfId="2000" xr:uid="{00000000-0005-0000-0000-0000D0070000}"/>
    <cellStyle name="Millares 49 2 4 3" xfId="600" xr:uid="{00000000-0005-0000-0000-000058020000}"/>
    <cellStyle name="Millares 49 2 4 3 2" xfId="1297" xr:uid="{00000000-0005-0000-0000-000011050000}"/>
    <cellStyle name="Millares 49 2 4 4" xfId="1298" xr:uid="{00000000-0005-0000-0000-000012050000}"/>
    <cellStyle name="Millares 49 2 4 5" xfId="1299" xr:uid="{00000000-0005-0000-0000-000013050000}"/>
    <cellStyle name="Millares 49 2 4 6" xfId="2001" xr:uid="{00000000-0005-0000-0000-0000D1070000}"/>
    <cellStyle name="Millares 49 2 5" xfId="237" xr:uid="{00000000-0005-0000-0000-0000ED000000}"/>
    <cellStyle name="Millares 49 2 5 2" xfId="601" xr:uid="{00000000-0005-0000-0000-000059020000}"/>
    <cellStyle name="Millares 49 2 5 2 2" xfId="1300" xr:uid="{00000000-0005-0000-0000-000014050000}"/>
    <cellStyle name="Millares 49 2 5 3" xfId="1301" xr:uid="{00000000-0005-0000-0000-000015050000}"/>
    <cellStyle name="Millares 49 2 5 4" xfId="1302" xr:uid="{00000000-0005-0000-0000-000016050000}"/>
    <cellStyle name="Millares 49 2 5 5" xfId="2002" xr:uid="{00000000-0005-0000-0000-0000D2070000}"/>
    <cellStyle name="Millares 49 2 6" xfId="602" xr:uid="{00000000-0005-0000-0000-00005A020000}"/>
    <cellStyle name="Millares 49 2 6 2" xfId="1303" xr:uid="{00000000-0005-0000-0000-000017050000}"/>
    <cellStyle name="Millares 49 2 7" xfId="846" xr:uid="{00000000-0005-0000-0000-00004E030000}"/>
    <cellStyle name="Millares 49 2 7 2" xfId="1304" xr:uid="{00000000-0005-0000-0000-000018050000}"/>
    <cellStyle name="Millares 49 2 8" xfId="1305" xr:uid="{00000000-0005-0000-0000-000019050000}"/>
    <cellStyle name="Millares 49 2 9" xfId="1306" xr:uid="{00000000-0005-0000-0000-00001A050000}"/>
    <cellStyle name="Millares 49 3" xfId="238" xr:uid="{00000000-0005-0000-0000-0000EE000000}"/>
    <cellStyle name="Millares 49 3 2" xfId="239" xr:uid="{00000000-0005-0000-0000-0000EF000000}"/>
    <cellStyle name="Millares 49 3 2 2" xfId="240" xr:uid="{00000000-0005-0000-0000-0000F0000000}"/>
    <cellStyle name="Millares 49 3 2 2 2" xfId="603" xr:uid="{00000000-0005-0000-0000-00005B020000}"/>
    <cellStyle name="Millares 49 3 2 2 2 2" xfId="1307" xr:uid="{00000000-0005-0000-0000-00001B050000}"/>
    <cellStyle name="Millares 49 3 2 2 3" xfId="1308" xr:uid="{00000000-0005-0000-0000-00001C050000}"/>
    <cellStyle name="Millares 49 3 2 2 4" xfId="1309" xr:uid="{00000000-0005-0000-0000-00001D050000}"/>
    <cellStyle name="Millares 49 3 2 2 5" xfId="1310" xr:uid="{00000000-0005-0000-0000-00001E050000}"/>
    <cellStyle name="Millares 49 3 2 2 6" xfId="2003" xr:uid="{00000000-0005-0000-0000-0000D3070000}"/>
    <cellStyle name="Millares 49 3 2 3" xfId="604" xr:uid="{00000000-0005-0000-0000-00005C020000}"/>
    <cellStyle name="Millares 49 3 2 3 2" xfId="1311" xr:uid="{00000000-0005-0000-0000-00001F050000}"/>
    <cellStyle name="Millares 49 3 2 3 3" xfId="1312" xr:uid="{00000000-0005-0000-0000-000020050000}"/>
    <cellStyle name="Millares 49 3 2 3 4" xfId="1313" xr:uid="{00000000-0005-0000-0000-000021050000}"/>
    <cellStyle name="Millares 49 3 2 4" xfId="1314" xr:uid="{00000000-0005-0000-0000-000022050000}"/>
    <cellStyle name="Millares 49 3 2 5" xfId="1315" xr:uid="{00000000-0005-0000-0000-000023050000}"/>
    <cellStyle name="Millares 49 3 2 6" xfId="1316" xr:uid="{00000000-0005-0000-0000-000024050000}"/>
    <cellStyle name="Millares 49 3 2 7" xfId="1317" xr:uid="{00000000-0005-0000-0000-000025050000}"/>
    <cellStyle name="Millares 49 3 2 8" xfId="2004" xr:uid="{00000000-0005-0000-0000-0000D4070000}"/>
    <cellStyle name="Millares 49 3 3" xfId="241" xr:uid="{00000000-0005-0000-0000-0000F1000000}"/>
    <cellStyle name="Millares 49 3 3 2" xfId="605" xr:uid="{00000000-0005-0000-0000-00005D020000}"/>
    <cellStyle name="Millares 49 3 3 3" xfId="2005" xr:uid="{00000000-0005-0000-0000-0000D5070000}"/>
    <cellStyle name="Millares 49 3 4" xfId="606" xr:uid="{00000000-0005-0000-0000-00005E020000}"/>
    <cellStyle name="Millares 49 3 5" xfId="847" xr:uid="{00000000-0005-0000-0000-00004F030000}"/>
    <cellStyle name="Millares 49 3 6" xfId="2006" xr:uid="{00000000-0005-0000-0000-0000D6070000}"/>
    <cellStyle name="Millares 49 4" xfId="2311" xr:uid="{00000000-0005-0000-0000-000007090000}"/>
    <cellStyle name="Millares 5" xfId="242" xr:uid="{00000000-0005-0000-0000-0000F2000000}"/>
    <cellStyle name="Millares 50" xfId="243" xr:uid="{00000000-0005-0000-0000-0000F3000000}"/>
    <cellStyle name="Millares 50 2" xfId="244" xr:uid="{00000000-0005-0000-0000-0000F4000000}"/>
    <cellStyle name="Millares 50 2 10" xfId="1318" xr:uid="{00000000-0005-0000-0000-000026050000}"/>
    <cellStyle name="Millares 50 2 11" xfId="2007" xr:uid="{00000000-0005-0000-0000-0000D7070000}"/>
    <cellStyle name="Millares 50 2 2" xfId="245" xr:uid="{00000000-0005-0000-0000-0000F5000000}"/>
    <cellStyle name="Millares 50 2 2 2" xfId="246" xr:uid="{00000000-0005-0000-0000-0000F6000000}"/>
    <cellStyle name="Millares 50 2 2 2 2" xfId="247" xr:uid="{00000000-0005-0000-0000-0000F7000000}"/>
    <cellStyle name="Millares 50 2 2 2 2 2" xfId="607" xr:uid="{00000000-0005-0000-0000-00005F020000}"/>
    <cellStyle name="Millares 50 2 2 2 2 3" xfId="1319" xr:uid="{00000000-0005-0000-0000-000027050000}"/>
    <cellStyle name="Millares 50 2 2 2 2 4" xfId="2008" xr:uid="{00000000-0005-0000-0000-0000D8070000}"/>
    <cellStyle name="Millares 50 2 2 2 3" xfId="608" xr:uid="{00000000-0005-0000-0000-000060020000}"/>
    <cellStyle name="Millares 50 2 2 2 3 2" xfId="1320" xr:uid="{00000000-0005-0000-0000-000028050000}"/>
    <cellStyle name="Millares 50 2 2 2 4" xfId="1321" xr:uid="{00000000-0005-0000-0000-000029050000}"/>
    <cellStyle name="Millares 50 2 2 2 5" xfId="1322" xr:uid="{00000000-0005-0000-0000-00002A050000}"/>
    <cellStyle name="Millares 50 2 2 2 6" xfId="2009" xr:uid="{00000000-0005-0000-0000-0000D9070000}"/>
    <cellStyle name="Millares 50 2 2 3" xfId="248" xr:uid="{00000000-0005-0000-0000-0000F8000000}"/>
    <cellStyle name="Millares 50 2 2 3 2" xfId="609" xr:uid="{00000000-0005-0000-0000-000061020000}"/>
    <cellStyle name="Millares 50 2 2 3 2 2" xfId="1323" xr:uid="{00000000-0005-0000-0000-00002B050000}"/>
    <cellStyle name="Millares 50 2 2 3 3" xfId="1324" xr:uid="{00000000-0005-0000-0000-00002C050000}"/>
    <cellStyle name="Millares 50 2 2 3 4" xfId="1325" xr:uid="{00000000-0005-0000-0000-00002D050000}"/>
    <cellStyle name="Millares 50 2 2 3 5" xfId="2010" xr:uid="{00000000-0005-0000-0000-0000DA070000}"/>
    <cellStyle name="Millares 50 2 2 4" xfId="610" xr:uid="{00000000-0005-0000-0000-000062020000}"/>
    <cellStyle name="Millares 50 2 2 4 2" xfId="1326" xr:uid="{00000000-0005-0000-0000-00002E050000}"/>
    <cellStyle name="Millares 50 2 2 5" xfId="848" xr:uid="{00000000-0005-0000-0000-000050030000}"/>
    <cellStyle name="Millares 50 2 2 5 2" xfId="1327" xr:uid="{00000000-0005-0000-0000-00002F050000}"/>
    <cellStyle name="Millares 50 2 2 6" xfId="1328" xr:uid="{00000000-0005-0000-0000-000030050000}"/>
    <cellStyle name="Millares 50 2 2 7" xfId="1329" xr:uid="{00000000-0005-0000-0000-000031050000}"/>
    <cellStyle name="Millares 50 2 2 8" xfId="2011" xr:uid="{00000000-0005-0000-0000-0000DB070000}"/>
    <cellStyle name="Millares 50 2 3" xfId="249" xr:uid="{00000000-0005-0000-0000-0000F9000000}"/>
    <cellStyle name="Millares 50 2 3 2" xfId="250" xr:uid="{00000000-0005-0000-0000-0000FA000000}"/>
    <cellStyle name="Millares 50 2 3 2 2" xfId="251" xr:uid="{00000000-0005-0000-0000-0000FB000000}"/>
    <cellStyle name="Millares 50 2 3 2 2 2" xfId="611" xr:uid="{00000000-0005-0000-0000-000063020000}"/>
    <cellStyle name="Millares 50 2 3 2 2 3" xfId="1330" xr:uid="{00000000-0005-0000-0000-000032050000}"/>
    <cellStyle name="Millares 50 2 3 2 2 4" xfId="2012" xr:uid="{00000000-0005-0000-0000-0000DC070000}"/>
    <cellStyle name="Millares 50 2 3 2 3" xfId="612" xr:uid="{00000000-0005-0000-0000-000064020000}"/>
    <cellStyle name="Millares 50 2 3 2 3 2" xfId="1331" xr:uid="{00000000-0005-0000-0000-000033050000}"/>
    <cellStyle name="Millares 50 2 3 2 4" xfId="1332" xr:uid="{00000000-0005-0000-0000-000034050000}"/>
    <cellStyle name="Millares 50 2 3 2 5" xfId="1333" xr:uid="{00000000-0005-0000-0000-000035050000}"/>
    <cellStyle name="Millares 50 2 3 2 6" xfId="2013" xr:uid="{00000000-0005-0000-0000-0000DD070000}"/>
    <cellStyle name="Millares 50 2 3 3" xfId="252" xr:uid="{00000000-0005-0000-0000-0000FC000000}"/>
    <cellStyle name="Millares 50 2 3 3 2" xfId="613" xr:uid="{00000000-0005-0000-0000-000065020000}"/>
    <cellStyle name="Millares 50 2 3 3 3" xfId="1334" xr:uid="{00000000-0005-0000-0000-000036050000}"/>
    <cellStyle name="Millares 50 2 3 3 4" xfId="2014" xr:uid="{00000000-0005-0000-0000-0000DE070000}"/>
    <cellStyle name="Millares 50 2 3 4" xfId="614" xr:uid="{00000000-0005-0000-0000-000066020000}"/>
    <cellStyle name="Millares 50 2 3 4 2" xfId="1335" xr:uid="{00000000-0005-0000-0000-000037050000}"/>
    <cellStyle name="Millares 50 2 3 5" xfId="849" xr:uid="{00000000-0005-0000-0000-000051030000}"/>
    <cellStyle name="Millares 50 2 3 5 2" xfId="1336" xr:uid="{00000000-0005-0000-0000-000038050000}"/>
    <cellStyle name="Millares 50 2 3 6" xfId="1337" xr:uid="{00000000-0005-0000-0000-000039050000}"/>
    <cellStyle name="Millares 50 2 3 7" xfId="2015" xr:uid="{00000000-0005-0000-0000-0000DF070000}"/>
    <cellStyle name="Millares 50 2 4" xfId="253" xr:uid="{00000000-0005-0000-0000-0000FD000000}"/>
    <cellStyle name="Millares 50 2 4 2" xfId="254" xr:uid="{00000000-0005-0000-0000-0000FE000000}"/>
    <cellStyle name="Millares 50 2 4 2 2" xfId="615" xr:uid="{00000000-0005-0000-0000-000067020000}"/>
    <cellStyle name="Millares 50 2 4 2 3" xfId="1338" xr:uid="{00000000-0005-0000-0000-00003A050000}"/>
    <cellStyle name="Millares 50 2 4 2 4" xfId="2016" xr:uid="{00000000-0005-0000-0000-0000E0070000}"/>
    <cellStyle name="Millares 50 2 4 3" xfId="616" xr:uid="{00000000-0005-0000-0000-000068020000}"/>
    <cellStyle name="Millares 50 2 4 3 2" xfId="1339" xr:uid="{00000000-0005-0000-0000-00003B050000}"/>
    <cellStyle name="Millares 50 2 4 4" xfId="1340" xr:uid="{00000000-0005-0000-0000-00003C050000}"/>
    <cellStyle name="Millares 50 2 4 5" xfId="1341" xr:uid="{00000000-0005-0000-0000-00003D050000}"/>
    <cellStyle name="Millares 50 2 4 6" xfId="2017" xr:uid="{00000000-0005-0000-0000-0000E1070000}"/>
    <cellStyle name="Millares 50 2 5" xfId="255" xr:uid="{00000000-0005-0000-0000-0000FF000000}"/>
    <cellStyle name="Millares 50 2 5 2" xfId="617" xr:uid="{00000000-0005-0000-0000-000069020000}"/>
    <cellStyle name="Millares 50 2 5 2 2" xfId="1342" xr:uid="{00000000-0005-0000-0000-00003E050000}"/>
    <cellStyle name="Millares 50 2 5 3" xfId="1343" xr:uid="{00000000-0005-0000-0000-00003F050000}"/>
    <cellStyle name="Millares 50 2 5 4" xfId="1344" xr:uid="{00000000-0005-0000-0000-000040050000}"/>
    <cellStyle name="Millares 50 2 5 5" xfId="2018" xr:uid="{00000000-0005-0000-0000-0000E2070000}"/>
    <cellStyle name="Millares 50 2 6" xfId="618" xr:uid="{00000000-0005-0000-0000-00006A020000}"/>
    <cellStyle name="Millares 50 2 6 2" xfId="1345" xr:uid="{00000000-0005-0000-0000-000041050000}"/>
    <cellStyle name="Millares 50 2 7" xfId="850" xr:uid="{00000000-0005-0000-0000-000052030000}"/>
    <cellStyle name="Millares 50 2 7 2" xfId="1346" xr:uid="{00000000-0005-0000-0000-000042050000}"/>
    <cellStyle name="Millares 50 2 8" xfId="1347" xr:uid="{00000000-0005-0000-0000-000043050000}"/>
    <cellStyle name="Millares 50 2 9" xfId="1348" xr:uid="{00000000-0005-0000-0000-000044050000}"/>
    <cellStyle name="Millares 50 3" xfId="256" xr:uid="{00000000-0005-0000-0000-000000010000}"/>
    <cellStyle name="Millares 50 3 2" xfId="257" xr:uid="{00000000-0005-0000-0000-000001010000}"/>
    <cellStyle name="Millares 50 3 2 2" xfId="258" xr:uid="{00000000-0005-0000-0000-000002010000}"/>
    <cellStyle name="Millares 50 3 2 2 2" xfId="619" xr:uid="{00000000-0005-0000-0000-00006B020000}"/>
    <cellStyle name="Millares 50 3 2 2 2 2" xfId="1349" xr:uid="{00000000-0005-0000-0000-000045050000}"/>
    <cellStyle name="Millares 50 3 2 2 3" xfId="1350" xr:uid="{00000000-0005-0000-0000-000046050000}"/>
    <cellStyle name="Millares 50 3 2 2 4" xfId="1351" xr:uid="{00000000-0005-0000-0000-000047050000}"/>
    <cellStyle name="Millares 50 3 2 2 5" xfId="1352" xr:uid="{00000000-0005-0000-0000-000048050000}"/>
    <cellStyle name="Millares 50 3 2 2 6" xfId="2019" xr:uid="{00000000-0005-0000-0000-0000E3070000}"/>
    <cellStyle name="Millares 50 3 2 3" xfId="620" xr:uid="{00000000-0005-0000-0000-00006C020000}"/>
    <cellStyle name="Millares 50 3 2 3 2" xfId="1353" xr:uid="{00000000-0005-0000-0000-000049050000}"/>
    <cellStyle name="Millares 50 3 2 3 3" xfId="1354" xr:uid="{00000000-0005-0000-0000-00004A050000}"/>
    <cellStyle name="Millares 50 3 2 3 4" xfId="1355" xr:uid="{00000000-0005-0000-0000-00004B050000}"/>
    <cellStyle name="Millares 50 3 2 4" xfId="1356" xr:uid="{00000000-0005-0000-0000-00004C050000}"/>
    <cellStyle name="Millares 50 3 2 5" xfId="1357" xr:uid="{00000000-0005-0000-0000-00004D050000}"/>
    <cellStyle name="Millares 50 3 2 6" xfId="1358" xr:uid="{00000000-0005-0000-0000-00004E050000}"/>
    <cellStyle name="Millares 50 3 2 7" xfId="1359" xr:uid="{00000000-0005-0000-0000-00004F050000}"/>
    <cellStyle name="Millares 50 3 2 8" xfId="2020" xr:uid="{00000000-0005-0000-0000-0000E4070000}"/>
    <cellStyle name="Millares 50 3 3" xfId="259" xr:uid="{00000000-0005-0000-0000-000003010000}"/>
    <cellStyle name="Millares 50 3 3 2" xfId="621" xr:uid="{00000000-0005-0000-0000-00006D020000}"/>
    <cellStyle name="Millares 50 3 3 3" xfId="2021" xr:uid="{00000000-0005-0000-0000-0000E5070000}"/>
    <cellStyle name="Millares 50 3 4" xfId="622" xr:uid="{00000000-0005-0000-0000-00006E020000}"/>
    <cellStyle name="Millares 50 3 5" xfId="851" xr:uid="{00000000-0005-0000-0000-000053030000}"/>
    <cellStyle name="Millares 50 3 6" xfId="2022" xr:uid="{00000000-0005-0000-0000-0000E6070000}"/>
    <cellStyle name="Millares 50 4" xfId="2312" xr:uid="{00000000-0005-0000-0000-000008090000}"/>
    <cellStyle name="Millares 51" xfId="260" xr:uid="{00000000-0005-0000-0000-000004010000}"/>
    <cellStyle name="Millares 51 2" xfId="261" xr:uid="{00000000-0005-0000-0000-000005010000}"/>
    <cellStyle name="Millares 51 2 10" xfId="1360" xr:uid="{00000000-0005-0000-0000-000050050000}"/>
    <cellStyle name="Millares 51 2 11" xfId="2023" xr:uid="{00000000-0005-0000-0000-0000E7070000}"/>
    <cellStyle name="Millares 51 2 2" xfId="262" xr:uid="{00000000-0005-0000-0000-000006010000}"/>
    <cellStyle name="Millares 51 2 2 2" xfId="263" xr:uid="{00000000-0005-0000-0000-000007010000}"/>
    <cellStyle name="Millares 51 2 2 2 2" xfId="264" xr:uid="{00000000-0005-0000-0000-000008010000}"/>
    <cellStyle name="Millares 51 2 2 2 2 2" xfId="623" xr:uid="{00000000-0005-0000-0000-00006F020000}"/>
    <cellStyle name="Millares 51 2 2 2 2 3" xfId="1361" xr:uid="{00000000-0005-0000-0000-000051050000}"/>
    <cellStyle name="Millares 51 2 2 2 2 4" xfId="2024" xr:uid="{00000000-0005-0000-0000-0000E8070000}"/>
    <cellStyle name="Millares 51 2 2 2 3" xfId="624" xr:uid="{00000000-0005-0000-0000-000070020000}"/>
    <cellStyle name="Millares 51 2 2 2 3 2" xfId="1362" xr:uid="{00000000-0005-0000-0000-000052050000}"/>
    <cellStyle name="Millares 51 2 2 2 4" xfId="1363" xr:uid="{00000000-0005-0000-0000-000053050000}"/>
    <cellStyle name="Millares 51 2 2 2 5" xfId="1364" xr:uid="{00000000-0005-0000-0000-000054050000}"/>
    <cellStyle name="Millares 51 2 2 2 6" xfId="2025" xr:uid="{00000000-0005-0000-0000-0000E9070000}"/>
    <cellStyle name="Millares 51 2 2 3" xfId="265" xr:uid="{00000000-0005-0000-0000-000009010000}"/>
    <cellStyle name="Millares 51 2 2 3 2" xfId="625" xr:uid="{00000000-0005-0000-0000-000071020000}"/>
    <cellStyle name="Millares 51 2 2 3 2 2" xfId="1365" xr:uid="{00000000-0005-0000-0000-000055050000}"/>
    <cellStyle name="Millares 51 2 2 3 3" xfId="1366" xr:uid="{00000000-0005-0000-0000-000056050000}"/>
    <cellStyle name="Millares 51 2 2 3 4" xfId="1367" xr:uid="{00000000-0005-0000-0000-000057050000}"/>
    <cellStyle name="Millares 51 2 2 3 5" xfId="2026" xr:uid="{00000000-0005-0000-0000-0000EA070000}"/>
    <cellStyle name="Millares 51 2 2 4" xfId="626" xr:uid="{00000000-0005-0000-0000-000072020000}"/>
    <cellStyle name="Millares 51 2 2 4 2" xfId="1368" xr:uid="{00000000-0005-0000-0000-000058050000}"/>
    <cellStyle name="Millares 51 2 2 5" xfId="852" xr:uid="{00000000-0005-0000-0000-000054030000}"/>
    <cellStyle name="Millares 51 2 2 5 2" xfId="1369" xr:uid="{00000000-0005-0000-0000-000059050000}"/>
    <cellStyle name="Millares 51 2 2 6" xfId="1370" xr:uid="{00000000-0005-0000-0000-00005A050000}"/>
    <cellStyle name="Millares 51 2 2 7" xfId="1371" xr:uid="{00000000-0005-0000-0000-00005B050000}"/>
    <cellStyle name="Millares 51 2 2 8" xfId="2027" xr:uid="{00000000-0005-0000-0000-0000EB070000}"/>
    <cellStyle name="Millares 51 2 3" xfId="266" xr:uid="{00000000-0005-0000-0000-00000A010000}"/>
    <cellStyle name="Millares 51 2 3 2" xfId="267" xr:uid="{00000000-0005-0000-0000-00000B010000}"/>
    <cellStyle name="Millares 51 2 3 2 2" xfId="268" xr:uid="{00000000-0005-0000-0000-00000C010000}"/>
    <cellStyle name="Millares 51 2 3 2 2 2" xfId="627" xr:uid="{00000000-0005-0000-0000-000073020000}"/>
    <cellStyle name="Millares 51 2 3 2 2 3" xfId="1372" xr:uid="{00000000-0005-0000-0000-00005C050000}"/>
    <cellStyle name="Millares 51 2 3 2 2 4" xfId="2028" xr:uid="{00000000-0005-0000-0000-0000EC070000}"/>
    <cellStyle name="Millares 51 2 3 2 3" xfId="628" xr:uid="{00000000-0005-0000-0000-000074020000}"/>
    <cellStyle name="Millares 51 2 3 2 3 2" xfId="1373" xr:uid="{00000000-0005-0000-0000-00005D050000}"/>
    <cellStyle name="Millares 51 2 3 2 4" xfId="1374" xr:uid="{00000000-0005-0000-0000-00005E050000}"/>
    <cellStyle name="Millares 51 2 3 2 5" xfId="1375" xr:uid="{00000000-0005-0000-0000-00005F050000}"/>
    <cellStyle name="Millares 51 2 3 2 6" xfId="2029" xr:uid="{00000000-0005-0000-0000-0000ED070000}"/>
    <cellStyle name="Millares 51 2 3 3" xfId="269" xr:uid="{00000000-0005-0000-0000-00000D010000}"/>
    <cellStyle name="Millares 51 2 3 3 2" xfId="629" xr:uid="{00000000-0005-0000-0000-000075020000}"/>
    <cellStyle name="Millares 51 2 3 3 3" xfId="1376" xr:uid="{00000000-0005-0000-0000-000060050000}"/>
    <cellStyle name="Millares 51 2 3 3 4" xfId="2030" xr:uid="{00000000-0005-0000-0000-0000EE070000}"/>
    <cellStyle name="Millares 51 2 3 4" xfId="630" xr:uid="{00000000-0005-0000-0000-000076020000}"/>
    <cellStyle name="Millares 51 2 3 4 2" xfId="1377" xr:uid="{00000000-0005-0000-0000-000061050000}"/>
    <cellStyle name="Millares 51 2 3 5" xfId="853" xr:uid="{00000000-0005-0000-0000-000055030000}"/>
    <cellStyle name="Millares 51 2 3 5 2" xfId="1378" xr:uid="{00000000-0005-0000-0000-000062050000}"/>
    <cellStyle name="Millares 51 2 3 6" xfId="1379" xr:uid="{00000000-0005-0000-0000-000063050000}"/>
    <cellStyle name="Millares 51 2 3 7" xfId="2031" xr:uid="{00000000-0005-0000-0000-0000EF070000}"/>
    <cellStyle name="Millares 51 2 4" xfId="270" xr:uid="{00000000-0005-0000-0000-00000E010000}"/>
    <cellStyle name="Millares 51 2 4 2" xfId="271" xr:uid="{00000000-0005-0000-0000-00000F010000}"/>
    <cellStyle name="Millares 51 2 4 2 2" xfId="631" xr:uid="{00000000-0005-0000-0000-000077020000}"/>
    <cellStyle name="Millares 51 2 4 2 3" xfId="1380" xr:uid="{00000000-0005-0000-0000-000064050000}"/>
    <cellStyle name="Millares 51 2 4 2 4" xfId="2032" xr:uid="{00000000-0005-0000-0000-0000F0070000}"/>
    <cellStyle name="Millares 51 2 4 3" xfId="632" xr:uid="{00000000-0005-0000-0000-000078020000}"/>
    <cellStyle name="Millares 51 2 4 3 2" xfId="1381" xr:uid="{00000000-0005-0000-0000-000065050000}"/>
    <cellStyle name="Millares 51 2 4 4" xfId="1382" xr:uid="{00000000-0005-0000-0000-000066050000}"/>
    <cellStyle name="Millares 51 2 4 5" xfId="1383" xr:uid="{00000000-0005-0000-0000-000067050000}"/>
    <cellStyle name="Millares 51 2 4 6" xfId="2033" xr:uid="{00000000-0005-0000-0000-0000F1070000}"/>
    <cellStyle name="Millares 51 2 5" xfId="272" xr:uid="{00000000-0005-0000-0000-000010010000}"/>
    <cellStyle name="Millares 51 2 5 2" xfId="633" xr:uid="{00000000-0005-0000-0000-000079020000}"/>
    <cellStyle name="Millares 51 2 5 2 2" xfId="1384" xr:uid="{00000000-0005-0000-0000-000068050000}"/>
    <cellStyle name="Millares 51 2 5 3" xfId="1385" xr:uid="{00000000-0005-0000-0000-000069050000}"/>
    <cellStyle name="Millares 51 2 5 4" xfId="1386" xr:uid="{00000000-0005-0000-0000-00006A050000}"/>
    <cellStyle name="Millares 51 2 5 5" xfId="2034" xr:uid="{00000000-0005-0000-0000-0000F2070000}"/>
    <cellStyle name="Millares 51 2 6" xfId="634" xr:uid="{00000000-0005-0000-0000-00007A020000}"/>
    <cellStyle name="Millares 51 2 6 2" xfId="1387" xr:uid="{00000000-0005-0000-0000-00006B050000}"/>
    <cellStyle name="Millares 51 2 7" xfId="854" xr:uid="{00000000-0005-0000-0000-000056030000}"/>
    <cellStyle name="Millares 51 2 7 2" xfId="1388" xr:uid="{00000000-0005-0000-0000-00006C050000}"/>
    <cellStyle name="Millares 51 2 8" xfId="1389" xr:uid="{00000000-0005-0000-0000-00006D050000}"/>
    <cellStyle name="Millares 51 2 9" xfId="1390" xr:uid="{00000000-0005-0000-0000-00006E050000}"/>
    <cellStyle name="Millares 51 3" xfId="273" xr:uid="{00000000-0005-0000-0000-000011010000}"/>
    <cellStyle name="Millares 51 3 2" xfId="274" xr:uid="{00000000-0005-0000-0000-000012010000}"/>
    <cellStyle name="Millares 51 3 2 2" xfId="275" xr:uid="{00000000-0005-0000-0000-000013010000}"/>
    <cellStyle name="Millares 51 3 2 2 2" xfId="635" xr:uid="{00000000-0005-0000-0000-00007B020000}"/>
    <cellStyle name="Millares 51 3 2 2 2 2" xfId="1391" xr:uid="{00000000-0005-0000-0000-00006F050000}"/>
    <cellStyle name="Millares 51 3 2 2 3" xfId="1392" xr:uid="{00000000-0005-0000-0000-000070050000}"/>
    <cellStyle name="Millares 51 3 2 2 4" xfId="1393" xr:uid="{00000000-0005-0000-0000-000071050000}"/>
    <cellStyle name="Millares 51 3 2 2 5" xfId="1394" xr:uid="{00000000-0005-0000-0000-000072050000}"/>
    <cellStyle name="Millares 51 3 2 2 6" xfId="2035" xr:uid="{00000000-0005-0000-0000-0000F3070000}"/>
    <cellStyle name="Millares 51 3 2 3" xfId="636" xr:uid="{00000000-0005-0000-0000-00007C020000}"/>
    <cellStyle name="Millares 51 3 2 3 2" xfId="1395" xr:uid="{00000000-0005-0000-0000-000073050000}"/>
    <cellStyle name="Millares 51 3 2 3 3" xfId="1396" xr:uid="{00000000-0005-0000-0000-000074050000}"/>
    <cellStyle name="Millares 51 3 2 3 4" xfId="1397" xr:uid="{00000000-0005-0000-0000-000075050000}"/>
    <cellStyle name="Millares 51 3 2 4" xfId="1398" xr:uid="{00000000-0005-0000-0000-000076050000}"/>
    <cellStyle name="Millares 51 3 2 5" xfId="1399" xr:uid="{00000000-0005-0000-0000-000077050000}"/>
    <cellStyle name="Millares 51 3 2 6" xfId="1400" xr:uid="{00000000-0005-0000-0000-000078050000}"/>
    <cellStyle name="Millares 51 3 2 7" xfId="1401" xr:uid="{00000000-0005-0000-0000-000079050000}"/>
    <cellStyle name="Millares 51 3 2 8" xfId="2036" xr:uid="{00000000-0005-0000-0000-0000F4070000}"/>
    <cellStyle name="Millares 51 3 3" xfId="276" xr:uid="{00000000-0005-0000-0000-000014010000}"/>
    <cellStyle name="Millares 51 3 3 2" xfId="637" xr:uid="{00000000-0005-0000-0000-00007D020000}"/>
    <cellStyle name="Millares 51 3 3 3" xfId="2037" xr:uid="{00000000-0005-0000-0000-0000F5070000}"/>
    <cellStyle name="Millares 51 3 4" xfId="638" xr:uid="{00000000-0005-0000-0000-00007E020000}"/>
    <cellStyle name="Millares 51 3 5" xfId="855" xr:uid="{00000000-0005-0000-0000-000057030000}"/>
    <cellStyle name="Millares 51 3 6" xfId="2038" xr:uid="{00000000-0005-0000-0000-0000F6070000}"/>
    <cellStyle name="Millares 51 4" xfId="2313" xr:uid="{00000000-0005-0000-0000-000009090000}"/>
    <cellStyle name="Millares 52" xfId="277" xr:uid="{00000000-0005-0000-0000-000015010000}"/>
    <cellStyle name="Millares 52 2" xfId="278" xr:uid="{00000000-0005-0000-0000-000016010000}"/>
    <cellStyle name="Millares 52 2 10" xfId="1402" xr:uid="{00000000-0005-0000-0000-00007A050000}"/>
    <cellStyle name="Millares 52 2 11" xfId="2039" xr:uid="{00000000-0005-0000-0000-0000F7070000}"/>
    <cellStyle name="Millares 52 2 2" xfId="279" xr:uid="{00000000-0005-0000-0000-000017010000}"/>
    <cellStyle name="Millares 52 2 2 2" xfId="280" xr:uid="{00000000-0005-0000-0000-000018010000}"/>
    <cellStyle name="Millares 52 2 2 2 2" xfId="281" xr:uid="{00000000-0005-0000-0000-000019010000}"/>
    <cellStyle name="Millares 52 2 2 2 2 2" xfId="639" xr:uid="{00000000-0005-0000-0000-00007F020000}"/>
    <cellStyle name="Millares 52 2 2 2 2 3" xfId="1403" xr:uid="{00000000-0005-0000-0000-00007B050000}"/>
    <cellStyle name="Millares 52 2 2 2 2 4" xfId="2040" xr:uid="{00000000-0005-0000-0000-0000F8070000}"/>
    <cellStyle name="Millares 52 2 2 2 3" xfId="640" xr:uid="{00000000-0005-0000-0000-000080020000}"/>
    <cellStyle name="Millares 52 2 2 2 3 2" xfId="1404" xr:uid="{00000000-0005-0000-0000-00007C050000}"/>
    <cellStyle name="Millares 52 2 2 2 4" xfId="1405" xr:uid="{00000000-0005-0000-0000-00007D050000}"/>
    <cellStyle name="Millares 52 2 2 2 5" xfId="1406" xr:uid="{00000000-0005-0000-0000-00007E050000}"/>
    <cellStyle name="Millares 52 2 2 2 6" xfId="2041" xr:uid="{00000000-0005-0000-0000-0000F9070000}"/>
    <cellStyle name="Millares 52 2 2 3" xfId="282" xr:uid="{00000000-0005-0000-0000-00001A010000}"/>
    <cellStyle name="Millares 52 2 2 3 2" xfId="641" xr:uid="{00000000-0005-0000-0000-000081020000}"/>
    <cellStyle name="Millares 52 2 2 3 2 2" xfId="1407" xr:uid="{00000000-0005-0000-0000-00007F050000}"/>
    <cellStyle name="Millares 52 2 2 3 3" xfId="1408" xr:uid="{00000000-0005-0000-0000-000080050000}"/>
    <cellStyle name="Millares 52 2 2 3 4" xfId="1409" xr:uid="{00000000-0005-0000-0000-000081050000}"/>
    <cellStyle name="Millares 52 2 2 3 5" xfId="2042" xr:uid="{00000000-0005-0000-0000-0000FA070000}"/>
    <cellStyle name="Millares 52 2 2 4" xfId="642" xr:uid="{00000000-0005-0000-0000-000082020000}"/>
    <cellStyle name="Millares 52 2 2 4 2" xfId="1410" xr:uid="{00000000-0005-0000-0000-000082050000}"/>
    <cellStyle name="Millares 52 2 2 5" xfId="856" xr:uid="{00000000-0005-0000-0000-000058030000}"/>
    <cellStyle name="Millares 52 2 2 5 2" xfId="1411" xr:uid="{00000000-0005-0000-0000-000083050000}"/>
    <cellStyle name="Millares 52 2 2 6" xfId="1412" xr:uid="{00000000-0005-0000-0000-000084050000}"/>
    <cellStyle name="Millares 52 2 2 7" xfId="1413" xr:uid="{00000000-0005-0000-0000-000085050000}"/>
    <cellStyle name="Millares 52 2 2 8" xfId="2043" xr:uid="{00000000-0005-0000-0000-0000FB070000}"/>
    <cellStyle name="Millares 52 2 3" xfId="283" xr:uid="{00000000-0005-0000-0000-00001B010000}"/>
    <cellStyle name="Millares 52 2 3 2" xfId="284" xr:uid="{00000000-0005-0000-0000-00001C010000}"/>
    <cellStyle name="Millares 52 2 3 2 2" xfId="285" xr:uid="{00000000-0005-0000-0000-00001D010000}"/>
    <cellStyle name="Millares 52 2 3 2 2 2" xfId="643" xr:uid="{00000000-0005-0000-0000-000083020000}"/>
    <cellStyle name="Millares 52 2 3 2 2 3" xfId="1414" xr:uid="{00000000-0005-0000-0000-000086050000}"/>
    <cellStyle name="Millares 52 2 3 2 2 4" xfId="2044" xr:uid="{00000000-0005-0000-0000-0000FC070000}"/>
    <cellStyle name="Millares 52 2 3 2 3" xfId="644" xr:uid="{00000000-0005-0000-0000-000084020000}"/>
    <cellStyle name="Millares 52 2 3 2 3 2" xfId="1415" xr:uid="{00000000-0005-0000-0000-000087050000}"/>
    <cellStyle name="Millares 52 2 3 2 4" xfId="1416" xr:uid="{00000000-0005-0000-0000-000088050000}"/>
    <cellStyle name="Millares 52 2 3 2 5" xfId="1417" xr:uid="{00000000-0005-0000-0000-000089050000}"/>
    <cellStyle name="Millares 52 2 3 2 6" xfId="2045" xr:uid="{00000000-0005-0000-0000-0000FD070000}"/>
    <cellStyle name="Millares 52 2 3 3" xfId="286" xr:uid="{00000000-0005-0000-0000-00001E010000}"/>
    <cellStyle name="Millares 52 2 3 3 2" xfId="645" xr:uid="{00000000-0005-0000-0000-000085020000}"/>
    <cellStyle name="Millares 52 2 3 3 3" xfId="1418" xr:uid="{00000000-0005-0000-0000-00008A050000}"/>
    <cellStyle name="Millares 52 2 3 3 4" xfId="2046" xr:uid="{00000000-0005-0000-0000-0000FE070000}"/>
    <cellStyle name="Millares 52 2 3 4" xfId="646" xr:uid="{00000000-0005-0000-0000-000086020000}"/>
    <cellStyle name="Millares 52 2 3 4 2" xfId="1419" xr:uid="{00000000-0005-0000-0000-00008B050000}"/>
    <cellStyle name="Millares 52 2 3 5" xfId="857" xr:uid="{00000000-0005-0000-0000-000059030000}"/>
    <cellStyle name="Millares 52 2 3 5 2" xfId="1420" xr:uid="{00000000-0005-0000-0000-00008C050000}"/>
    <cellStyle name="Millares 52 2 3 6" xfId="1421" xr:uid="{00000000-0005-0000-0000-00008D050000}"/>
    <cellStyle name="Millares 52 2 3 7" xfId="2047" xr:uid="{00000000-0005-0000-0000-0000FF070000}"/>
    <cellStyle name="Millares 52 2 4" xfId="287" xr:uid="{00000000-0005-0000-0000-00001F010000}"/>
    <cellStyle name="Millares 52 2 4 2" xfId="288" xr:uid="{00000000-0005-0000-0000-000020010000}"/>
    <cellStyle name="Millares 52 2 4 2 2" xfId="647" xr:uid="{00000000-0005-0000-0000-000087020000}"/>
    <cellStyle name="Millares 52 2 4 2 3" xfId="1422" xr:uid="{00000000-0005-0000-0000-00008E050000}"/>
    <cellStyle name="Millares 52 2 4 2 4" xfId="2048" xr:uid="{00000000-0005-0000-0000-000000080000}"/>
    <cellStyle name="Millares 52 2 4 3" xfId="648" xr:uid="{00000000-0005-0000-0000-000088020000}"/>
    <cellStyle name="Millares 52 2 4 3 2" xfId="1423" xr:uid="{00000000-0005-0000-0000-00008F050000}"/>
    <cellStyle name="Millares 52 2 4 4" xfId="1424" xr:uid="{00000000-0005-0000-0000-000090050000}"/>
    <cellStyle name="Millares 52 2 4 5" xfId="1425" xr:uid="{00000000-0005-0000-0000-000091050000}"/>
    <cellStyle name="Millares 52 2 4 6" xfId="2049" xr:uid="{00000000-0005-0000-0000-000001080000}"/>
    <cellStyle name="Millares 52 2 5" xfId="289" xr:uid="{00000000-0005-0000-0000-000021010000}"/>
    <cellStyle name="Millares 52 2 5 2" xfId="649" xr:uid="{00000000-0005-0000-0000-000089020000}"/>
    <cellStyle name="Millares 52 2 5 2 2" xfId="1426" xr:uid="{00000000-0005-0000-0000-000092050000}"/>
    <cellStyle name="Millares 52 2 5 3" xfId="1427" xr:uid="{00000000-0005-0000-0000-000093050000}"/>
    <cellStyle name="Millares 52 2 5 4" xfId="1428" xr:uid="{00000000-0005-0000-0000-000094050000}"/>
    <cellStyle name="Millares 52 2 5 5" xfId="2050" xr:uid="{00000000-0005-0000-0000-000002080000}"/>
    <cellStyle name="Millares 52 2 6" xfId="650" xr:uid="{00000000-0005-0000-0000-00008A020000}"/>
    <cellStyle name="Millares 52 2 6 2" xfId="1429" xr:uid="{00000000-0005-0000-0000-000095050000}"/>
    <cellStyle name="Millares 52 2 7" xfId="858" xr:uid="{00000000-0005-0000-0000-00005A030000}"/>
    <cellStyle name="Millares 52 2 7 2" xfId="1430" xr:uid="{00000000-0005-0000-0000-000096050000}"/>
    <cellStyle name="Millares 52 2 8" xfId="1431" xr:uid="{00000000-0005-0000-0000-000097050000}"/>
    <cellStyle name="Millares 52 2 9" xfId="1432" xr:uid="{00000000-0005-0000-0000-000098050000}"/>
    <cellStyle name="Millares 52 3" xfId="290" xr:uid="{00000000-0005-0000-0000-000022010000}"/>
    <cellStyle name="Millares 52 3 2" xfId="291" xr:uid="{00000000-0005-0000-0000-000023010000}"/>
    <cellStyle name="Millares 52 3 2 2" xfId="292" xr:uid="{00000000-0005-0000-0000-000024010000}"/>
    <cellStyle name="Millares 52 3 2 2 2" xfId="651" xr:uid="{00000000-0005-0000-0000-00008B020000}"/>
    <cellStyle name="Millares 52 3 2 2 2 2" xfId="1433" xr:uid="{00000000-0005-0000-0000-000099050000}"/>
    <cellStyle name="Millares 52 3 2 2 3" xfId="1434" xr:uid="{00000000-0005-0000-0000-00009A050000}"/>
    <cellStyle name="Millares 52 3 2 2 4" xfId="1435" xr:uid="{00000000-0005-0000-0000-00009B050000}"/>
    <cellStyle name="Millares 52 3 2 2 5" xfId="1436" xr:uid="{00000000-0005-0000-0000-00009C050000}"/>
    <cellStyle name="Millares 52 3 2 2 6" xfId="2051" xr:uid="{00000000-0005-0000-0000-000003080000}"/>
    <cellStyle name="Millares 52 3 2 3" xfId="652" xr:uid="{00000000-0005-0000-0000-00008C020000}"/>
    <cellStyle name="Millares 52 3 2 3 2" xfId="1437" xr:uid="{00000000-0005-0000-0000-00009D050000}"/>
    <cellStyle name="Millares 52 3 2 3 3" xfId="1438" xr:uid="{00000000-0005-0000-0000-00009E050000}"/>
    <cellStyle name="Millares 52 3 2 3 4" xfId="1439" xr:uid="{00000000-0005-0000-0000-00009F050000}"/>
    <cellStyle name="Millares 52 3 2 4" xfId="1440" xr:uid="{00000000-0005-0000-0000-0000A0050000}"/>
    <cellStyle name="Millares 52 3 2 5" xfId="1441" xr:uid="{00000000-0005-0000-0000-0000A1050000}"/>
    <cellStyle name="Millares 52 3 2 6" xfId="1442" xr:uid="{00000000-0005-0000-0000-0000A2050000}"/>
    <cellStyle name="Millares 52 3 2 7" xfId="1443" xr:uid="{00000000-0005-0000-0000-0000A3050000}"/>
    <cellStyle name="Millares 52 3 2 8" xfId="2052" xr:uid="{00000000-0005-0000-0000-000004080000}"/>
    <cellStyle name="Millares 52 3 3" xfId="293" xr:uid="{00000000-0005-0000-0000-000025010000}"/>
    <cellStyle name="Millares 52 3 3 2" xfId="653" xr:uid="{00000000-0005-0000-0000-00008D020000}"/>
    <cellStyle name="Millares 52 3 3 3" xfId="2053" xr:uid="{00000000-0005-0000-0000-000005080000}"/>
    <cellStyle name="Millares 52 3 4" xfId="654" xr:uid="{00000000-0005-0000-0000-00008E020000}"/>
    <cellStyle name="Millares 52 3 5" xfId="859" xr:uid="{00000000-0005-0000-0000-00005B030000}"/>
    <cellStyle name="Millares 52 3 6" xfId="2054" xr:uid="{00000000-0005-0000-0000-000006080000}"/>
    <cellStyle name="Millares 52 4" xfId="2314" xr:uid="{00000000-0005-0000-0000-00000A090000}"/>
    <cellStyle name="Millares 53" xfId="294" xr:uid="{00000000-0005-0000-0000-000026010000}"/>
    <cellStyle name="Millares 53 2" xfId="295" xr:uid="{00000000-0005-0000-0000-000027010000}"/>
    <cellStyle name="Millares 53 2 10" xfId="1444" xr:uid="{00000000-0005-0000-0000-0000A4050000}"/>
    <cellStyle name="Millares 53 2 11" xfId="2055" xr:uid="{00000000-0005-0000-0000-000007080000}"/>
    <cellStyle name="Millares 53 2 2" xfId="296" xr:uid="{00000000-0005-0000-0000-000028010000}"/>
    <cellStyle name="Millares 53 2 2 2" xfId="297" xr:uid="{00000000-0005-0000-0000-000029010000}"/>
    <cellStyle name="Millares 53 2 2 2 2" xfId="298" xr:uid="{00000000-0005-0000-0000-00002A010000}"/>
    <cellStyle name="Millares 53 2 2 2 2 2" xfId="655" xr:uid="{00000000-0005-0000-0000-00008F020000}"/>
    <cellStyle name="Millares 53 2 2 2 2 3" xfId="1445" xr:uid="{00000000-0005-0000-0000-0000A5050000}"/>
    <cellStyle name="Millares 53 2 2 2 2 4" xfId="2056" xr:uid="{00000000-0005-0000-0000-000008080000}"/>
    <cellStyle name="Millares 53 2 2 2 3" xfId="656" xr:uid="{00000000-0005-0000-0000-000090020000}"/>
    <cellStyle name="Millares 53 2 2 2 3 2" xfId="1446" xr:uid="{00000000-0005-0000-0000-0000A6050000}"/>
    <cellStyle name="Millares 53 2 2 2 4" xfId="1447" xr:uid="{00000000-0005-0000-0000-0000A7050000}"/>
    <cellStyle name="Millares 53 2 2 2 5" xfId="1448" xr:uid="{00000000-0005-0000-0000-0000A8050000}"/>
    <cellStyle name="Millares 53 2 2 2 6" xfId="2057" xr:uid="{00000000-0005-0000-0000-000009080000}"/>
    <cellStyle name="Millares 53 2 2 3" xfId="299" xr:uid="{00000000-0005-0000-0000-00002B010000}"/>
    <cellStyle name="Millares 53 2 2 3 2" xfId="657" xr:uid="{00000000-0005-0000-0000-000091020000}"/>
    <cellStyle name="Millares 53 2 2 3 2 2" xfId="1449" xr:uid="{00000000-0005-0000-0000-0000A9050000}"/>
    <cellStyle name="Millares 53 2 2 3 3" xfId="1450" xr:uid="{00000000-0005-0000-0000-0000AA050000}"/>
    <cellStyle name="Millares 53 2 2 3 4" xfId="1451" xr:uid="{00000000-0005-0000-0000-0000AB050000}"/>
    <cellStyle name="Millares 53 2 2 3 5" xfId="2058" xr:uid="{00000000-0005-0000-0000-00000A080000}"/>
    <cellStyle name="Millares 53 2 2 4" xfId="658" xr:uid="{00000000-0005-0000-0000-000092020000}"/>
    <cellStyle name="Millares 53 2 2 4 2" xfId="1452" xr:uid="{00000000-0005-0000-0000-0000AC050000}"/>
    <cellStyle name="Millares 53 2 2 5" xfId="860" xr:uid="{00000000-0005-0000-0000-00005C030000}"/>
    <cellStyle name="Millares 53 2 2 5 2" xfId="1453" xr:uid="{00000000-0005-0000-0000-0000AD050000}"/>
    <cellStyle name="Millares 53 2 2 6" xfId="1454" xr:uid="{00000000-0005-0000-0000-0000AE050000}"/>
    <cellStyle name="Millares 53 2 2 7" xfId="1455" xr:uid="{00000000-0005-0000-0000-0000AF050000}"/>
    <cellStyle name="Millares 53 2 2 8" xfId="2059" xr:uid="{00000000-0005-0000-0000-00000B080000}"/>
    <cellStyle name="Millares 53 2 3" xfId="300" xr:uid="{00000000-0005-0000-0000-00002C010000}"/>
    <cellStyle name="Millares 53 2 3 2" xfId="301" xr:uid="{00000000-0005-0000-0000-00002D010000}"/>
    <cellStyle name="Millares 53 2 3 2 2" xfId="302" xr:uid="{00000000-0005-0000-0000-00002E010000}"/>
    <cellStyle name="Millares 53 2 3 2 2 2" xfId="659" xr:uid="{00000000-0005-0000-0000-000093020000}"/>
    <cellStyle name="Millares 53 2 3 2 2 3" xfId="1456" xr:uid="{00000000-0005-0000-0000-0000B0050000}"/>
    <cellStyle name="Millares 53 2 3 2 2 4" xfId="2060" xr:uid="{00000000-0005-0000-0000-00000C080000}"/>
    <cellStyle name="Millares 53 2 3 2 3" xfId="660" xr:uid="{00000000-0005-0000-0000-000094020000}"/>
    <cellStyle name="Millares 53 2 3 2 3 2" xfId="1457" xr:uid="{00000000-0005-0000-0000-0000B1050000}"/>
    <cellStyle name="Millares 53 2 3 2 4" xfId="1458" xr:uid="{00000000-0005-0000-0000-0000B2050000}"/>
    <cellStyle name="Millares 53 2 3 2 5" xfId="1459" xr:uid="{00000000-0005-0000-0000-0000B3050000}"/>
    <cellStyle name="Millares 53 2 3 2 6" xfId="2061" xr:uid="{00000000-0005-0000-0000-00000D080000}"/>
    <cellStyle name="Millares 53 2 3 3" xfId="303" xr:uid="{00000000-0005-0000-0000-00002F010000}"/>
    <cellStyle name="Millares 53 2 3 3 2" xfId="661" xr:uid="{00000000-0005-0000-0000-000095020000}"/>
    <cellStyle name="Millares 53 2 3 3 3" xfId="1460" xr:uid="{00000000-0005-0000-0000-0000B4050000}"/>
    <cellStyle name="Millares 53 2 3 3 4" xfId="2062" xr:uid="{00000000-0005-0000-0000-00000E080000}"/>
    <cellStyle name="Millares 53 2 3 4" xfId="662" xr:uid="{00000000-0005-0000-0000-000096020000}"/>
    <cellStyle name="Millares 53 2 3 4 2" xfId="1461" xr:uid="{00000000-0005-0000-0000-0000B5050000}"/>
    <cellStyle name="Millares 53 2 3 5" xfId="861" xr:uid="{00000000-0005-0000-0000-00005D030000}"/>
    <cellStyle name="Millares 53 2 3 5 2" xfId="1462" xr:uid="{00000000-0005-0000-0000-0000B6050000}"/>
    <cellStyle name="Millares 53 2 3 6" xfId="1463" xr:uid="{00000000-0005-0000-0000-0000B7050000}"/>
    <cellStyle name="Millares 53 2 3 7" xfId="2063" xr:uid="{00000000-0005-0000-0000-00000F080000}"/>
    <cellStyle name="Millares 53 2 4" xfId="304" xr:uid="{00000000-0005-0000-0000-000030010000}"/>
    <cellStyle name="Millares 53 2 4 2" xfId="305" xr:uid="{00000000-0005-0000-0000-000031010000}"/>
    <cellStyle name="Millares 53 2 4 2 2" xfId="663" xr:uid="{00000000-0005-0000-0000-000097020000}"/>
    <cellStyle name="Millares 53 2 4 2 3" xfId="1464" xr:uid="{00000000-0005-0000-0000-0000B8050000}"/>
    <cellStyle name="Millares 53 2 4 2 4" xfId="2064" xr:uid="{00000000-0005-0000-0000-000010080000}"/>
    <cellStyle name="Millares 53 2 4 3" xfId="664" xr:uid="{00000000-0005-0000-0000-000098020000}"/>
    <cellStyle name="Millares 53 2 4 3 2" xfId="1465" xr:uid="{00000000-0005-0000-0000-0000B9050000}"/>
    <cellStyle name="Millares 53 2 4 4" xfId="1466" xr:uid="{00000000-0005-0000-0000-0000BA050000}"/>
    <cellStyle name="Millares 53 2 4 5" xfId="1467" xr:uid="{00000000-0005-0000-0000-0000BB050000}"/>
    <cellStyle name="Millares 53 2 4 6" xfId="2065" xr:uid="{00000000-0005-0000-0000-000011080000}"/>
    <cellStyle name="Millares 53 2 5" xfId="306" xr:uid="{00000000-0005-0000-0000-000032010000}"/>
    <cellStyle name="Millares 53 2 5 2" xfId="665" xr:uid="{00000000-0005-0000-0000-000099020000}"/>
    <cellStyle name="Millares 53 2 5 2 2" xfId="1468" xr:uid="{00000000-0005-0000-0000-0000BC050000}"/>
    <cellStyle name="Millares 53 2 5 3" xfId="1469" xr:uid="{00000000-0005-0000-0000-0000BD050000}"/>
    <cellStyle name="Millares 53 2 5 4" xfId="1470" xr:uid="{00000000-0005-0000-0000-0000BE050000}"/>
    <cellStyle name="Millares 53 2 5 5" xfId="2066" xr:uid="{00000000-0005-0000-0000-000012080000}"/>
    <cellStyle name="Millares 53 2 6" xfId="666" xr:uid="{00000000-0005-0000-0000-00009A020000}"/>
    <cellStyle name="Millares 53 2 6 2" xfId="1471" xr:uid="{00000000-0005-0000-0000-0000BF050000}"/>
    <cellStyle name="Millares 53 2 7" xfId="862" xr:uid="{00000000-0005-0000-0000-00005E030000}"/>
    <cellStyle name="Millares 53 2 7 2" xfId="1472" xr:uid="{00000000-0005-0000-0000-0000C0050000}"/>
    <cellStyle name="Millares 53 2 8" xfId="1473" xr:uid="{00000000-0005-0000-0000-0000C1050000}"/>
    <cellStyle name="Millares 53 2 9" xfId="1474" xr:uid="{00000000-0005-0000-0000-0000C2050000}"/>
    <cellStyle name="Millares 53 3" xfId="307" xr:uid="{00000000-0005-0000-0000-000033010000}"/>
    <cellStyle name="Millares 53 3 2" xfId="308" xr:uid="{00000000-0005-0000-0000-000034010000}"/>
    <cellStyle name="Millares 53 3 2 2" xfId="309" xr:uid="{00000000-0005-0000-0000-000035010000}"/>
    <cellStyle name="Millares 53 3 2 2 2" xfId="667" xr:uid="{00000000-0005-0000-0000-00009B020000}"/>
    <cellStyle name="Millares 53 3 2 2 2 2" xfId="1475" xr:uid="{00000000-0005-0000-0000-0000C3050000}"/>
    <cellStyle name="Millares 53 3 2 2 3" xfId="1476" xr:uid="{00000000-0005-0000-0000-0000C4050000}"/>
    <cellStyle name="Millares 53 3 2 2 4" xfId="1477" xr:uid="{00000000-0005-0000-0000-0000C5050000}"/>
    <cellStyle name="Millares 53 3 2 2 5" xfId="1478" xr:uid="{00000000-0005-0000-0000-0000C6050000}"/>
    <cellStyle name="Millares 53 3 2 2 6" xfId="2067" xr:uid="{00000000-0005-0000-0000-000013080000}"/>
    <cellStyle name="Millares 53 3 2 3" xfId="668" xr:uid="{00000000-0005-0000-0000-00009C020000}"/>
    <cellStyle name="Millares 53 3 2 3 2" xfId="1479" xr:uid="{00000000-0005-0000-0000-0000C7050000}"/>
    <cellStyle name="Millares 53 3 2 3 3" xfId="1480" xr:uid="{00000000-0005-0000-0000-0000C8050000}"/>
    <cellStyle name="Millares 53 3 2 3 4" xfId="1481" xr:uid="{00000000-0005-0000-0000-0000C9050000}"/>
    <cellStyle name="Millares 53 3 2 4" xfId="1482" xr:uid="{00000000-0005-0000-0000-0000CA050000}"/>
    <cellStyle name="Millares 53 3 2 5" xfId="1483" xr:uid="{00000000-0005-0000-0000-0000CB050000}"/>
    <cellStyle name="Millares 53 3 2 6" xfId="1484" xr:uid="{00000000-0005-0000-0000-0000CC050000}"/>
    <cellStyle name="Millares 53 3 2 7" xfId="1485" xr:uid="{00000000-0005-0000-0000-0000CD050000}"/>
    <cellStyle name="Millares 53 3 2 8" xfId="2068" xr:uid="{00000000-0005-0000-0000-000014080000}"/>
    <cellStyle name="Millares 53 3 3" xfId="310" xr:uid="{00000000-0005-0000-0000-000036010000}"/>
    <cellStyle name="Millares 53 3 3 2" xfId="669" xr:uid="{00000000-0005-0000-0000-00009D020000}"/>
    <cellStyle name="Millares 53 3 3 3" xfId="2069" xr:uid="{00000000-0005-0000-0000-000015080000}"/>
    <cellStyle name="Millares 53 3 4" xfId="670" xr:uid="{00000000-0005-0000-0000-00009E020000}"/>
    <cellStyle name="Millares 53 3 5" xfId="863" xr:uid="{00000000-0005-0000-0000-00005F030000}"/>
    <cellStyle name="Millares 53 3 6" xfId="2070" xr:uid="{00000000-0005-0000-0000-000016080000}"/>
    <cellStyle name="Millares 53 4" xfId="2315" xr:uid="{00000000-0005-0000-0000-00000B090000}"/>
    <cellStyle name="Millares 54" xfId="311" xr:uid="{00000000-0005-0000-0000-000037010000}"/>
    <cellStyle name="Millares 54 2" xfId="312" xr:uid="{00000000-0005-0000-0000-000038010000}"/>
    <cellStyle name="Millares 54 2 10" xfId="1486" xr:uid="{00000000-0005-0000-0000-0000CE050000}"/>
    <cellStyle name="Millares 54 2 11" xfId="2071" xr:uid="{00000000-0005-0000-0000-000017080000}"/>
    <cellStyle name="Millares 54 2 2" xfId="313" xr:uid="{00000000-0005-0000-0000-000039010000}"/>
    <cellStyle name="Millares 54 2 2 2" xfId="314" xr:uid="{00000000-0005-0000-0000-00003A010000}"/>
    <cellStyle name="Millares 54 2 2 2 2" xfId="315" xr:uid="{00000000-0005-0000-0000-00003B010000}"/>
    <cellStyle name="Millares 54 2 2 2 2 2" xfId="671" xr:uid="{00000000-0005-0000-0000-00009F020000}"/>
    <cellStyle name="Millares 54 2 2 2 2 3" xfId="1487" xr:uid="{00000000-0005-0000-0000-0000CF050000}"/>
    <cellStyle name="Millares 54 2 2 2 2 4" xfId="2072" xr:uid="{00000000-0005-0000-0000-000018080000}"/>
    <cellStyle name="Millares 54 2 2 2 3" xfId="672" xr:uid="{00000000-0005-0000-0000-0000A0020000}"/>
    <cellStyle name="Millares 54 2 2 2 3 2" xfId="1488" xr:uid="{00000000-0005-0000-0000-0000D0050000}"/>
    <cellStyle name="Millares 54 2 2 2 4" xfId="1489" xr:uid="{00000000-0005-0000-0000-0000D1050000}"/>
    <cellStyle name="Millares 54 2 2 2 5" xfId="1490" xr:uid="{00000000-0005-0000-0000-0000D2050000}"/>
    <cellStyle name="Millares 54 2 2 2 6" xfId="2073" xr:uid="{00000000-0005-0000-0000-000019080000}"/>
    <cellStyle name="Millares 54 2 2 3" xfId="316" xr:uid="{00000000-0005-0000-0000-00003C010000}"/>
    <cellStyle name="Millares 54 2 2 3 2" xfId="673" xr:uid="{00000000-0005-0000-0000-0000A1020000}"/>
    <cellStyle name="Millares 54 2 2 3 2 2" xfId="1491" xr:uid="{00000000-0005-0000-0000-0000D3050000}"/>
    <cellStyle name="Millares 54 2 2 3 3" xfId="1492" xr:uid="{00000000-0005-0000-0000-0000D4050000}"/>
    <cellStyle name="Millares 54 2 2 3 4" xfId="1493" xr:uid="{00000000-0005-0000-0000-0000D5050000}"/>
    <cellStyle name="Millares 54 2 2 3 5" xfId="2074" xr:uid="{00000000-0005-0000-0000-00001A080000}"/>
    <cellStyle name="Millares 54 2 2 4" xfId="674" xr:uid="{00000000-0005-0000-0000-0000A2020000}"/>
    <cellStyle name="Millares 54 2 2 4 2" xfId="1494" xr:uid="{00000000-0005-0000-0000-0000D6050000}"/>
    <cellStyle name="Millares 54 2 2 5" xfId="864" xr:uid="{00000000-0005-0000-0000-000060030000}"/>
    <cellStyle name="Millares 54 2 2 5 2" xfId="1495" xr:uid="{00000000-0005-0000-0000-0000D7050000}"/>
    <cellStyle name="Millares 54 2 2 6" xfId="1496" xr:uid="{00000000-0005-0000-0000-0000D8050000}"/>
    <cellStyle name="Millares 54 2 2 7" xfId="1497" xr:uid="{00000000-0005-0000-0000-0000D9050000}"/>
    <cellStyle name="Millares 54 2 2 8" xfId="2075" xr:uid="{00000000-0005-0000-0000-00001B080000}"/>
    <cellStyle name="Millares 54 2 3" xfId="317" xr:uid="{00000000-0005-0000-0000-00003D010000}"/>
    <cellStyle name="Millares 54 2 3 2" xfId="318" xr:uid="{00000000-0005-0000-0000-00003E010000}"/>
    <cellStyle name="Millares 54 2 3 2 2" xfId="319" xr:uid="{00000000-0005-0000-0000-00003F010000}"/>
    <cellStyle name="Millares 54 2 3 2 2 2" xfId="675" xr:uid="{00000000-0005-0000-0000-0000A3020000}"/>
    <cellStyle name="Millares 54 2 3 2 2 3" xfId="1498" xr:uid="{00000000-0005-0000-0000-0000DA050000}"/>
    <cellStyle name="Millares 54 2 3 2 2 4" xfId="2076" xr:uid="{00000000-0005-0000-0000-00001C080000}"/>
    <cellStyle name="Millares 54 2 3 2 3" xfId="676" xr:uid="{00000000-0005-0000-0000-0000A4020000}"/>
    <cellStyle name="Millares 54 2 3 2 3 2" xfId="1499" xr:uid="{00000000-0005-0000-0000-0000DB050000}"/>
    <cellStyle name="Millares 54 2 3 2 4" xfId="1500" xr:uid="{00000000-0005-0000-0000-0000DC050000}"/>
    <cellStyle name="Millares 54 2 3 2 5" xfId="1501" xr:uid="{00000000-0005-0000-0000-0000DD050000}"/>
    <cellStyle name="Millares 54 2 3 2 6" xfId="2077" xr:uid="{00000000-0005-0000-0000-00001D080000}"/>
    <cellStyle name="Millares 54 2 3 3" xfId="320" xr:uid="{00000000-0005-0000-0000-000040010000}"/>
    <cellStyle name="Millares 54 2 3 3 2" xfId="677" xr:uid="{00000000-0005-0000-0000-0000A5020000}"/>
    <cellStyle name="Millares 54 2 3 3 3" xfId="1502" xr:uid="{00000000-0005-0000-0000-0000DE050000}"/>
    <cellStyle name="Millares 54 2 3 3 4" xfId="2078" xr:uid="{00000000-0005-0000-0000-00001E080000}"/>
    <cellStyle name="Millares 54 2 3 4" xfId="678" xr:uid="{00000000-0005-0000-0000-0000A6020000}"/>
    <cellStyle name="Millares 54 2 3 4 2" xfId="1503" xr:uid="{00000000-0005-0000-0000-0000DF050000}"/>
    <cellStyle name="Millares 54 2 3 5" xfId="865" xr:uid="{00000000-0005-0000-0000-000061030000}"/>
    <cellStyle name="Millares 54 2 3 5 2" xfId="1504" xr:uid="{00000000-0005-0000-0000-0000E0050000}"/>
    <cellStyle name="Millares 54 2 3 6" xfId="1505" xr:uid="{00000000-0005-0000-0000-0000E1050000}"/>
    <cellStyle name="Millares 54 2 3 7" xfId="2079" xr:uid="{00000000-0005-0000-0000-00001F080000}"/>
    <cellStyle name="Millares 54 2 4" xfId="321" xr:uid="{00000000-0005-0000-0000-000041010000}"/>
    <cellStyle name="Millares 54 2 4 2" xfId="322" xr:uid="{00000000-0005-0000-0000-000042010000}"/>
    <cellStyle name="Millares 54 2 4 2 2" xfId="679" xr:uid="{00000000-0005-0000-0000-0000A7020000}"/>
    <cellStyle name="Millares 54 2 4 2 3" xfId="1506" xr:uid="{00000000-0005-0000-0000-0000E2050000}"/>
    <cellStyle name="Millares 54 2 4 2 4" xfId="2080" xr:uid="{00000000-0005-0000-0000-000020080000}"/>
    <cellStyle name="Millares 54 2 4 3" xfId="680" xr:uid="{00000000-0005-0000-0000-0000A8020000}"/>
    <cellStyle name="Millares 54 2 4 3 2" xfId="1507" xr:uid="{00000000-0005-0000-0000-0000E3050000}"/>
    <cellStyle name="Millares 54 2 4 4" xfId="1508" xr:uid="{00000000-0005-0000-0000-0000E4050000}"/>
    <cellStyle name="Millares 54 2 4 5" xfId="1509" xr:uid="{00000000-0005-0000-0000-0000E5050000}"/>
    <cellStyle name="Millares 54 2 4 6" xfId="2081" xr:uid="{00000000-0005-0000-0000-000021080000}"/>
    <cellStyle name="Millares 54 2 5" xfId="323" xr:uid="{00000000-0005-0000-0000-000043010000}"/>
    <cellStyle name="Millares 54 2 5 2" xfId="681" xr:uid="{00000000-0005-0000-0000-0000A9020000}"/>
    <cellStyle name="Millares 54 2 5 2 2" xfId="1510" xr:uid="{00000000-0005-0000-0000-0000E6050000}"/>
    <cellStyle name="Millares 54 2 5 3" xfId="1511" xr:uid="{00000000-0005-0000-0000-0000E7050000}"/>
    <cellStyle name="Millares 54 2 5 4" xfId="1512" xr:uid="{00000000-0005-0000-0000-0000E8050000}"/>
    <cellStyle name="Millares 54 2 5 5" xfId="2082" xr:uid="{00000000-0005-0000-0000-000022080000}"/>
    <cellStyle name="Millares 54 2 6" xfId="682" xr:uid="{00000000-0005-0000-0000-0000AA020000}"/>
    <cellStyle name="Millares 54 2 6 2" xfId="1513" xr:uid="{00000000-0005-0000-0000-0000E9050000}"/>
    <cellStyle name="Millares 54 2 7" xfId="866" xr:uid="{00000000-0005-0000-0000-000062030000}"/>
    <cellStyle name="Millares 54 2 7 2" xfId="1514" xr:uid="{00000000-0005-0000-0000-0000EA050000}"/>
    <cellStyle name="Millares 54 2 8" xfId="1515" xr:uid="{00000000-0005-0000-0000-0000EB050000}"/>
    <cellStyle name="Millares 54 2 9" xfId="1516" xr:uid="{00000000-0005-0000-0000-0000EC050000}"/>
    <cellStyle name="Millares 54 3" xfId="324" xr:uid="{00000000-0005-0000-0000-000044010000}"/>
    <cellStyle name="Millares 54 3 2" xfId="325" xr:uid="{00000000-0005-0000-0000-000045010000}"/>
    <cellStyle name="Millares 54 3 2 2" xfId="326" xr:uid="{00000000-0005-0000-0000-000046010000}"/>
    <cellStyle name="Millares 54 3 2 2 2" xfId="683" xr:uid="{00000000-0005-0000-0000-0000AB020000}"/>
    <cellStyle name="Millares 54 3 2 2 2 2" xfId="1517" xr:uid="{00000000-0005-0000-0000-0000ED050000}"/>
    <cellStyle name="Millares 54 3 2 2 3" xfId="1518" xr:uid="{00000000-0005-0000-0000-0000EE050000}"/>
    <cellStyle name="Millares 54 3 2 2 4" xfId="1519" xr:uid="{00000000-0005-0000-0000-0000EF050000}"/>
    <cellStyle name="Millares 54 3 2 2 5" xfId="1520" xr:uid="{00000000-0005-0000-0000-0000F0050000}"/>
    <cellStyle name="Millares 54 3 2 2 6" xfId="2083" xr:uid="{00000000-0005-0000-0000-000023080000}"/>
    <cellStyle name="Millares 54 3 2 3" xfId="684" xr:uid="{00000000-0005-0000-0000-0000AC020000}"/>
    <cellStyle name="Millares 54 3 2 3 2" xfId="1521" xr:uid="{00000000-0005-0000-0000-0000F1050000}"/>
    <cellStyle name="Millares 54 3 2 3 3" xfId="1522" xr:uid="{00000000-0005-0000-0000-0000F2050000}"/>
    <cellStyle name="Millares 54 3 2 3 4" xfId="1523" xr:uid="{00000000-0005-0000-0000-0000F3050000}"/>
    <cellStyle name="Millares 54 3 2 4" xfId="1524" xr:uid="{00000000-0005-0000-0000-0000F4050000}"/>
    <cellStyle name="Millares 54 3 2 5" xfId="1525" xr:uid="{00000000-0005-0000-0000-0000F5050000}"/>
    <cellStyle name="Millares 54 3 2 6" xfId="1526" xr:uid="{00000000-0005-0000-0000-0000F6050000}"/>
    <cellStyle name="Millares 54 3 2 7" xfId="1527" xr:uid="{00000000-0005-0000-0000-0000F7050000}"/>
    <cellStyle name="Millares 54 3 2 8" xfId="2084" xr:uid="{00000000-0005-0000-0000-000024080000}"/>
    <cellStyle name="Millares 54 3 3" xfId="327" xr:uid="{00000000-0005-0000-0000-000047010000}"/>
    <cellStyle name="Millares 54 3 3 2" xfId="685" xr:uid="{00000000-0005-0000-0000-0000AD020000}"/>
    <cellStyle name="Millares 54 3 3 3" xfId="2085" xr:uid="{00000000-0005-0000-0000-000025080000}"/>
    <cellStyle name="Millares 54 3 4" xfId="686" xr:uid="{00000000-0005-0000-0000-0000AE020000}"/>
    <cellStyle name="Millares 54 3 5" xfId="867" xr:uid="{00000000-0005-0000-0000-000063030000}"/>
    <cellStyle name="Millares 54 3 6" xfId="2086" xr:uid="{00000000-0005-0000-0000-000026080000}"/>
    <cellStyle name="Millares 54 4" xfId="2316" xr:uid="{00000000-0005-0000-0000-00000C090000}"/>
    <cellStyle name="Millares 55" xfId="328" xr:uid="{00000000-0005-0000-0000-000048010000}"/>
    <cellStyle name="Millares 55 2" xfId="329" xr:uid="{00000000-0005-0000-0000-000049010000}"/>
    <cellStyle name="Millares 55 2 10" xfId="1528" xr:uid="{00000000-0005-0000-0000-0000F8050000}"/>
    <cellStyle name="Millares 55 2 11" xfId="2087" xr:uid="{00000000-0005-0000-0000-000027080000}"/>
    <cellStyle name="Millares 55 2 2" xfId="330" xr:uid="{00000000-0005-0000-0000-00004A010000}"/>
    <cellStyle name="Millares 55 2 2 2" xfId="331" xr:uid="{00000000-0005-0000-0000-00004B010000}"/>
    <cellStyle name="Millares 55 2 2 2 2" xfId="332" xr:uid="{00000000-0005-0000-0000-00004C010000}"/>
    <cellStyle name="Millares 55 2 2 2 2 2" xfId="687" xr:uid="{00000000-0005-0000-0000-0000AF020000}"/>
    <cellStyle name="Millares 55 2 2 2 2 3" xfId="1529" xr:uid="{00000000-0005-0000-0000-0000F9050000}"/>
    <cellStyle name="Millares 55 2 2 2 2 4" xfId="2088" xr:uid="{00000000-0005-0000-0000-000028080000}"/>
    <cellStyle name="Millares 55 2 2 2 3" xfId="688" xr:uid="{00000000-0005-0000-0000-0000B0020000}"/>
    <cellStyle name="Millares 55 2 2 2 3 2" xfId="1530" xr:uid="{00000000-0005-0000-0000-0000FA050000}"/>
    <cellStyle name="Millares 55 2 2 2 4" xfId="1531" xr:uid="{00000000-0005-0000-0000-0000FB050000}"/>
    <cellStyle name="Millares 55 2 2 2 5" xfId="1532" xr:uid="{00000000-0005-0000-0000-0000FC050000}"/>
    <cellStyle name="Millares 55 2 2 2 6" xfId="2089" xr:uid="{00000000-0005-0000-0000-000029080000}"/>
    <cellStyle name="Millares 55 2 2 3" xfId="333" xr:uid="{00000000-0005-0000-0000-00004D010000}"/>
    <cellStyle name="Millares 55 2 2 3 2" xfId="689" xr:uid="{00000000-0005-0000-0000-0000B1020000}"/>
    <cellStyle name="Millares 55 2 2 3 2 2" xfId="1533" xr:uid="{00000000-0005-0000-0000-0000FD050000}"/>
    <cellStyle name="Millares 55 2 2 3 3" xfId="1534" xr:uid="{00000000-0005-0000-0000-0000FE050000}"/>
    <cellStyle name="Millares 55 2 2 3 4" xfId="1535" xr:uid="{00000000-0005-0000-0000-0000FF050000}"/>
    <cellStyle name="Millares 55 2 2 3 5" xfId="2090" xr:uid="{00000000-0005-0000-0000-00002A080000}"/>
    <cellStyle name="Millares 55 2 2 4" xfId="690" xr:uid="{00000000-0005-0000-0000-0000B2020000}"/>
    <cellStyle name="Millares 55 2 2 4 2" xfId="1536" xr:uid="{00000000-0005-0000-0000-000000060000}"/>
    <cellStyle name="Millares 55 2 2 5" xfId="868" xr:uid="{00000000-0005-0000-0000-000064030000}"/>
    <cellStyle name="Millares 55 2 2 5 2" xfId="1537" xr:uid="{00000000-0005-0000-0000-000001060000}"/>
    <cellStyle name="Millares 55 2 2 6" xfId="1538" xr:uid="{00000000-0005-0000-0000-000002060000}"/>
    <cellStyle name="Millares 55 2 2 7" xfId="1539" xr:uid="{00000000-0005-0000-0000-000003060000}"/>
    <cellStyle name="Millares 55 2 2 8" xfId="2091" xr:uid="{00000000-0005-0000-0000-00002B080000}"/>
    <cellStyle name="Millares 55 2 3" xfId="334" xr:uid="{00000000-0005-0000-0000-00004E010000}"/>
    <cellStyle name="Millares 55 2 3 2" xfId="335" xr:uid="{00000000-0005-0000-0000-00004F010000}"/>
    <cellStyle name="Millares 55 2 3 2 2" xfId="336" xr:uid="{00000000-0005-0000-0000-000050010000}"/>
    <cellStyle name="Millares 55 2 3 2 2 2" xfId="691" xr:uid="{00000000-0005-0000-0000-0000B3020000}"/>
    <cellStyle name="Millares 55 2 3 2 2 3" xfId="1540" xr:uid="{00000000-0005-0000-0000-000004060000}"/>
    <cellStyle name="Millares 55 2 3 2 2 4" xfId="2092" xr:uid="{00000000-0005-0000-0000-00002C080000}"/>
    <cellStyle name="Millares 55 2 3 2 3" xfId="692" xr:uid="{00000000-0005-0000-0000-0000B4020000}"/>
    <cellStyle name="Millares 55 2 3 2 3 2" xfId="1541" xr:uid="{00000000-0005-0000-0000-000005060000}"/>
    <cellStyle name="Millares 55 2 3 2 4" xfId="1542" xr:uid="{00000000-0005-0000-0000-000006060000}"/>
    <cellStyle name="Millares 55 2 3 2 5" xfId="1543" xr:uid="{00000000-0005-0000-0000-000007060000}"/>
    <cellStyle name="Millares 55 2 3 2 6" xfId="2093" xr:uid="{00000000-0005-0000-0000-00002D080000}"/>
    <cellStyle name="Millares 55 2 3 3" xfId="337" xr:uid="{00000000-0005-0000-0000-000051010000}"/>
    <cellStyle name="Millares 55 2 3 3 2" xfId="693" xr:uid="{00000000-0005-0000-0000-0000B5020000}"/>
    <cellStyle name="Millares 55 2 3 3 3" xfId="1544" xr:uid="{00000000-0005-0000-0000-000008060000}"/>
    <cellStyle name="Millares 55 2 3 3 4" xfId="2094" xr:uid="{00000000-0005-0000-0000-00002E080000}"/>
    <cellStyle name="Millares 55 2 3 4" xfId="694" xr:uid="{00000000-0005-0000-0000-0000B6020000}"/>
    <cellStyle name="Millares 55 2 3 4 2" xfId="1545" xr:uid="{00000000-0005-0000-0000-000009060000}"/>
    <cellStyle name="Millares 55 2 3 5" xfId="869" xr:uid="{00000000-0005-0000-0000-000065030000}"/>
    <cellStyle name="Millares 55 2 3 5 2" xfId="1546" xr:uid="{00000000-0005-0000-0000-00000A060000}"/>
    <cellStyle name="Millares 55 2 3 6" xfId="1547" xr:uid="{00000000-0005-0000-0000-00000B060000}"/>
    <cellStyle name="Millares 55 2 3 7" xfId="2095" xr:uid="{00000000-0005-0000-0000-00002F080000}"/>
    <cellStyle name="Millares 55 2 4" xfId="338" xr:uid="{00000000-0005-0000-0000-000052010000}"/>
    <cellStyle name="Millares 55 2 4 2" xfId="339" xr:uid="{00000000-0005-0000-0000-000053010000}"/>
    <cellStyle name="Millares 55 2 4 2 2" xfId="695" xr:uid="{00000000-0005-0000-0000-0000B7020000}"/>
    <cellStyle name="Millares 55 2 4 2 3" xfId="1548" xr:uid="{00000000-0005-0000-0000-00000C060000}"/>
    <cellStyle name="Millares 55 2 4 2 4" xfId="2096" xr:uid="{00000000-0005-0000-0000-000030080000}"/>
    <cellStyle name="Millares 55 2 4 3" xfId="696" xr:uid="{00000000-0005-0000-0000-0000B8020000}"/>
    <cellStyle name="Millares 55 2 4 3 2" xfId="1549" xr:uid="{00000000-0005-0000-0000-00000D060000}"/>
    <cellStyle name="Millares 55 2 4 4" xfId="1550" xr:uid="{00000000-0005-0000-0000-00000E060000}"/>
    <cellStyle name="Millares 55 2 4 5" xfId="1551" xr:uid="{00000000-0005-0000-0000-00000F060000}"/>
    <cellStyle name="Millares 55 2 4 6" xfId="2097" xr:uid="{00000000-0005-0000-0000-000031080000}"/>
    <cellStyle name="Millares 55 2 5" xfId="340" xr:uid="{00000000-0005-0000-0000-000054010000}"/>
    <cellStyle name="Millares 55 2 5 2" xfId="697" xr:uid="{00000000-0005-0000-0000-0000B9020000}"/>
    <cellStyle name="Millares 55 2 5 2 2" xfId="1552" xr:uid="{00000000-0005-0000-0000-000010060000}"/>
    <cellStyle name="Millares 55 2 5 3" xfId="1553" xr:uid="{00000000-0005-0000-0000-000011060000}"/>
    <cellStyle name="Millares 55 2 5 4" xfId="1554" xr:uid="{00000000-0005-0000-0000-000012060000}"/>
    <cellStyle name="Millares 55 2 5 5" xfId="2098" xr:uid="{00000000-0005-0000-0000-000032080000}"/>
    <cellStyle name="Millares 55 2 6" xfId="698" xr:uid="{00000000-0005-0000-0000-0000BA020000}"/>
    <cellStyle name="Millares 55 2 6 2" xfId="1555" xr:uid="{00000000-0005-0000-0000-000013060000}"/>
    <cellStyle name="Millares 55 2 7" xfId="870" xr:uid="{00000000-0005-0000-0000-000066030000}"/>
    <cellStyle name="Millares 55 2 7 2" xfId="1556" xr:uid="{00000000-0005-0000-0000-000014060000}"/>
    <cellStyle name="Millares 55 2 8" xfId="1557" xr:uid="{00000000-0005-0000-0000-000015060000}"/>
    <cellStyle name="Millares 55 2 9" xfId="1558" xr:uid="{00000000-0005-0000-0000-000016060000}"/>
    <cellStyle name="Millares 55 3" xfId="341" xr:uid="{00000000-0005-0000-0000-000055010000}"/>
    <cellStyle name="Millares 55 3 2" xfId="342" xr:uid="{00000000-0005-0000-0000-000056010000}"/>
    <cellStyle name="Millares 55 3 2 2" xfId="343" xr:uid="{00000000-0005-0000-0000-000057010000}"/>
    <cellStyle name="Millares 55 3 2 2 2" xfId="699" xr:uid="{00000000-0005-0000-0000-0000BB020000}"/>
    <cellStyle name="Millares 55 3 2 2 2 2" xfId="1559" xr:uid="{00000000-0005-0000-0000-000017060000}"/>
    <cellStyle name="Millares 55 3 2 2 3" xfId="1560" xr:uid="{00000000-0005-0000-0000-000018060000}"/>
    <cellStyle name="Millares 55 3 2 2 4" xfId="1561" xr:uid="{00000000-0005-0000-0000-000019060000}"/>
    <cellStyle name="Millares 55 3 2 2 5" xfId="1562" xr:uid="{00000000-0005-0000-0000-00001A060000}"/>
    <cellStyle name="Millares 55 3 2 2 6" xfId="2099" xr:uid="{00000000-0005-0000-0000-000033080000}"/>
    <cellStyle name="Millares 55 3 2 3" xfId="700" xr:uid="{00000000-0005-0000-0000-0000BC020000}"/>
    <cellStyle name="Millares 55 3 2 3 2" xfId="1563" xr:uid="{00000000-0005-0000-0000-00001B060000}"/>
    <cellStyle name="Millares 55 3 2 3 3" xfId="1564" xr:uid="{00000000-0005-0000-0000-00001C060000}"/>
    <cellStyle name="Millares 55 3 2 3 4" xfId="1565" xr:uid="{00000000-0005-0000-0000-00001D060000}"/>
    <cellStyle name="Millares 55 3 2 4" xfId="1566" xr:uid="{00000000-0005-0000-0000-00001E060000}"/>
    <cellStyle name="Millares 55 3 2 5" xfId="1567" xr:uid="{00000000-0005-0000-0000-00001F060000}"/>
    <cellStyle name="Millares 55 3 2 6" xfId="1568" xr:uid="{00000000-0005-0000-0000-000020060000}"/>
    <cellStyle name="Millares 55 3 2 7" xfId="1569" xr:uid="{00000000-0005-0000-0000-000021060000}"/>
    <cellStyle name="Millares 55 3 2 8" xfId="2100" xr:uid="{00000000-0005-0000-0000-000034080000}"/>
    <cellStyle name="Millares 55 3 3" xfId="344" xr:uid="{00000000-0005-0000-0000-000058010000}"/>
    <cellStyle name="Millares 55 3 3 2" xfId="701" xr:uid="{00000000-0005-0000-0000-0000BD020000}"/>
    <cellStyle name="Millares 55 3 3 3" xfId="2101" xr:uid="{00000000-0005-0000-0000-000035080000}"/>
    <cellStyle name="Millares 55 3 4" xfId="702" xr:uid="{00000000-0005-0000-0000-0000BE020000}"/>
    <cellStyle name="Millares 55 3 5" xfId="871" xr:uid="{00000000-0005-0000-0000-000067030000}"/>
    <cellStyle name="Millares 55 3 6" xfId="2102" xr:uid="{00000000-0005-0000-0000-000036080000}"/>
    <cellStyle name="Millares 55 4" xfId="2317" xr:uid="{00000000-0005-0000-0000-00000D090000}"/>
    <cellStyle name="Millares 56" xfId="345" xr:uid="{00000000-0005-0000-0000-000059010000}"/>
    <cellStyle name="Millares 56 2" xfId="346" xr:uid="{00000000-0005-0000-0000-00005A010000}"/>
    <cellStyle name="Millares 56 2 10" xfId="1570" xr:uid="{00000000-0005-0000-0000-000022060000}"/>
    <cellStyle name="Millares 56 2 11" xfId="2103" xr:uid="{00000000-0005-0000-0000-000037080000}"/>
    <cellStyle name="Millares 56 2 2" xfId="347" xr:uid="{00000000-0005-0000-0000-00005B010000}"/>
    <cellStyle name="Millares 56 2 2 2" xfId="348" xr:uid="{00000000-0005-0000-0000-00005C010000}"/>
    <cellStyle name="Millares 56 2 2 2 2" xfId="349" xr:uid="{00000000-0005-0000-0000-00005D010000}"/>
    <cellStyle name="Millares 56 2 2 2 2 2" xfId="703" xr:uid="{00000000-0005-0000-0000-0000BF020000}"/>
    <cellStyle name="Millares 56 2 2 2 2 3" xfId="1571" xr:uid="{00000000-0005-0000-0000-000023060000}"/>
    <cellStyle name="Millares 56 2 2 2 2 4" xfId="2104" xr:uid="{00000000-0005-0000-0000-000038080000}"/>
    <cellStyle name="Millares 56 2 2 2 3" xfId="704" xr:uid="{00000000-0005-0000-0000-0000C0020000}"/>
    <cellStyle name="Millares 56 2 2 2 3 2" xfId="1572" xr:uid="{00000000-0005-0000-0000-000024060000}"/>
    <cellStyle name="Millares 56 2 2 2 4" xfId="1573" xr:uid="{00000000-0005-0000-0000-000025060000}"/>
    <cellStyle name="Millares 56 2 2 2 5" xfId="1574" xr:uid="{00000000-0005-0000-0000-000026060000}"/>
    <cellStyle name="Millares 56 2 2 2 6" xfId="2105" xr:uid="{00000000-0005-0000-0000-000039080000}"/>
    <cellStyle name="Millares 56 2 2 3" xfId="350" xr:uid="{00000000-0005-0000-0000-00005E010000}"/>
    <cellStyle name="Millares 56 2 2 3 2" xfId="705" xr:uid="{00000000-0005-0000-0000-0000C1020000}"/>
    <cellStyle name="Millares 56 2 2 3 2 2" xfId="1575" xr:uid="{00000000-0005-0000-0000-000027060000}"/>
    <cellStyle name="Millares 56 2 2 3 3" xfId="1576" xr:uid="{00000000-0005-0000-0000-000028060000}"/>
    <cellStyle name="Millares 56 2 2 3 4" xfId="1577" xr:uid="{00000000-0005-0000-0000-000029060000}"/>
    <cellStyle name="Millares 56 2 2 3 5" xfId="2106" xr:uid="{00000000-0005-0000-0000-00003A080000}"/>
    <cellStyle name="Millares 56 2 2 4" xfId="706" xr:uid="{00000000-0005-0000-0000-0000C2020000}"/>
    <cellStyle name="Millares 56 2 2 4 2" xfId="1578" xr:uid="{00000000-0005-0000-0000-00002A060000}"/>
    <cellStyle name="Millares 56 2 2 5" xfId="872" xr:uid="{00000000-0005-0000-0000-000068030000}"/>
    <cellStyle name="Millares 56 2 2 5 2" xfId="1579" xr:uid="{00000000-0005-0000-0000-00002B060000}"/>
    <cellStyle name="Millares 56 2 2 6" xfId="1580" xr:uid="{00000000-0005-0000-0000-00002C060000}"/>
    <cellStyle name="Millares 56 2 2 7" xfId="1581" xr:uid="{00000000-0005-0000-0000-00002D060000}"/>
    <cellStyle name="Millares 56 2 2 8" xfId="2107" xr:uid="{00000000-0005-0000-0000-00003B080000}"/>
    <cellStyle name="Millares 56 2 3" xfId="351" xr:uid="{00000000-0005-0000-0000-00005F010000}"/>
    <cellStyle name="Millares 56 2 3 2" xfId="352" xr:uid="{00000000-0005-0000-0000-000060010000}"/>
    <cellStyle name="Millares 56 2 3 2 2" xfId="707" xr:uid="{00000000-0005-0000-0000-0000C3020000}"/>
    <cellStyle name="Millares 56 2 3 2 2 2" xfId="1582" xr:uid="{00000000-0005-0000-0000-00002E060000}"/>
    <cellStyle name="Millares 56 2 3 2 3" xfId="1583" xr:uid="{00000000-0005-0000-0000-00002F060000}"/>
    <cellStyle name="Millares 56 2 3 2 4" xfId="1584" xr:uid="{00000000-0005-0000-0000-000030060000}"/>
    <cellStyle name="Millares 56 2 3 2 5" xfId="1585" xr:uid="{00000000-0005-0000-0000-000031060000}"/>
    <cellStyle name="Millares 56 2 3 2 6" xfId="2108" xr:uid="{00000000-0005-0000-0000-00003C080000}"/>
    <cellStyle name="Millares 56 2 3 3" xfId="708" xr:uid="{00000000-0005-0000-0000-0000C4020000}"/>
    <cellStyle name="Millares 56 2 3 3 2" xfId="1586" xr:uid="{00000000-0005-0000-0000-000032060000}"/>
    <cellStyle name="Millares 56 2 3 4" xfId="1587" xr:uid="{00000000-0005-0000-0000-000033060000}"/>
    <cellStyle name="Millares 56 2 3 5" xfId="1588" xr:uid="{00000000-0005-0000-0000-000034060000}"/>
    <cellStyle name="Millares 56 2 3 6" xfId="1589" xr:uid="{00000000-0005-0000-0000-000035060000}"/>
    <cellStyle name="Millares 56 2 3 7" xfId="2109" xr:uid="{00000000-0005-0000-0000-00003D080000}"/>
    <cellStyle name="Millares 56 2 4" xfId="353" xr:uid="{00000000-0005-0000-0000-000061010000}"/>
    <cellStyle name="Millares 56 2 4 2" xfId="709" xr:uid="{00000000-0005-0000-0000-0000C5020000}"/>
    <cellStyle name="Millares 56 2 4 2 2" xfId="1590" xr:uid="{00000000-0005-0000-0000-000036060000}"/>
    <cellStyle name="Millares 56 2 4 3" xfId="1591" xr:uid="{00000000-0005-0000-0000-000037060000}"/>
    <cellStyle name="Millares 56 2 4 4" xfId="1592" xr:uid="{00000000-0005-0000-0000-000038060000}"/>
    <cellStyle name="Millares 56 2 4 5" xfId="1593" xr:uid="{00000000-0005-0000-0000-000039060000}"/>
    <cellStyle name="Millares 56 2 4 6" xfId="2110" xr:uid="{00000000-0005-0000-0000-00003E080000}"/>
    <cellStyle name="Millares 56 2 5" xfId="710" xr:uid="{00000000-0005-0000-0000-0000C6020000}"/>
    <cellStyle name="Millares 56 2 5 2" xfId="1594" xr:uid="{00000000-0005-0000-0000-00003A060000}"/>
    <cellStyle name="Millares 56 2 5 3" xfId="1595" xr:uid="{00000000-0005-0000-0000-00003B060000}"/>
    <cellStyle name="Millares 56 2 5 4" xfId="1596" xr:uid="{00000000-0005-0000-0000-00003C060000}"/>
    <cellStyle name="Millares 56 2 6" xfId="873" xr:uid="{00000000-0005-0000-0000-000069030000}"/>
    <cellStyle name="Millares 56 2 6 2" xfId="1597" xr:uid="{00000000-0005-0000-0000-00003D060000}"/>
    <cellStyle name="Millares 56 2 7" xfId="1598" xr:uid="{00000000-0005-0000-0000-00003E060000}"/>
    <cellStyle name="Millares 56 2 8" xfId="1599" xr:uid="{00000000-0005-0000-0000-00003F060000}"/>
    <cellStyle name="Millares 56 2 9" xfId="1600" xr:uid="{00000000-0005-0000-0000-000040060000}"/>
    <cellStyle name="Millares 56 3" xfId="354" xr:uid="{00000000-0005-0000-0000-000062010000}"/>
    <cellStyle name="Millares 56 3 2" xfId="355" xr:uid="{00000000-0005-0000-0000-000063010000}"/>
    <cellStyle name="Millares 56 3 2 2" xfId="356" xr:uid="{00000000-0005-0000-0000-000064010000}"/>
    <cellStyle name="Millares 56 3 2 2 2" xfId="357" xr:uid="{00000000-0005-0000-0000-000065010000}"/>
    <cellStyle name="Millares 56 3 2 2 2 2" xfId="711" xr:uid="{00000000-0005-0000-0000-0000C7020000}"/>
    <cellStyle name="Millares 56 3 2 2 2 3" xfId="1601" xr:uid="{00000000-0005-0000-0000-000041060000}"/>
    <cellStyle name="Millares 56 3 2 2 2 4" xfId="2111" xr:uid="{00000000-0005-0000-0000-00003F080000}"/>
    <cellStyle name="Millares 56 3 2 2 3" xfId="712" xr:uid="{00000000-0005-0000-0000-0000C8020000}"/>
    <cellStyle name="Millares 56 3 2 2 3 2" xfId="1602" xr:uid="{00000000-0005-0000-0000-000042060000}"/>
    <cellStyle name="Millares 56 3 2 2 4" xfId="1603" xr:uid="{00000000-0005-0000-0000-000043060000}"/>
    <cellStyle name="Millares 56 3 2 2 5" xfId="1604" xr:uid="{00000000-0005-0000-0000-000044060000}"/>
    <cellStyle name="Millares 56 3 2 2 6" xfId="2112" xr:uid="{00000000-0005-0000-0000-000040080000}"/>
    <cellStyle name="Millares 56 3 2 3" xfId="358" xr:uid="{00000000-0005-0000-0000-000066010000}"/>
    <cellStyle name="Millares 56 3 2 3 2" xfId="713" xr:uid="{00000000-0005-0000-0000-0000C9020000}"/>
    <cellStyle name="Millares 56 3 2 3 2 2" xfId="1605" xr:uid="{00000000-0005-0000-0000-000045060000}"/>
    <cellStyle name="Millares 56 3 2 3 3" xfId="1606" xr:uid="{00000000-0005-0000-0000-000046060000}"/>
    <cellStyle name="Millares 56 3 2 3 4" xfId="1607" xr:uid="{00000000-0005-0000-0000-000047060000}"/>
    <cellStyle name="Millares 56 3 2 3 5" xfId="2113" xr:uid="{00000000-0005-0000-0000-000041080000}"/>
    <cellStyle name="Millares 56 3 2 4" xfId="714" xr:uid="{00000000-0005-0000-0000-0000CA020000}"/>
    <cellStyle name="Millares 56 3 2 4 2" xfId="1608" xr:uid="{00000000-0005-0000-0000-000048060000}"/>
    <cellStyle name="Millares 56 3 2 5" xfId="874" xr:uid="{00000000-0005-0000-0000-00006A030000}"/>
    <cellStyle name="Millares 56 3 2 5 2" xfId="1609" xr:uid="{00000000-0005-0000-0000-000049060000}"/>
    <cellStyle name="Millares 56 3 2 6" xfId="1610" xr:uid="{00000000-0005-0000-0000-00004A060000}"/>
    <cellStyle name="Millares 56 3 2 7" xfId="1611" xr:uid="{00000000-0005-0000-0000-00004B060000}"/>
    <cellStyle name="Millares 56 3 2 8" xfId="2114" xr:uid="{00000000-0005-0000-0000-000042080000}"/>
    <cellStyle name="Millares 56 3 3" xfId="359" xr:uid="{00000000-0005-0000-0000-000067010000}"/>
    <cellStyle name="Millares 56 3 3 2" xfId="360" xr:uid="{00000000-0005-0000-0000-000068010000}"/>
    <cellStyle name="Millares 56 3 3 2 2" xfId="715" xr:uid="{00000000-0005-0000-0000-0000CB020000}"/>
    <cellStyle name="Millares 56 3 3 2 3" xfId="2115" xr:uid="{00000000-0005-0000-0000-000043080000}"/>
    <cellStyle name="Millares 56 3 3 3" xfId="716" xr:uid="{00000000-0005-0000-0000-0000CC020000}"/>
    <cellStyle name="Millares 56 3 3 4" xfId="2116" xr:uid="{00000000-0005-0000-0000-000044080000}"/>
    <cellStyle name="Millares 56 3 4" xfId="361" xr:uid="{00000000-0005-0000-0000-000069010000}"/>
    <cellStyle name="Millares 56 3 4 2" xfId="717" xr:uid="{00000000-0005-0000-0000-0000CD020000}"/>
    <cellStyle name="Millares 56 3 4 3" xfId="2117" xr:uid="{00000000-0005-0000-0000-000045080000}"/>
    <cellStyle name="Millares 56 3 5" xfId="718" xr:uid="{00000000-0005-0000-0000-0000CE020000}"/>
    <cellStyle name="Millares 56 3 6" xfId="875" xr:uid="{00000000-0005-0000-0000-00006B030000}"/>
    <cellStyle name="Millares 56 3 7" xfId="2118" xr:uid="{00000000-0005-0000-0000-000046080000}"/>
    <cellStyle name="Millares 56 4" xfId="362" xr:uid="{00000000-0005-0000-0000-00006A010000}"/>
    <cellStyle name="Millares 56 4 2" xfId="363" xr:uid="{00000000-0005-0000-0000-00006B010000}"/>
    <cellStyle name="Millares 56 4 2 2" xfId="364" xr:uid="{00000000-0005-0000-0000-00006C010000}"/>
    <cellStyle name="Millares 56 4 2 2 2" xfId="719" xr:uid="{00000000-0005-0000-0000-0000CF020000}"/>
    <cellStyle name="Millares 56 4 2 2 3" xfId="2119" xr:uid="{00000000-0005-0000-0000-000047080000}"/>
    <cellStyle name="Millares 56 4 2 3" xfId="720" xr:uid="{00000000-0005-0000-0000-0000D0020000}"/>
    <cellStyle name="Millares 56 4 2 4" xfId="2120" xr:uid="{00000000-0005-0000-0000-000048080000}"/>
    <cellStyle name="Millares 56 4 3" xfId="365" xr:uid="{00000000-0005-0000-0000-00006D010000}"/>
    <cellStyle name="Millares 56 4 3 2" xfId="721" xr:uid="{00000000-0005-0000-0000-0000D1020000}"/>
    <cellStyle name="Millares 56 4 3 3" xfId="2121" xr:uid="{00000000-0005-0000-0000-000049080000}"/>
    <cellStyle name="Millares 56 4 4" xfId="722" xr:uid="{00000000-0005-0000-0000-0000D2020000}"/>
    <cellStyle name="Millares 56 4 5" xfId="876" xr:uid="{00000000-0005-0000-0000-00006C030000}"/>
    <cellStyle name="Millares 56 4 6" xfId="2122" xr:uid="{00000000-0005-0000-0000-00004A080000}"/>
    <cellStyle name="Millares 56 5" xfId="366" xr:uid="{00000000-0005-0000-0000-00006E010000}"/>
    <cellStyle name="Millares 56 5 2" xfId="367" xr:uid="{00000000-0005-0000-0000-00006F010000}"/>
    <cellStyle name="Millares 56 5 2 2" xfId="723" xr:uid="{00000000-0005-0000-0000-0000D3020000}"/>
    <cellStyle name="Millares 56 5 2 3" xfId="2123" xr:uid="{00000000-0005-0000-0000-00004B080000}"/>
    <cellStyle name="Millares 56 5 3" xfId="724" xr:uid="{00000000-0005-0000-0000-0000D4020000}"/>
    <cellStyle name="Millares 56 5 4" xfId="2124" xr:uid="{00000000-0005-0000-0000-00004C080000}"/>
    <cellStyle name="Millares 56 6" xfId="368" xr:uid="{00000000-0005-0000-0000-000070010000}"/>
    <cellStyle name="Millares 56 6 2" xfId="725" xr:uid="{00000000-0005-0000-0000-0000D5020000}"/>
    <cellStyle name="Millares 56 6 3" xfId="2125" xr:uid="{00000000-0005-0000-0000-00004D080000}"/>
    <cellStyle name="Millares 56 7" xfId="726" xr:uid="{00000000-0005-0000-0000-0000D6020000}"/>
    <cellStyle name="Millares 56 8" xfId="877" xr:uid="{00000000-0005-0000-0000-00006D030000}"/>
    <cellStyle name="Millares 56 9" xfId="2126" xr:uid="{00000000-0005-0000-0000-00004E080000}"/>
    <cellStyle name="Millares 57" xfId="369" xr:uid="{00000000-0005-0000-0000-000071010000}"/>
    <cellStyle name="Millares 57 2" xfId="370" xr:uid="{00000000-0005-0000-0000-000072010000}"/>
    <cellStyle name="Millares 57 2 10" xfId="1612" xr:uid="{00000000-0005-0000-0000-00004C060000}"/>
    <cellStyle name="Millares 57 2 11" xfId="2127" xr:uid="{00000000-0005-0000-0000-00004F080000}"/>
    <cellStyle name="Millares 57 2 2" xfId="371" xr:uid="{00000000-0005-0000-0000-000073010000}"/>
    <cellStyle name="Millares 57 2 2 2" xfId="372" xr:uid="{00000000-0005-0000-0000-000074010000}"/>
    <cellStyle name="Millares 57 2 2 2 2" xfId="727" xr:uid="{00000000-0005-0000-0000-0000D7020000}"/>
    <cellStyle name="Millares 57 2 2 2 2 2" xfId="1613" xr:uid="{00000000-0005-0000-0000-00004D060000}"/>
    <cellStyle name="Millares 57 2 2 2 3" xfId="1614" xr:uid="{00000000-0005-0000-0000-00004E060000}"/>
    <cellStyle name="Millares 57 2 2 2 4" xfId="1615" xr:uid="{00000000-0005-0000-0000-00004F060000}"/>
    <cellStyle name="Millares 57 2 2 2 5" xfId="1616" xr:uid="{00000000-0005-0000-0000-000050060000}"/>
    <cellStyle name="Millares 57 2 2 2 6" xfId="2128" xr:uid="{00000000-0005-0000-0000-000050080000}"/>
    <cellStyle name="Millares 57 2 2 3" xfId="728" xr:uid="{00000000-0005-0000-0000-0000D8020000}"/>
    <cellStyle name="Millares 57 2 2 3 2" xfId="1617" xr:uid="{00000000-0005-0000-0000-000051060000}"/>
    <cellStyle name="Millares 57 2 2 3 3" xfId="1618" xr:uid="{00000000-0005-0000-0000-000052060000}"/>
    <cellStyle name="Millares 57 2 2 3 4" xfId="1619" xr:uid="{00000000-0005-0000-0000-000053060000}"/>
    <cellStyle name="Millares 57 2 2 4" xfId="1620" xr:uid="{00000000-0005-0000-0000-000054060000}"/>
    <cellStyle name="Millares 57 2 2 5" xfId="1621" xr:uid="{00000000-0005-0000-0000-000055060000}"/>
    <cellStyle name="Millares 57 2 2 6" xfId="1622" xr:uid="{00000000-0005-0000-0000-000056060000}"/>
    <cellStyle name="Millares 57 2 2 7" xfId="1623" xr:uid="{00000000-0005-0000-0000-000057060000}"/>
    <cellStyle name="Millares 57 2 2 8" xfId="2129" xr:uid="{00000000-0005-0000-0000-000051080000}"/>
    <cellStyle name="Millares 57 2 3" xfId="373" xr:uid="{00000000-0005-0000-0000-000075010000}"/>
    <cellStyle name="Millares 57 2 3 2" xfId="729" xr:uid="{00000000-0005-0000-0000-0000D9020000}"/>
    <cellStyle name="Millares 57 2 3 2 2" xfId="1624" xr:uid="{00000000-0005-0000-0000-000058060000}"/>
    <cellStyle name="Millares 57 2 3 2 3" xfId="1625" xr:uid="{00000000-0005-0000-0000-000059060000}"/>
    <cellStyle name="Millares 57 2 3 2 4" xfId="1626" xr:uid="{00000000-0005-0000-0000-00005A060000}"/>
    <cellStyle name="Millares 57 2 3 2 5" xfId="1627" xr:uid="{00000000-0005-0000-0000-00005B060000}"/>
    <cellStyle name="Millares 57 2 3 3" xfId="1628" xr:uid="{00000000-0005-0000-0000-00005C060000}"/>
    <cellStyle name="Millares 57 2 3 4" xfId="1629" xr:uid="{00000000-0005-0000-0000-00005D060000}"/>
    <cellStyle name="Millares 57 2 3 5" xfId="1630" xr:uid="{00000000-0005-0000-0000-00005E060000}"/>
    <cellStyle name="Millares 57 2 3 6" xfId="1631" xr:uid="{00000000-0005-0000-0000-00005F060000}"/>
    <cellStyle name="Millares 57 2 3 7" xfId="2130" xr:uid="{00000000-0005-0000-0000-000052080000}"/>
    <cellStyle name="Millares 57 2 4" xfId="730" xr:uid="{00000000-0005-0000-0000-0000DA020000}"/>
    <cellStyle name="Millares 57 2 4 2" xfId="1632" xr:uid="{00000000-0005-0000-0000-000060060000}"/>
    <cellStyle name="Millares 57 2 4 3" xfId="1633" xr:uid="{00000000-0005-0000-0000-000061060000}"/>
    <cellStyle name="Millares 57 2 4 4" xfId="1634" xr:uid="{00000000-0005-0000-0000-000062060000}"/>
    <cellStyle name="Millares 57 2 4 5" xfId="1635" xr:uid="{00000000-0005-0000-0000-000063060000}"/>
    <cellStyle name="Millares 57 2 5" xfId="878" xr:uid="{00000000-0005-0000-0000-00006E030000}"/>
    <cellStyle name="Millares 57 2 5 2" xfId="1636" xr:uid="{00000000-0005-0000-0000-000064060000}"/>
    <cellStyle name="Millares 57 2 5 3" xfId="1637" xr:uid="{00000000-0005-0000-0000-000065060000}"/>
    <cellStyle name="Millares 57 2 5 4" xfId="1638" xr:uid="{00000000-0005-0000-0000-000066060000}"/>
    <cellStyle name="Millares 57 2 6" xfId="1639" xr:uid="{00000000-0005-0000-0000-000067060000}"/>
    <cellStyle name="Millares 57 2 7" xfId="1640" xr:uid="{00000000-0005-0000-0000-000068060000}"/>
    <cellStyle name="Millares 57 2 8" xfId="1641" xr:uid="{00000000-0005-0000-0000-000069060000}"/>
    <cellStyle name="Millares 57 2 9" xfId="1642" xr:uid="{00000000-0005-0000-0000-00006A060000}"/>
    <cellStyle name="Millares 57 3" xfId="374" xr:uid="{00000000-0005-0000-0000-000076010000}"/>
    <cellStyle name="Millares 57 3 2" xfId="375" xr:uid="{00000000-0005-0000-0000-000077010000}"/>
    <cellStyle name="Millares 57 3 2 2" xfId="376" xr:uid="{00000000-0005-0000-0000-000078010000}"/>
    <cellStyle name="Millares 57 3 2 2 2" xfId="731" xr:uid="{00000000-0005-0000-0000-0000DB020000}"/>
    <cellStyle name="Millares 57 3 2 2 2 2" xfId="1643" xr:uid="{00000000-0005-0000-0000-00006B060000}"/>
    <cellStyle name="Millares 57 3 2 2 3" xfId="1644" xr:uid="{00000000-0005-0000-0000-00006C060000}"/>
    <cellStyle name="Millares 57 3 2 2 4" xfId="1645" xr:uid="{00000000-0005-0000-0000-00006D060000}"/>
    <cellStyle name="Millares 57 3 2 2 5" xfId="1646" xr:uid="{00000000-0005-0000-0000-00006E060000}"/>
    <cellStyle name="Millares 57 3 2 2 6" xfId="2131" xr:uid="{00000000-0005-0000-0000-000053080000}"/>
    <cellStyle name="Millares 57 3 2 3" xfId="732" xr:uid="{00000000-0005-0000-0000-0000DC020000}"/>
    <cellStyle name="Millares 57 3 2 3 2" xfId="1647" xr:uid="{00000000-0005-0000-0000-00006F060000}"/>
    <cellStyle name="Millares 57 3 2 3 3" xfId="1648" xr:uid="{00000000-0005-0000-0000-000070060000}"/>
    <cellStyle name="Millares 57 3 2 3 4" xfId="1649" xr:uid="{00000000-0005-0000-0000-000071060000}"/>
    <cellStyle name="Millares 57 3 2 4" xfId="1650" xr:uid="{00000000-0005-0000-0000-000072060000}"/>
    <cellStyle name="Millares 57 3 2 5" xfId="1651" xr:uid="{00000000-0005-0000-0000-000073060000}"/>
    <cellStyle name="Millares 57 3 2 6" xfId="1652" xr:uid="{00000000-0005-0000-0000-000074060000}"/>
    <cellStyle name="Millares 57 3 2 7" xfId="1653" xr:uid="{00000000-0005-0000-0000-000075060000}"/>
    <cellStyle name="Millares 57 3 2 8" xfId="2132" xr:uid="{00000000-0005-0000-0000-000054080000}"/>
    <cellStyle name="Millares 57 3 3" xfId="377" xr:uid="{00000000-0005-0000-0000-000079010000}"/>
    <cellStyle name="Millares 57 3 3 2" xfId="733" xr:uid="{00000000-0005-0000-0000-0000DD020000}"/>
    <cellStyle name="Millares 57 3 3 3" xfId="2133" xr:uid="{00000000-0005-0000-0000-000055080000}"/>
    <cellStyle name="Millares 57 3 4" xfId="734" xr:uid="{00000000-0005-0000-0000-0000DE020000}"/>
    <cellStyle name="Millares 57 3 5" xfId="879" xr:uid="{00000000-0005-0000-0000-00006F030000}"/>
    <cellStyle name="Millares 57 3 6" xfId="2134" xr:uid="{00000000-0005-0000-0000-000056080000}"/>
    <cellStyle name="Millares 57 4" xfId="378" xr:uid="{00000000-0005-0000-0000-00007A010000}"/>
    <cellStyle name="Millares 57 4 2" xfId="379" xr:uid="{00000000-0005-0000-0000-00007B010000}"/>
    <cellStyle name="Millares 57 4 2 2" xfId="380" xr:uid="{00000000-0005-0000-0000-00007C010000}"/>
    <cellStyle name="Millares 57 4 2 2 2" xfId="735" xr:uid="{00000000-0005-0000-0000-0000DF020000}"/>
    <cellStyle name="Millares 57 4 2 2 3" xfId="2135" xr:uid="{00000000-0005-0000-0000-000057080000}"/>
    <cellStyle name="Millares 57 4 2 3" xfId="736" xr:uid="{00000000-0005-0000-0000-0000E0020000}"/>
    <cellStyle name="Millares 57 4 2 4" xfId="2136" xr:uid="{00000000-0005-0000-0000-000058080000}"/>
    <cellStyle name="Millares 57 4 3" xfId="381" xr:uid="{00000000-0005-0000-0000-00007D010000}"/>
    <cellStyle name="Millares 57 4 3 2" xfId="737" xr:uid="{00000000-0005-0000-0000-0000E1020000}"/>
    <cellStyle name="Millares 57 4 3 3" xfId="2137" xr:uid="{00000000-0005-0000-0000-000059080000}"/>
    <cellStyle name="Millares 57 4 4" xfId="738" xr:uid="{00000000-0005-0000-0000-0000E2020000}"/>
    <cellStyle name="Millares 57 4 5" xfId="880" xr:uid="{00000000-0005-0000-0000-000070030000}"/>
    <cellStyle name="Millares 57 4 6" xfId="2138" xr:uid="{00000000-0005-0000-0000-00005A080000}"/>
    <cellStyle name="Millares 57 5" xfId="382" xr:uid="{00000000-0005-0000-0000-00007E010000}"/>
    <cellStyle name="Millares 57 5 2" xfId="383" xr:uid="{00000000-0005-0000-0000-00007F010000}"/>
    <cellStyle name="Millares 57 5 2 2" xfId="739" xr:uid="{00000000-0005-0000-0000-0000E3020000}"/>
    <cellStyle name="Millares 57 5 2 3" xfId="2139" xr:uid="{00000000-0005-0000-0000-00005B080000}"/>
    <cellStyle name="Millares 57 5 3" xfId="740" xr:uid="{00000000-0005-0000-0000-0000E4020000}"/>
    <cellStyle name="Millares 57 5 4" xfId="2140" xr:uid="{00000000-0005-0000-0000-00005C080000}"/>
    <cellStyle name="Millares 57 6" xfId="384" xr:uid="{00000000-0005-0000-0000-000080010000}"/>
    <cellStyle name="Millares 57 6 2" xfId="741" xr:uid="{00000000-0005-0000-0000-0000E5020000}"/>
    <cellStyle name="Millares 57 6 3" xfId="2141" xr:uid="{00000000-0005-0000-0000-00005D080000}"/>
    <cellStyle name="Millares 57 7" xfId="742" xr:uid="{00000000-0005-0000-0000-0000E6020000}"/>
    <cellStyle name="Millares 57 8" xfId="881" xr:uid="{00000000-0005-0000-0000-000071030000}"/>
    <cellStyle name="Millares 57 9" xfId="2142" xr:uid="{00000000-0005-0000-0000-00005E080000}"/>
    <cellStyle name="Millares 58" xfId="385" xr:uid="{00000000-0005-0000-0000-000081010000}"/>
    <cellStyle name="Millares 58 2" xfId="386" xr:uid="{00000000-0005-0000-0000-000082010000}"/>
    <cellStyle name="Millares 58 2 10" xfId="1654" xr:uid="{00000000-0005-0000-0000-000076060000}"/>
    <cellStyle name="Millares 58 2 11" xfId="2143" xr:uid="{00000000-0005-0000-0000-00005F080000}"/>
    <cellStyle name="Millares 58 2 2" xfId="387" xr:uid="{00000000-0005-0000-0000-000083010000}"/>
    <cellStyle name="Millares 58 2 2 2" xfId="388" xr:uid="{00000000-0005-0000-0000-000084010000}"/>
    <cellStyle name="Millares 58 2 2 2 2" xfId="743" xr:uid="{00000000-0005-0000-0000-0000E7020000}"/>
    <cellStyle name="Millares 58 2 2 2 2 2" xfId="1655" xr:uid="{00000000-0005-0000-0000-000077060000}"/>
    <cellStyle name="Millares 58 2 2 2 3" xfId="1656" xr:uid="{00000000-0005-0000-0000-000078060000}"/>
    <cellStyle name="Millares 58 2 2 2 4" xfId="1657" xr:uid="{00000000-0005-0000-0000-000079060000}"/>
    <cellStyle name="Millares 58 2 2 2 5" xfId="1658" xr:uid="{00000000-0005-0000-0000-00007A060000}"/>
    <cellStyle name="Millares 58 2 2 2 6" xfId="2144" xr:uid="{00000000-0005-0000-0000-000060080000}"/>
    <cellStyle name="Millares 58 2 2 3" xfId="744" xr:uid="{00000000-0005-0000-0000-0000E8020000}"/>
    <cellStyle name="Millares 58 2 2 3 2" xfId="1659" xr:uid="{00000000-0005-0000-0000-00007B060000}"/>
    <cellStyle name="Millares 58 2 2 3 3" xfId="1660" xr:uid="{00000000-0005-0000-0000-00007C060000}"/>
    <cellStyle name="Millares 58 2 2 3 4" xfId="1661" xr:uid="{00000000-0005-0000-0000-00007D060000}"/>
    <cellStyle name="Millares 58 2 2 4" xfId="1662" xr:uid="{00000000-0005-0000-0000-00007E060000}"/>
    <cellStyle name="Millares 58 2 2 5" xfId="1663" xr:uid="{00000000-0005-0000-0000-00007F060000}"/>
    <cellStyle name="Millares 58 2 2 6" xfId="1664" xr:uid="{00000000-0005-0000-0000-000080060000}"/>
    <cellStyle name="Millares 58 2 2 7" xfId="1665" xr:uid="{00000000-0005-0000-0000-000081060000}"/>
    <cellStyle name="Millares 58 2 2 8" xfId="2145" xr:uid="{00000000-0005-0000-0000-000061080000}"/>
    <cellStyle name="Millares 58 2 3" xfId="389" xr:uid="{00000000-0005-0000-0000-000085010000}"/>
    <cellStyle name="Millares 58 2 3 2" xfId="745" xr:uid="{00000000-0005-0000-0000-0000E9020000}"/>
    <cellStyle name="Millares 58 2 3 2 2" xfId="1666" xr:uid="{00000000-0005-0000-0000-000082060000}"/>
    <cellStyle name="Millares 58 2 3 2 3" xfId="1667" xr:uid="{00000000-0005-0000-0000-000083060000}"/>
    <cellStyle name="Millares 58 2 3 2 4" xfId="1668" xr:uid="{00000000-0005-0000-0000-000084060000}"/>
    <cellStyle name="Millares 58 2 3 2 5" xfId="1669" xr:uid="{00000000-0005-0000-0000-000085060000}"/>
    <cellStyle name="Millares 58 2 3 3" xfId="1670" xr:uid="{00000000-0005-0000-0000-000086060000}"/>
    <cellStyle name="Millares 58 2 3 4" xfId="1671" xr:uid="{00000000-0005-0000-0000-000087060000}"/>
    <cellStyle name="Millares 58 2 3 5" xfId="1672" xr:uid="{00000000-0005-0000-0000-000088060000}"/>
    <cellStyle name="Millares 58 2 3 6" xfId="1673" xr:uid="{00000000-0005-0000-0000-000089060000}"/>
    <cellStyle name="Millares 58 2 3 7" xfId="2146" xr:uid="{00000000-0005-0000-0000-000062080000}"/>
    <cellStyle name="Millares 58 2 4" xfId="746" xr:uid="{00000000-0005-0000-0000-0000EA020000}"/>
    <cellStyle name="Millares 58 2 4 2" xfId="1674" xr:uid="{00000000-0005-0000-0000-00008A060000}"/>
    <cellStyle name="Millares 58 2 4 3" xfId="1675" xr:uid="{00000000-0005-0000-0000-00008B060000}"/>
    <cellStyle name="Millares 58 2 4 4" xfId="1676" xr:uid="{00000000-0005-0000-0000-00008C060000}"/>
    <cellStyle name="Millares 58 2 4 5" xfId="1677" xr:uid="{00000000-0005-0000-0000-00008D060000}"/>
    <cellStyle name="Millares 58 2 5" xfId="882" xr:uid="{00000000-0005-0000-0000-000072030000}"/>
    <cellStyle name="Millares 58 2 5 2" xfId="1678" xr:uid="{00000000-0005-0000-0000-00008E060000}"/>
    <cellStyle name="Millares 58 2 5 3" xfId="1679" xr:uid="{00000000-0005-0000-0000-00008F060000}"/>
    <cellStyle name="Millares 58 2 5 4" xfId="1680" xr:uid="{00000000-0005-0000-0000-000090060000}"/>
    <cellStyle name="Millares 58 2 6" xfId="1681" xr:uid="{00000000-0005-0000-0000-000091060000}"/>
    <cellStyle name="Millares 58 2 7" xfId="1682" xr:uid="{00000000-0005-0000-0000-000092060000}"/>
    <cellStyle name="Millares 58 2 8" xfId="1683" xr:uid="{00000000-0005-0000-0000-000093060000}"/>
    <cellStyle name="Millares 58 2 9" xfId="1684" xr:uid="{00000000-0005-0000-0000-000094060000}"/>
    <cellStyle name="Millares 58 3" xfId="390" xr:uid="{00000000-0005-0000-0000-000086010000}"/>
    <cellStyle name="Millares 58 3 2" xfId="391" xr:uid="{00000000-0005-0000-0000-000087010000}"/>
    <cellStyle name="Millares 58 3 2 2" xfId="392" xr:uid="{00000000-0005-0000-0000-000088010000}"/>
    <cellStyle name="Millares 58 3 2 2 2" xfId="747" xr:uid="{00000000-0005-0000-0000-0000EB020000}"/>
    <cellStyle name="Millares 58 3 2 2 2 2" xfId="1685" xr:uid="{00000000-0005-0000-0000-000095060000}"/>
    <cellStyle name="Millares 58 3 2 2 3" xfId="1686" xr:uid="{00000000-0005-0000-0000-000096060000}"/>
    <cellStyle name="Millares 58 3 2 2 4" xfId="1687" xr:uid="{00000000-0005-0000-0000-000097060000}"/>
    <cellStyle name="Millares 58 3 2 2 5" xfId="1688" xr:uid="{00000000-0005-0000-0000-000098060000}"/>
    <cellStyle name="Millares 58 3 2 2 6" xfId="2147" xr:uid="{00000000-0005-0000-0000-000063080000}"/>
    <cellStyle name="Millares 58 3 2 3" xfId="748" xr:uid="{00000000-0005-0000-0000-0000EC020000}"/>
    <cellStyle name="Millares 58 3 2 3 2" xfId="1689" xr:uid="{00000000-0005-0000-0000-000099060000}"/>
    <cellStyle name="Millares 58 3 2 3 3" xfId="1690" xr:uid="{00000000-0005-0000-0000-00009A060000}"/>
    <cellStyle name="Millares 58 3 2 3 4" xfId="1691" xr:uid="{00000000-0005-0000-0000-00009B060000}"/>
    <cellStyle name="Millares 58 3 2 4" xfId="1692" xr:uid="{00000000-0005-0000-0000-00009C060000}"/>
    <cellStyle name="Millares 58 3 2 5" xfId="1693" xr:uid="{00000000-0005-0000-0000-00009D060000}"/>
    <cellStyle name="Millares 58 3 2 6" xfId="1694" xr:uid="{00000000-0005-0000-0000-00009E060000}"/>
    <cellStyle name="Millares 58 3 2 7" xfId="1695" xr:uid="{00000000-0005-0000-0000-00009F060000}"/>
    <cellStyle name="Millares 58 3 2 8" xfId="2148" xr:uid="{00000000-0005-0000-0000-000064080000}"/>
    <cellStyle name="Millares 58 3 3" xfId="393" xr:uid="{00000000-0005-0000-0000-000089010000}"/>
    <cellStyle name="Millares 58 3 3 2" xfId="749" xr:uid="{00000000-0005-0000-0000-0000ED020000}"/>
    <cellStyle name="Millares 58 3 3 3" xfId="2149" xr:uid="{00000000-0005-0000-0000-000065080000}"/>
    <cellStyle name="Millares 58 3 4" xfId="750" xr:uid="{00000000-0005-0000-0000-0000EE020000}"/>
    <cellStyle name="Millares 58 3 5" xfId="883" xr:uid="{00000000-0005-0000-0000-000073030000}"/>
    <cellStyle name="Millares 58 3 6" xfId="2150" xr:uid="{00000000-0005-0000-0000-000066080000}"/>
    <cellStyle name="Millares 58 4" xfId="394" xr:uid="{00000000-0005-0000-0000-00008A010000}"/>
    <cellStyle name="Millares 58 4 2" xfId="395" xr:uid="{00000000-0005-0000-0000-00008B010000}"/>
    <cellStyle name="Millares 58 4 2 2" xfId="396" xr:uid="{00000000-0005-0000-0000-00008C010000}"/>
    <cellStyle name="Millares 58 4 2 2 2" xfId="751" xr:uid="{00000000-0005-0000-0000-0000EF020000}"/>
    <cellStyle name="Millares 58 4 2 2 3" xfId="2151" xr:uid="{00000000-0005-0000-0000-000067080000}"/>
    <cellStyle name="Millares 58 4 2 3" xfId="752" xr:uid="{00000000-0005-0000-0000-0000F0020000}"/>
    <cellStyle name="Millares 58 4 2 4" xfId="2152" xr:uid="{00000000-0005-0000-0000-000068080000}"/>
    <cellStyle name="Millares 58 4 3" xfId="397" xr:uid="{00000000-0005-0000-0000-00008D010000}"/>
    <cellStyle name="Millares 58 4 3 2" xfId="753" xr:uid="{00000000-0005-0000-0000-0000F1020000}"/>
    <cellStyle name="Millares 58 4 3 3" xfId="2153" xr:uid="{00000000-0005-0000-0000-000069080000}"/>
    <cellStyle name="Millares 58 4 4" xfId="754" xr:uid="{00000000-0005-0000-0000-0000F2020000}"/>
    <cellStyle name="Millares 58 4 5" xfId="884" xr:uid="{00000000-0005-0000-0000-000074030000}"/>
    <cellStyle name="Millares 58 4 6" xfId="2154" xr:uid="{00000000-0005-0000-0000-00006A080000}"/>
    <cellStyle name="Millares 58 5" xfId="398" xr:uid="{00000000-0005-0000-0000-00008E010000}"/>
    <cellStyle name="Millares 58 5 2" xfId="399" xr:uid="{00000000-0005-0000-0000-00008F010000}"/>
    <cellStyle name="Millares 58 5 2 2" xfId="755" xr:uid="{00000000-0005-0000-0000-0000F3020000}"/>
    <cellStyle name="Millares 58 5 2 3" xfId="2155" xr:uid="{00000000-0005-0000-0000-00006B080000}"/>
    <cellStyle name="Millares 58 5 3" xfId="756" xr:uid="{00000000-0005-0000-0000-0000F4020000}"/>
    <cellStyle name="Millares 58 5 4" xfId="2156" xr:uid="{00000000-0005-0000-0000-00006C080000}"/>
    <cellStyle name="Millares 58 6" xfId="400" xr:uid="{00000000-0005-0000-0000-000090010000}"/>
    <cellStyle name="Millares 58 6 2" xfId="757" xr:uid="{00000000-0005-0000-0000-0000F5020000}"/>
    <cellStyle name="Millares 58 6 3" xfId="2157" xr:uid="{00000000-0005-0000-0000-00006D080000}"/>
    <cellStyle name="Millares 58 7" xfId="758" xr:uid="{00000000-0005-0000-0000-0000F6020000}"/>
    <cellStyle name="Millares 58 8" xfId="885" xr:uid="{00000000-0005-0000-0000-000075030000}"/>
    <cellStyle name="Millares 58 9" xfId="2158" xr:uid="{00000000-0005-0000-0000-00006E080000}"/>
    <cellStyle name="Millares 59" xfId="401" xr:uid="{00000000-0005-0000-0000-000091010000}"/>
    <cellStyle name="Millares 59 2" xfId="402" xr:uid="{00000000-0005-0000-0000-000092010000}"/>
    <cellStyle name="Millares 59 2 10" xfId="1696" xr:uid="{00000000-0005-0000-0000-0000A0060000}"/>
    <cellStyle name="Millares 59 2 11" xfId="2159" xr:uid="{00000000-0005-0000-0000-00006F080000}"/>
    <cellStyle name="Millares 59 2 2" xfId="403" xr:uid="{00000000-0005-0000-0000-000093010000}"/>
    <cellStyle name="Millares 59 2 2 2" xfId="404" xr:uid="{00000000-0005-0000-0000-000094010000}"/>
    <cellStyle name="Millares 59 2 2 2 2" xfId="759" xr:uid="{00000000-0005-0000-0000-0000F7020000}"/>
    <cellStyle name="Millares 59 2 2 2 2 2" xfId="1697" xr:uid="{00000000-0005-0000-0000-0000A1060000}"/>
    <cellStyle name="Millares 59 2 2 2 3" xfId="1698" xr:uid="{00000000-0005-0000-0000-0000A2060000}"/>
    <cellStyle name="Millares 59 2 2 2 4" xfId="1699" xr:uid="{00000000-0005-0000-0000-0000A3060000}"/>
    <cellStyle name="Millares 59 2 2 2 5" xfId="1700" xr:uid="{00000000-0005-0000-0000-0000A4060000}"/>
    <cellStyle name="Millares 59 2 2 2 6" xfId="2160" xr:uid="{00000000-0005-0000-0000-000070080000}"/>
    <cellStyle name="Millares 59 2 2 3" xfId="760" xr:uid="{00000000-0005-0000-0000-0000F8020000}"/>
    <cellStyle name="Millares 59 2 2 3 2" xfId="1701" xr:uid="{00000000-0005-0000-0000-0000A5060000}"/>
    <cellStyle name="Millares 59 2 2 3 3" xfId="1702" xr:uid="{00000000-0005-0000-0000-0000A6060000}"/>
    <cellStyle name="Millares 59 2 2 3 4" xfId="1703" xr:uid="{00000000-0005-0000-0000-0000A7060000}"/>
    <cellStyle name="Millares 59 2 2 4" xfId="1704" xr:uid="{00000000-0005-0000-0000-0000A8060000}"/>
    <cellStyle name="Millares 59 2 2 5" xfId="1705" xr:uid="{00000000-0005-0000-0000-0000A9060000}"/>
    <cellStyle name="Millares 59 2 2 6" xfId="1706" xr:uid="{00000000-0005-0000-0000-0000AA060000}"/>
    <cellStyle name="Millares 59 2 2 7" xfId="1707" xr:uid="{00000000-0005-0000-0000-0000AB060000}"/>
    <cellStyle name="Millares 59 2 2 8" xfId="2161" xr:uid="{00000000-0005-0000-0000-000071080000}"/>
    <cellStyle name="Millares 59 2 3" xfId="405" xr:uid="{00000000-0005-0000-0000-000095010000}"/>
    <cellStyle name="Millares 59 2 3 2" xfId="761" xr:uid="{00000000-0005-0000-0000-0000F9020000}"/>
    <cellStyle name="Millares 59 2 3 2 2" xfId="1708" xr:uid="{00000000-0005-0000-0000-0000AC060000}"/>
    <cellStyle name="Millares 59 2 3 2 3" xfId="1709" xr:uid="{00000000-0005-0000-0000-0000AD060000}"/>
    <cellStyle name="Millares 59 2 3 2 4" xfId="1710" xr:uid="{00000000-0005-0000-0000-0000AE060000}"/>
    <cellStyle name="Millares 59 2 3 2 5" xfId="1711" xr:uid="{00000000-0005-0000-0000-0000AF060000}"/>
    <cellStyle name="Millares 59 2 3 3" xfId="1712" xr:uid="{00000000-0005-0000-0000-0000B0060000}"/>
    <cellStyle name="Millares 59 2 3 4" xfId="1713" xr:uid="{00000000-0005-0000-0000-0000B1060000}"/>
    <cellStyle name="Millares 59 2 3 5" xfId="1714" xr:uid="{00000000-0005-0000-0000-0000B2060000}"/>
    <cellStyle name="Millares 59 2 3 6" xfId="1715" xr:uid="{00000000-0005-0000-0000-0000B3060000}"/>
    <cellStyle name="Millares 59 2 3 7" xfId="2162" xr:uid="{00000000-0005-0000-0000-000072080000}"/>
    <cellStyle name="Millares 59 2 4" xfId="762" xr:uid="{00000000-0005-0000-0000-0000FA020000}"/>
    <cellStyle name="Millares 59 2 4 2" xfId="1716" xr:uid="{00000000-0005-0000-0000-0000B4060000}"/>
    <cellStyle name="Millares 59 2 4 3" xfId="1717" xr:uid="{00000000-0005-0000-0000-0000B5060000}"/>
    <cellStyle name="Millares 59 2 4 4" xfId="1718" xr:uid="{00000000-0005-0000-0000-0000B6060000}"/>
    <cellStyle name="Millares 59 2 4 5" xfId="1719" xr:uid="{00000000-0005-0000-0000-0000B7060000}"/>
    <cellStyle name="Millares 59 2 5" xfId="886" xr:uid="{00000000-0005-0000-0000-000076030000}"/>
    <cellStyle name="Millares 59 2 5 2" xfId="1720" xr:uid="{00000000-0005-0000-0000-0000B8060000}"/>
    <cellStyle name="Millares 59 2 5 3" xfId="1721" xr:uid="{00000000-0005-0000-0000-0000B9060000}"/>
    <cellStyle name="Millares 59 2 5 4" xfId="1722" xr:uid="{00000000-0005-0000-0000-0000BA060000}"/>
    <cellStyle name="Millares 59 2 6" xfId="1723" xr:uid="{00000000-0005-0000-0000-0000BB060000}"/>
    <cellStyle name="Millares 59 2 7" xfId="1724" xr:uid="{00000000-0005-0000-0000-0000BC060000}"/>
    <cellStyle name="Millares 59 2 8" xfId="1725" xr:uid="{00000000-0005-0000-0000-0000BD060000}"/>
    <cellStyle name="Millares 59 2 9" xfId="1726" xr:uid="{00000000-0005-0000-0000-0000BE060000}"/>
    <cellStyle name="Millares 59 3" xfId="406" xr:uid="{00000000-0005-0000-0000-000096010000}"/>
    <cellStyle name="Millares 59 3 2" xfId="407" xr:uid="{00000000-0005-0000-0000-000097010000}"/>
    <cellStyle name="Millares 59 3 2 2" xfId="408" xr:uid="{00000000-0005-0000-0000-000098010000}"/>
    <cellStyle name="Millares 59 3 2 2 2" xfId="763" xr:uid="{00000000-0005-0000-0000-0000FB020000}"/>
    <cellStyle name="Millares 59 3 2 2 2 2" xfId="1727" xr:uid="{00000000-0005-0000-0000-0000BF060000}"/>
    <cellStyle name="Millares 59 3 2 2 3" xfId="1728" xr:uid="{00000000-0005-0000-0000-0000C0060000}"/>
    <cellStyle name="Millares 59 3 2 2 4" xfId="1729" xr:uid="{00000000-0005-0000-0000-0000C1060000}"/>
    <cellStyle name="Millares 59 3 2 2 5" xfId="1730" xr:uid="{00000000-0005-0000-0000-0000C2060000}"/>
    <cellStyle name="Millares 59 3 2 2 6" xfId="2163" xr:uid="{00000000-0005-0000-0000-000073080000}"/>
    <cellStyle name="Millares 59 3 2 3" xfId="764" xr:uid="{00000000-0005-0000-0000-0000FC020000}"/>
    <cellStyle name="Millares 59 3 2 3 2" xfId="1731" xr:uid="{00000000-0005-0000-0000-0000C3060000}"/>
    <cellStyle name="Millares 59 3 2 3 3" xfId="1732" xr:uid="{00000000-0005-0000-0000-0000C4060000}"/>
    <cellStyle name="Millares 59 3 2 3 4" xfId="1733" xr:uid="{00000000-0005-0000-0000-0000C5060000}"/>
    <cellStyle name="Millares 59 3 2 4" xfId="1734" xr:uid="{00000000-0005-0000-0000-0000C6060000}"/>
    <cellStyle name="Millares 59 3 2 5" xfId="1735" xr:uid="{00000000-0005-0000-0000-0000C7060000}"/>
    <cellStyle name="Millares 59 3 2 6" xfId="1736" xr:uid="{00000000-0005-0000-0000-0000C8060000}"/>
    <cellStyle name="Millares 59 3 2 7" xfId="1737" xr:uid="{00000000-0005-0000-0000-0000C9060000}"/>
    <cellStyle name="Millares 59 3 2 8" xfId="2164" xr:uid="{00000000-0005-0000-0000-000074080000}"/>
    <cellStyle name="Millares 59 3 3" xfId="409" xr:uid="{00000000-0005-0000-0000-000099010000}"/>
    <cellStyle name="Millares 59 3 3 2" xfId="765" xr:uid="{00000000-0005-0000-0000-0000FD020000}"/>
    <cellStyle name="Millares 59 3 3 3" xfId="2165" xr:uid="{00000000-0005-0000-0000-000075080000}"/>
    <cellStyle name="Millares 59 3 4" xfId="766" xr:uid="{00000000-0005-0000-0000-0000FE020000}"/>
    <cellStyle name="Millares 59 3 5" xfId="887" xr:uid="{00000000-0005-0000-0000-000077030000}"/>
    <cellStyle name="Millares 59 3 6" xfId="2166" xr:uid="{00000000-0005-0000-0000-000076080000}"/>
    <cellStyle name="Millares 59 4" xfId="410" xr:uid="{00000000-0005-0000-0000-00009A010000}"/>
    <cellStyle name="Millares 59 4 2" xfId="411" xr:uid="{00000000-0005-0000-0000-00009B010000}"/>
    <cellStyle name="Millares 59 4 2 2" xfId="412" xr:uid="{00000000-0005-0000-0000-00009C010000}"/>
    <cellStyle name="Millares 59 4 2 2 2" xfId="767" xr:uid="{00000000-0005-0000-0000-0000FF020000}"/>
    <cellStyle name="Millares 59 4 2 2 3" xfId="2167" xr:uid="{00000000-0005-0000-0000-000077080000}"/>
    <cellStyle name="Millares 59 4 2 3" xfId="768" xr:uid="{00000000-0005-0000-0000-000000030000}"/>
    <cellStyle name="Millares 59 4 2 4" xfId="2168" xr:uid="{00000000-0005-0000-0000-000078080000}"/>
    <cellStyle name="Millares 59 4 3" xfId="413" xr:uid="{00000000-0005-0000-0000-00009D010000}"/>
    <cellStyle name="Millares 59 4 3 2" xfId="769" xr:uid="{00000000-0005-0000-0000-000001030000}"/>
    <cellStyle name="Millares 59 4 3 3" xfId="2169" xr:uid="{00000000-0005-0000-0000-000079080000}"/>
    <cellStyle name="Millares 59 4 4" xfId="770" xr:uid="{00000000-0005-0000-0000-000002030000}"/>
    <cellStyle name="Millares 59 4 5" xfId="888" xr:uid="{00000000-0005-0000-0000-000078030000}"/>
    <cellStyle name="Millares 59 4 6" xfId="2170" xr:uid="{00000000-0005-0000-0000-00007A080000}"/>
    <cellStyle name="Millares 59 5" xfId="414" xr:uid="{00000000-0005-0000-0000-00009E010000}"/>
    <cellStyle name="Millares 59 5 2" xfId="415" xr:uid="{00000000-0005-0000-0000-00009F010000}"/>
    <cellStyle name="Millares 59 5 2 2" xfId="771" xr:uid="{00000000-0005-0000-0000-000003030000}"/>
    <cellStyle name="Millares 59 5 2 3" xfId="2171" xr:uid="{00000000-0005-0000-0000-00007B080000}"/>
    <cellStyle name="Millares 59 5 3" xfId="772" xr:uid="{00000000-0005-0000-0000-000004030000}"/>
    <cellStyle name="Millares 59 5 4" xfId="2172" xr:uid="{00000000-0005-0000-0000-00007C080000}"/>
    <cellStyle name="Millares 59 6" xfId="416" xr:uid="{00000000-0005-0000-0000-0000A0010000}"/>
    <cellStyle name="Millares 59 6 2" xfId="773" xr:uid="{00000000-0005-0000-0000-000005030000}"/>
    <cellStyle name="Millares 59 6 3" xfId="2173" xr:uid="{00000000-0005-0000-0000-00007D080000}"/>
    <cellStyle name="Millares 59 7" xfId="774" xr:uid="{00000000-0005-0000-0000-000006030000}"/>
    <cellStyle name="Millares 59 8" xfId="889" xr:uid="{00000000-0005-0000-0000-000079030000}"/>
    <cellStyle name="Millares 59 9" xfId="2174" xr:uid="{00000000-0005-0000-0000-00007E080000}"/>
    <cellStyle name="Millares 6" xfId="417" xr:uid="{00000000-0005-0000-0000-0000A1010000}"/>
    <cellStyle name="Millares 60" xfId="418" xr:uid="{00000000-0005-0000-0000-0000A2010000}"/>
    <cellStyle name="Millares 60 2" xfId="419" xr:uid="{00000000-0005-0000-0000-0000A3010000}"/>
    <cellStyle name="Millares 60 2 10" xfId="1738" xr:uid="{00000000-0005-0000-0000-0000CA060000}"/>
    <cellStyle name="Millares 60 2 11" xfId="2175" xr:uid="{00000000-0005-0000-0000-00007F080000}"/>
    <cellStyle name="Millares 60 2 2" xfId="420" xr:uid="{00000000-0005-0000-0000-0000A4010000}"/>
    <cellStyle name="Millares 60 2 2 2" xfId="421" xr:uid="{00000000-0005-0000-0000-0000A5010000}"/>
    <cellStyle name="Millares 60 2 2 2 2" xfId="775" xr:uid="{00000000-0005-0000-0000-000007030000}"/>
    <cellStyle name="Millares 60 2 2 2 2 2" xfId="1739" xr:uid="{00000000-0005-0000-0000-0000CB060000}"/>
    <cellStyle name="Millares 60 2 2 2 3" xfId="1740" xr:uid="{00000000-0005-0000-0000-0000CC060000}"/>
    <cellStyle name="Millares 60 2 2 2 4" xfId="1741" xr:uid="{00000000-0005-0000-0000-0000CD060000}"/>
    <cellStyle name="Millares 60 2 2 2 5" xfId="1742" xr:uid="{00000000-0005-0000-0000-0000CE060000}"/>
    <cellStyle name="Millares 60 2 2 2 6" xfId="2176" xr:uid="{00000000-0005-0000-0000-000080080000}"/>
    <cellStyle name="Millares 60 2 2 3" xfId="776" xr:uid="{00000000-0005-0000-0000-000008030000}"/>
    <cellStyle name="Millares 60 2 2 3 2" xfId="1743" xr:uid="{00000000-0005-0000-0000-0000CF060000}"/>
    <cellStyle name="Millares 60 2 2 3 3" xfId="1744" xr:uid="{00000000-0005-0000-0000-0000D0060000}"/>
    <cellStyle name="Millares 60 2 2 3 4" xfId="1745" xr:uid="{00000000-0005-0000-0000-0000D1060000}"/>
    <cellStyle name="Millares 60 2 2 4" xfId="1746" xr:uid="{00000000-0005-0000-0000-0000D2060000}"/>
    <cellStyle name="Millares 60 2 2 5" xfId="1747" xr:uid="{00000000-0005-0000-0000-0000D3060000}"/>
    <cellStyle name="Millares 60 2 2 6" xfId="1748" xr:uid="{00000000-0005-0000-0000-0000D4060000}"/>
    <cellStyle name="Millares 60 2 2 7" xfId="1749" xr:uid="{00000000-0005-0000-0000-0000D5060000}"/>
    <cellStyle name="Millares 60 2 2 8" xfId="2177" xr:uid="{00000000-0005-0000-0000-000081080000}"/>
    <cellStyle name="Millares 60 2 3" xfId="422" xr:uid="{00000000-0005-0000-0000-0000A6010000}"/>
    <cellStyle name="Millares 60 2 3 2" xfId="777" xr:uid="{00000000-0005-0000-0000-000009030000}"/>
    <cellStyle name="Millares 60 2 3 2 2" xfId="1750" xr:uid="{00000000-0005-0000-0000-0000D6060000}"/>
    <cellStyle name="Millares 60 2 3 2 3" xfId="1751" xr:uid="{00000000-0005-0000-0000-0000D7060000}"/>
    <cellStyle name="Millares 60 2 3 2 4" xfId="1752" xr:uid="{00000000-0005-0000-0000-0000D8060000}"/>
    <cellStyle name="Millares 60 2 3 2 5" xfId="1753" xr:uid="{00000000-0005-0000-0000-0000D9060000}"/>
    <cellStyle name="Millares 60 2 3 3" xfId="1754" xr:uid="{00000000-0005-0000-0000-0000DA060000}"/>
    <cellStyle name="Millares 60 2 3 4" xfId="1755" xr:uid="{00000000-0005-0000-0000-0000DB060000}"/>
    <cellStyle name="Millares 60 2 3 5" xfId="1756" xr:uid="{00000000-0005-0000-0000-0000DC060000}"/>
    <cellStyle name="Millares 60 2 3 6" xfId="1757" xr:uid="{00000000-0005-0000-0000-0000DD060000}"/>
    <cellStyle name="Millares 60 2 3 7" xfId="2178" xr:uid="{00000000-0005-0000-0000-000082080000}"/>
    <cellStyle name="Millares 60 2 4" xfId="778" xr:uid="{00000000-0005-0000-0000-00000A030000}"/>
    <cellStyle name="Millares 60 2 4 2" xfId="1758" xr:uid="{00000000-0005-0000-0000-0000DE060000}"/>
    <cellStyle name="Millares 60 2 4 3" xfId="1759" xr:uid="{00000000-0005-0000-0000-0000DF060000}"/>
    <cellStyle name="Millares 60 2 4 4" xfId="1760" xr:uid="{00000000-0005-0000-0000-0000E0060000}"/>
    <cellStyle name="Millares 60 2 4 5" xfId="1761" xr:uid="{00000000-0005-0000-0000-0000E1060000}"/>
    <cellStyle name="Millares 60 2 5" xfId="890" xr:uid="{00000000-0005-0000-0000-00007A030000}"/>
    <cellStyle name="Millares 60 2 5 2" xfId="1762" xr:uid="{00000000-0005-0000-0000-0000E2060000}"/>
    <cellStyle name="Millares 60 2 5 3" xfId="1763" xr:uid="{00000000-0005-0000-0000-0000E3060000}"/>
    <cellStyle name="Millares 60 2 5 4" xfId="1764" xr:uid="{00000000-0005-0000-0000-0000E4060000}"/>
    <cellStyle name="Millares 60 2 6" xfId="1765" xr:uid="{00000000-0005-0000-0000-0000E5060000}"/>
    <cellStyle name="Millares 60 2 7" xfId="1766" xr:uid="{00000000-0005-0000-0000-0000E6060000}"/>
    <cellStyle name="Millares 60 2 8" xfId="1767" xr:uid="{00000000-0005-0000-0000-0000E7060000}"/>
    <cellStyle name="Millares 60 2 9" xfId="1768" xr:uid="{00000000-0005-0000-0000-0000E8060000}"/>
    <cellStyle name="Millares 60 3" xfId="423" xr:uid="{00000000-0005-0000-0000-0000A7010000}"/>
    <cellStyle name="Millares 60 3 2" xfId="424" xr:uid="{00000000-0005-0000-0000-0000A8010000}"/>
    <cellStyle name="Millares 60 3 2 2" xfId="425" xr:uid="{00000000-0005-0000-0000-0000A9010000}"/>
    <cellStyle name="Millares 60 3 2 2 2" xfId="779" xr:uid="{00000000-0005-0000-0000-00000B030000}"/>
    <cellStyle name="Millares 60 3 2 2 2 2" xfId="1769" xr:uid="{00000000-0005-0000-0000-0000E9060000}"/>
    <cellStyle name="Millares 60 3 2 2 3" xfId="1770" xr:uid="{00000000-0005-0000-0000-0000EA060000}"/>
    <cellStyle name="Millares 60 3 2 2 4" xfId="1771" xr:uid="{00000000-0005-0000-0000-0000EB060000}"/>
    <cellStyle name="Millares 60 3 2 2 5" xfId="1772" xr:uid="{00000000-0005-0000-0000-0000EC060000}"/>
    <cellStyle name="Millares 60 3 2 2 6" xfId="2179" xr:uid="{00000000-0005-0000-0000-000083080000}"/>
    <cellStyle name="Millares 60 3 2 3" xfId="780" xr:uid="{00000000-0005-0000-0000-00000C030000}"/>
    <cellStyle name="Millares 60 3 2 3 2" xfId="1773" xr:uid="{00000000-0005-0000-0000-0000ED060000}"/>
    <cellStyle name="Millares 60 3 2 3 3" xfId="1774" xr:uid="{00000000-0005-0000-0000-0000EE060000}"/>
    <cellStyle name="Millares 60 3 2 3 4" xfId="1775" xr:uid="{00000000-0005-0000-0000-0000EF060000}"/>
    <cellStyle name="Millares 60 3 2 4" xfId="1776" xr:uid="{00000000-0005-0000-0000-0000F0060000}"/>
    <cellStyle name="Millares 60 3 2 5" xfId="1777" xr:uid="{00000000-0005-0000-0000-0000F1060000}"/>
    <cellStyle name="Millares 60 3 2 6" xfId="1778" xr:uid="{00000000-0005-0000-0000-0000F2060000}"/>
    <cellStyle name="Millares 60 3 2 7" xfId="1779" xr:uid="{00000000-0005-0000-0000-0000F3060000}"/>
    <cellStyle name="Millares 60 3 2 8" xfId="2180" xr:uid="{00000000-0005-0000-0000-000084080000}"/>
    <cellStyle name="Millares 60 3 3" xfId="426" xr:uid="{00000000-0005-0000-0000-0000AA010000}"/>
    <cellStyle name="Millares 60 3 3 2" xfId="781" xr:uid="{00000000-0005-0000-0000-00000D030000}"/>
    <cellStyle name="Millares 60 3 3 3" xfId="2181" xr:uid="{00000000-0005-0000-0000-000085080000}"/>
    <cellStyle name="Millares 60 3 4" xfId="782" xr:uid="{00000000-0005-0000-0000-00000E030000}"/>
    <cellStyle name="Millares 60 3 5" xfId="891" xr:uid="{00000000-0005-0000-0000-00007B030000}"/>
    <cellStyle name="Millares 60 3 6" xfId="2182" xr:uid="{00000000-0005-0000-0000-000086080000}"/>
    <cellStyle name="Millares 60 4" xfId="427" xr:uid="{00000000-0005-0000-0000-0000AB010000}"/>
    <cellStyle name="Millares 60 4 2" xfId="428" xr:uid="{00000000-0005-0000-0000-0000AC010000}"/>
    <cellStyle name="Millares 60 4 2 2" xfId="783" xr:uid="{00000000-0005-0000-0000-00000F030000}"/>
    <cellStyle name="Millares 60 4 2 3" xfId="2183" xr:uid="{00000000-0005-0000-0000-000087080000}"/>
    <cellStyle name="Millares 60 4 3" xfId="784" xr:uid="{00000000-0005-0000-0000-000010030000}"/>
    <cellStyle name="Millares 60 4 4" xfId="2184" xr:uid="{00000000-0005-0000-0000-000088080000}"/>
    <cellStyle name="Millares 60 5" xfId="429" xr:uid="{00000000-0005-0000-0000-0000AD010000}"/>
    <cellStyle name="Millares 60 5 2" xfId="785" xr:uid="{00000000-0005-0000-0000-000011030000}"/>
    <cellStyle name="Millares 60 5 3" xfId="2185" xr:uid="{00000000-0005-0000-0000-000089080000}"/>
    <cellStyle name="Millares 60 6" xfId="786" xr:uid="{00000000-0005-0000-0000-000012030000}"/>
    <cellStyle name="Millares 60 7" xfId="892" xr:uid="{00000000-0005-0000-0000-00007C030000}"/>
    <cellStyle name="Millares 60 8" xfId="2186" xr:uid="{00000000-0005-0000-0000-00008A080000}"/>
    <cellStyle name="Millares 61" xfId="430" xr:uid="{00000000-0005-0000-0000-0000AE010000}"/>
    <cellStyle name="Millares 61 10" xfId="1780" xr:uid="{00000000-0005-0000-0000-0000F4060000}"/>
    <cellStyle name="Millares 61 11" xfId="2187" xr:uid="{00000000-0005-0000-0000-00008B080000}"/>
    <cellStyle name="Millares 61 2" xfId="431" xr:uid="{00000000-0005-0000-0000-0000AF010000}"/>
    <cellStyle name="Millares 61 2 2" xfId="432" xr:uid="{00000000-0005-0000-0000-0000B0010000}"/>
    <cellStyle name="Millares 61 2 2 2" xfId="787" xr:uid="{00000000-0005-0000-0000-000013030000}"/>
    <cellStyle name="Millares 61 2 2 2 2" xfId="1781" xr:uid="{00000000-0005-0000-0000-0000F5060000}"/>
    <cellStyle name="Millares 61 2 2 3" xfId="1782" xr:uid="{00000000-0005-0000-0000-0000F6060000}"/>
    <cellStyle name="Millares 61 2 2 4" xfId="1783" xr:uid="{00000000-0005-0000-0000-0000F7060000}"/>
    <cellStyle name="Millares 61 2 2 5" xfId="1784" xr:uid="{00000000-0005-0000-0000-0000F8060000}"/>
    <cellStyle name="Millares 61 2 2 6" xfId="2188" xr:uid="{00000000-0005-0000-0000-00008C080000}"/>
    <cellStyle name="Millares 61 2 3" xfId="788" xr:uid="{00000000-0005-0000-0000-000014030000}"/>
    <cellStyle name="Millares 61 2 3 2" xfId="1785" xr:uid="{00000000-0005-0000-0000-0000F9060000}"/>
    <cellStyle name="Millares 61 2 3 3" xfId="1786" xr:uid="{00000000-0005-0000-0000-0000FA060000}"/>
    <cellStyle name="Millares 61 2 3 4" xfId="1787" xr:uid="{00000000-0005-0000-0000-0000FB060000}"/>
    <cellStyle name="Millares 61 2 4" xfId="1788" xr:uid="{00000000-0005-0000-0000-0000FC060000}"/>
    <cellStyle name="Millares 61 2 5" xfId="1789" xr:uid="{00000000-0005-0000-0000-0000FD060000}"/>
    <cellStyle name="Millares 61 2 6" xfId="1790" xr:uid="{00000000-0005-0000-0000-0000FE060000}"/>
    <cellStyle name="Millares 61 2 7" xfId="1791" xr:uid="{00000000-0005-0000-0000-0000FF060000}"/>
    <cellStyle name="Millares 61 2 8" xfId="2189" xr:uid="{00000000-0005-0000-0000-00008D080000}"/>
    <cellStyle name="Millares 61 3" xfId="433" xr:uid="{00000000-0005-0000-0000-0000B1010000}"/>
    <cellStyle name="Millares 61 3 2" xfId="789" xr:uid="{00000000-0005-0000-0000-000015030000}"/>
    <cellStyle name="Millares 61 3 2 2" xfId="1792" xr:uid="{00000000-0005-0000-0000-000000070000}"/>
    <cellStyle name="Millares 61 3 2 3" xfId="1793" xr:uid="{00000000-0005-0000-0000-000001070000}"/>
    <cellStyle name="Millares 61 3 2 4" xfId="1794" xr:uid="{00000000-0005-0000-0000-000002070000}"/>
    <cellStyle name="Millares 61 3 2 5" xfId="1795" xr:uid="{00000000-0005-0000-0000-000003070000}"/>
    <cellStyle name="Millares 61 3 3" xfId="1796" xr:uid="{00000000-0005-0000-0000-000004070000}"/>
    <cellStyle name="Millares 61 3 4" xfId="1797" xr:uid="{00000000-0005-0000-0000-000005070000}"/>
    <cellStyle name="Millares 61 3 5" xfId="1798" xr:uid="{00000000-0005-0000-0000-000006070000}"/>
    <cellStyle name="Millares 61 3 6" xfId="1799" xr:uid="{00000000-0005-0000-0000-000007070000}"/>
    <cellStyle name="Millares 61 3 7" xfId="2190" xr:uid="{00000000-0005-0000-0000-00008E080000}"/>
    <cellStyle name="Millares 61 4" xfId="790" xr:uid="{00000000-0005-0000-0000-000016030000}"/>
    <cellStyle name="Millares 61 4 2" xfId="1800" xr:uid="{00000000-0005-0000-0000-000008070000}"/>
    <cellStyle name="Millares 61 4 3" xfId="1801" xr:uid="{00000000-0005-0000-0000-000009070000}"/>
    <cellStyle name="Millares 61 4 4" xfId="1802" xr:uid="{00000000-0005-0000-0000-00000A070000}"/>
    <cellStyle name="Millares 61 4 5" xfId="1803" xr:uid="{00000000-0005-0000-0000-00000B070000}"/>
    <cellStyle name="Millares 61 5" xfId="893" xr:uid="{00000000-0005-0000-0000-00007D030000}"/>
    <cellStyle name="Millares 61 5 2" xfId="1804" xr:uid="{00000000-0005-0000-0000-00000C070000}"/>
    <cellStyle name="Millares 61 5 3" xfId="1805" xr:uid="{00000000-0005-0000-0000-00000D070000}"/>
    <cellStyle name="Millares 61 5 4" xfId="1806" xr:uid="{00000000-0005-0000-0000-00000E070000}"/>
    <cellStyle name="Millares 61 6" xfId="1807" xr:uid="{00000000-0005-0000-0000-00000F070000}"/>
    <cellStyle name="Millares 61 7" xfId="1808" xr:uid="{00000000-0005-0000-0000-000010070000}"/>
    <cellStyle name="Millares 61 8" xfId="1809" xr:uid="{00000000-0005-0000-0000-000011070000}"/>
    <cellStyle name="Millares 61 9" xfId="1810" xr:uid="{00000000-0005-0000-0000-000012070000}"/>
    <cellStyle name="Millares 62" xfId="434" xr:uid="{00000000-0005-0000-0000-0000B2010000}"/>
    <cellStyle name="Millares 62 2" xfId="435" xr:uid="{00000000-0005-0000-0000-0000B3010000}"/>
    <cellStyle name="Millares 62 2 2" xfId="436" xr:uid="{00000000-0005-0000-0000-0000B4010000}"/>
    <cellStyle name="Millares 62 2 2 2" xfId="791" xr:uid="{00000000-0005-0000-0000-000017030000}"/>
    <cellStyle name="Millares 62 2 2 3" xfId="1811" xr:uid="{00000000-0005-0000-0000-000013070000}"/>
    <cellStyle name="Millares 62 2 2 4" xfId="2191" xr:uid="{00000000-0005-0000-0000-00008F080000}"/>
    <cellStyle name="Millares 62 2 3" xfId="792" xr:uid="{00000000-0005-0000-0000-000018030000}"/>
    <cellStyle name="Millares 62 2 3 2" xfId="1812" xr:uid="{00000000-0005-0000-0000-000014070000}"/>
    <cellStyle name="Millares 62 2 4" xfId="1813" xr:uid="{00000000-0005-0000-0000-000015070000}"/>
    <cellStyle name="Millares 62 2 5" xfId="1814" xr:uid="{00000000-0005-0000-0000-000016070000}"/>
    <cellStyle name="Millares 62 2 6" xfId="2192" xr:uid="{00000000-0005-0000-0000-000090080000}"/>
    <cellStyle name="Millares 62 3" xfId="437" xr:uid="{00000000-0005-0000-0000-0000B5010000}"/>
    <cellStyle name="Millares 62 3 2" xfId="793" xr:uid="{00000000-0005-0000-0000-000019030000}"/>
    <cellStyle name="Millares 62 3 2 2" xfId="1815" xr:uid="{00000000-0005-0000-0000-000017070000}"/>
    <cellStyle name="Millares 62 3 3" xfId="1816" xr:uid="{00000000-0005-0000-0000-000018070000}"/>
    <cellStyle name="Millares 62 3 4" xfId="1817" xr:uid="{00000000-0005-0000-0000-000019070000}"/>
    <cellStyle name="Millares 62 3 5" xfId="2193" xr:uid="{00000000-0005-0000-0000-000091080000}"/>
    <cellStyle name="Millares 62 4" xfId="794" xr:uid="{00000000-0005-0000-0000-00001A030000}"/>
    <cellStyle name="Millares 62 4 2" xfId="1818" xr:uid="{00000000-0005-0000-0000-00001A070000}"/>
    <cellStyle name="Millares 62 5" xfId="894" xr:uid="{00000000-0005-0000-0000-00007E030000}"/>
    <cellStyle name="Millares 62 5 2" xfId="1819" xr:uid="{00000000-0005-0000-0000-00001B070000}"/>
    <cellStyle name="Millares 62 6" xfId="1820" xr:uid="{00000000-0005-0000-0000-00001C070000}"/>
    <cellStyle name="Millares 62 7" xfId="1821" xr:uid="{00000000-0005-0000-0000-00001D070000}"/>
    <cellStyle name="Millares 62 8" xfId="2194" xr:uid="{00000000-0005-0000-0000-000092080000}"/>
    <cellStyle name="Millares 63" xfId="438" xr:uid="{00000000-0005-0000-0000-0000B6010000}"/>
    <cellStyle name="Millares 63 2" xfId="439" xr:uid="{00000000-0005-0000-0000-0000B7010000}"/>
    <cellStyle name="Millares 63 2 2" xfId="795" xr:uid="{00000000-0005-0000-0000-00001B030000}"/>
    <cellStyle name="Millares 63 2 2 2" xfId="1822" xr:uid="{00000000-0005-0000-0000-00001E070000}"/>
    <cellStyle name="Millares 63 2 3" xfId="1823" xr:uid="{00000000-0005-0000-0000-00001F070000}"/>
    <cellStyle name="Millares 63 2 4" xfId="1824" xr:uid="{00000000-0005-0000-0000-000020070000}"/>
    <cellStyle name="Millares 63 2 5" xfId="1825" xr:uid="{00000000-0005-0000-0000-000021070000}"/>
    <cellStyle name="Millares 63 2 6" xfId="2195" xr:uid="{00000000-0005-0000-0000-000093080000}"/>
    <cellStyle name="Millares 63 3" xfId="796" xr:uid="{00000000-0005-0000-0000-00001C030000}"/>
    <cellStyle name="Millares 63 3 2" xfId="1826" xr:uid="{00000000-0005-0000-0000-000022070000}"/>
    <cellStyle name="Millares 63 4" xfId="1827" xr:uid="{00000000-0005-0000-0000-000023070000}"/>
    <cellStyle name="Millares 63 5" xfId="1828" xr:uid="{00000000-0005-0000-0000-000024070000}"/>
    <cellStyle name="Millares 63 6" xfId="1829" xr:uid="{00000000-0005-0000-0000-000025070000}"/>
    <cellStyle name="Millares 63 7" xfId="2196" xr:uid="{00000000-0005-0000-0000-000094080000}"/>
    <cellStyle name="Millares 64" xfId="440" xr:uid="{00000000-0005-0000-0000-0000B8010000}"/>
    <cellStyle name="Millares 64 2" xfId="797" xr:uid="{00000000-0005-0000-0000-00001D030000}"/>
    <cellStyle name="Millares 64 2 2" xfId="1830" xr:uid="{00000000-0005-0000-0000-000026070000}"/>
    <cellStyle name="Millares 64 3" xfId="1831" xr:uid="{00000000-0005-0000-0000-000027070000}"/>
    <cellStyle name="Millares 64 4" xfId="1832" xr:uid="{00000000-0005-0000-0000-000028070000}"/>
    <cellStyle name="Millares 64 5" xfId="1833" xr:uid="{00000000-0005-0000-0000-000029070000}"/>
    <cellStyle name="Millares 64 6" xfId="2197" xr:uid="{00000000-0005-0000-0000-000095080000}"/>
    <cellStyle name="Millares 65" xfId="5" xr:uid="{00000000-0005-0000-0000-000005000000}"/>
    <cellStyle name="Millares 65 2" xfId="798" xr:uid="{00000000-0005-0000-0000-00001E030000}"/>
    <cellStyle name="Millares 65 3" xfId="1834" xr:uid="{00000000-0005-0000-0000-00002A070000}"/>
    <cellStyle name="Millares 65 4" xfId="1835" xr:uid="{00000000-0005-0000-0000-00002B070000}"/>
    <cellStyle name="Millares 66" xfId="799" xr:uid="{00000000-0005-0000-0000-00001F030000}"/>
    <cellStyle name="Millares 66 2" xfId="1836" xr:uid="{00000000-0005-0000-0000-00002C070000}"/>
    <cellStyle name="Millares 67" xfId="446" xr:uid="{00000000-0005-0000-0000-0000BE010000}"/>
    <cellStyle name="Millares 67 2" xfId="895" xr:uid="{00000000-0005-0000-0000-00007F030000}"/>
    <cellStyle name="Millares 68" xfId="445" xr:uid="{00000000-0005-0000-0000-0000BD010000}"/>
    <cellStyle name="Millares 68 2" xfId="1837" xr:uid="{00000000-0005-0000-0000-00002D070000}"/>
    <cellStyle name="Millares 69" xfId="801" xr:uid="{00000000-0005-0000-0000-000021030000}"/>
    <cellStyle name="Millares 69 2" xfId="1838" xr:uid="{00000000-0005-0000-0000-00002E070000}"/>
    <cellStyle name="Millares 7" xfId="441" xr:uid="{00000000-0005-0000-0000-0000B9010000}"/>
    <cellStyle name="Millares 70" xfId="803" xr:uid="{00000000-0005-0000-0000-000023030000}"/>
    <cellStyle name="Millares 70 2" xfId="1839" xr:uid="{00000000-0005-0000-0000-00002F070000}"/>
    <cellStyle name="Millares 71" xfId="804" xr:uid="{00000000-0005-0000-0000-000024030000}"/>
    <cellStyle name="Millares 71 2" xfId="1840" xr:uid="{00000000-0005-0000-0000-000030070000}"/>
    <cellStyle name="Millares 72" xfId="805" xr:uid="{00000000-0005-0000-0000-000025030000}"/>
    <cellStyle name="Millares 72 2" xfId="2198" xr:uid="{00000000-0005-0000-0000-000096080000}"/>
    <cellStyle name="Millares 73" xfId="807" xr:uid="{00000000-0005-0000-0000-000027030000}"/>
    <cellStyle name="Millares 73 2" xfId="2203" xr:uid="{00000000-0005-0000-0000-00009B080000}"/>
    <cellStyle name="Millares 74" xfId="806" xr:uid="{00000000-0005-0000-0000-000026030000}"/>
    <cellStyle name="Millares 75" xfId="896" xr:uid="{00000000-0005-0000-0000-000080030000}"/>
    <cellStyle name="Millares 76" xfId="897" xr:uid="{00000000-0005-0000-0000-000081030000}"/>
    <cellStyle name="Millares 77" xfId="1842" xr:uid="{00000000-0005-0000-0000-000032070000}"/>
    <cellStyle name="Millares 78" xfId="1843" xr:uid="{00000000-0005-0000-0000-000033070000}"/>
    <cellStyle name="Millares 79" xfId="1844" xr:uid="{00000000-0005-0000-0000-000034070000}"/>
    <cellStyle name="Millares 8" xfId="442" xr:uid="{00000000-0005-0000-0000-0000BA010000}"/>
    <cellStyle name="Millares 80" xfId="1845" xr:uid="{00000000-0005-0000-0000-000035070000}"/>
    <cellStyle name="Millares 81" xfId="1846" xr:uid="{00000000-0005-0000-0000-000036070000}"/>
    <cellStyle name="Millares 82" xfId="2199" xr:uid="{00000000-0005-0000-0000-000097080000}"/>
    <cellStyle name="Millares 83" xfId="2200" xr:uid="{00000000-0005-0000-0000-000098080000}"/>
    <cellStyle name="Millares 84" xfId="2201" xr:uid="{00000000-0005-0000-0000-000099080000}"/>
    <cellStyle name="Millares 85" xfId="2202" xr:uid="{00000000-0005-0000-0000-00009A080000}"/>
    <cellStyle name="Millares 86" xfId="2204" xr:uid="{00000000-0005-0000-0000-00009C080000}"/>
    <cellStyle name="Millares 87" xfId="2205" xr:uid="{00000000-0005-0000-0000-00009D080000}"/>
    <cellStyle name="Millares 88" xfId="2206" xr:uid="{00000000-0005-0000-0000-00009E080000}"/>
    <cellStyle name="Millares 89" xfId="2207" xr:uid="{00000000-0005-0000-0000-00009F080000}"/>
    <cellStyle name="Millares 9" xfId="443" xr:uid="{00000000-0005-0000-0000-0000BB010000}"/>
    <cellStyle name="Millares 90" xfId="2208" xr:uid="{00000000-0005-0000-0000-0000A0080000}"/>
    <cellStyle name="Millares 91" xfId="2209" xr:uid="{00000000-0005-0000-0000-0000A1080000}"/>
    <cellStyle name="Millares 92" xfId="2210" xr:uid="{00000000-0005-0000-0000-0000A2080000}"/>
    <cellStyle name="Millares 93" xfId="2211" xr:uid="{00000000-0005-0000-0000-0000A3080000}"/>
    <cellStyle name="Millares 94" xfId="2213" xr:uid="{00000000-0005-0000-0000-0000A5080000}"/>
    <cellStyle name="Millares 95" xfId="2212" xr:uid="{00000000-0005-0000-0000-0000A4080000}"/>
    <cellStyle name="Millares 96" xfId="2214" xr:uid="{00000000-0005-0000-0000-0000A6080000}"/>
    <cellStyle name="Millares 97" xfId="2215" xr:uid="{00000000-0005-0000-0000-0000A7080000}"/>
    <cellStyle name="Millares 98" xfId="2216" xr:uid="{00000000-0005-0000-0000-0000A8080000}"/>
    <cellStyle name="Millares 99" xfId="2218" xr:uid="{00000000-0005-0000-0000-0000AA080000}"/>
    <cellStyle name="Moneda" xfId="2372" builtinId="4"/>
    <cellStyle name="Normal" xfId="0" builtinId="0"/>
    <cellStyle name="Normal 2" xfId="3" xr:uid="{00000000-0005-0000-0000-000003000000}"/>
    <cellStyle name="Normal 3" xfId="2" xr:uid="{00000000-0005-0000-0000-000002000000}"/>
    <cellStyle name="Normal 3 2" xfId="444" xr:uid="{00000000-0005-0000-0000-0000BC010000}"/>
    <cellStyle name="Normal 3 3" xfId="2377" xr:uid="{00000000-0005-0000-0000-000049090000}"/>
    <cellStyle name="Normal 4" xfId="800" xr:uid="{00000000-0005-0000-0000-000020030000}"/>
    <cellStyle name="Normal 4 2" xfId="1841" xr:uid="{00000000-0005-0000-0000-000031070000}"/>
    <cellStyle name="Normal 5" xfId="2371" xr:uid="{00000000-0005-0000-0000-000043090000}"/>
    <cellStyle name="Normal 5 2" xfId="2373" xr:uid="{00000000-0005-0000-0000-000045090000}"/>
    <cellStyle name="Normal 6" xfId="2374" xr:uid="{00000000-0005-0000-0000-000046090000}"/>
    <cellStyle name="Porcentaje" xfId="2379" builtinId="5"/>
    <cellStyle name="Porcentaje 2" xfId="802" xr:uid="{00000000-0005-0000-0000-000022030000}"/>
  </cellStyles>
  <dxfs count="224"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19" formatCode="d/m/yyyy"/>
    </dxf>
    <dxf>
      <numFmt numFmtId="171" formatCode="_ [$$-300A]* #,##0.00_ ;_ [$$-300A]* \-#,##0.00_ ;_ [$$-300A]* &quot;-&quot;??_ ;_ @_ "/>
    </dxf>
    <dxf>
      <numFmt numFmtId="171" formatCode="_ [$$-300A]* #,##0.00_ ;_ [$$-300A]* \-#,##0.00_ ;_ [$$-300A]* &quot;-&quot;??_ ;_ @_ "/>
    </dxf>
    <dxf>
      <numFmt numFmtId="171" formatCode="_ [$$-300A]* #,##0.00_ ;_ [$$-300A]* \-#,##0.00_ ;_ [$$-300A]* &quot;-&quot;??_ ;_ @_ "/>
    </dxf>
    <dxf>
      <numFmt numFmtId="171" formatCode="_ [$$-300A]* #,##0.00_ ;_ [$$-300A]* \-#,##0.00_ ;_ [$$-300A]* &quot;-&quot;??_ ;_ @_ "/>
    </dxf>
    <dxf>
      <numFmt numFmtId="19" formatCode="d/m/yyyy"/>
    </dxf>
    <dxf>
      <numFmt numFmtId="19" formatCode="d/m/yyyy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72" formatCode="&quot;$&quot;#,##0.00"/>
    </dxf>
    <dxf>
      <font>
        <color rgb="FF00B050"/>
      </font>
    </dxf>
    <dxf>
      <font>
        <color rgb="FF9C0006"/>
      </font>
    </dxf>
    <dxf>
      <font>
        <color theme="3"/>
      </font>
    </dxf>
    <dxf>
      <numFmt numFmtId="1" formatCode="0"/>
    </dxf>
    <dxf>
      <numFmt numFmtId="170" formatCode="yyyy\-mm\-dd;@"/>
    </dxf>
    <dxf>
      <numFmt numFmtId="1" formatCode="0"/>
    </dxf>
    <dxf>
      <numFmt numFmtId="1" formatCode="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0" formatCode="General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general" vertical="center" wrapText="1"/>
    </dxf>
    <dxf>
      <alignment vertical="center"/>
    </dxf>
    <dxf>
      <alignment wrapText="1"/>
    </dxf>
    <dxf>
      <numFmt numFmtId="34" formatCode="_ &quot;$&quot;* #,##0.00_ ;_ &quot;$&quot;* \-#,##0.00_ ;_ &quot;$&quot;* &quot;-&quot;??_ ;_ @_ "/>
    </dxf>
    <dxf>
      <alignment vertical="center"/>
    </dxf>
    <dxf>
      <alignment vertical="center"/>
    </dxf>
    <dxf>
      <alignment horizontal="general"/>
    </dxf>
    <dxf>
      <alignment horizontal="general"/>
    </dxf>
    <dxf>
      <alignment wrapText="1"/>
    </dxf>
    <dxf>
      <alignment wrapText="1"/>
    </dxf>
    <dxf>
      <numFmt numFmtId="1" formatCode="0"/>
      <fill>
        <patternFill>
          <fgColor indexed="64"/>
          <bgColor indexed="65"/>
        </patternFill>
      </fill>
    </dxf>
    <dxf>
      <numFmt numFmtId="1" formatCode="0"/>
    </dxf>
    <dxf>
      <numFmt numFmtId="34" formatCode="_ &quot;$&quot;* #,##0.00_ ;_ &quot;$&quot;* \-#,##0.00_ ;_ &quot;$&quot;* &quot;-&quot;??_ ;_ @_ "/>
      <fill>
        <patternFill>
          <fgColor indexed="64"/>
          <bgColor indexed="65"/>
        </patternFill>
      </fill>
    </dxf>
    <dxf>
      <numFmt numFmtId="34" formatCode="_ &quot;$&quot;* #,##0.00_ ;_ &quot;$&quot;* \-#,##0.00_ ;_ &quot;$&quot;* &quot;-&quot;??_ ;_ @_ "/>
    </dxf>
    <dxf>
      <numFmt numFmtId="175" formatCode="0.000000%"/>
      <fill>
        <patternFill>
          <fgColor indexed="64"/>
          <bgColor indexed="65"/>
        </patternFill>
      </fill>
    </dxf>
    <dxf>
      <numFmt numFmtId="175" formatCode="0.000000%"/>
    </dxf>
    <dxf>
      <numFmt numFmtId="175" formatCode="0.000000%"/>
      <fill>
        <patternFill>
          <fgColor indexed="64"/>
          <bgColor indexed="65"/>
        </patternFill>
      </fill>
    </dxf>
    <dxf>
      <numFmt numFmtId="175" formatCode="0.000000%"/>
    </dxf>
    <dxf>
      <numFmt numFmtId="175" formatCode="0.000000%"/>
      <fill>
        <patternFill>
          <fgColor indexed="64"/>
          <bgColor indexed="65"/>
        </patternFill>
      </fill>
    </dxf>
    <dxf>
      <numFmt numFmtId="175" formatCode="0.000000%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4" formatCode="0_ ;\-0\ "/>
    </dxf>
    <dxf>
      <numFmt numFmtId="174" formatCode="0_ ;\-0\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0" formatCode="General"/>
    </dxf>
    <dxf>
      <numFmt numFmtId="0" formatCode="General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general" vertical="center" wrapText="1"/>
    </dxf>
    <dxf>
      <numFmt numFmtId="1" formatCode="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173" formatCode="0.00000000"/>
    </dxf>
    <dxf>
      <numFmt numFmtId="173" formatCode="0.0000000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0" formatCode="General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general" vertical="center" wrapText="1"/>
    </dxf>
    <dxf>
      <numFmt numFmtId="34" formatCode="_ &quot;$&quot;* #,##0.00_ ;_ &quot;$&quot;* \-#,##0.00_ ;_ &quot;$&quot;* &quot;-&quot;??_ ;_ @_ "/>
    </dxf>
    <dxf>
      <alignment vertical="center"/>
    </dxf>
    <dxf>
      <alignment vertical="center"/>
    </dxf>
    <dxf>
      <alignment wrapText="1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alignment vertical="center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 &quot;$&quot;* #,##0.00_ ;_ &quot;$&quot;* \-#,##0.00_ ;_ &quot;$&quot;* &quot;-&quot;??_ ;_ @_ "/>
    </dxf>
    <dxf>
      <font>
        <i/>
      </font>
    </dxf>
    <dxf>
      <font>
        <i/>
      </font>
    </dxf>
    <dxf>
      <font>
        <i/>
      </font>
    </dxf>
    <dxf>
      <numFmt numFmtId="34" formatCode="_ &quot;$&quot;* #,##0.00_ ;_ &quot;$&quot;* \-#,##0.00_ ;_ &quot;$&quot;* &quot;-&quot;??_ ;_ @_ "/>
    </dxf>
    <dxf>
      <alignment vertical="center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1" formatCode="_ [$$-300A]* #,##0.00_ ;_ [$$-300A]* \-#,##0.00_ ;_ [$$-300A]* &quot;-&quot;??_ ;_ @_ "/>
    </dxf>
    <dxf>
      <numFmt numFmtId="34" formatCode="_ &quot;$&quot;* #,##0.00_ ;_ &quot;$&quot;* \-#,##0.00_ ;_ &quot;$&quot;* &quot;-&quot;??_ ;_ @_ "/>
    </dxf>
    <dxf>
      <font>
        <b/>
      </font>
    </dxf>
    <dxf>
      <alignment vertical="center"/>
    </dxf>
    <dxf>
      <protection locked="0" hidden="0"/>
    </dxf>
    <dxf>
      <protection locked="0" hidden="0"/>
    </dxf>
    <dxf>
      <protection locked="0" hidden="0"/>
    </dxf>
    <dxf>
      <numFmt numFmtId="171" formatCode="_ [$$-300A]* #,##0.00_ ;_ [$$-300A]* \-#,##0.00_ ;_ [$$-300A]* &quot;-&quot;??_ ;_ @_ 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alignment horizontal="center" vertical="center"/>
    </dxf>
    <dxf>
      <alignment horizontal="center" vertical="center"/>
    </dxf>
    <dxf>
      <alignment vertical="center"/>
    </dxf>
    <dxf>
      <alignment horizontal="center"/>
    </dxf>
    <dxf>
      <numFmt numFmtId="171" formatCode="_ [$$-300A]* #,##0.00_ ;_ [$$-300A]* \-#,##0.00_ ;_ [$$-300A]* &quot;-&quot;??_ ;_ @_ "/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bottom"/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bottom"/>
    </dxf>
    <dxf>
      <numFmt numFmtId="4" formatCode="#,##0.00"/>
      <fill>
        <patternFill patternType="solid">
          <fgColor indexed="64"/>
          <bgColor theme="5" tint="0.59999389629810485"/>
        </patternFill>
      </fill>
      <alignment horizontal="center" vertical="bottom"/>
    </dxf>
    <dxf>
      <numFmt numFmtId="0" formatCode="General"/>
      <alignment horizontal="center" vertical="bottom"/>
    </dxf>
    <dxf>
      <numFmt numFmtId="4" formatCode="#,##0.00"/>
      <alignment horizontal="center" vertical="bottom"/>
    </dxf>
    <dxf>
      <numFmt numFmtId="1" formatCode="0"/>
      <fill>
        <patternFill patternType="solid">
          <fgColor indexed="64"/>
          <bgColor theme="0"/>
        </patternFill>
      </fill>
      <alignment horizontal="right" vertical="bottom"/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34" formatCode="_ &quot;$&quot;* #,##0.00_ ;_ &quot;$&quot;* \-#,##0.00_ ;_ &quot;$&quot;* &quot;-&quot;??_ ;_ @_ 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34" formatCode="_ &quot;$&quot;* #,##0.00_ ;_ &quot;$&quot;* \-#,##0.00_ ;_ &quot;$&quot;* &quot;-&quot;??_ ;_ @_ "/>
      <fill>
        <patternFill patternType="solid">
          <fgColor indexed="64"/>
          <bgColor theme="0"/>
        </patternFill>
      </fill>
    </dxf>
    <dxf>
      <numFmt numFmtId="34" formatCode="_ &quot;$&quot;* #,##0.00_ ;_ &quot;$&quot;* \-#,##0.00_ ;_ &quot;$&quot;* &quot;-&quot;??_ ;_ @_ 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left" vertical="bottom"/>
    </dxf>
    <dxf>
      <fill>
        <patternFill patternType="solid">
          <fgColor indexed="64"/>
          <bgColor theme="0"/>
        </patternFill>
      </fill>
      <alignment horizontal="center" vertical="bottom"/>
    </dxf>
    <dxf>
      <numFmt numFmtId="170" formatCode="yyyy\-mm\-dd;@"/>
      <fill>
        <patternFill patternType="solid">
          <fgColor indexed="64"/>
          <bgColor theme="0"/>
        </patternFill>
      </fill>
      <alignment horizontal="left" vertical="bottom"/>
    </dxf>
    <dxf>
      <numFmt numFmtId="170" formatCode="yyyy\-mm\-dd;@"/>
      <fill>
        <patternFill patternType="solid">
          <fgColor indexed="64"/>
          <bgColor theme="0"/>
        </patternFill>
      </fill>
      <alignment horizontal="right" vertical="bottom"/>
    </dxf>
    <dxf>
      <numFmt numFmtId="170" formatCode="yyyy\-mm\-dd;@"/>
      <fill>
        <patternFill patternType="solid">
          <fgColor indexed="64"/>
          <bgColor theme="0"/>
        </patternFill>
      </fill>
      <alignment horizontal="right" vertical="bottom"/>
    </dxf>
    <dxf>
      <fill>
        <patternFill patternType="solid">
          <fgColor indexed="64"/>
          <bgColor theme="5" tint="0.59999389629810485"/>
        </patternFill>
      </fill>
    </dxf>
    <dxf>
      <fill>
        <patternFill>
          <fgColor indexed="64"/>
          <bgColor theme="0"/>
        </patternFill>
      </fill>
      <alignment horizontal="center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'Valores Clasificados'!$C$2</c:f>
              <c:strCache>
                <c:ptCount val="1"/>
                <c:pt idx="0">
                  <c:v> Jaime 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Clasificados'!$C$3:$C$322</c:f>
              <c:numCache>
                <c:formatCode>_("$"* #,##0.00_);_("$"* \(#,##0.00\);_("$"* "-"??_);_(@_)</c:formatCode>
                <c:ptCount val="320"/>
                <c:pt idx="0">
                  <c:v>50000</c:v>
                </c:pt>
                <c:pt idx="1">
                  <c:v>50000</c:v>
                </c:pt>
                <c:pt idx="2">
                  <c:v>53000</c:v>
                </c:pt>
                <c:pt idx="3">
                  <c:v>53000</c:v>
                </c:pt>
                <c:pt idx="4">
                  <c:v>53000</c:v>
                </c:pt>
                <c:pt idx="5">
                  <c:v>53000</c:v>
                </c:pt>
                <c:pt idx="6">
                  <c:v>53000</c:v>
                </c:pt>
                <c:pt idx="7">
                  <c:v>53000</c:v>
                </c:pt>
                <c:pt idx="8">
                  <c:v>53000</c:v>
                </c:pt>
                <c:pt idx="9">
                  <c:v>53000</c:v>
                </c:pt>
                <c:pt idx="10">
                  <c:v>53000</c:v>
                </c:pt>
                <c:pt idx="11">
                  <c:v>53000</c:v>
                </c:pt>
                <c:pt idx="12">
                  <c:v>53000</c:v>
                </c:pt>
                <c:pt idx="13">
                  <c:v>53000</c:v>
                </c:pt>
                <c:pt idx="14">
                  <c:v>53000</c:v>
                </c:pt>
                <c:pt idx="15">
                  <c:v>53000</c:v>
                </c:pt>
                <c:pt idx="16">
                  <c:v>53000</c:v>
                </c:pt>
                <c:pt idx="17">
                  <c:v>53000</c:v>
                </c:pt>
                <c:pt idx="18">
                  <c:v>53000</c:v>
                </c:pt>
                <c:pt idx="19">
                  <c:v>53000</c:v>
                </c:pt>
                <c:pt idx="20">
                  <c:v>53000</c:v>
                </c:pt>
                <c:pt idx="21">
                  <c:v>53000</c:v>
                </c:pt>
                <c:pt idx="22">
                  <c:v>53000</c:v>
                </c:pt>
                <c:pt idx="23">
                  <c:v>53000</c:v>
                </c:pt>
                <c:pt idx="24">
                  <c:v>53000</c:v>
                </c:pt>
                <c:pt idx="25">
                  <c:v>57000</c:v>
                </c:pt>
                <c:pt idx="26">
                  <c:v>57000</c:v>
                </c:pt>
                <c:pt idx="27">
                  <c:v>57000</c:v>
                </c:pt>
                <c:pt idx="28">
                  <c:v>57000</c:v>
                </c:pt>
                <c:pt idx="29">
                  <c:v>57000</c:v>
                </c:pt>
                <c:pt idx="30">
                  <c:v>57000</c:v>
                </c:pt>
                <c:pt idx="31">
                  <c:v>57000</c:v>
                </c:pt>
                <c:pt idx="32">
                  <c:v>57000</c:v>
                </c:pt>
                <c:pt idx="33">
                  <c:v>57000</c:v>
                </c:pt>
                <c:pt idx="34">
                  <c:v>57000</c:v>
                </c:pt>
                <c:pt idx="35">
                  <c:v>57000</c:v>
                </c:pt>
                <c:pt idx="36">
                  <c:v>57000</c:v>
                </c:pt>
                <c:pt idx="37">
                  <c:v>57000</c:v>
                </c:pt>
                <c:pt idx="38">
                  <c:v>57000</c:v>
                </c:pt>
                <c:pt idx="39">
                  <c:v>57000</c:v>
                </c:pt>
                <c:pt idx="40">
                  <c:v>57000</c:v>
                </c:pt>
                <c:pt idx="41">
                  <c:v>57000</c:v>
                </c:pt>
                <c:pt idx="42">
                  <c:v>57000</c:v>
                </c:pt>
                <c:pt idx="43">
                  <c:v>57000</c:v>
                </c:pt>
                <c:pt idx="44">
                  <c:v>58000</c:v>
                </c:pt>
                <c:pt idx="45">
                  <c:v>58000</c:v>
                </c:pt>
                <c:pt idx="46">
                  <c:v>58000</c:v>
                </c:pt>
                <c:pt idx="47">
                  <c:v>58000</c:v>
                </c:pt>
                <c:pt idx="48">
                  <c:v>58000</c:v>
                </c:pt>
                <c:pt idx="49">
                  <c:v>58000</c:v>
                </c:pt>
                <c:pt idx="50">
                  <c:v>58000</c:v>
                </c:pt>
                <c:pt idx="51">
                  <c:v>58000</c:v>
                </c:pt>
                <c:pt idx="52">
                  <c:v>58000</c:v>
                </c:pt>
                <c:pt idx="53">
                  <c:v>61000</c:v>
                </c:pt>
                <c:pt idx="54">
                  <c:v>61000</c:v>
                </c:pt>
                <c:pt idx="55">
                  <c:v>61000</c:v>
                </c:pt>
                <c:pt idx="56">
                  <c:v>61000</c:v>
                </c:pt>
                <c:pt idx="57">
                  <c:v>61000</c:v>
                </c:pt>
                <c:pt idx="58">
                  <c:v>61000</c:v>
                </c:pt>
                <c:pt idx="59">
                  <c:v>61000</c:v>
                </c:pt>
                <c:pt idx="60">
                  <c:v>63000</c:v>
                </c:pt>
                <c:pt idx="61">
                  <c:v>63000</c:v>
                </c:pt>
                <c:pt idx="62">
                  <c:v>63000</c:v>
                </c:pt>
                <c:pt idx="63">
                  <c:v>63000</c:v>
                </c:pt>
                <c:pt idx="64">
                  <c:v>63000</c:v>
                </c:pt>
                <c:pt idx="65">
                  <c:v>63000</c:v>
                </c:pt>
                <c:pt idx="66">
                  <c:v>63000</c:v>
                </c:pt>
                <c:pt idx="67">
                  <c:v>63000</c:v>
                </c:pt>
                <c:pt idx="68">
                  <c:v>63000</c:v>
                </c:pt>
                <c:pt idx="69">
                  <c:v>63000</c:v>
                </c:pt>
                <c:pt idx="70">
                  <c:v>63000</c:v>
                </c:pt>
                <c:pt idx="71">
                  <c:v>63000</c:v>
                </c:pt>
                <c:pt idx="72">
                  <c:v>63000</c:v>
                </c:pt>
                <c:pt idx="73">
                  <c:v>63000</c:v>
                </c:pt>
                <c:pt idx="74">
                  <c:v>63000</c:v>
                </c:pt>
                <c:pt idx="75">
                  <c:v>63000</c:v>
                </c:pt>
                <c:pt idx="76">
                  <c:v>65000</c:v>
                </c:pt>
                <c:pt idx="77">
                  <c:v>65000</c:v>
                </c:pt>
                <c:pt idx="78">
                  <c:v>65000</c:v>
                </c:pt>
                <c:pt idx="79">
                  <c:v>65000</c:v>
                </c:pt>
                <c:pt idx="80">
                  <c:v>65000</c:v>
                </c:pt>
                <c:pt idx="81">
                  <c:v>65000</c:v>
                </c:pt>
                <c:pt idx="82">
                  <c:v>65000</c:v>
                </c:pt>
                <c:pt idx="83">
                  <c:v>65000</c:v>
                </c:pt>
                <c:pt idx="84">
                  <c:v>65000</c:v>
                </c:pt>
                <c:pt idx="85">
                  <c:v>65000</c:v>
                </c:pt>
                <c:pt idx="86">
                  <c:v>65000</c:v>
                </c:pt>
                <c:pt idx="87">
                  <c:v>65000</c:v>
                </c:pt>
                <c:pt idx="88">
                  <c:v>65000</c:v>
                </c:pt>
                <c:pt idx="89">
                  <c:v>65000</c:v>
                </c:pt>
                <c:pt idx="90">
                  <c:v>65000</c:v>
                </c:pt>
                <c:pt idx="91">
                  <c:v>65000</c:v>
                </c:pt>
                <c:pt idx="92">
                  <c:v>65000</c:v>
                </c:pt>
                <c:pt idx="93">
                  <c:v>65000</c:v>
                </c:pt>
                <c:pt idx="94">
                  <c:v>65000</c:v>
                </c:pt>
                <c:pt idx="95">
                  <c:v>65000</c:v>
                </c:pt>
                <c:pt idx="96">
                  <c:v>65000</c:v>
                </c:pt>
                <c:pt idx="97">
                  <c:v>65000</c:v>
                </c:pt>
                <c:pt idx="98">
                  <c:v>65000</c:v>
                </c:pt>
                <c:pt idx="99">
                  <c:v>65000</c:v>
                </c:pt>
                <c:pt idx="100">
                  <c:v>65000</c:v>
                </c:pt>
                <c:pt idx="101">
                  <c:v>65000</c:v>
                </c:pt>
                <c:pt idx="102">
                  <c:v>65000</c:v>
                </c:pt>
                <c:pt idx="103">
                  <c:v>65000</c:v>
                </c:pt>
                <c:pt idx="104">
                  <c:v>65000</c:v>
                </c:pt>
                <c:pt idx="105">
                  <c:v>65000</c:v>
                </c:pt>
                <c:pt idx="106">
                  <c:v>65000</c:v>
                </c:pt>
                <c:pt idx="107">
                  <c:v>65000</c:v>
                </c:pt>
                <c:pt idx="108">
                  <c:v>65000</c:v>
                </c:pt>
                <c:pt idx="109">
                  <c:v>65000</c:v>
                </c:pt>
                <c:pt idx="110">
                  <c:v>65000</c:v>
                </c:pt>
                <c:pt idx="111">
                  <c:v>65000</c:v>
                </c:pt>
                <c:pt idx="112">
                  <c:v>65000</c:v>
                </c:pt>
                <c:pt idx="113">
                  <c:v>65000</c:v>
                </c:pt>
                <c:pt idx="114">
                  <c:v>65000</c:v>
                </c:pt>
                <c:pt idx="115">
                  <c:v>65000</c:v>
                </c:pt>
                <c:pt idx="116">
                  <c:v>65000</c:v>
                </c:pt>
                <c:pt idx="117">
                  <c:v>65000</c:v>
                </c:pt>
                <c:pt idx="118">
                  <c:v>65000</c:v>
                </c:pt>
                <c:pt idx="119">
                  <c:v>65000</c:v>
                </c:pt>
                <c:pt idx="120">
                  <c:v>65000</c:v>
                </c:pt>
                <c:pt idx="121">
                  <c:v>65000</c:v>
                </c:pt>
                <c:pt idx="122">
                  <c:v>65000</c:v>
                </c:pt>
                <c:pt idx="123">
                  <c:v>65000</c:v>
                </c:pt>
                <c:pt idx="124">
                  <c:v>65000</c:v>
                </c:pt>
                <c:pt idx="125">
                  <c:v>65000</c:v>
                </c:pt>
                <c:pt idx="126">
                  <c:v>65000</c:v>
                </c:pt>
                <c:pt idx="127">
                  <c:v>65000</c:v>
                </c:pt>
                <c:pt idx="128">
                  <c:v>65000</c:v>
                </c:pt>
                <c:pt idx="129">
                  <c:v>65000</c:v>
                </c:pt>
                <c:pt idx="130">
                  <c:v>65000</c:v>
                </c:pt>
                <c:pt idx="131">
                  <c:v>65000</c:v>
                </c:pt>
                <c:pt idx="132">
                  <c:v>65000</c:v>
                </c:pt>
                <c:pt idx="133">
                  <c:v>65000</c:v>
                </c:pt>
                <c:pt idx="134">
                  <c:v>65000</c:v>
                </c:pt>
                <c:pt idx="135">
                  <c:v>65000</c:v>
                </c:pt>
                <c:pt idx="136">
                  <c:v>67000</c:v>
                </c:pt>
                <c:pt idx="137">
                  <c:v>67000</c:v>
                </c:pt>
                <c:pt idx="138">
                  <c:v>67000</c:v>
                </c:pt>
                <c:pt idx="139">
                  <c:v>67000</c:v>
                </c:pt>
                <c:pt idx="140">
                  <c:v>67000</c:v>
                </c:pt>
                <c:pt idx="141">
                  <c:v>67000</c:v>
                </c:pt>
                <c:pt idx="142">
                  <c:v>67000</c:v>
                </c:pt>
                <c:pt idx="143">
                  <c:v>67000</c:v>
                </c:pt>
                <c:pt idx="144">
                  <c:v>67000</c:v>
                </c:pt>
                <c:pt idx="145">
                  <c:v>67000</c:v>
                </c:pt>
                <c:pt idx="146">
                  <c:v>67000</c:v>
                </c:pt>
                <c:pt idx="147">
                  <c:v>67000</c:v>
                </c:pt>
                <c:pt idx="148">
                  <c:v>68000</c:v>
                </c:pt>
                <c:pt idx="149">
                  <c:v>68000</c:v>
                </c:pt>
                <c:pt idx="150">
                  <c:v>68000</c:v>
                </c:pt>
                <c:pt idx="151">
                  <c:v>68000</c:v>
                </c:pt>
                <c:pt idx="152">
                  <c:v>68000</c:v>
                </c:pt>
                <c:pt idx="153">
                  <c:v>68000</c:v>
                </c:pt>
                <c:pt idx="154">
                  <c:v>68000</c:v>
                </c:pt>
                <c:pt idx="155">
                  <c:v>68000</c:v>
                </c:pt>
                <c:pt idx="156">
                  <c:v>68000</c:v>
                </c:pt>
                <c:pt idx="157">
                  <c:v>68000</c:v>
                </c:pt>
                <c:pt idx="158">
                  <c:v>68000</c:v>
                </c:pt>
                <c:pt idx="159">
                  <c:v>68000</c:v>
                </c:pt>
                <c:pt idx="160">
                  <c:v>68000</c:v>
                </c:pt>
                <c:pt idx="161">
                  <c:v>68000</c:v>
                </c:pt>
                <c:pt idx="162">
                  <c:v>68000</c:v>
                </c:pt>
                <c:pt idx="163">
                  <c:v>68000</c:v>
                </c:pt>
                <c:pt idx="164">
                  <c:v>68000</c:v>
                </c:pt>
                <c:pt idx="165">
                  <c:v>68000</c:v>
                </c:pt>
                <c:pt idx="166">
                  <c:v>68000</c:v>
                </c:pt>
                <c:pt idx="167">
                  <c:v>68000</c:v>
                </c:pt>
                <c:pt idx="168">
                  <c:v>68000</c:v>
                </c:pt>
                <c:pt idx="169">
                  <c:v>68000</c:v>
                </c:pt>
                <c:pt idx="170">
                  <c:v>68000</c:v>
                </c:pt>
                <c:pt idx="171">
                  <c:v>73000</c:v>
                </c:pt>
                <c:pt idx="172">
                  <c:v>73000</c:v>
                </c:pt>
                <c:pt idx="173">
                  <c:v>73000</c:v>
                </c:pt>
                <c:pt idx="174">
                  <c:v>73000</c:v>
                </c:pt>
                <c:pt idx="175">
                  <c:v>73000</c:v>
                </c:pt>
                <c:pt idx="176">
                  <c:v>73000</c:v>
                </c:pt>
                <c:pt idx="177">
                  <c:v>73000</c:v>
                </c:pt>
                <c:pt idx="178">
                  <c:v>73000</c:v>
                </c:pt>
                <c:pt idx="179">
                  <c:v>73000</c:v>
                </c:pt>
                <c:pt idx="180">
                  <c:v>73000</c:v>
                </c:pt>
                <c:pt idx="181">
                  <c:v>73000</c:v>
                </c:pt>
                <c:pt idx="182">
                  <c:v>73000</c:v>
                </c:pt>
                <c:pt idx="183">
                  <c:v>73000</c:v>
                </c:pt>
                <c:pt idx="184">
                  <c:v>73000</c:v>
                </c:pt>
                <c:pt idx="185">
                  <c:v>73000</c:v>
                </c:pt>
                <c:pt idx="186">
                  <c:v>73000</c:v>
                </c:pt>
                <c:pt idx="187">
                  <c:v>73000</c:v>
                </c:pt>
                <c:pt idx="188">
                  <c:v>73000</c:v>
                </c:pt>
                <c:pt idx="189">
                  <c:v>73000</c:v>
                </c:pt>
                <c:pt idx="190">
                  <c:v>73000</c:v>
                </c:pt>
                <c:pt idx="191">
                  <c:v>73000</c:v>
                </c:pt>
                <c:pt idx="192">
                  <c:v>73000</c:v>
                </c:pt>
                <c:pt idx="193">
                  <c:v>73000</c:v>
                </c:pt>
                <c:pt idx="194">
                  <c:v>73000</c:v>
                </c:pt>
                <c:pt idx="195">
                  <c:v>73000</c:v>
                </c:pt>
                <c:pt idx="196">
                  <c:v>73000</c:v>
                </c:pt>
                <c:pt idx="197">
                  <c:v>73000</c:v>
                </c:pt>
                <c:pt idx="198">
                  <c:v>73000</c:v>
                </c:pt>
                <c:pt idx="199">
                  <c:v>73000</c:v>
                </c:pt>
                <c:pt idx="200">
                  <c:v>73000</c:v>
                </c:pt>
                <c:pt idx="201">
                  <c:v>75500</c:v>
                </c:pt>
                <c:pt idx="202">
                  <c:v>75500</c:v>
                </c:pt>
                <c:pt idx="203">
                  <c:v>75500</c:v>
                </c:pt>
                <c:pt idx="204">
                  <c:v>75500</c:v>
                </c:pt>
                <c:pt idx="205">
                  <c:v>75500</c:v>
                </c:pt>
                <c:pt idx="206">
                  <c:v>75500</c:v>
                </c:pt>
                <c:pt idx="207">
                  <c:v>75500</c:v>
                </c:pt>
                <c:pt idx="208">
                  <c:v>75500</c:v>
                </c:pt>
                <c:pt idx="209">
                  <c:v>75500</c:v>
                </c:pt>
                <c:pt idx="210">
                  <c:v>75500</c:v>
                </c:pt>
                <c:pt idx="211">
                  <c:v>75500</c:v>
                </c:pt>
                <c:pt idx="212">
                  <c:v>75500</c:v>
                </c:pt>
                <c:pt idx="213">
                  <c:v>75500</c:v>
                </c:pt>
                <c:pt idx="214">
                  <c:v>75500</c:v>
                </c:pt>
                <c:pt idx="215">
                  <c:v>75500</c:v>
                </c:pt>
                <c:pt idx="216">
                  <c:v>75500</c:v>
                </c:pt>
                <c:pt idx="217">
                  <c:v>75500</c:v>
                </c:pt>
                <c:pt idx="218">
                  <c:v>75500</c:v>
                </c:pt>
                <c:pt idx="219">
                  <c:v>75500</c:v>
                </c:pt>
                <c:pt idx="220">
                  <c:v>75500</c:v>
                </c:pt>
                <c:pt idx="221">
                  <c:v>75500</c:v>
                </c:pt>
                <c:pt idx="222">
                  <c:v>75500</c:v>
                </c:pt>
                <c:pt idx="223">
                  <c:v>75500</c:v>
                </c:pt>
                <c:pt idx="224">
                  <c:v>75500</c:v>
                </c:pt>
                <c:pt idx="225">
                  <c:v>75500</c:v>
                </c:pt>
                <c:pt idx="226">
                  <c:v>75500</c:v>
                </c:pt>
                <c:pt idx="227">
                  <c:v>75500</c:v>
                </c:pt>
                <c:pt idx="228">
                  <c:v>75500</c:v>
                </c:pt>
                <c:pt idx="229">
                  <c:v>75500</c:v>
                </c:pt>
                <c:pt idx="230">
                  <c:v>75500</c:v>
                </c:pt>
                <c:pt idx="231">
                  <c:v>75500</c:v>
                </c:pt>
                <c:pt idx="232">
                  <c:v>75500</c:v>
                </c:pt>
                <c:pt idx="233">
                  <c:v>75500</c:v>
                </c:pt>
                <c:pt idx="234">
                  <c:v>75500</c:v>
                </c:pt>
                <c:pt idx="235">
                  <c:v>75500</c:v>
                </c:pt>
                <c:pt idx="236">
                  <c:v>75500</c:v>
                </c:pt>
                <c:pt idx="237">
                  <c:v>82500</c:v>
                </c:pt>
                <c:pt idx="238">
                  <c:v>82500</c:v>
                </c:pt>
                <c:pt idx="239">
                  <c:v>82500</c:v>
                </c:pt>
                <c:pt idx="240">
                  <c:v>82500</c:v>
                </c:pt>
                <c:pt idx="241">
                  <c:v>82500</c:v>
                </c:pt>
                <c:pt idx="242">
                  <c:v>82500</c:v>
                </c:pt>
                <c:pt idx="243">
                  <c:v>82500</c:v>
                </c:pt>
                <c:pt idx="244">
                  <c:v>82500</c:v>
                </c:pt>
                <c:pt idx="245">
                  <c:v>82500</c:v>
                </c:pt>
                <c:pt idx="246">
                  <c:v>82500</c:v>
                </c:pt>
                <c:pt idx="247">
                  <c:v>82500</c:v>
                </c:pt>
                <c:pt idx="248">
                  <c:v>82500</c:v>
                </c:pt>
                <c:pt idx="249">
                  <c:v>82500</c:v>
                </c:pt>
                <c:pt idx="250">
                  <c:v>82500</c:v>
                </c:pt>
                <c:pt idx="251">
                  <c:v>82500</c:v>
                </c:pt>
                <c:pt idx="252">
                  <c:v>82500</c:v>
                </c:pt>
                <c:pt idx="253">
                  <c:v>82500</c:v>
                </c:pt>
                <c:pt idx="254">
                  <c:v>82500</c:v>
                </c:pt>
                <c:pt idx="255">
                  <c:v>82500</c:v>
                </c:pt>
                <c:pt idx="256">
                  <c:v>82500</c:v>
                </c:pt>
                <c:pt idx="257">
                  <c:v>82500</c:v>
                </c:pt>
                <c:pt idx="258">
                  <c:v>82500</c:v>
                </c:pt>
                <c:pt idx="259">
                  <c:v>82500</c:v>
                </c:pt>
                <c:pt idx="260">
                  <c:v>82500</c:v>
                </c:pt>
                <c:pt idx="261">
                  <c:v>82500</c:v>
                </c:pt>
                <c:pt idx="262">
                  <c:v>82500</c:v>
                </c:pt>
                <c:pt idx="263">
                  <c:v>82500</c:v>
                </c:pt>
                <c:pt idx="264">
                  <c:v>82500</c:v>
                </c:pt>
                <c:pt idx="265">
                  <c:v>82500</c:v>
                </c:pt>
                <c:pt idx="266">
                  <c:v>82500</c:v>
                </c:pt>
                <c:pt idx="267">
                  <c:v>82500</c:v>
                </c:pt>
                <c:pt idx="268">
                  <c:v>82500</c:v>
                </c:pt>
                <c:pt idx="269">
                  <c:v>82500</c:v>
                </c:pt>
                <c:pt idx="270">
                  <c:v>82500</c:v>
                </c:pt>
                <c:pt idx="271">
                  <c:v>82500</c:v>
                </c:pt>
                <c:pt idx="272">
                  <c:v>82500</c:v>
                </c:pt>
                <c:pt idx="273">
                  <c:v>82500</c:v>
                </c:pt>
                <c:pt idx="274">
                  <c:v>82500</c:v>
                </c:pt>
                <c:pt idx="275">
                  <c:v>82500</c:v>
                </c:pt>
                <c:pt idx="276">
                  <c:v>82500</c:v>
                </c:pt>
                <c:pt idx="277">
                  <c:v>82500</c:v>
                </c:pt>
                <c:pt idx="278">
                  <c:v>82500</c:v>
                </c:pt>
                <c:pt idx="279">
                  <c:v>82500</c:v>
                </c:pt>
                <c:pt idx="280">
                  <c:v>87434.74</c:v>
                </c:pt>
                <c:pt idx="281">
                  <c:v>87434.74</c:v>
                </c:pt>
                <c:pt idx="282">
                  <c:v>87434.74</c:v>
                </c:pt>
                <c:pt idx="283">
                  <c:v>87434.74</c:v>
                </c:pt>
                <c:pt idx="284">
                  <c:v>87434.74</c:v>
                </c:pt>
                <c:pt idx="285">
                  <c:v>87434.74</c:v>
                </c:pt>
                <c:pt idx="286">
                  <c:v>87434.74</c:v>
                </c:pt>
                <c:pt idx="287">
                  <c:v>87434.74</c:v>
                </c:pt>
                <c:pt idx="288">
                  <c:v>87434.74</c:v>
                </c:pt>
                <c:pt idx="289">
                  <c:v>87434.74</c:v>
                </c:pt>
                <c:pt idx="290">
                  <c:v>87434.74</c:v>
                </c:pt>
                <c:pt idx="291">
                  <c:v>87434.74</c:v>
                </c:pt>
                <c:pt idx="292">
                  <c:v>87434.74</c:v>
                </c:pt>
                <c:pt idx="293">
                  <c:v>87434.74</c:v>
                </c:pt>
                <c:pt idx="294">
                  <c:v>87434.74</c:v>
                </c:pt>
                <c:pt idx="295">
                  <c:v>87434.74</c:v>
                </c:pt>
                <c:pt idx="296">
                  <c:v>87434.74</c:v>
                </c:pt>
                <c:pt idx="297">
                  <c:v>87434.74</c:v>
                </c:pt>
                <c:pt idx="298">
                  <c:v>87434.74</c:v>
                </c:pt>
                <c:pt idx="299">
                  <c:v>87434.74</c:v>
                </c:pt>
                <c:pt idx="300">
                  <c:v>87434.74</c:v>
                </c:pt>
                <c:pt idx="301">
                  <c:v>87434.74</c:v>
                </c:pt>
                <c:pt idx="302">
                  <c:v>87434.74</c:v>
                </c:pt>
                <c:pt idx="303">
                  <c:v>87434.74</c:v>
                </c:pt>
                <c:pt idx="304">
                  <c:v>87434.74</c:v>
                </c:pt>
                <c:pt idx="305">
                  <c:v>87434.74</c:v>
                </c:pt>
                <c:pt idx="306">
                  <c:v>87434.74</c:v>
                </c:pt>
                <c:pt idx="307">
                  <c:v>92434.74</c:v>
                </c:pt>
                <c:pt idx="308">
                  <c:v>92434.74</c:v>
                </c:pt>
                <c:pt idx="309">
                  <c:v>92434.74</c:v>
                </c:pt>
                <c:pt idx="310">
                  <c:v>92434.74</c:v>
                </c:pt>
                <c:pt idx="311">
                  <c:v>92434.74</c:v>
                </c:pt>
                <c:pt idx="312">
                  <c:v>92434.74</c:v>
                </c:pt>
                <c:pt idx="313">
                  <c:v>92434.74</c:v>
                </c:pt>
                <c:pt idx="314">
                  <c:v>92434.74</c:v>
                </c:pt>
                <c:pt idx="315">
                  <c:v>92434.74</c:v>
                </c:pt>
                <c:pt idx="316">
                  <c:v>92434.74</c:v>
                </c:pt>
                <c:pt idx="317">
                  <c:v>92434.74</c:v>
                </c:pt>
                <c:pt idx="318">
                  <c:v>92434.74</c:v>
                </c:pt>
                <c:pt idx="319">
                  <c:v>92434.74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F8-4121-BF5F-CAE5CF9E76D1}"/>
            </c:ext>
          </c:extLst>
        </c:ser>
        <c:ser>
          <c:idx val="1"/>
          <c:order val="1"/>
          <c:tx>
            <c:strRef>
              <c:f>'Valores Clasificados'!$D$2</c:f>
              <c:strCache>
                <c:ptCount val="1"/>
                <c:pt idx="0">
                  <c:v> Argentina 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Clasificados'!$D$3:$D$322</c:f>
              <c:numCache>
                <c:formatCode>_("$"* #,##0.00_);_("$"* \(#,##0.00\);_("$"* "-"??_);_(@_)</c:formatCode>
                <c:ptCount val="320"/>
                <c:pt idx="72">
                  <c:v>27500</c:v>
                </c:pt>
                <c:pt idx="73">
                  <c:v>27500</c:v>
                </c:pt>
                <c:pt idx="74">
                  <c:v>27500</c:v>
                </c:pt>
                <c:pt idx="75">
                  <c:v>27500</c:v>
                </c:pt>
                <c:pt idx="76">
                  <c:v>27500</c:v>
                </c:pt>
                <c:pt idx="77">
                  <c:v>27500</c:v>
                </c:pt>
                <c:pt idx="78">
                  <c:v>28000</c:v>
                </c:pt>
                <c:pt idx="79">
                  <c:v>28000</c:v>
                </c:pt>
                <c:pt idx="80">
                  <c:v>28000</c:v>
                </c:pt>
                <c:pt idx="81">
                  <c:v>28000</c:v>
                </c:pt>
                <c:pt idx="82">
                  <c:v>28000</c:v>
                </c:pt>
                <c:pt idx="83">
                  <c:v>28000</c:v>
                </c:pt>
                <c:pt idx="84">
                  <c:v>28000</c:v>
                </c:pt>
                <c:pt idx="85">
                  <c:v>28000</c:v>
                </c:pt>
                <c:pt idx="86">
                  <c:v>28000</c:v>
                </c:pt>
                <c:pt idx="87">
                  <c:v>28000</c:v>
                </c:pt>
                <c:pt idx="88">
                  <c:v>28000</c:v>
                </c:pt>
                <c:pt idx="89">
                  <c:v>28000</c:v>
                </c:pt>
                <c:pt idx="90">
                  <c:v>28000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32000</c:v>
                </c:pt>
                <c:pt idx="99">
                  <c:v>32000</c:v>
                </c:pt>
                <c:pt idx="100">
                  <c:v>32000</c:v>
                </c:pt>
                <c:pt idx="101">
                  <c:v>32000</c:v>
                </c:pt>
                <c:pt idx="102">
                  <c:v>32000</c:v>
                </c:pt>
                <c:pt idx="103">
                  <c:v>32000</c:v>
                </c:pt>
                <c:pt idx="104">
                  <c:v>32000</c:v>
                </c:pt>
                <c:pt idx="105">
                  <c:v>32000</c:v>
                </c:pt>
                <c:pt idx="106">
                  <c:v>32000</c:v>
                </c:pt>
                <c:pt idx="107">
                  <c:v>32000</c:v>
                </c:pt>
                <c:pt idx="108">
                  <c:v>32000</c:v>
                </c:pt>
                <c:pt idx="109">
                  <c:v>32000</c:v>
                </c:pt>
                <c:pt idx="110">
                  <c:v>32000</c:v>
                </c:pt>
                <c:pt idx="111">
                  <c:v>32000</c:v>
                </c:pt>
                <c:pt idx="112">
                  <c:v>35000</c:v>
                </c:pt>
                <c:pt idx="113">
                  <c:v>35000</c:v>
                </c:pt>
                <c:pt idx="114">
                  <c:v>35000</c:v>
                </c:pt>
                <c:pt idx="115">
                  <c:v>35000</c:v>
                </c:pt>
                <c:pt idx="116">
                  <c:v>35000</c:v>
                </c:pt>
                <c:pt idx="117">
                  <c:v>35000</c:v>
                </c:pt>
                <c:pt idx="118">
                  <c:v>35000</c:v>
                </c:pt>
                <c:pt idx="119">
                  <c:v>35000</c:v>
                </c:pt>
                <c:pt idx="120">
                  <c:v>35000</c:v>
                </c:pt>
                <c:pt idx="121">
                  <c:v>35000</c:v>
                </c:pt>
                <c:pt idx="122">
                  <c:v>35000</c:v>
                </c:pt>
                <c:pt idx="123">
                  <c:v>35000</c:v>
                </c:pt>
                <c:pt idx="124">
                  <c:v>35000</c:v>
                </c:pt>
                <c:pt idx="125">
                  <c:v>35000</c:v>
                </c:pt>
                <c:pt idx="126">
                  <c:v>35000</c:v>
                </c:pt>
                <c:pt idx="127">
                  <c:v>35000</c:v>
                </c:pt>
                <c:pt idx="128">
                  <c:v>35000</c:v>
                </c:pt>
                <c:pt idx="129">
                  <c:v>35000</c:v>
                </c:pt>
                <c:pt idx="130">
                  <c:v>35000</c:v>
                </c:pt>
                <c:pt idx="131">
                  <c:v>35000</c:v>
                </c:pt>
                <c:pt idx="132">
                  <c:v>35000</c:v>
                </c:pt>
                <c:pt idx="133">
                  <c:v>36694.223124999997</c:v>
                </c:pt>
                <c:pt idx="134">
                  <c:v>36877.69</c:v>
                </c:pt>
                <c:pt idx="135">
                  <c:v>36877.69</c:v>
                </c:pt>
                <c:pt idx="136">
                  <c:v>36877.69</c:v>
                </c:pt>
                <c:pt idx="137">
                  <c:v>36877.69</c:v>
                </c:pt>
                <c:pt idx="138">
                  <c:v>37061.160000000003</c:v>
                </c:pt>
                <c:pt idx="139">
                  <c:v>37061.160000000003</c:v>
                </c:pt>
                <c:pt idx="140">
                  <c:v>37061.160000000003</c:v>
                </c:pt>
                <c:pt idx="141">
                  <c:v>37061.160000000003</c:v>
                </c:pt>
                <c:pt idx="142">
                  <c:v>37244.629999999997</c:v>
                </c:pt>
                <c:pt idx="143">
                  <c:v>37244.629999999997</c:v>
                </c:pt>
                <c:pt idx="144">
                  <c:v>37244.629999999997</c:v>
                </c:pt>
                <c:pt idx="145">
                  <c:v>37428.1</c:v>
                </c:pt>
                <c:pt idx="146">
                  <c:v>37428.1</c:v>
                </c:pt>
                <c:pt idx="147">
                  <c:v>37611.57</c:v>
                </c:pt>
                <c:pt idx="148">
                  <c:v>37611.57</c:v>
                </c:pt>
                <c:pt idx="149">
                  <c:v>37611.57</c:v>
                </c:pt>
                <c:pt idx="150">
                  <c:v>37795.040000000001</c:v>
                </c:pt>
                <c:pt idx="151">
                  <c:v>37795.040000000001</c:v>
                </c:pt>
                <c:pt idx="152">
                  <c:v>37795.040000000001</c:v>
                </c:pt>
                <c:pt idx="153">
                  <c:v>37795.040000000001</c:v>
                </c:pt>
                <c:pt idx="154">
                  <c:v>37978.51</c:v>
                </c:pt>
                <c:pt idx="155">
                  <c:v>37978.51</c:v>
                </c:pt>
                <c:pt idx="156">
                  <c:v>38161.980000000003</c:v>
                </c:pt>
                <c:pt idx="157">
                  <c:v>38161.980000000003</c:v>
                </c:pt>
                <c:pt idx="158">
                  <c:v>38161.980000000003</c:v>
                </c:pt>
                <c:pt idx="159">
                  <c:v>38161.980000000003</c:v>
                </c:pt>
                <c:pt idx="160">
                  <c:v>38345.449999999997</c:v>
                </c:pt>
                <c:pt idx="161">
                  <c:v>38345.449999999997</c:v>
                </c:pt>
                <c:pt idx="162">
                  <c:v>38345.449999999997</c:v>
                </c:pt>
                <c:pt idx="163">
                  <c:v>38345.449999999997</c:v>
                </c:pt>
                <c:pt idx="164">
                  <c:v>38528.92</c:v>
                </c:pt>
                <c:pt idx="165">
                  <c:v>38528.92</c:v>
                </c:pt>
                <c:pt idx="166">
                  <c:v>38712.39</c:v>
                </c:pt>
                <c:pt idx="167">
                  <c:v>38712.39</c:v>
                </c:pt>
                <c:pt idx="168">
                  <c:v>38712.39</c:v>
                </c:pt>
                <c:pt idx="169">
                  <c:v>38895.86</c:v>
                </c:pt>
                <c:pt idx="170">
                  <c:v>38895.86</c:v>
                </c:pt>
                <c:pt idx="171">
                  <c:v>38895.86</c:v>
                </c:pt>
                <c:pt idx="172">
                  <c:v>38895.86</c:v>
                </c:pt>
                <c:pt idx="173">
                  <c:v>39079.33</c:v>
                </c:pt>
                <c:pt idx="174">
                  <c:v>39079.33</c:v>
                </c:pt>
                <c:pt idx="175">
                  <c:v>39079.33</c:v>
                </c:pt>
                <c:pt idx="176">
                  <c:v>39079.33</c:v>
                </c:pt>
                <c:pt idx="177">
                  <c:v>39262.800000000003</c:v>
                </c:pt>
                <c:pt idx="178">
                  <c:v>39262.800000000003</c:v>
                </c:pt>
                <c:pt idx="179">
                  <c:v>39262.800000000003</c:v>
                </c:pt>
                <c:pt idx="180">
                  <c:v>39262.800000000003</c:v>
                </c:pt>
                <c:pt idx="181">
                  <c:v>39446.269999999997</c:v>
                </c:pt>
                <c:pt idx="182">
                  <c:v>39446.269999999997</c:v>
                </c:pt>
                <c:pt idx="183">
                  <c:v>39446.269999999997</c:v>
                </c:pt>
                <c:pt idx="184">
                  <c:v>39446.269999999997</c:v>
                </c:pt>
                <c:pt idx="185">
                  <c:v>39446.269999999997</c:v>
                </c:pt>
                <c:pt idx="186">
                  <c:v>39446.269999999997</c:v>
                </c:pt>
                <c:pt idx="187">
                  <c:v>39629.74</c:v>
                </c:pt>
                <c:pt idx="188">
                  <c:v>39629.74</c:v>
                </c:pt>
                <c:pt idx="189">
                  <c:v>39629.74</c:v>
                </c:pt>
                <c:pt idx="190">
                  <c:v>39629.74</c:v>
                </c:pt>
                <c:pt idx="191">
                  <c:v>39629.74</c:v>
                </c:pt>
                <c:pt idx="192">
                  <c:v>39629.74</c:v>
                </c:pt>
                <c:pt idx="193">
                  <c:v>39813.21</c:v>
                </c:pt>
                <c:pt idx="194">
                  <c:v>39813.21</c:v>
                </c:pt>
                <c:pt idx="195">
                  <c:v>39813.21</c:v>
                </c:pt>
                <c:pt idx="196">
                  <c:v>39813.21</c:v>
                </c:pt>
                <c:pt idx="197">
                  <c:v>39813.21</c:v>
                </c:pt>
                <c:pt idx="198">
                  <c:v>39996.68</c:v>
                </c:pt>
                <c:pt idx="199">
                  <c:v>39996.68</c:v>
                </c:pt>
                <c:pt idx="200">
                  <c:v>39996.68</c:v>
                </c:pt>
                <c:pt idx="201">
                  <c:v>39996.68</c:v>
                </c:pt>
                <c:pt idx="202">
                  <c:v>39996.68</c:v>
                </c:pt>
                <c:pt idx="203">
                  <c:v>39996.68</c:v>
                </c:pt>
                <c:pt idx="204">
                  <c:v>40180.15</c:v>
                </c:pt>
                <c:pt idx="205">
                  <c:v>40180.15</c:v>
                </c:pt>
                <c:pt idx="206">
                  <c:v>40180.15</c:v>
                </c:pt>
                <c:pt idx="207">
                  <c:v>40180.15</c:v>
                </c:pt>
                <c:pt idx="208">
                  <c:v>40363.620000000003</c:v>
                </c:pt>
                <c:pt idx="209">
                  <c:v>40363.620000000003</c:v>
                </c:pt>
                <c:pt idx="210">
                  <c:v>40363.620000000003</c:v>
                </c:pt>
                <c:pt idx="211">
                  <c:v>40363.620000000003</c:v>
                </c:pt>
                <c:pt idx="212">
                  <c:v>40547.089999999997</c:v>
                </c:pt>
                <c:pt idx="213">
                  <c:v>40547.089999999997</c:v>
                </c:pt>
                <c:pt idx="214">
                  <c:v>40547.089999999997</c:v>
                </c:pt>
                <c:pt idx="215">
                  <c:v>40547.089999999997</c:v>
                </c:pt>
                <c:pt idx="216">
                  <c:v>40547.089999999997</c:v>
                </c:pt>
                <c:pt idx="217">
                  <c:v>40730.559999999998</c:v>
                </c:pt>
                <c:pt idx="218">
                  <c:v>40730.559999999998</c:v>
                </c:pt>
                <c:pt idx="219">
                  <c:v>40730.559999999998</c:v>
                </c:pt>
                <c:pt idx="220">
                  <c:v>40730.559999999998</c:v>
                </c:pt>
                <c:pt idx="221">
                  <c:v>40730.559999999998</c:v>
                </c:pt>
                <c:pt idx="222">
                  <c:v>40730.559999999998</c:v>
                </c:pt>
                <c:pt idx="223">
                  <c:v>40730.559999999998</c:v>
                </c:pt>
                <c:pt idx="224">
                  <c:v>40730.559999999998</c:v>
                </c:pt>
                <c:pt idx="225">
                  <c:v>40730.559999999998</c:v>
                </c:pt>
                <c:pt idx="226">
                  <c:v>40730.559999999998</c:v>
                </c:pt>
                <c:pt idx="227">
                  <c:v>40730.559999999998</c:v>
                </c:pt>
                <c:pt idx="228">
                  <c:v>40914.03</c:v>
                </c:pt>
                <c:pt idx="229">
                  <c:v>40914.03</c:v>
                </c:pt>
                <c:pt idx="230">
                  <c:v>40914.03</c:v>
                </c:pt>
                <c:pt idx="231">
                  <c:v>40914.03</c:v>
                </c:pt>
                <c:pt idx="232">
                  <c:v>40914.03</c:v>
                </c:pt>
                <c:pt idx="233">
                  <c:v>40914.03</c:v>
                </c:pt>
                <c:pt idx="234">
                  <c:v>41097.5</c:v>
                </c:pt>
                <c:pt idx="235">
                  <c:v>41097.5</c:v>
                </c:pt>
                <c:pt idx="236">
                  <c:v>41097.5</c:v>
                </c:pt>
                <c:pt idx="237">
                  <c:v>41097.5</c:v>
                </c:pt>
                <c:pt idx="238">
                  <c:v>41097.5</c:v>
                </c:pt>
                <c:pt idx="239">
                  <c:v>41097.5</c:v>
                </c:pt>
                <c:pt idx="240">
                  <c:v>41097.5</c:v>
                </c:pt>
                <c:pt idx="241">
                  <c:v>41097.5</c:v>
                </c:pt>
                <c:pt idx="242">
                  <c:v>41280.97</c:v>
                </c:pt>
                <c:pt idx="243">
                  <c:v>41280.97</c:v>
                </c:pt>
                <c:pt idx="244">
                  <c:v>41280.97</c:v>
                </c:pt>
                <c:pt idx="245">
                  <c:v>41280.97</c:v>
                </c:pt>
                <c:pt idx="246">
                  <c:v>41280.97</c:v>
                </c:pt>
                <c:pt idx="247">
                  <c:v>41280.97</c:v>
                </c:pt>
                <c:pt idx="248">
                  <c:v>41280.97</c:v>
                </c:pt>
                <c:pt idx="249">
                  <c:v>41464.44</c:v>
                </c:pt>
                <c:pt idx="250">
                  <c:v>41464.44</c:v>
                </c:pt>
                <c:pt idx="251">
                  <c:v>41464.44</c:v>
                </c:pt>
                <c:pt idx="252">
                  <c:v>41464.44</c:v>
                </c:pt>
                <c:pt idx="253">
                  <c:v>41464.44</c:v>
                </c:pt>
                <c:pt idx="254">
                  <c:v>41464.44</c:v>
                </c:pt>
                <c:pt idx="255">
                  <c:v>41464.44</c:v>
                </c:pt>
                <c:pt idx="256">
                  <c:v>41647.910000000003</c:v>
                </c:pt>
                <c:pt idx="257">
                  <c:v>41647.910000000003</c:v>
                </c:pt>
                <c:pt idx="258">
                  <c:v>41647.910000000003</c:v>
                </c:pt>
                <c:pt idx="259">
                  <c:v>41647.910000000003</c:v>
                </c:pt>
                <c:pt idx="260">
                  <c:v>41647.910000000003</c:v>
                </c:pt>
                <c:pt idx="261">
                  <c:v>41647.910000000003</c:v>
                </c:pt>
                <c:pt idx="262">
                  <c:v>41831.379999999997</c:v>
                </c:pt>
                <c:pt idx="263">
                  <c:v>41831.379999999997</c:v>
                </c:pt>
                <c:pt idx="264">
                  <c:v>41831.379999999997</c:v>
                </c:pt>
                <c:pt idx="265">
                  <c:v>41831.379999999997</c:v>
                </c:pt>
                <c:pt idx="266">
                  <c:v>41831.379999999997</c:v>
                </c:pt>
                <c:pt idx="267">
                  <c:v>42014.85</c:v>
                </c:pt>
                <c:pt idx="268">
                  <c:v>42014.85</c:v>
                </c:pt>
                <c:pt idx="269">
                  <c:v>42014.85</c:v>
                </c:pt>
                <c:pt idx="270">
                  <c:v>42014.85</c:v>
                </c:pt>
                <c:pt idx="271">
                  <c:v>42198.32</c:v>
                </c:pt>
                <c:pt idx="272">
                  <c:v>42198.32</c:v>
                </c:pt>
                <c:pt idx="273">
                  <c:v>42198.32</c:v>
                </c:pt>
                <c:pt idx="274">
                  <c:v>42381.79</c:v>
                </c:pt>
                <c:pt idx="275">
                  <c:v>42381.79</c:v>
                </c:pt>
                <c:pt idx="276">
                  <c:v>42381.79</c:v>
                </c:pt>
                <c:pt idx="277">
                  <c:v>42381.79</c:v>
                </c:pt>
                <c:pt idx="278">
                  <c:v>42565.26</c:v>
                </c:pt>
                <c:pt idx="279">
                  <c:v>42565.26</c:v>
                </c:pt>
                <c:pt idx="280">
                  <c:v>42565.26</c:v>
                </c:pt>
                <c:pt idx="281">
                  <c:v>42565.26</c:v>
                </c:pt>
                <c:pt idx="282">
                  <c:v>42565.26</c:v>
                </c:pt>
                <c:pt idx="283">
                  <c:v>42565.26</c:v>
                </c:pt>
                <c:pt idx="284">
                  <c:v>42565.26</c:v>
                </c:pt>
                <c:pt idx="285">
                  <c:v>42565.26</c:v>
                </c:pt>
                <c:pt idx="286">
                  <c:v>42565.26</c:v>
                </c:pt>
                <c:pt idx="287">
                  <c:v>42565.26</c:v>
                </c:pt>
                <c:pt idx="288">
                  <c:v>42565.26</c:v>
                </c:pt>
                <c:pt idx="289">
                  <c:v>42565.26</c:v>
                </c:pt>
                <c:pt idx="290">
                  <c:v>42565.26</c:v>
                </c:pt>
                <c:pt idx="291">
                  <c:v>42565.26</c:v>
                </c:pt>
                <c:pt idx="292">
                  <c:v>42565.26</c:v>
                </c:pt>
                <c:pt idx="293">
                  <c:v>42565.26</c:v>
                </c:pt>
                <c:pt idx="294">
                  <c:v>42565.26</c:v>
                </c:pt>
                <c:pt idx="295">
                  <c:v>42565.26</c:v>
                </c:pt>
                <c:pt idx="296">
                  <c:v>42565.26</c:v>
                </c:pt>
                <c:pt idx="297">
                  <c:v>42565.26</c:v>
                </c:pt>
                <c:pt idx="298">
                  <c:v>42565.26</c:v>
                </c:pt>
                <c:pt idx="299">
                  <c:v>42565.26</c:v>
                </c:pt>
                <c:pt idx="300">
                  <c:v>42565.26</c:v>
                </c:pt>
                <c:pt idx="301">
                  <c:v>42565.26</c:v>
                </c:pt>
                <c:pt idx="302">
                  <c:v>42565.26</c:v>
                </c:pt>
                <c:pt idx="303">
                  <c:v>42565.26</c:v>
                </c:pt>
                <c:pt idx="304">
                  <c:v>42565.26</c:v>
                </c:pt>
                <c:pt idx="305">
                  <c:v>42565.26</c:v>
                </c:pt>
                <c:pt idx="306">
                  <c:v>42565.26</c:v>
                </c:pt>
                <c:pt idx="307">
                  <c:v>42565.26</c:v>
                </c:pt>
                <c:pt idx="308">
                  <c:v>42565.26</c:v>
                </c:pt>
                <c:pt idx="309">
                  <c:v>42565.26</c:v>
                </c:pt>
                <c:pt idx="310">
                  <c:v>42565.26</c:v>
                </c:pt>
                <c:pt idx="311">
                  <c:v>42565.26</c:v>
                </c:pt>
                <c:pt idx="312">
                  <c:v>42565.26</c:v>
                </c:pt>
                <c:pt idx="313">
                  <c:v>42565.26</c:v>
                </c:pt>
                <c:pt idx="314">
                  <c:v>42565.26</c:v>
                </c:pt>
                <c:pt idx="315">
                  <c:v>42565.26</c:v>
                </c:pt>
                <c:pt idx="316">
                  <c:v>42565.26</c:v>
                </c:pt>
                <c:pt idx="317">
                  <c:v>42565.26</c:v>
                </c:pt>
                <c:pt idx="318">
                  <c:v>42565.26</c:v>
                </c:pt>
                <c:pt idx="319">
                  <c:v>42565.26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8-4121-BF5F-CAE5CF9E76D1}"/>
            </c:ext>
          </c:extLst>
        </c:ser>
        <c:ser>
          <c:idx val="2"/>
          <c:order val="2"/>
          <c:tx>
            <c:strRef>
              <c:f>'Valores Clasificados'!$E$2</c:f>
              <c:strCache>
                <c:ptCount val="1"/>
                <c:pt idx="0">
                  <c:v> Cristian </c:v>
                </c:pt>
              </c:strCache>
            </c:strRef>
          </c:tx>
          <c:spPr>
            <a:ln w="22225" cap="rnd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Clasificados'!$E$3:$E$322</c:f>
              <c:numCache>
                <c:formatCode>_("$"* #,##0.00_);_("$"* \(#,##0.00\);_("$"* "-"??_);_(@_)</c:formatCode>
                <c:ptCount val="320"/>
                <c:pt idx="138">
                  <c:v>750</c:v>
                </c:pt>
                <c:pt idx="139">
                  <c:v>750</c:v>
                </c:pt>
                <c:pt idx="140">
                  <c:v>750</c:v>
                </c:pt>
                <c:pt idx="141">
                  <c:v>750</c:v>
                </c:pt>
                <c:pt idx="142">
                  <c:v>754.5</c:v>
                </c:pt>
                <c:pt idx="143">
                  <c:v>1754.5</c:v>
                </c:pt>
                <c:pt idx="144">
                  <c:v>1754.5</c:v>
                </c:pt>
                <c:pt idx="145">
                  <c:v>2127.6</c:v>
                </c:pt>
                <c:pt idx="146">
                  <c:v>2127.6</c:v>
                </c:pt>
                <c:pt idx="147">
                  <c:v>11311.79</c:v>
                </c:pt>
                <c:pt idx="148">
                  <c:v>11311.79</c:v>
                </c:pt>
                <c:pt idx="149">
                  <c:v>11311.79</c:v>
                </c:pt>
                <c:pt idx="150">
                  <c:v>11376.56</c:v>
                </c:pt>
                <c:pt idx="151">
                  <c:v>11376.56</c:v>
                </c:pt>
                <c:pt idx="152">
                  <c:v>907.62</c:v>
                </c:pt>
                <c:pt idx="153">
                  <c:v>907.62</c:v>
                </c:pt>
                <c:pt idx="154">
                  <c:v>907.62</c:v>
                </c:pt>
                <c:pt idx="155">
                  <c:v>907.62</c:v>
                </c:pt>
                <c:pt idx="156">
                  <c:v>2494.9499999999998</c:v>
                </c:pt>
                <c:pt idx="157">
                  <c:v>2494.9499999999998</c:v>
                </c:pt>
                <c:pt idx="158">
                  <c:v>12972.9</c:v>
                </c:pt>
                <c:pt idx="159">
                  <c:v>12972.9</c:v>
                </c:pt>
                <c:pt idx="160">
                  <c:v>13602.27</c:v>
                </c:pt>
                <c:pt idx="161">
                  <c:v>13602.27</c:v>
                </c:pt>
                <c:pt idx="162">
                  <c:v>13602.27</c:v>
                </c:pt>
                <c:pt idx="163">
                  <c:v>13602.27</c:v>
                </c:pt>
                <c:pt idx="164">
                  <c:v>14597.47</c:v>
                </c:pt>
                <c:pt idx="165">
                  <c:v>14597.47</c:v>
                </c:pt>
                <c:pt idx="166">
                  <c:v>15321</c:v>
                </c:pt>
                <c:pt idx="167">
                  <c:v>15321</c:v>
                </c:pt>
                <c:pt idx="168">
                  <c:v>15321</c:v>
                </c:pt>
                <c:pt idx="169">
                  <c:v>16096.23</c:v>
                </c:pt>
                <c:pt idx="170">
                  <c:v>16096.23</c:v>
                </c:pt>
                <c:pt idx="171">
                  <c:v>16096.23</c:v>
                </c:pt>
                <c:pt idx="172">
                  <c:v>16096.23</c:v>
                </c:pt>
                <c:pt idx="173">
                  <c:v>17238.13</c:v>
                </c:pt>
                <c:pt idx="174">
                  <c:v>17238.13</c:v>
                </c:pt>
                <c:pt idx="175">
                  <c:v>17238.13</c:v>
                </c:pt>
                <c:pt idx="176">
                  <c:v>17238.13</c:v>
                </c:pt>
                <c:pt idx="177">
                  <c:v>18186.03</c:v>
                </c:pt>
                <c:pt idx="178">
                  <c:v>18186.03</c:v>
                </c:pt>
                <c:pt idx="179">
                  <c:v>18186.03</c:v>
                </c:pt>
                <c:pt idx="180">
                  <c:v>18186.03</c:v>
                </c:pt>
                <c:pt idx="181">
                  <c:v>19138.73</c:v>
                </c:pt>
                <c:pt idx="182">
                  <c:v>19138.73</c:v>
                </c:pt>
                <c:pt idx="183">
                  <c:v>19138.73</c:v>
                </c:pt>
                <c:pt idx="184">
                  <c:v>19138.73</c:v>
                </c:pt>
                <c:pt idx="185">
                  <c:v>19138.73</c:v>
                </c:pt>
                <c:pt idx="186">
                  <c:v>19138.73</c:v>
                </c:pt>
                <c:pt idx="187">
                  <c:v>20096.23</c:v>
                </c:pt>
                <c:pt idx="188">
                  <c:v>20096.23</c:v>
                </c:pt>
                <c:pt idx="189">
                  <c:v>20096.23</c:v>
                </c:pt>
                <c:pt idx="190">
                  <c:v>20096.23</c:v>
                </c:pt>
                <c:pt idx="191">
                  <c:v>20096.23</c:v>
                </c:pt>
                <c:pt idx="192">
                  <c:v>20096.23</c:v>
                </c:pt>
                <c:pt idx="193">
                  <c:v>21058.53</c:v>
                </c:pt>
                <c:pt idx="194">
                  <c:v>21058.53</c:v>
                </c:pt>
                <c:pt idx="195">
                  <c:v>21058.53</c:v>
                </c:pt>
                <c:pt idx="196">
                  <c:v>21058.53</c:v>
                </c:pt>
                <c:pt idx="197">
                  <c:v>21058.53</c:v>
                </c:pt>
                <c:pt idx="198">
                  <c:v>21725.63</c:v>
                </c:pt>
                <c:pt idx="199">
                  <c:v>21725.63</c:v>
                </c:pt>
                <c:pt idx="200">
                  <c:v>21725.63</c:v>
                </c:pt>
                <c:pt idx="201">
                  <c:v>21725.63</c:v>
                </c:pt>
                <c:pt idx="202">
                  <c:v>21725.63</c:v>
                </c:pt>
                <c:pt idx="203">
                  <c:v>21725.63</c:v>
                </c:pt>
                <c:pt idx="204">
                  <c:v>22395.73</c:v>
                </c:pt>
                <c:pt idx="205">
                  <c:v>22395.73</c:v>
                </c:pt>
                <c:pt idx="206">
                  <c:v>22395.73</c:v>
                </c:pt>
                <c:pt idx="207">
                  <c:v>22395.73</c:v>
                </c:pt>
                <c:pt idx="208">
                  <c:v>22773.88</c:v>
                </c:pt>
                <c:pt idx="209">
                  <c:v>22773.88</c:v>
                </c:pt>
                <c:pt idx="210">
                  <c:v>22773.88</c:v>
                </c:pt>
                <c:pt idx="211">
                  <c:v>22773.88</c:v>
                </c:pt>
                <c:pt idx="212">
                  <c:v>23648.21</c:v>
                </c:pt>
                <c:pt idx="213">
                  <c:v>23648.21</c:v>
                </c:pt>
                <c:pt idx="214">
                  <c:v>23648.21</c:v>
                </c:pt>
                <c:pt idx="215">
                  <c:v>23648.21</c:v>
                </c:pt>
                <c:pt idx="216">
                  <c:v>23648.21</c:v>
                </c:pt>
                <c:pt idx="217">
                  <c:v>23648.21</c:v>
                </c:pt>
                <c:pt idx="218">
                  <c:v>23648.21</c:v>
                </c:pt>
                <c:pt idx="219">
                  <c:v>23648.21</c:v>
                </c:pt>
                <c:pt idx="220">
                  <c:v>23648.21</c:v>
                </c:pt>
                <c:pt idx="221">
                  <c:v>23648.21</c:v>
                </c:pt>
                <c:pt idx="222">
                  <c:v>23648.21</c:v>
                </c:pt>
                <c:pt idx="223">
                  <c:v>23648.21</c:v>
                </c:pt>
                <c:pt idx="224">
                  <c:v>23648.21</c:v>
                </c:pt>
                <c:pt idx="225">
                  <c:v>23648.21</c:v>
                </c:pt>
                <c:pt idx="226">
                  <c:v>23648.21</c:v>
                </c:pt>
                <c:pt idx="227">
                  <c:v>23648.21</c:v>
                </c:pt>
                <c:pt idx="228">
                  <c:v>24505.27</c:v>
                </c:pt>
                <c:pt idx="229">
                  <c:v>24505.27</c:v>
                </c:pt>
                <c:pt idx="230">
                  <c:v>24505.27</c:v>
                </c:pt>
                <c:pt idx="231">
                  <c:v>24505.27</c:v>
                </c:pt>
                <c:pt idx="232">
                  <c:v>24505.27</c:v>
                </c:pt>
                <c:pt idx="233">
                  <c:v>24505.27</c:v>
                </c:pt>
                <c:pt idx="234">
                  <c:v>25186.799999999999</c:v>
                </c:pt>
                <c:pt idx="235">
                  <c:v>25186.799999999999</c:v>
                </c:pt>
                <c:pt idx="236">
                  <c:v>25186.799999999999</c:v>
                </c:pt>
                <c:pt idx="237">
                  <c:v>25186.799999999999</c:v>
                </c:pt>
                <c:pt idx="238">
                  <c:v>25186.799999999999</c:v>
                </c:pt>
                <c:pt idx="239">
                  <c:v>25186.799999999999</c:v>
                </c:pt>
                <c:pt idx="240">
                  <c:v>25186.799999999999</c:v>
                </c:pt>
                <c:pt idx="241">
                  <c:v>25186.799999999999</c:v>
                </c:pt>
                <c:pt idx="242">
                  <c:v>25871.33</c:v>
                </c:pt>
                <c:pt idx="243">
                  <c:v>25871.33</c:v>
                </c:pt>
                <c:pt idx="244">
                  <c:v>25871.33</c:v>
                </c:pt>
                <c:pt idx="245">
                  <c:v>25871.33</c:v>
                </c:pt>
                <c:pt idx="246">
                  <c:v>25871.33</c:v>
                </c:pt>
                <c:pt idx="247">
                  <c:v>25871.33</c:v>
                </c:pt>
                <c:pt idx="248">
                  <c:v>25871.33</c:v>
                </c:pt>
                <c:pt idx="249">
                  <c:v>26570.86</c:v>
                </c:pt>
                <c:pt idx="250">
                  <c:v>26570.86</c:v>
                </c:pt>
                <c:pt idx="251">
                  <c:v>26570.86</c:v>
                </c:pt>
                <c:pt idx="252">
                  <c:v>26570.86</c:v>
                </c:pt>
                <c:pt idx="253">
                  <c:v>26570.86</c:v>
                </c:pt>
                <c:pt idx="254">
                  <c:v>26570.86</c:v>
                </c:pt>
                <c:pt idx="255">
                  <c:v>26570.86</c:v>
                </c:pt>
                <c:pt idx="256">
                  <c:v>27273.39</c:v>
                </c:pt>
                <c:pt idx="257">
                  <c:v>27273.39</c:v>
                </c:pt>
                <c:pt idx="258">
                  <c:v>27273.39</c:v>
                </c:pt>
                <c:pt idx="259">
                  <c:v>27273.39</c:v>
                </c:pt>
                <c:pt idx="260">
                  <c:v>27273.39</c:v>
                </c:pt>
                <c:pt idx="261">
                  <c:v>27273.39</c:v>
                </c:pt>
                <c:pt idx="262">
                  <c:v>27978.92</c:v>
                </c:pt>
                <c:pt idx="263">
                  <c:v>27978.92</c:v>
                </c:pt>
                <c:pt idx="264">
                  <c:v>27978.92</c:v>
                </c:pt>
                <c:pt idx="265">
                  <c:v>27978.92</c:v>
                </c:pt>
                <c:pt idx="266">
                  <c:v>27978.92</c:v>
                </c:pt>
                <c:pt idx="267">
                  <c:v>28687.45</c:v>
                </c:pt>
                <c:pt idx="268">
                  <c:v>28687.45</c:v>
                </c:pt>
                <c:pt idx="269">
                  <c:v>28687.45</c:v>
                </c:pt>
                <c:pt idx="270">
                  <c:v>28687.45</c:v>
                </c:pt>
                <c:pt idx="271">
                  <c:v>28419.98</c:v>
                </c:pt>
                <c:pt idx="272">
                  <c:v>28419.98</c:v>
                </c:pt>
                <c:pt idx="273">
                  <c:v>28419.98</c:v>
                </c:pt>
                <c:pt idx="274">
                  <c:v>29041.51</c:v>
                </c:pt>
                <c:pt idx="275">
                  <c:v>29041.51</c:v>
                </c:pt>
                <c:pt idx="276">
                  <c:v>29041.51</c:v>
                </c:pt>
                <c:pt idx="277">
                  <c:v>29041.51</c:v>
                </c:pt>
                <c:pt idx="278">
                  <c:v>29666.04</c:v>
                </c:pt>
                <c:pt idx="279">
                  <c:v>29666.04</c:v>
                </c:pt>
                <c:pt idx="280">
                  <c:v>29666.04</c:v>
                </c:pt>
                <c:pt idx="281">
                  <c:v>29666.04</c:v>
                </c:pt>
                <c:pt idx="282">
                  <c:v>29666.04</c:v>
                </c:pt>
                <c:pt idx="283">
                  <c:v>29666.04</c:v>
                </c:pt>
                <c:pt idx="284">
                  <c:v>29666.04</c:v>
                </c:pt>
                <c:pt idx="285">
                  <c:v>29666.04</c:v>
                </c:pt>
                <c:pt idx="286">
                  <c:v>29666.04</c:v>
                </c:pt>
                <c:pt idx="287">
                  <c:v>30238.57</c:v>
                </c:pt>
                <c:pt idx="288">
                  <c:v>30238.57</c:v>
                </c:pt>
                <c:pt idx="289">
                  <c:v>30238.57</c:v>
                </c:pt>
                <c:pt idx="290">
                  <c:v>30238.57</c:v>
                </c:pt>
                <c:pt idx="291">
                  <c:v>30869.1</c:v>
                </c:pt>
                <c:pt idx="292">
                  <c:v>30869.1</c:v>
                </c:pt>
                <c:pt idx="293">
                  <c:v>30869.1</c:v>
                </c:pt>
                <c:pt idx="294">
                  <c:v>30869.1</c:v>
                </c:pt>
                <c:pt idx="295">
                  <c:v>30869.1</c:v>
                </c:pt>
                <c:pt idx="296">
                  <c:v>30869.1</c:v>
                </c:pt>
                <c:pt idx="297">
                  <c:v>31502.63</c:v>
                </c:pt>
                <c:pt idx="298">
                  <c:v>31502.63</c:v>
                </c:pt>
                <c:pt idx="299">
                  <c:v>31502.63</c:v>
                </c:pt>
                <c:pt idx="300">
                  <c:v>31502.63</c:v>
                </c:pt>
                <c:pt idx="301">
                  <c:v>31502.63</c:v>
                </c:pt>
                <c:pt idx="302">
                  <c:v>31502.63</c:v>
                </c:pt>
                <c:pt idx="303">
                  <c:v>31502.63</c:v>
                </c:pt>
                <c:pt idx="304">
                  <c:v>32139.16</c:v>
                </c:pt>
                <c:pt idx="305">
                  <c:v>32139.16</c:v>
                </c:pt>
                <c:pt idx="306">
                  <c:v>32139.16</c:v>
                </c:pt>
                <c:pt idx="307">
                  <c:v>32139.16</c:v>
                </c:pt>
                <c:pt idx="308">
                  <c:v>32139.16</c:v>
                </c:pt>
                <c:pt idx="309">
                  <c:v>32139.16</c:v>
                </c:pt>
                <c:pt idx="310">
                  <c:v>32139.16</c:v>
                </c:pt>
                <c:pt idx="311">
                  <c:v>32139.16</c:v>
                </c:pt>
                <c:pt idx="312">
                  <c:v>32139.16</c:v>
                </c:pt>
                <c:pt idx="313">
                  <c:v>32686.02</c:v>
                </c:pt>
                <c:pt idx="314">
                  <c:v>32686.02</c:v>
                </c:pt>
                <c:pt idx="315">
                  <c:v>32686.02</c:v>
                </c:pt>
                <c:pt idx="316">
                  <c:v>32686.02</c:v>
                </c:pt>
                <c:pt idx="317">
                  <c:v>32686.02</c:v>
                </c:pt>
                <c:pt idx="318">
                  <c:v>33436.879999999997</c:v>
                </c:pt>
                <c:pt idx="319">
                  <c:v>33436.879999999997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F8-4121-BF5F-CAE5CF9E76D1}"/>
            </c:ext>
          </c:extLst>
        </c:ser>
        <c:ser>
          <c:idx val="3"/>
          <c:order val="3"/>
          <c:tx>
            <c:strRef>
              <c:f>'Valores Clasificados'!$F$2</c:f>
              <c:strCache>
                <c:ptCount val="1"/>
                <c:pt idx="0">
                  <c:v> Saldo Total 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Clasificados'!$F$3:$F$322</c:f>
              <c:numCache>
                <c:formatCode>_("$"* #,##0.00_);_("$"* \(#,##0.00\);_("$"* "-"??_);_(@_)</c:formatCode>
                <c:ptCount val="320"/>
                <c:pt idx="0">
                  <c:v>329199.44</c:v>
                </c:pt>
                <c:pt idx="1">
                  <c:v>328764.98</c:v>
                </c:pt>
                <c:pt idx="2">
                  <c:v>332092.68</c:v>
                </c:pt>
                <c:pt idx="3">
                  <c:v>336010.36</c:v>
                </c:pt>
                <c:pt idx="4">
                  <c:v>337822.16</c:v>
                </c:pt>
                <c:pt idx="5">
                  <c:v>338396.35</c:v>
                </c:pt>
                <c:pt idx="6">
                  <c:v>334804.67</c:v>
                </c:pt>
                <c:pt idx="7">
                  <c:v>335608.93</c:v>
                </c:pt>
                <c:pt idx="8">
                  <c:v>335113.71999999997</c:v>
                </c:pt>
                <c:pt idx="9">
                  <c:v>334451.94</c:v>
                </c:pt>
                <c:pt idx="10">
                  <c:v>337850.35</c:v>
                </c:pt>
                <c:pt idx="11">
                  <c:v>339308.28</c:v>
                </c:pt>
                <c:pt idx="12">
                  <c:v>339886.21</c:v>
                </c:pt>
                <c:pt idx="13">
                  <c:v>342281.82</c:v>
                </c:pt>
                <c:pt idx="14">
                  <c:v>342116.55</c:v>
                </c:pt>
                <c:pt idx="15">
                  <c:v>337992</c:v>
                </c:pt>
                <c:pt idx="16">
                  <c:v>337510</c:v>
                </c:pt>
                <c:pt idx="17">
                  <c:v>337736.6</c:v>
                </c:pt>
                <c:pt idx="18">
                  <c:v>339108.82</c:v>
                </c:pt>
                <c:pt idx="19">
                  <c:v>336216.86</c:v>
                </c:pt>
                <c:pt idx="20">
                  <c:v>345020.52</c:v>
                </c:pt>
                <c:pt idx="21">
                  <c:v>348940.93</c:v>
                </c:pt>
                <c:pt idx="22">
                  <c:v>349865.61</c:v>
                </c:pt>
                <c:pt idx="23">
                  <c:v>350794.8</c:v>
                </c:pt>
                <c:pt idx="24">
                  <c:v>350321.65</c:v>
                </c:pt>
                <c:pt idx="25">
                  <c:v>358641.04</c:v>
                </c:pt>
                <c:pt idx="26">
                  <c:v>351109.25</c:v>
                </c:pt>
                <c:pt idx="27">
                  <c:v>352032.65</c:v>
                </c:pt>
                <c:pt idx="28">
                  <c:v>352623.05</c:v>
                </c:pt>
                <c:pt idx="29">
                  <c:v>354590.34</c:v>
                </c:pt>
                <c:pt idx="30">
                  <c:v>353803.74</c:v>
                </c:pt>
                <c:pt idx="31">
                  <c:v>354691.48</c:v>
                </c:pt>
                <c:pt idx="32">
                  <c:v>355369.7</c:v>
                </c:pt>
                <c:pt idx="33">
                  <c:v>356625.96</c:v>
                </c:pt>
                <c:pt idx="34">
                  <c:v>358865.27</c:v>
                </c:pt>
                <c:pt idx="35">
                  <c:v>360273.95</c:v>
                </c:pt>
                <c:pt idx="36">
                  <c:v>365306.55</c:v>
                </c:pt>
                <c:pt idx="37">
                  <c:v>366758.40000000002</c:v>
                </c:pt>
                <c:pt idx="38">
                  <c:v>366758.40000000002</c:v>
                </c:pt>
                <c:pt idx="39">
                  <c:v>361532.38500000013</c:v>
                </c:pt>
                <c:pt idx="40">
                  <c:v>362679.05</c:v>
                </c:pt>
                <c:pt idx="41">
                  <c:v>365187.33</c:v>
                </c:pt>
                <c:pt idx="42">
                  <c:v>370432.57</c:v>
                </c:pt>
                <c:pt idx="43">
                  <c:v>370832.57</c:v>
                </c:pt>
                <c:pt idx="44">
                  <c:v>372331.67</c:v>
                </c:pt>
                <c:pt idx="45">
                  <c:v>374365.34</c:v>
                </c:pt>
                <c:pt idx="46">
                  <c:v>375732.04</c:v>
                </c:pt>
                <c:pt idx="47">
                  <c:v>377418.38</c:v>
                </c:pt>
                <c:pt idx="48">
                  <c:v>377418.38</c:v>
                </c:pt>
                <c:pt idx="49">
                  <c:v>374170.3</c:v>
                </c:pt>
                <c:pt idx="50">
                  <c:v>375893.87</c:v>
                </c:pt>
                <c:pt idx="51">
                  <c:v>377202.37</c:v>
                </c:pt>
                <c:pt idx="52">
                  <c:v>379125.05</c:v>
                </c:pt>
                <c:pt idx="53">
                  <c:v>383622.31000000011</c:v>
                </c:pt>
                <c:pt idx="54">
                  <c:v>383964.72000000009</c:v>
                </c:pt>
                <c:pt idx="55">
                  <c:v>385905.16000000009</c:v>
                </c:pt>
                <c:pt idx="56">
                  <c:v>386237.55</c:v>
                </c:pt>
                <c:pt idx="57">
                  <c:v>389121.66</c:v>
                </c:pt>
                <c:pt idx="58">
                  <c:v>383602.11</c:v>
                </c:pt>
                <c:pt idx="59">
                  <c:v>385037.88</c:v>
                </c:pt>
                <c:pt idx="60">
                  <c:v>387629.85</c:v>
                </c:pt>
                <c:pt idx="61">
                  <c:v>388652.68</c:v>
                </c:pt>
                <c:pt idx="62">
                  <c:v>388314.89</c:v>
                </c:pt>
                <c:pt idx="63">
                  <c:v>392518.3</c:v>
                </c:pt>
                <c:pt idx="64">
                  <c:v>394427.19</c:v>
                </c:pt>
                <c:pt idx="65">
                  <c:v>393918.8</c:v>
                </c:pt>
                <c:pt idx="66">
                  <c:v>394466.96</c:v>
                </c:pt>
                <c:pt idx="67">
                  <c:v>397268.75</c:v>
                </c:pt>
                <c:pt idx="68">
                  <c:v>398053.76</c:v>
                </c:pt>
                <c:pt idx="69">
                  <c:v>395312.16100500012</c:v>
                </c:pt>
                <c:pt idx="70">
                  <c:v>396849.38</c:v>
                </c:pt>
                <c:pt idx="71">
                  <c:v>400541.5</c:v>
                </c:pt>
                <c:pt idx="72">
                  <c:v>428041.45332799997</c:v>
                </c:pt>
                <c:pt idx="73">
                  <c:v>430082.39</c:v>
                </c:pt>
                <c:pt idx="74">
                  <c:v>434418</c:v>
                </c:pt>
                <c:pt idx="75">
                  <c:v>435596</c:v>
                </c:pt>
                <c:pt idx="76">
                  <c:v>433092.80000000022</c:v>
                </c:pt>
                <c:pt idx="77">
                  <c:v>434237.75</c:v>
                </c:pt>
                <c:pt idx="78">
                  <c:v>435016.25</c:v>
                </c:pt>
                <c:pt idx="79">
                  <c:v>434956.01555000019</c:v>
                </c:pt>
                <c:pt idx="80">
                  <c:v>436069.82</c:v>
                </c:pt>
                <c:pt idx="81">
                  <c:v>437998.94305000029</c:v>
                </c:pt>
                <c:pt idx="82">
                  <c:v>437668.90305000031</c:v>
                </c:pt>
                <c:pt idx="83">
                  <c:v>436684.79305000021</c:v>
                </c:pt>
                <c:pt idx="84">
                  <c:v>439884.29482500022</c:v>
                </c:pt>
                <c:pt idx="85">
                  <c:v>441594.07</c:v>
                </c:pt>
                <c:pt idx="86">
                  <c:v>443137.83482500009</c:v>
                </c:pt>
                <c:pt idx="87">
                  <c:v>445588.79305000021</c:v>
                </c:pt>
                <c:pt idx="88">
                  <c:v>438502.93354499998</c:v>
                </c:pt>
                <c:pt idx="89">
                  <c:v>443905.48501733353</c:v>
                </c:pt>
                <c:pt idx="90">
                  <c:v>441262.35501733352</c:v>
                </c:pt>
                <c:pt idx="91">
                  <c:v>444805.24092800007</c:v>
                </c:pt>
                <c:pt idx="92">
                  <c:v>447010.17</c:v>
                </c:pt>
                <c:pt idx="93">
                  <c:v>447593.77092800022</c:v>
                </c:pt>
                <c:pt idx="94">
                  <c:v>449698.88253369363</c:v>
                </c:pt>
                <c:pt idx="95">
                  <c:v>450091.44253369363</c:v>
                </c:pt>
                <c:pt idx="96">
                  <c:v>452332.31253369362</c:v>
                </c:pt>
                <c:pt idx="97">
                  <c:v>455869.78501559352</c:v>
                </c:pt>
                <c:pt idx="98">
                  <c:v>459993.4675844434</c:v>
                </c:pt>
                <c:pt idx="99">
                  <c:v>458124.18060922832</c:v>
                </c:pt>
                <c:pt idx="100">
                  <c:v>460048.89623422828</c:v>
                </c:pt>
                <c:pt idx="101">
                  <c:v>460848.9090485308</c:v>
                </c:pt>
                <c:pt idx="102">
                  <c:v>462986.88904853078</c:v>
                </c:pt>
                <c:pt idx="103">
                  <c:v>467412.64904853102</c:v>
                </c:pt>
                <c:pt idx="104">
                  <c:v>469366.24125474069</c:v>
                </c:pt>
                <c:pt idx="105">
                  <c:v>469916.72123448999</c:v>
                </c:pt>
                <c:pt idx="106">
                  <c:v>471160.96659114439</c:v>
                </c:pt>
                <c:pt idx="107">
                  <c:v>471452.99123449001</c:v>
                </c:pt>
                <c:pt idx="108">
                  <c:v>471452.99123449001</c:v>
                </c:pt>
                <c:pt idx="109">
                  <c:v>473549.57397849002</c:v>
                </c:pt>
                <c:pt idx="110">
                  <c:v>476775.18194010062</c:v>
                </c:pt>
                <c:pt idx="111">
                  <c:v>477695.45194010058</c:v>
                </c:pt>
                <c:pt idx="112">
                  <c:v>480615.7219401006</c:v>
                </c:pt>
                <c:pt idx="113">
                  <c:v>480881.82194010058</c:v>
                </c:pt>
                <c:pt idx="114">
                  <c:v>480895.94191077841</c:v>
                </c:pt>
                <c:pt idx="115">
                  <c:v>482573.48583272839</c:v>
                </c:pt>
                <c:pt idx="116">
                  <c:v>483907.10284366843</c:v>
                </c:pt>
                <c:pt idx="117">
                  <c:v>483650.1064561769</c:v>
                </c:pt>
                <c:pt idx="118">
                  <c:v>483772.75285617693</c:v>
                </c:pt>
                <c:pt idx="119">
                  <c:v>484049.59434189118</c:v>
                </c:pt>
                <c:pt idx="120">
                  <c:v>484984.39434189122</c:v>
                </c:pt>
                <c:pt idx="121">
                  <c:v>488388.0543418912</c:v>
                </c:pt>
                <c:pt idx="122">
                  <c:v>489988.79482605978</c:v>
                </c:pt>
                <c:pt idx="123">
                  <c:v>492263.52482605982</c:v>
                </c:pt>
                <c:pt idx="124">
                  <c:v>491646.4926198498</c:v>
                </c:pt>
                <c:pt idx="125">
                  <c:v>494707.82460118987</c:v>
                </c:pt>
                <c:pt idx="126">
                  <c:v>494130.59460118978</c:v>
                </c:pt>
                <c:pt idx="127">
                  <c:v>493782.68460118992</c:v>
                </c:pt>
                <c:pt idx="128">
                  <c:v>494522.89330118982</c:v>
                </c:pt>
                <c:pt idx="129">
                  <c:v>494803.3133011898</c:v>
                </c:pt>
                <c:pt idx="130">
                  <c:v>494844.17330118979</c:v>
                </c:pt>
                <c:pt idx="131">
                  <c:v>495286.41330118978</c:v>
                </c:pt>
                <c:pt idx="132">
                  <c:v>496190.22330118978</c:v>
                </c:pt>
                <c:pt idx="133">
                  <c:v>501639.73330118979</c:v>
                </c:pt>
                <c:pt idx="134">
                  <c:v>504758.75</c:v>
                </c:pt>
                <c:pt idx="135">
                  <c:v>504814.75330118969</c:v>
                </c:pt>
                <c:pt idx="136">
                  <c:v>512544.2948011898</c:v>
                </c:pt>
                <c:pt idx="137">
                  <c:v>516246.64480118972</c:v>
                </c:pt>
                <c:pt idx="138">
                  <c:v>520338.39880118979</c:v>
                </c:pt>
                <c:pt idx="139">
                  <c:v>522243.5988011898</c:v>
                </c:pt>
                <c:pt idx="140">
                  <c:v>522393.5988011898</c:v>
                </c:pt>
                <c:pt idx="141">
                  <c:v>524433.53880118974</c:v>
                </c:pt>
                <c:pt idx="142">
                  <c:v>526521.74880118971</c:v>
                </c:pt>
                <c:pt idx="143">
                  <c:v>527521.74880118971</c:v>
                </c:pt>
                <c:pt idx="144">
                  <c:v>527776.1393011898</c:v>
                </c:pt>
                <c:pt idx="145">
                  <c:v>532175.58010118967</c:v>
                </c:pt>
                <c:pt idx="146">
                  <c:v>532887.8397913276</c:v>
                </c:pt>
                <c:pt idx="147">
                  <c:v>538462.28979132767</c:v>
                </c:pt>
                <c:pt idx="148">
                  <c:v>541080.14624680416</c:v>
                </c:pt>
                <c:pt idx="149">
                  <c:v>545195.8162468042</c:v>
                </c:pt>
                <c:pt idx="150">
                  <c:v>547851.53624680429</c:v>
                </c:pt>
                <c:pt idx="151">
                  <c:v>548426.58624680422</c:v>
                </c:pt>
                <c:pt idx="152">
                  <c:v>537773.55721132795</c:v>
                </c:pt>
                <c:pt idx="153">
                  <c:v>537686.20721132786</c:v>
                </c:pt>
                <c:pt idx="154">
                  <c:v>538852.79721132806</c:v>
                </c:pt>
                <c:pt idx="155">
                  <c:v>538023.29721132782</c:v>
                </c:pt>
                <c:pt idx="156">
                  <c:v>543926.48427254788</c:v>
                </c:pt>
                <c:pt idx="157">
                  <c:v>545614.63346577284</c:v>
                </c:pt>
                <c:pt idx="158">
                  <c:v>556394.16346577276</c:v>
                </c:pt>
                <c:pt idx="159">
                  <c:v>556830.43510932778</c:v>
                </c:pt>
                <c:pt idx="160">
                  <c:v>560608.80346577265</c:v>
                </c:pt>
                <c:pt idx="161">
                  <c:v>579942.98313966498</c:v>
                </c:pt>
                <c:pt idx="162">
                  <c:v>581034.21313966403</c:v>
                </c:pt>
                <c:pt idx="163">
                  <c:v>580547.54400166636</c:v>
                </c:pt>
                <c:pt idx="164">
                  <c:v>582834.51400166634</c:v>
                </c:pt>
                <c:pt idx="165">
                  <c:v>583822.607312551</c:v>
                </c:pt>
                <c:pt idx="166">
                  <c:v>588217.04722658906</c:v>
                </c:pt>
                <c:pt idx="167">
                  <c:v>589326.23722658912</c:v>
                </c:pt>
                <c:pt idx="168">
                  <c:v>589034.72722658911</c:v>
                </c:pt>
                <c:pt idx="169">
                  <c:v>592706.83722658909</c:v>
                </c:pt>
                <c:pt idx="170">
                  <c:v>593709.25722658914</c:v>
                </c:pt>
                <c:pt idx="171">
                  <c:v>598916.68722658907</c:v>
                </c:pt>
                <c:pt idx="172">
                  <c:v>600763.07722658897</c:v>
                </c:pt>
                <c:pt idx="173">
                  <c:v>601747.58722658898</c:v>
                </c:pt>
                <c:pt idx="174">
                  <c:v>603874.41151692905</c:v>
                </c:pt>
                <c:pt idx="175">
                  <c:v>603739.83151692897</c:v>
                </c:pt>
                <c:pt idx="176">
                  <c:v>608602.80198331014</c:v>
                </c:pt>
                <c:pt idx="177">
                  <c:v>609531.89830531017</c:v>
                </c:pt>
                <c:pt idx="178">
                  <c:v>609868.87830531015</c:v>
                </c:pt>
                <c:pt idx="179">
                  <c:v>611000.40830531018</c:v>
                </c:pt>
                <c:pt idx="180">
                  <c:v>611383.73380781023</c:v>
                </c:pt>
                <c:pt idx="181">
                  <c:v>615033.96380781021</c:v>
                </c:pt>
                <c:pt idx="182">
                  <c:v>614802.99380781024</c:v>
                </c:pt>
                <c:pt idx="183">
                  <c:v>616824.63380781026</c:v>
                </c:pt>
                <c:pt idx="184">
                  <c:v>615276.54936216562</c:v>
                </c:pt>
                <c:pt idx="185">
                  <c:v>618521.13061630738</c:v>
                </c:pt>
                <c:pt idx="186">
                  <c:v>621022.67000000004</c:v>
                </c:pt>
                <c:pt idx="187">
                  <c:v>621672.05061630742</c:v>
                </c:pt>
                <c:pt idx="188">
                  <c:v>622132.7806163074</c:v>
                </c:pt>
                <c:pt idx="189">
                  <c:v>623783.25061630702</c:v>
                </c:pt>
                <c:pt idx="190">
                  <c:v>624342.49061630701</c:v>
                </c:pt>
                <c:pt idx="191">
                  <c:v>624809.19061630731</c:v>
                </c:pt>
                <c:pt idx="192">
                  <c:v>625459.80061630742</c:v>
                </c:pt>
                <c:pt idx="193">
                  <c:v>630448.57061630732</c:v>
                </c:pt>
                <c:pt idx="194">
                  <c:v>631235.18431659741</c:v>
                </c:pt>
                <c:pt idx="195">
                  <c:v>633179.74431659735</c:v>
                </c:pt>
                <c:pt idx="196">
                  <c:v>633147.1179950973</c:v>
                </c:pt>
                <c:pt idx="197">
                  <c:v>645950.27283423732</c:v>
                </c:pt>
                <c:pt idx="198">
                  <c:v>651371.432834237</c:v>
                </c:pt>
                <c:pt idx="199">
                  <c:v>653235.2428342374</c:v>
                </c:pt>
                <c:pt idx="200">
                  <c:v>654076.30913394736</c:v>
                </c:pt>
                <c:pt idx="201">
                  <c:v>658074.14913394733</c:v>
                </c:pt>
                <c:pt idx="202">
                  <c:v>658267.65727354004</c:v>
                </c:pt>
                <c:pt idx="203">
                  <c:v>658311.9620751231</c:v>
                </c:pt>
                <c:pt idx="204">
                  <c:v>661146.12207512301</c:v>
                </c:pt>
                <c:pt idx="205">
                  <c:v>662299.03207512316</c:v>
                </c:pt>
                <c:pt idx="206">
                  <c:v>661383.34282512299</c:v>
                </c:pt>
                <c:pt idx="207">
                  <c:v>661420.58876709838</c:v>
                </c:pt>
                <c:pt idx="208">
                  <c:v>665086.77876709844</c:v>
                </c:pt>
                <c:pt idx="209">
                  <c:v>667055.38876709831</c:v>
                </c:pt>
                <c:pt idx="210">
                  <c:v>660014.92981459654</c:v>
                </c:pt>
                <c:pt idx="211">
                  <c:v>664247.32073283731</c:v>
                </c:pt>
                <c:pt idx="212">
                  <c:v>664902.90073283727</c:v>
                </c:pt>
                <c:pt idx="213">
                  <c:v>666169.09073283733</c:v>
                </c:pt>
                <c:pt idx="214">
                  <c:v>664850.48073283699</c:v>
                </c:pt>
                <c:pt idx="215">
                  <c:v>664360.78194779053</c:v>
                </c:pt>
                <c:pt idx="216">
                  <c:v>665165.14194779051</c:v>
                </c:pt>
                <c:pt idx="217">
                  <c:v>667608.2319477906</c:v>
                </c:pt>
                <c:pt idx="218">
                  <c:v>669418.07194779045</c:v>
                </c:pt>
                <c:pt idx="219">
                  <c:v>668697.56982258137</c:v>
                </c:pt>
                <c:pt idx="220">
                  <c:v>672358.90932258149</c:v>
                </c:pt>
                <c:pt idx="221">
                  <c:v>673089.47057866841</c:v>
                </c:pt>
                <c:pt idx="222">
                  <c:v>673636.17057866848</c:v>
                </c:pt>
                <c:pt idx="223">
                  <c:v>673794.01057866844</c:v>
                </c:pt>
                <c:pt idx="224">
                  <c:v>674455.7297904985</c:v>
                </c:pt>
                <c:pt idx="225">
                  <c:v>673347.8972580689</c:v>
                </c:pt>
                <c:pt idx="226">
                  <c:v>675039.70222114085</c:v>
                </c:pt>
                <c:pt idx="227">
                  <c:v>675589.69222114095</c:v>
                </c:pt>
                <c:pt idx="228">
                  <c:v>679014.68222114095</c:v>
                </c:pt>
                <c:pt idx="229">
                  <c:v>679318.73222114088</c:v>
                </c:pt>
                <c:pt idx="230">
                  <c:v>681094.84222114086</c:v>
                </c:pt>
                <c:pt idx="231">
                  <c:v>681420.32222114084</c:v>
                </c:pt>
                <c:pt idx="232">
                  <c:v>682077.09</c:v>
                </c:pt>
                <c:pt idx="233">
                  <c:v>681902.57156557159</c:v>
                </c:pt>
                <c:pt idx="234">
                  <c:v>678541.04156557168</c:v>
                </c:pt>
                <c:pt idx="235">
                  <c:v>684775.5045105468</c:v>
                </c:pt>
                <c:pt idx="236">
                  <c:v>687837.50451054692</c:v>
                </c:pt>
                <c:pt idx="237">
                  <c:v>695120.32451054698</c:v>
                </c:pt>
                <c:pt idx="238">
                  <c:v>697524.04451054696</c:v>
                </c:pt>
                <c:pt idx="239">
                  <c:v>693720.08252920699</c:v>
                </c:pt>
                <c:pt idx="240">
                  <c:v>695873.45252920687</c:v>
                </c:pt>
                <c:pt idx="241">
                  <c:v>700173.58035424119</c:v>
                </c:pt>
                <c:pt idx="242">
                  <c:v>700211.01035424112</c:v>
                </c:pt>
                <c:pt idx="243">
                  <c:v>702026.66035424115</c:v>
                </c:pt>
                <c:pt idx="244">
                  <c:v>701263.22035424109</c:v>
                </c:pt>
                <c:pt idx="245">
                  <c:v>698214.1340000307</c:v>
                </c:pt>
                <c:pt idx="246">
                  <c:v>701962.02557030693</c:v>
                </c:pt>
                <c:pt idx="247">
                  <c:v>702418.13414330699</c:v>
                </c:pt>
                <c:pt idx="248">
                  <c:v>702126.73464135372</c:v>
                </c:pt>
                <c:pt idx="249">
                  <c:v>706746.4646413537</c:v>
                </c:pt>
                <c:pt idx="250">
                  <c:v>708701.36332800682</c:v>
                </c:pt>
                <c:pt idx="251">
                  <c:v>709255.08016205695</c:v>
                </c:pt>
                <c:pt idx="252">
                  <c:v>709449.55969396466</c:v>
                </c:pt>
                <c:pt idx="253">
                  <c:v>709548.10324383073</c:v>
                </c:pt>
                <c:pt idx="254">
                  <c:v>709798.94074373669</c:v>
                </c:pt>
                <c:pt idx="255">
                  <c:v>714713.04686988378</c:v>
                </c:pt>
                <c:pt idx="256">
                  <c:v>715008.68686988368</c:v>
                </c:pt>
                <c:pt idx="257">
                  <c:v>716412.57686988381</c:v>
                </c:pt>
                <c:pt idx="258">
                  <c:v>716775.55900988379</c:v>
                </c:pt>
                <c:pt idx="259">
                  <c:v>716113.47900988371</c:v>
                </c:pt>
                <c:pt idx="260">
                  <c:v>718744.68900988367</c:v>
                </c:pt>
                <c:pt idx="261">
                  <c:v>717180.43623042759</c:v>
                </c:pt>
                <c:pt idx="262">
                  <c:v>711535.77519256016</c:v>
                </c:pt>
                <c:pt idx="263">
                  <c:v>714391.92439358693</c:v>
                </c:pt>
                <c:pt idx="264">
                  <c:v>714946.31962747779</c:v>
                </c:pt>
                <c:pt idx="265">
                  <c:v>714233.65962747787</c:v>
                </c:pt>
                <c:pt idx="266">
                  <c:v>719212.85666081123</c:v>
                </c:pt>
                <c:pt idx="267">
                  <c:v>719881.48958808719</c:v>
                </c:pt>
                <c:pt idx="268">
                  <c:v>721868.70958808716</c:v>
                </c:pt>
                <c:pt idx="269">
                  <c:v>722532.20144835382</c:v>
                </c:pt>
                <c:pt idx="270">
                  <c:v>722422.7984816872</c:v>
                </c:pt>
                <c:pt idx="271">
                  <c:v>724868.11848168715</c:v>
                </c:pt>
                <c:pt idx="272">
                  <c:v>724727.64793995384</c:v>
                </c:pt>
                <c:pt idx="273">
                  <c:v>726563.32497328718</c:v>
                </c:pt>
                <c:pt idx="274">
                  <c:v>726548.62497328711</c:v>
                </c:pt>
                <c:pt idx="275">
                  <c:v>729201.72730429377</c:v>
                </c:pt>
                <c:pt idx="276">
                  <c:v>729280.6997353218</c:v>
                </c:pt>
                <c:pt idx="277">
                  <c:v>729101.35741132183</c:v>
                </c:pt>
                <c:pt idx="278">
                  <c:v>733367.95444465522</c:v>
                </c:pt>
                <c:pt idx="279">
                  <c:v>734253.67602177011</c:v>
                </c:pt>
                <c:pt idx="280">
                  <c:v>739129.42479525506</c:v>
                </c:pt>
                <c:pt idx="281">
                  <c:v>741117.25479525514</c:v>
                </c:pt>
                <c:pt idx="282">
                  <c:v>741121.26776192198</c:v>
                </c:pt>
                <c:pt idx="283">
                  <c:v>741566.55197922175</c:v>
                </c:pt>
                <c:pt idx="284">
                  <c:v>741778.24</c:v>
                </c:pt>
                <c:pt idx="285">
                  <c:v>744315.84980211523</c:v>
                </c:pt>
                <c:pt idx="286">
                  <c:v>744612.00318121514</c:v>
                </c:pt>
                <c:pt idx="287">
                  <c:v>747420.75894868188</c:v>
                </c:pt>
                <c:pt idx="288">
                  <c:v>747184.3305056463</c:v>
                </c:pt>
                <c:pt idx="289">
                  <c:v>747495.47132717085</c:v>
                </c:pt>
                <c:pt idx="290">
                  <c:v>749634.25836050406</c:v>
                </c:pt>
                <c:pt idx="291">
                  <c:v>751239.41975875106</c:v>
                </c:pt>
                <c:pt idx="292">
                  <c:v>753371.70975875109</c:v>
                </c:pt>
                <c:pt idx="293">
                  <c:v>751857.56041501777</c:v>
                </c:pt>
                <c:pt idx="294">
                  <c:v>754615.39041501796</c:v>
                </c:pt>
                <c:pt idx="295">
                  <c:v>755829.6</c:v>
                </c:pt>
                <c:pt idx="296">
                  <c:v>757196.9002524789</c:v>
                </c:pt>
                <c:pt idx="297">
                  <c:v>760716.33634853223</c:v>
                </c:pt>
                <c:pt idx="298">
                  <c:v>763850.69749652699</c:v>
                </c:pt>
                <c:pt idx="299">
                  <c:v>766560.84064213885</c:v>
                </c:pt>
                <c:pt idx="300">
                  <c:v>768380.74064213876</c:v>
                </c:pt>
                <c:pt idx="301">
                  <c:v>773122.87360880559</c:v>
                </c:pt>
                <c:pt idx="302">
                  <c:v>774834.563608806</c:v>
                </c:pt>
                <c:pt idx="303">
                  <c:v>775214.80360880599</c:v>
                </c:pt>
                <c:pt idx="304">
                  <c:v>779038.46064213931</c:v>
                </c:pt>
                <c:pt idx="305">
                  <c:v>790518.40065526299</c:v>
                </c:pt>
                <c:pt idx="306">
                  <c:v>798660.12031913863</c:v>
                </c:pt>
                <c:pt idx="307">
                  <c:v>804039.82149755803</c:v>
                </c:pt>
                <c:pt idx="308">
                  <c:v>822065.89659236267</c:v>
                </c:pt>
                <c:pt idx="309">
                  <c:v>820069.14</c:v>
                </c:pt>
                <c:pt idx="310">
                  <c:v>816193.28</c:v>
                </c:pt>
                <c:pt idx="311">
                  <c:v>814926.6</c:v>
                </c:pt>
                <c:pt idx="312">
                  <c:v>814006.72</c:v>
                </c:pt>
                <c:pt idx="313">
                  <c:v>845709.48519466375</c:v>
                </c:pt>
                <c:pt idx="314">
                  <c:v>846770.27347661625</c:v>
                </c:pt>
                <c:pt idx="315">
                  <c:v>850894.79029618867</c:v>
                </c:pt>
                <c:pt idx="316">
                  <c:v>851360.30037618859</c:v>
                </c:pt>
                <c:pt idx="317">
                  <c:v>847073.89103255025</c:v>
                </c:pt>
                <c:pt idx="318">
                  <c:v>847803.92785105016</c:v>
                </c:pt>
                <c:pt idx="319">
                  <c:v>854181.88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F8-4121-BF5F-CAE5CF9E76D1}"/>
            </c:ext>
          </c:extLst>
        </c:ser>
        <c:ser>
          <c:idx val="4"/>
          <c:order val="4"/>
          <c:tx>
            <c:strRef>
              <c:f>'Valores Clasificados'!$G$2</c:f>
              <c:strCache>
                <c:ptCount val="1"/>
                <c:pt idx="0">
                  <c:v> Importación </c:v>
                </c:pt>
              </c:strCache>
            </c:strRef>
          </c:tx>
          <c:spPr>
            <a:ln w="22225" cap="rnd">
              <a:solidFill>
                <a:schemeClr val="accent5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Clasificados'!$G$3:$G$322</c:f>
              <c:numCache>
                <c:formatCode>_("$"* #,##0.00_);_("$"* \(#,##0.00\);_("$"* "-"??_);_(@_)</c:formatCode>
                <c:ptCount val="320"/>
                <c:pt idx="0">
                  <c:v>1279.22</c:v>
                </c:pt>
                <c:pt idx="1">
                  <c:v>3500</c:v>
                </c:pt>
                <c:pt idx="2">
                  <c:v>3500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7090.84</c:v>
                </c:pt>
                <c:pt idx="7">
                  <c:v>7090.84</c:v>
                </c:pt>
                <c:pt idx="8">
                  <c:v>6690.84</c:v>
                </c:pt>
                <c:pt idx="9">
                  <c:v>6690.84</c:v>
                </c:pt>
                <c:pt idx="10">
                  <c:v>6190.84</c:v>
                </c:pt>
                <c:pt idx="11">
                  <c:v>6090.84</c:v>
                </c:pt>
                <c:pt idx="12">
                  <c:v>6090.84</c:v>
                </c:pt>
                <c:pt idx="13">
                  <c:v>6090.84</c:v>
                </c:pt>
                <c:pt idx="14">
                  <c:v>6090.84</c:v>
                </c:pt>
                <c:pt idx="15">
                  <c:v>6090.84</c:v>
                </c:pt>
                <c:pt idx="16">
                  <c:v>6090.84</c:v>
                </c:pt>
                <c:pt idx="17">
                  <c:v>6090.84</c:v>
                </c:pt>
                <c:pt idx="18">
                  <c:v>6090.84</c:v>
                </c:pt>
                <c:pt idx="19">
                  <c:v>6090.84</c:v>
                </c:pt>
                <c:pt idx="20">
                  <c:v>6090.84</c:v>
                </c:pt>
                <c:pt idx="21">
                  <c:v>6090.84</c:v>
                </c:pt>
                <c:pt idx="22">
                  <c:v>6090.84</c:v>
                </c:pt>
                <c:pt idx="23">
                  <c:v>6070.84</c:v>
                </c:pt>
                <c:pt idx="24">
                  <c:v>5970.84</c:v>
                </c:pt>
                <c:pt idx="25">
                  <c:v>5970.84</c:v>
                </c:pt>
                <c:pt idx="26">
                  <c:v>5950.84</c:v>
                </c:pt>
                <c:pt idx="27">
                  <c:v>5950.84</c:v>
                </c:pt>
                <c:pt idx="28">
                  <c:v>5890.84</c:v>
                </c:pt>
                <c:pt idx="29">
                  <c:v>5890.84</c:v>
                </c:pt>
                <c:pt idx="30">
                  <c:v>5870.84</c:v>
                </c:pt>
                <c:pt idx="31">
                  <c:v>5870.84</c:v>
                </c:pt>
                <c:pt idx="32">
                  <c:v>5870.84</c:v>
                </c:pt>
                <c:pt idx="33">
                  <c:v>5850.84</c:v>
                </c:pt>
                <c:pt idx="34">
                  <c:v>5850.84</c:v>
                </c:pt>
                <c:pt idx="35">
                  <c:v>5850.84</c:v>
                </c:pt>
                <c:pt idx="36">
                  <c:v>5850.84</c:v>
                </c:pt>
                <c:pt idx="37">
                  <c:v>5850.84</c:v>
                </c:pt>
                <c:pt idx="38">
                  <c:v>5850.84</c:v>
                </c:pt>
                <c:pt idx="39">
                  <c:v>5830.84</c:v>
                </c:pt>
                <c:pt idx="40">
                  <c:v>5830.84</c:v>
                </c:pt>
                <c:pt idx="41">
                  <c:v>5830.84</c:v>
                </c:pt>
                <c:pt idx="42">
                  <c:v>5830.84</c:v>
                </c:pt>
                <c:pt idx="43">
                  <c:v>5830.84</c:v>
                </c:pt>
                <c:pt idx="44">
                  <c:v>5830.84</c:v>
                </c:pt>
                <c:pt idx="45">
                  <c:v>5830.84</c:v>
                </c:pt>
                <c:pt idx="46">
                  <c:v>5830.84</c:v>
                </c:pt>
                <c:pt idx="47">
                  <c:v>5830.84</c:v>
                </c:pt>
                <c:pt idx="48">
                  <c:v>5830.84</c:v>
                </c:pt>
                <c:pt idx="49">
                  <c:v>5830.84</c:v>
                </c:pt>
                <c:pt idx="50">
                  <c:v>5830.84</c:v>
                </c:pt>
                <c:pt idx="51">
                  <c:v>5810.84</c:v>
                </c:pt>
                <c:pt idx="52">
                  <c:v>5810.84</c:v>
                </c:pt>
                <c:pt idx="53">
                  <c:v>5810.84</c:v>
                </c:pt>
                <c:pt idx="54">
                  <c:v>5790.84</c:v>
                </c:pt>
                <c:pt idx="55">
                  <c:v>5790.84</c:v>
                </c:pt>
                <c:pt idx="56">
                  <c:v>5790.84</c:v>
                </c:pt>
                <c:pt idx="57">
                  <c:v>5790.84</c:v>
                </c:pt>
                <c:pt idx="58">
                  <c:v>5790.84</c:v>
                </c:pt>
                <c:pt idx="59">
                  <c:v>5790.84</c:v>
                </c:pt>
                <c:pt idx="60">
                  <c:v>5790.84</c:v>
                </c:pt>
                <c:pt idx="61">
                  <c:v>5790.84</c:v>
                </c:pt>
                <c:pt idx="62">
                  <c:v>5790.84</c:v>
                </c:pt>
                <c:pt idx="63">
                  <c:v>5770.84</c:v>
                </c:pt>
                <c:pt idx="64">
                  <c:v>5770.84</c:v>
                </c:pt>
                <c:pt idx="65">
                  <c:v>5770.84</c:v>
                </c:pt>
                <c:pt idx="66">
                  <c:v>5770.84</c:v>
                </c:pt>
                <c:pt idx="67">
                  <c:v>5770.84</c:v>
                </c:pt>
                <c:pt idx="68">
                  <c:v>5770.84</c:v>
                </c:pt>
                <c:pt idx="69">
                  <c:v>5770.84</c:v>
                </c:pt>
                <c:pt idx="70">
                  <c:v>5770.84</c:v>
                </c:pt>
                <c:pt idx="71">
                  <c:v>5770.84</c:v>
                </c:pt>
                <c:pt idx="72">
                  <c:v>5730.84</c:v>
                </c:pt>
                <c:pt idx="73">
                  <c:v>5730.84</c:v>
                </c:pt>
                <c:pt idx="74">
                  <c:v>5730.84</c:v>
                </c:pt>
                <c:pt idx="75">
                  <c:v>5730.84</c:v>
                </c:pt>
                <c:pt idx="76">
                  <c:v>5710.84</c:v>
                </c:pt>
                <c:pt idx="77">
                  <c:v>5710.84</c:v>
                </c:pt>
                <c:pt idx="78">
                  <c:v>5710.84</c:v>
                </c:pt>
                <c:pt idx="79">
                  <c:v>5710.84</c:v>
                </c:pt>
                <c:pt idx="80">
                  <c:v>5710.84</c:v>
                </c:pt>
                <c:pt idx="81">
                  <c:v>5710.84</c:v>
                </c:pt>
                <c:pt idx="82">
                  <c:v>5710.84</c:v>
                </c:pt>
                <c:pt idx="83">
                  <c:v>5710.84</c:v>
                </c:pt>
                <c:pt idx="84">
                  <c:v>5710.84</c:v>
                </c:pt>
                <c:pt idx="85">
                  <c:v>5710.84</c:v>
                </c:pt>
                <c:pt idx="86">
                  <c:v>5710.84</c:v>
                </c:pt>
                <c:pt idx="87">
                  <c:v>5710.84</c:v>
                </c:pt>
                <c:pt idx="88">
                  <c:v>5710.84</c:v>
                </c:pt>
                <c:pt idx="89">
                  <c:v>5710.84</c:v>
                </c:pt>
                <c:pt idx="90">
                  <c:v>5710.84</c:v>
                </c:pt>
                <c:pt idx="91">
                  <c:v>5710.84</c:v>
                </c:pt>
                <c:pt idx="92">
                  <c:v>5710.84</c:v>
                </c:pt>
                <c:pt idx="93">
                  <c:v>5710.84</c:v>
                </c:pt>
                <c:pt idx="94">
                  <c:v>5710.84</c:v>
                </c:pt>
                <c:pt idx="95">
                  <c:v>5710.84</c:v>
                </c:pt>
                <c:pt idx="96">
                  <c:v>5710.84</c:v>
                </c:pt>
                <c:pt idx="97">
                  <c:v>5630.84</c:v>
                </c:pt>
                <c:pt idx="98">
                  <c:v>5630.84</c:v>
                </c:pt>
                <c:pt idx="99">
                  <c:v>5630.84</c:v>
                </c:pt>
                <c:pt idx="100">
                  <c:v>5630.84</c:v>
                </c:pt>
                <c:pt idx="101">
                  <c:v>5630.84</c:v>
                </c:pt>
                <c:pt idx="102">
                  <c:v>5630.84</c:v>
                </c:pt>
                <c:pt idx="103">
                  <c:v>5630.84</c:v>
                </c:pt>
                <c:pt idx="104">
                  <c:v>5630.84</c:v>
                </c:pt>
                <c:pt idx="105">
                  <c:v>5630.84</c:v>
                </c:pt>
                <c:pt idx="106">
                  <c:v>5630.84</c:v>
                </c:pt>
                <c:pt idx="107">
                  <c:v>5630.84</c:v>
                </c:pt>
                <c:pt idx="108">
                  <c:v>5630.84</c:v>
                </c:pt>
                <c:pt idx="109">
                  <c:v>5630.84</c:v>
                </c:pt>
                <c:pt idx="110">
                  <c:v>5630.84</c:v>
                </c:pt>
                <c:pt idx="111">
                  <c:v>5630.84</c:v>
                </c:pt>
                <c:pt idx="112">
                  <c:v>5630.84</c:v>
                </c:pt>
                <c:pt idx="113">
                  <c:v>5630.84</c:v>
                </c:pt>
                <c:pt idx="114">
                  <c:v>5630.84</c:v>
                </c:pt>
                <c:pt idx="115">
                  <c:v>5630.84</c:v>
                </c:pt>
                <c:pt idx="116">
                  <c:v>5630.84</c:v>
                </c:pt>
                <c:pt idx="117">
                  <c:v>5630.84</c:v>
                </c:pt>
                <c:pt idx="118">
                  <c:v>5630.84</c:v>
                </c:pt>
                <c:pt idx="119">
                  <c:v>5630.84</c:v>
                </c:pt>
                <c:pt idx="120">
                  <c:v>5630.84</c:v>
                </c:pt>
                <c:pt idx="121">
                  <c:v>5630.84</c:v>
                </c:pt>
                <c:pt idx="122">
                  <c:v>5630.84</c:v>
                </c:pt>
                <c:pt idx="123">
                  <c:v>5630.84</c:v>
                </c:pt>
                <c:pt idx="124">
                  <c:v>5630.84</c:v>
                </c:pt>
                <c:pt idx="125">
                  <c:v>5630.84</c:v>
                </c:pt>
                <c:pt idx="126">
                  <c:v>5630.84</c:v>
                </c:pt>
                <c:pt idx="127">
                  <c:v>5630.84</c:v>
                </c:pt>
                <c:pt idx="128">
                  <c:v>5630.84</c:v>
                </c:pt>
                <c:pt idx="129">
                  <c:v>5630.84</c:v>
                </c:pt>
                <c:pt idx="130">
                  <c:v>5630.84</c:v>
                </c:pt>
                <c:pt idx="131">
                  <c:v>5630.84</c:v>
                </c:pt>
                <c:pt idx="132">
                  <c:v>5630.84</c:v>
                </c:pt>
                <c:pt idx="133">
                  <c:v>5630.84</c:v>
                </c:pt>
                <c:pt idx="134">
                  <c:v>5630.84</c:v>
                </c:pt>
                <c:pt idx="135">
                  <c:v>5630.84</c:v>
                </c:pt>
                <c:pt idx="136">
                  <c:v>5630.84</c:v>
                </c:pt>
                <c:pt idx="137">
                  <c:v>5630.84</c:v>
                </c:pt>
                <c:pt idx="138">
                  <c:v>5630.84</c:v>
                </c:pt>
                <c:pt idx="139">
                  <c:v>5630.84</c:v>
                </c:pt>
                <c:pt idx="140">
                  <c:v>5630.84</c:v>
                </c:pt>
                <c:pt idx="141">
                  <c:v>5630.84</c:v>
                </c:pt>
                <c:pt idx="142">
                  <c:v>5630.84</c:v>
                </c:pt>
                <c:pt idx="143">
                  <c:v>5630.84</c:v>
                </c:pt>
                <c:pt idx="144">
                  <c:v>5630.84</c:v>
                </c:pt>
                <c:pt idx="145">
                  <c:v>5630.84</c:v>
                </c:pt>
                <c:pt idx="146">
                  <c:v>5630.84</c:v>
                </c:pt>
                <c:pt idx="147">
                  <c:v>5630.84</c:v>
                </c:pt>
                <c:pt idx="148">
                  <c:v>5630.84</c:v>
                </c:pt>
                <c:pt idx="149">
                  <c:v>5630.84</c:v>
                </c:pt>
                <c:pt idx="150">
                  <c:v>5630.84</c:v>
                </c:pt>
                <c:pt idx="151">
                  <c:v>5630.84</c:v>
                </c:pt>
                <c:pt idx="152">
                  <c:v>5630.84</c:v>
                </c:pt>
                <c:pt idx="153">
                  <c:v>5630.84</c:v>
                </c:pt>
                <c:pt idx="154">
                  <c:v>5630.84</c:v>
                </c:pt>
                <c:pt idx="155">
                  <c:v>5630.84</c:v>
                </c:pt>
                <c:pt idx="156">
                  <c:v>5630.84</c:v>
                </c:pt>
                <c:pt idx="157">
                  <c:v>5630.84</c:v>
                </c:pt>
                <c:pt idx="158">
                  <c:v>5630.84</c:v>
                </c:pt>
                <c:pt idx="159">
                  <c:v>5630.84</c:v>
                </c:pt>
                <c:pt idx="160">
                  <c:v>5630.84</c:v>
                </c:pt>
                <c:pt idx="161">
                  <c:v>5630.84</c:v>
                </c:pt>
                <c:pt idx="162">
                  <c:v>5630.84</c:v>
                </c:pt>
                <c:pt idx="163">
                  <c:v>5630.84</c:v>
                </c:pt>
                <c:pt idx="164">
                  <c:v>5630.84</c:v>
                </c:pt>
                <c:pt idx="165">
                  <c:v>5630.84</c:v>
                </c:pt>
                <c:pt idx="166">
                  <c:v>5630.84</c:v>
                </c:pt>
                <c:pt idx="167">
                  <c:v>5630.84</c:v>
                </c:pt>
                <c:pt idx="168">
                  <c:v>5630.84</c:v>
                </c:pt>
                <c:pt idx="169">
                  <c:v>5630.84</c:v>
                </c:pt>
                <c:pt idx="170">
                  <c:v>5630.84</c:v>
                </c:pt>
                <c:pt idx="171">
                  <c:v>5630.84</c:v>
                </c:pt>
                <c:pt idx="172">
                  <c:v>5630.84</c:v>
                </c:pt>
                <c:pt idx="173">
                  <c:v>5630.84</c:v>
                </c:pt>
                <c:pt idx="174">
                  <c:v>5630.84</c:v>
                </c:pt>
                <c:pt idx="175">
                  <c:v>5630.84</c:v>
                </c:pt>
                <c:pt idx="176">
                  <c:v>5630.84</c:v>
                </c:pt>
                <c:pt idx="177">
                  <c:v>5630.84</c:v>
                </c:pt>
                <c:pt idx="178">
                  <c:v>5630.84</c:v>
                </c:pt>
                <c:pt idx="179">
                  <c:v>5630.84</c:v>
                </c:pt>
                <c:pt idx="180">
                  <c:v>5630.84</c:v>
                </c:pt>
                <c:pt idx="181">
                  <c:v>5630.84</c:v>
                </c:pt>
                <c:pt idx="182">
                  <c:v>5630.84</c:v>
                </c:pt>
                <c:pt idx="183">
                  <c:v>5630.84</c:v>
                </c:pt>
                <c:pt idx="184">
                  <c:v>5630.84</c:v>
                </c:pt>
                <c:pt idx="185">
                  <c:v>5630.84</c:v>
                </c:pt>
                <c:pt idx="186">
                  <c:v>5630.84</c:v>
                </c:pt>
                <c:pt idx="187">
                  <c:v>5630.84</c:v>
                </c:pt>
                <c:pt idx="188">
                  <c:v>5630.84</c:v>
                </c:pt>
                <c:pt idx="189">
                  <c:v>5630.84</c:v>
                </c:pt>
                <c:pt idx="190">
                  <c:v>5630.84</c:v>
                </c:pt>
                <c:pt idx="191">
                  <c:v>5630.84</c:v>
                </c:pt>
                <c:pt idx="192">
                  <c:v>5630.84</c:v>
                </c:pt>
                <c:pt idx="193">
                  <c:v>5630.84</c:v>
                </c:pt>
                <c:pt idx="194">
                  <c:v>5630.84</c:v>
                </c:pt>
                <c:pt idx="195">
                  <c:v>5630.84</c:v>
                </c:pt>
                <c:pt idx="196">
                  <c:v>5630.84</c:v>
                </c:pt>
                <c:pt idx="197">
                  <c:v>5630.84</c:v>
                </c:pt>
                <c:pt idx="198">
                  <c:v>5630.84</c:v>
                </c:pt>
                <c:pt idx="199">
                  <c:v>5630.84</c:v>
                </c:pt>
                <c:pt idx="200">
                  <c:v>5630.84</c:v>
                </c:pt>
                <c:pt idx="201">
                  <c:v>5630.84</c:v>
                </c:pt>
                <c:pt idx="202">
                  <c:v>5630.84</c:v>
                </c:pt>
                <c:pt idx="203">
                  <c:v>5630.84</c:v>
                </c:pt>
                <c:pt idx="204">
                  <c:v>5630.84</c:v>
                </c:pt>
                <c:pt idx="205">
                  <c:v>5630.84</c:v>
                </c:pt>
                <c:pt idx="206">
                  <c:v>5630.84</c:v>
                </c:pt>
                <c:pt idx="207">
                  <c:v>5630.84</c:v>
                </c:pt>
                <c:pt idx="208">
                  <c:v>5630.84</c:v>
                </c:pt>
                <c:pt idx="209">
                  <c:v>5630.84</c:v>
                </c:pt>
                <c:pt idx="210">
                  <c:v>5630.84</c:v>
                </c:pt>
                <c:pt idx="211">
                  <c:v>5630.84</c:v>
                </c:pt>
                <c:pt idx="212">
                  <c:v>5630.84</c:v>
                </c:pt>
                <c:pt idx="213">
                  <c:v>5630.84</c:v>
                </c:pt>
                <c:pt idx="214">
                  <c:v>5630.84</c:v>
                </c:pt>
                <c:pt idx="215">
                  <c:v>5630.84</c:v>
                </c:pt>
                <c:pt idx="216">
                  <c:v>5630.84</c:v>
                </c:pt>
                <c:pt idx="217">
                  <c:v>5630.84</c:v>
                </c:pt>
                <c:pt idx="218">
                  <c:v>5630.84</c:v>
                </c:pt>
                <c:pt idx="219">
                  <c:v>5630.84</c:v>
                </c:pt>
                <c:pt idx="220">
                  <c:v>5630.84</c:v>
                </c:pt>
                <c:pt idx="221">
                  <c:v>5630.84</c:v>
                </c:pt>
                <c:pt idx="222">
                  <c:v>5630.84</c:v>
                </c:pt>
                <c:pt idx="223">
                  <c:v>5630.84</c:v>
                </c:pt>
                <c:pt idx="224">
                  <c:v>5630.84</c:v>
                </c:pt>
                <c:pt idx="225">
                  <c:v>5630.84</c:v>
                </c:pt>
                <c:pt idx="226">
                  <c:v>5630.84</c:v>
                </c:pt>
                <c:pt idx="227">
                  <c:v>5630.84</c:v>
                </c:pt>
                <c:pt idx="228">
                  <c:v>5630.84</c:v>
                </c:pt>
                <c:pt idx="229">
                  <c:v>5630.84</c:v>
                </c:pt>
                <c:pt idx="230">
                  <c:v>5630.84</c:v>
                </c:pt>
                <c:pt idx="231">
                  <c:v>5630.84</c:v>
                </c:pt>
                <c:pt idx="232">
                  <c:v>5630.84</c:v>
                </c:pt>
                <c:pt idx="233">
                  <c:v>5630.84</c:v>
                </c:pt>
                <c:pt idx="234">
                  <c:v>5630.84</c:v>
                </c:pt>
                <c:pt idx="235">
                  <c:v>5630.84</c:v>
                </c:pt>
                <c:pt idx="236">
                  <c:v>5630.84</c:v>
                </c:pt>
                <c:pt idx="237">
                  <c:v>5630.84</c:v>
                </c:pt>
                <c:pt idx="238">
                  <c:v>5630.84</c:v>
                </c:pt>
                <c:pt idx="239">
                  <c:v>5630.84</c:v>
                </c:pt>
                <c:pt idx="240">
                  <c:v>5630.84</c:v>
                </c:pt>
                <c:pt idx="241">
                  <c:v>5630.84</c:v>
                </c:pt>
                <c:pt idx="242">
                  <c:v>5630.84</c:v>
                </c:pt>
                <c:pt idx="243">
                  <c:v>5630.84</c:v>
                </c:pt>
                <c:pt idx="244">
                  <c:v>5630.84</c:v>
                </c:pt>
                <c:pt idx="245">
                  <c:v>5630.84</c:v>
                </c:pt>
                <c:pt idx="246">
                  <c:v>5630.84</c:v>
                </c:pt>
                <c:pt idx="247">
                  <c:v>5630.84</c:v>
                </c:pt>
                <c:pt idx="248">
                  <c:v>5630.84</c:v>
                </c:pt>
                <c:pt idx="249">
                  <c:v>5630.84</c:v>
                </c:pt>
                <c:pt idx="250">
                  <c:v>5630.84</c:v>
                </c:pt>
                <c:pt idx="251">
                  <c:v>5630.84</c:v>
                </c:pt>
                <c:pt idx="252">
                  <c:v>5630.84</c:v>
                </c:pt>
                <c:pt idx="253">
                  <c:v>5630.84</c:v>
                </c:pt>
                <c:pt idx="254">
                  <c:v>5630.84</c:v>
                </c:pt>
                <c:pt idx="255">
                  <c:v>5630.84</c:v>
                </c:pt>
                <c:pt idx="256">
                  <c:v>5630.84</c:v>
                </c:pt>
                <c:pt idx="257">
                  <c:v>5630.84</c:v>
                </c:pt>
                <c:pt idx="258">
                  <c:v>5630.84</c:v>
                </c:pt>
                <c:pt idx="259">
                  <c:v>5630.84</c:v>
                </c:pt>
                <c:pt idx="260">
                  <c:v>5630.84</c:v>
                </c:pt>
                <c:pt idx="261">
                  <c:v>5630.84</c:v>
                </c:pt>
                <c:pt idx="262">
                  <c:v>5630.84</c:v>
                </c:pt>
                <c:pt idx="263">
                  <c:v>5630.84</c:v>
                </c:pt>
                <c:pt idx="264">
                  <c:v>5630.84</c:v>
                </c:pt>
                <c:pt idx="265">
                  <c:v>5630.84</c:v>
                </c:pt>
                <c:pt idx="266">
                  <c:v>5630.84</c:v>
                </c:pt>
                <c:pt idx="267">
                  <c:v>5630.84</c:v>
                </c:pt>
                <c:pt idx="268">
                  <c:v>5630.84</c:v>
                </c:pt>
                <c:pt idx="269">
                  <c:v>5630.84</c:v>
                </c:pt>
                <c:pt idx="270">
                  <c:v>5630.84</c:v>
                </c:pt>
                <c:pt idx="271">
                  <c:v>5630.84</c:v>
                </c:pt>
                <c:pt idx="272">
                  <c:v>5630.84</c:v>
                </c:pt>
                <c:pt idx="273">
                  <c:v>5630.84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F8-4121-BF5F-CAE5CF9E76D1}"/>
            </c:ext>
          </c:extLst>
        </c:ser>
        <c:ser>
          <c:idx val="5"/>
          <c:order val="5"/>
          <c:tx>
            <c:strRef>
              <c:f>'Valores Clasificados'!$H$2</c:f>
              <c:strCache>
                <c:ptCount val="1"/>
                <c:pt idx="0">
                  <c:v> Total Propio 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Clasificados'!$H$3:$H$322</c:f>
              <c:numCache>
                <c:formatCode>_("$"* #,##0.00_);_("$"* \(#,##0.00\);_("$"* "-"??_);_(@_)</c:formatCode>
                <c:ptCount val="320"/>
                <c:pt idx="0">
                  <c:v>280478.65999999997</c:v>
                </c:pt>
                <c:pt idx="1">
                  <c:v>282264.98</c:v>
                </c:pt>
                <c:pt idx="2">
                  <c:v>282592.68</c:v>
                </c:pt>
                <c:pt idx="3">
                  <c:v>286510.36</c:v>
                </c:pt>
                <c:pt idx="4">
                  <c:v>288322.15999999997</c:v>
                </c:pt>
                <c:pt idx="5">
                  <c:v>288896.34999999998</c:v>
                </c:pt>
                <c:pt idx="6">
                  <c:v>288895.51</c:v>
                </c:pt>
                <c:pt idx="7">
                  <c:v>289699.77</c:v>
                </c:pt>
                <c:pt idx="8">
                  <c:v>288804.56</c:v>
                </c:pt>
                <c:pt idx="9">
                  <c:v>288142.78000000003</c:v>
                </c:pt>
                <c:pt idx="10">
                  <c:v>291041.19</c:v>
                </c:pt>
                <c:pt idx="11">
                  <c:v>292399.12000000005</c:v>
                </c:pt>
                <c:pt idx="12">
                  <c:v>292977.05000000005</c:v>
                </c:pt>
                <c:pt idx="13">
                  <c:v>295372.66000000003</c:v>
                </c:pt>
                <c:pt idx="14">
                  <c:v>295207.39</c:v>
                </c:pt>
                <c:pt idx="15">
                  <c:v>291082.84000000003</c:v>
                </c:pt>
                <c:pt idx="16">
                  <c:v>290600.84000000003</c:v>
                </c:pt>
                <c:pt idx="17">
                  <c:v>290827.44</c:v>
                </c:pt>
                <c:pt idx="18">
                  <c:v>292199.66000000003</c:v>
                </c:pt>
                <c:pt idx="19">
                  <c:v>289307.7</c:v>
                </c:pt>
                <c:pt idx="20">
                  <c:v>298111.36000000004</c:v>
                </c:pt>
                <c:pt idx="21">
                  <c:v>302031.77</c:v>
                </c:pt>
                <c:pt idx="22">
                  <c:v>302956.45</c:v>
                </c:pt>
                <c:pt idx="23">
                  <c:v>303865.64</c:v>
                </c:pt>
                <c:pt idx="24">
                  <c:v>303292.49000000005</c:v>
                </c:pt>
                <c:pt idx="25">
                  <c:v>307611.88</c:v>
                </c:pt>
                <c:pt idx="26">
                  <c:v>300060.09000000003</c:v>
                </c:pt>
                <c:pt idx="27">
                  <c:v>300983.49000000005</c:v>
                </c:pt>
                <c:pt idx="28">
                  <c:v>301513.89</c:v>
                </c:pt>
                <c:pt idx="29">
                  <c:v>303481.18000000005</c:v>
                </c:pt>
                <c:pt idx="30">
                  <c:v>302674.58</c:v>
                </c:pt>
                <c:pt idx="31">
                  <c:v>303562.32</c:v>
                </c:pt>
                <c:pt idx="32">
                  <c:v>304240.54000000004</c:v>
                </c:pt>
                <c:pt idx="33">
                  <c:v>305476.80000000005</c:v>
                </c:pt>
                <c:pt idx="34">
                  <c:v>307716.11000000004</c:v>
                </c:pt>
                <c:pt idx="35">
                  <c:v>309124.79000000004</c:v>
                </c:pt>
                <c:pt idx="36">
                  <c:v>314157.39</c:v>
                </c:pt>
                <c:pt idx="37">
                  <c:v>315609.24000000005</c:v>
                </c:pt>
                <c:pt idx="38">
                  <c:v>315609.24000000005</c:v>
                </c:pt>
                <c:pt idx="39">
                  <c:v>310363.22500000015</c:v>
                </c:pt>
                <c:pt idx="40">
                  <c:v>311509.89</c:v>
                </c:pt>
                <c:pt idx="41">
                  <c:v>314018.17000000004</c:v>
                </c:pt>
                <c:pt idx="42">
                  <c:v>319263.41000000003</c:v>
                </c:pt>
                <c:pt idx="43">
                  <c:v>319663.41000000003</c:v>
                </c:pt>
                <c:pt idx="44">
                  <c:v>320162.51</c:v>
                </c:pt>
                <c:pt idx="45">
                  <c:v>322196.18000000005</c:v>
                </c:pt>
                <c:pt idx="46">
                  <c:v>323562.88</c:v>
                </c:pt>
                <c:pt idx="47">
                  <c:v>325249.22000000003</c:v>
                </c:pt>
                <c:pt idx="48">
                  <c:v>325249.22000000003</c:v>
                </c:pt>
                <c:pt idx="49">
                  <c:v>322001.14</c:v>
                </c:pt>
                <c:pt idx="50">
                  <c:v>323724.71000000002</c:v>
                </c:pt>
                <c:pt idx="51">
                  <c:v>325013.21000000002</c:v>
                </c:pt>
                <c:pt idx="52">
                  <c:v>326935.89</c:v>
                </c:pt>
                <c:pt idx="53">
                  <c:v>328433.15000000014</c:v>
                </c:pt>
                <c:pt idx="54">
                  <c:v>328755.56000000011</c:v>
                </c:pt>
                <c:pt idx="55">
                  <c:v>330696.00000000012</c:v>
                </c:pt>
                <c:pt idx="56">
                  <c:v>331028.39</c:v>
                </c:pt>
                <c:pt idx="57">
                  <c:v>333912.5</c:v>
                </c:pt>
                <c:pt idx="58">
                  <c:v>328392.95</c:v>
                </c:pt>
                <c:pt idx="59">
                  <c:v>329828.72000000003</c:v>
                </c:pt>
                <c:pt idx="60">
                  <c:v>330420.69</c:v>
                </c:pt>
                <c:pt idx="61">
                  <c:v>331443.52</c:v>
                </c:pt>
                <c:pt idx="62">
                  <c:v>331105.73000000004</c:v>
                </c:pt>
                <c:pt idx="63">
                  <c:v>335289.14</c:v>
                </c:pt>
                <c:pt idx="64">
                  <c:v>337198.03</c:v>
                </c:pt>
                <c:pt idx="65">
                  <c:v>336689.64</c:v>
                </c:pt>
                <c:pt idx="66">
                  <c:v>337237.80000000005</c:v>
                </c:pt>
                <c:pt idx="67">
                  <c:v>340039.59</c:v>
                </c:pt>
                <c:pt idx="68">
                  <c:v>340824.60000000003</c:v>
                </c:pt>
                <c:pt idx="69">
                  <c:v>338083.00100500014</c:v>
                </c:pt>
                <c:pt idx="70">
                  <c:v>339620.22000000003</c:v>
                </c:pt>
                <c:pt idx="71">
                  <c:v>343312.34</c:v>
                </c:pt>
                <c:pt idx="72">
                  <c:v>343272.293328</c:v>
                </c:pt>
                <c:pt idx="73">
                  <c:v>345313.23000000004</c:v>
                </c:pt>
                <c:pt idx="74">
                  <c:v>349648.84</c:v>
                </c:pt>
                <c:pt idx="75">
                  <c:v>350826.84</c:v>
                </c:pt>
                <c:pt idx="76">
                  <c:v>346303.64000000025</c:v>
                </c:pt>
                <c:pt idx="77">
                  <c:v>347448.59</c:v>
                </c:pt>
                <c:pt idx="78">
                  <c:v>347727.09</c:v>
                </c:pt>
                <c:pt idx="79">
                  <c:v>347666.85555000021</c:v>
                </c:pt>
                <c:pt idx="80">
                  <c:v>348780.66000000003</c:v>
                </c:pt>
                <c:pt idx="81">
                  <c:v>350709.78305000032</c:v>
                </c:pt>
                <c:pt idx="82">
                  <c:v>350379.74305000034</c:v>
                </c:pt>
                <c:pt idx="83">
                  <c:v>349395.63305000024</c:v>
                </c:pt>
                <c:pt idx="84">
                  <c:v>352595.13482500025</c:v>
                </c:pt>
                <c:pt idx="85">
                  <c:v>354304.91000000003</c:v>
                </c:pt>
                <c:pt idx="86">
                  <c:v>355848.67482500011</c:v>
                </c:pt>
                <c:pt idx="87">
                  <c:v>358299.63305000024</c:v>
                </c:pt>
                <c:pt idx="88">
                  <c:v>351213.773545</c:v>
                </c:pt>
                <c:pt idx="89">
                  <c:v>356616.32501733355</c:v>
                </c:pt>
                <c:pt idx="90">
                  <c:v>353973.19501733355</c:v>
                </c:pt>
                <c:pt idx="91">
                  <c:v>355516.0809280001</c:v>
                </c:pt>
                <c:pt idx="92">
                  <c:v>357721.01</c:v>
                </c:pt>
                <c:pt idx="93">
                  <c:v>358304.61092800024</c:v>
                </c:pt>
                <c:pt idx="94">
                  <c:v>360409.72253369365</c:v>
                </c:pt>
                <c:pt idx="95">
                  <c:v>360802.28253369365</c:v>
                </c:pt>
                <c:pt idx="96">
                  <c:v>363043.15253369365</c:v>
                </c:pt>
                <c:pt idx="97">
                  <c:v>366500.62501559354</c:v>
                </c:pt>
                <c:pt idx="98">
                  <c:v>368624.30758444342</c:v>
                </c:pt>
                <c:pt idx="99">
                  <c:v>366755.02060922835</c:v>
                </c:pt>
                <c:pt idx="100">
                  <c:v>368679.7362342283</c:v>
                </c:pt>
                <c:pt idx="101">
                  <c:v>369479.74904853082</c:v>
                </c:pt>
                <c:pt idx="102">
                  <c:v>371617.7290485308</c:v>
                </c:pt>
                <c:pt idx="103">
                  <c:v>376043.48904853105</c:v>
                </c:pt>
                <c:pt idx="104">
                  <c:v>377997.08125474071</c:v>
                </c:pt>
                <c:pt idx="105">
                  <c:v>378547.56123449001</c:v>
                </c:pt>
                <c:pt idx="106">
                  <c:v>379791.80659114441</c:v>
                </c:pt>
                <c:pt idx="107">
                  <c:v>380083.83123449003</c:v>
                </c:pt>
                <c:pt idx="108">
                  <c:v>380083.83123449003</c:v>
                </c:pt>
                <c:pt idx="109">
                  <c:v>382180.41397849005</c:v>
                </c:pt>
                <c:pt idx="110">
                  <c:v>385406.02194010065</c:v>
                </c:pt>
                <c:pt idx="111">
                  <c:v>386326.29194010061</c:v>
                </c:pt>
                <c:pt idx="112">
                  <c:v>386246.56194010063</c:v>
                </c:pt>
                <c:pt idx="113">
                  <c:v>386512.6619401006</c:v>
                </c:pt>
                <c:pt idx="114">
                  <c:v>386526.78191077843</c:v>
                </c:pt>
                <c:pt idx="115">
                  <c:v>388204.32583272841</c:v>
                </c:pt>
                <c:pt idx="116">
                  <c:v>389537.94284366845</c:v>
                </c:pt>
                <c:pt idx="117">
                  <c:v>389280.94645617693</c:v>
                </c:pt>
                <c:pt idx="118">
                  <c:v>389403.59285617695</c:v>
                </c:pt>
                <c:pt idx="119">
                  <c:v>389680.4343418912</c:v>
                </c:pt>
                <c:pt idx="120">
                  <c:v>390615.23434189125</c:v>
                </c:pt>
                <c:pt idx="121">
                  <c:v>394018.89434189122</c:v>
                </c:pt>
                <c:pt idx="122">
                  <c:v>395619.6348260598</c:v>
                </c:pt>
                <c:pt idx="123">
                  <c:v>397894.36482605984</c:v>
                </c:pt>
                <c:pt idx="124">
                  <c:v>397277.33261984983</c:v>
                </c:pt>
                <c:pt idx="125">
                  <c:v>400338.6646011899</c:v>
                </c:pt>
                <c:pt idx="126">
                  <c:v>399761.4346011898</c:v>
                </c:pt>
                <c:pt idx="127">
                  <c:v>399413.52460118994</c:v>
                </c:pt>
                <c:pt idx="128">
                  <c:v>400153.73330118984</c:v>
                </c:pt>
                <c:pt idx="129">
                  <c:v>400434.15330118983</c:v>
                </c:pt>
                <c:pt idx="130">
                  <c:v>400475.01330118981</c:v>
                </c:pt>
                <c:pt idx="131">
                  <c:v>400917.2533011898</c:v>
                </c:pt>
                <c:pt idx="132">
                  <c:v>401821.0633011898</c:v>
                </c:pt>
                <c:pt idx="133">
                  <c:v>405576.35017618979</c:v>
                </c:pt>
                <c:pt idx="134">
                  <c:v>408511.9</c:v>
                </c:pt>
                <c:pt idx="135">
                  <c:v>408567.90330118971</c:v>
                </c:pt>
                <c:pt idx="136">
                  <c:v>414297.44480118982</c:v>
                </c:pt>
                <c:pt idx="137">
                  <c:v>417999.79480118974</c:v>
                </c:pt>
                <c:pt idx="138">
                  <c:v>421158.07880118984</c:v>
                </c:pt>
                <c:pt idx="139">
                  <c:v>423063.27880118979</c:v>
                </c:pt>
                <c:pt idx="140">
                  <c:v>423213.27880118979</c:v>
                </c:pt>
                <c:pt idx="141">
                  <c:v>425253.21880118974</c:v>
                </c:pt>
                <c:pt idx="142">
                  <c:v>427153.45880118973</c:v>
                </c:pt>
                <c:pt idx="143">
                  <c:v>427153.45880118973</c:v>
                </c:pt>
                <c:pt idx="144">
                  <c:v>427407.84930118982</c:v>
                </c:pt>
                <c:pt idx="145">
                  <c:v>431250.72010118974</c:v>
                </c:pt>
                <c:pt idx="146">
                  <c:v>431962.97979132767</c:v>
                </c:pt>
                <c:pt idx="147">
                  <c:v>428169.76979132771</c:v>
                </c:pt>
                <c:pt idx="148">
                  <c:v>429787.6262468042</c:v>
                </c:pt>
                <c:pt idx="149">
                  <c:v>433903.29624680424</c:v>
                </c:pt>
                <c:pt idx="150">
                  <c:v>436310.77624680434</c:v>
                </c:pt>
                <c:pt idx="151">
                  <c:v>436885.82624680427</c:v>
                </c:pt>
                <c:pt idx="152">
                  <c:v>436701.737211328</c:v>
                </c:pt>
                <c:pt idx="153">
                  <c:v>436614.38721132791</c:v>
                </c:pt>
                <c:pt idx="154">
                  <c:v>437597.50721132808</c:v>
                </c:pt>
                <c:pt idx="155">
                  <c:v>436768.00721132784</c:v>
                </c:pt>
                <c:pt idx="156">
                  <c:v>440900.39427254791</c:v>
                </c:pt>
                <c:pt idx="157">
                  <c:v>442588.54346577288</c:v>
                </c:pt>
                <c:pt idx="158">
                  <c:v>442890.12346577278</c:v>
                </c:pt>
                <c:pt idx="159">
                  <c:v>443326.3951093278</c:v>
                </c:pt>
                <c:pt idx="160">
                  <c:v>446291.92346577265</c:v>
                </c:pt>
                <c:pt idx="161">
                  <c:v>465626.10313966498</c:v>
                </c:pt>
                <c:pt idx="162">
                  <c:v>466717.33313966403</c:v>
                </c:pt>
                <c:pt idx="163">
                  <c:v>466230.66400166636</c:v>
                </c:pt>
                <c:pt idx="164">
                  <c:v>467338.96400166641</c:v>
                </c:pt>
                <c:pt idx="165">
                  <c:v>468327.05731255107</c:v>
                </c:pt>
                <c:pt idx="166">
                  <c:v>471814.49722658907</c:v>
                </c:pt>
                <c:pt idx="167">
                  <c:v>472923.68722658913</c:v>
                </c:pt>
                <c:pt idx="168">
                  <c:v>472632.17722658912</c:v>
                </c:pt>
                <c:pt idx="169">
                  <c:v>475345.58722658915</c:v>
                </c:pt>
                <c:pt idx="170">
                  <c:v>476348.00722658919</c:v>
                </c:pt>
                <c:pt idx="171">
                  <c:v>476555.43722658913</c:v>
                </c:pt>
                <c:pt idx="172">
                  <c:v>478401.82722658903</c:v>
                </c:pt>
                <c:pt idx="173">
                  <c:v>478060.96722658898</c:v>
                </c:pt>
                <c:pt idx="174">
                  <c:v>480187.79151692905</c:v>
                </c:pt>
                <c:pt idx="175">
                  <c:v>480053.21151692898</c:v>
                </c:pt>
                <c:pt idx="176">
                  <c:v>484916.18198331015</c:v>
                </c:pt>
                <c:pt idx="177">
                  <c:v>484713.90830531024</c:v>
                </c:pt>
                <c:pt idx="178">
                  <c:v>485050.88830531022</c:v>
                </c:pt>
                <c:pt idx="179">
                  <c:v>486182.41830531025</c:v>
                </c:pt>
                <c:pt idx="180">
                  <c:v>486565.7438078103</c:v>
                </c:pt>
                <c:pt idx="181">
                  <c:v>489079.80380781024</c:v>
                </c:pt>
                <c:pt idx="182">
                  <c:v>488848.83380781027</c:v>
                </c:pt>
                <c:pt idx="183">
                  <c:v>490870.47380781028</c:v>
                </c:pt>
                <c:pt idx="184">
                  <c:v>489322.38936216565</c:v>
                </c:pt>
                <c:pt idx="185">
                  <c:v>492566.9706163074</c:v>
                </c:pt>
                <c:pt idx="186">
                  <c:v>495068.51000000007</c:v>
                </c:pt>
                <c:pt idx="187">
                  <c:v>494576.92061630747</c:v>
                </c:pt>
                <c:pt idx="188">
                  <c:v>495037.65061630745</c:v>
                </c:pt>
                <c:pt idx="189">
                  <c:v>496688.12061630707</c:v>
                </c:pt>
                <c:pt idx="190">
                  <c:v>497247.36061630707</c:v>
                </c:pt>
                <c:pt idx="191">
                  <c:v>497714.06061630737</c:v>
                </c:pt>
                <c:pt idx="192">
                  <c:v>498364.67061630747</c:v>
                </c:pt>
                <c:pt idx="193">
                  <c:v>502207.67061630735</c:v>
                </c:pt>
                <c:pt idx="194">
                  <c:v>502994.28431659745</c:v>
                </c:pt>
                <c:pt idx="195">
                  <c:v>504938.84431659739</c:v>
                </c:pt>
                <c:pt idx="196">
                  <c:v>504906.21799509734</c:v>
                </c:pt>
                <c:pt idx="197">
                  <c:v>517709.37283423735</c:v>
                </c:pt>
                <c:pt idx="198">
                  <c:v>522279.96283423697</c:v>
                </c:pt>
                <c:pt idx="199">
                  <c:v>524143.77283423737</c:v>
                </c:pt>
                <c:pt idx="200">
                  <c:v>524984.83913394727</c:v>
                </c:pt>
                <c:pt idx="201">
                  <c:v>526482.67913394724</c:v>
                </c:pt>
                <c:pt idx="202">
                  <c:v>526676.18727353995</c:v>
                </c:pt>
                <c:pt idx="203">
                  <c:v>526720.49207512301</c:v>
                </c:pt>
                <c:pt idx="204">
                  <c:v>528701.08207512298</c:v>
                </c:pt>
                <c:pt idx="205">
                  <c:v>529853.99207512313</c:v>
                </c:pt>
                <c:pt idx="206">
                  <c:v>528938.30282512296</c:v>
                </c:pt>
                <c:pt idx="207">
                  <c:v>528975.54876709834</c:v>
                </c:pt>
                <c:pt idx="208">
                  <c:v>532080.11876709841</c:v>
                </c:pt>
                <c:pt idx="209">
                  <c:v>534048.72876709828</c:v>
                </c:pt>
                <c:pt idx="210">
                  <c:v>527008.26981459651</c:v>
                </c:pt>
                <c:pt idx="211">
                  <c:v>531240.66073283728</c:v>
                </c:pt>
                <c:pt idx="212">
                  <c:v>530838.44073283731</c:v>
                </c:pt>
                <c:pt idx="213">
                  <c:v>532104.63073283737</c:v>
                </c:pt>
                <c:pt idx="214">
                  <c:v>530786.02073283703</c:v>
                </c:pt>
                <c:pt idx="215">
                  <c:v>530296.32194779057</c:v>
                </c:pt>
                <c:pt idx="216">
                  <c:v>531100.68194779055</c:v>
                </c:pt>
                <c:pt idx="217">
                  <c:v>533360.30194779055</c:v>
                </c:pt>
                <c:pt idx="218">
                  <c:v>535170.1419477904</c:v>
                </c:pt>
                <c:pt idx="219">
                  <c:v>534449.63982258143</c:v>
                </c:pt>
                <c:pt idx="220">
                  <c:v>538110.97932258144</c:v>
                </c:pt>
                <c:pt idx="221">
                  <c:v>538841.54057866836</c:v>
                </c:pt>
                <c:pt idx="222">
                  <c:v>539388.24057866854</c:v>
                </c:pt>
                <c:pt idx="223">
                  <c:v>539546.08057866839</c:v>
                </c:pt>
                <c:pt idx="224">
                  <c:v>540207.79979049845</c:v>
                </c:pt>
                <c:pt idx="225">
                  <c:v>539099.96725806885</c:v>
                </c:pt>
                <c:pt idx="226">
                  <c:v>540791.77222114091</c:v>
                </c:pt>
                <c:pt idx="227">
                  <c:v>541341.7622211409</c:v>
                </c:pt>
                <c:pt idx="228">
                  <c:v>543726.22222114087</c:v>
                </c:pt>
                <c:pt idx="229">
                  <c:v>544030.2722211408</c:v>
                </c:pt>
                <c:pt idx="230">
                  <c:v>545806.38222114078</c:v>
                </c:pt>
                <c:pt idx="231">
                  <c:v>546131.86222114076</c:v>
                </c:pt>
                <c:pt idx="232">
                  <c:v>546788.62999999989</c:v>
                </c:pt>
                <c:pt idx="233">
                  <c:v>546614.11156557151</c:v>
                </c:pt>
                <c:pt idx="234">
                  <c:v>542387.5815655716</c:v>
                </c:pt>
                <c:pt idx="235">
                  <c:v>548622.04451054672</c:v>
                </c:pt>
                <c:pt idx="236">
                  <c:v>551684.04451054684</c:v>
                </c:pt>
                <c:pt idx="237">
                  <c:v>551966.8645105469</c:v>
                </c:pt>
                <c:pt idx="238">
                  <c:v>554370.58451054688</c:v>
                </c:pt>
                <c:pt idx="239">
                  <c:v>550566.62252920691</c:v>
                </c:pt>
                <c:pt idx="240">
                  <c:v>552719.99252920679</c:v>
                </c:pt>
                <c:pt idx="241">
                  <c:v>557020.12035424111</c:v>
                </c:pt>
                <c:pt idx="242">
                  <c:v>556189.55035424116</c:v>
                </c:pt>
                <c:pt idx="243">
                  <c:v>558005.20035424118</c:v>
                </c:pt>
                <c:pt idx="244">
                  <c:v>557241.76035424112</c:v>
                </c:pt>
                <c:pt idx="245">
                  <c:v>554192.67400003073</c:v>
                </c:pt>
                <c:pt idx="246">
                  <c:v>557940.56557030696</c:v>
                </c:pt>
                <c:pt idx="247">
                  <c:v>558396.67414330703</c:v>
                </c:pt>
                <c:pt idx="248">
                  <c:v>558105.27464135375</c:v>
                </c:pt>
                <c:pt idx="249">
                  <c:v>561842.00464135362</c:v>
                </c:pt>
                <c:pt idx="250">
                  <c:v>563796.90332800685</c:v>
                </c:pt>
                <c:pt idx="251">
                  <c:v>564350.62016205699</c:v>
                </c:pt>
                <c:pt idx="252">
                  <c:v>564545.0996939647</c:v>
                </c:pt>
                <c:pt idx="253">
                  <c:v>564643.64324383065</c:v>
                </c:pt>
                <c:pt idx="254">
                  <c:v>564894.48074373673</c:v>
                </c:pt>
                <c:pt idx="255">
                  <c:v>569808.58686988382</c:v>
                </c:pt>
                <c:pt idx="256">
                  <c:v>569218.2268698836</c:v>
                </c:pt>
                <c:pt idx="257">
                  <c:v>570622.11686988373</c:v>
                </c:pt>
                <c:pt idx="258">
                  <c:v>570985.09900988371</c:v>
                </c:pt>
                <c:pt idx="259">
                  <c:v>570323.01900988363</c:v>
                </c:pt>
                <c:pt idx="260">
                  <c:v>572954.22900988359</c:v>
                </c:pt>
                <c:pt idx="261">
                  <c:v>571389.97623042751</c:v>
                </c:pt>
                <c:pt idx="262">
                  <c:v>564856.31519256008</c:v>
                </c:pt>
                <c:pt idx="263">
                  <c:v>567712.46439358685</c:v>
                </c:pt>
                <c:pt idx="264">
                  <c:v>568266.85962747771</c:v>
                </c:pt>
                <c:pt idx="265">
                  <c:v>567554.19962747779</c:v>
                </c:pt>
                <c:pt idx="266">
                  <c:v>572533.39666081115</c:v>
                </c:pt>
                <c:pt idx="267">
                  <c:v>572310.02958808723</c:v>
                </c:pt>
                <c:pt idx="268">
                  <c:v>574297.2495880872</c:v>
                </c:pt>
                <c:pt idx="269">
                  <c:v>574960.74144835386</c:v>
                </c:pt>
                <c:pt idx="270">
                  <c:v>574851.33848168724</c:v>
                </c:pt>
                <c:pt idx="271">
                  <c:v>577380.65848168719</c:v>
                </c:pt>
                <c:pt idx="272">
                  <c:v>577240.18793995387</c:v>
                </c:pt>
                <c:pt idx="273">
                  <c:v>579075.86497328721</c:v>
                </c:pt>
                <c:pt idx="274">
                  <c:v>572625.32497328706</c:v>
                </c:pt>
                <c:pt idx="275">
                  <c:v>575278.42730429373</c:v>
                </c:pt>
                <c:pt idx="276">
                  <c:v>575357.39973532176</c:v>
                </c:pt>
                <c:pt idx="277">
                  <c:v>575178.05741132179</c:v>
                </c:pt>
                <c:pt idx="278">
                  <c:v>578636.65444465517</c:v>
                </c:pt>
                <c:pt idx="279">
                  <c:v>579522.37602177006</c:v>
                </c:pt>
                <c:pt idx="280">
                  <c:v>579463.38479525503</c:v>
                </c:pt>
                <c:pt idx="281">
                  <c:v>581451.2147952551</c:v>
                </c:pt>
                <c:pt idx="282">
                  <c:v>581455.22776192194</c:v>
                </c:pt>
                <c:pt idx="283">
                  <c:v>581900.51197922172</c:v>
                </c:pt>
                <c:pt idx="284">
                  <c:v>582112.19999999995</c:v>
                </c:pt>
                <c:pt idx="285">
                  <c:v>584649.8098021152</c:v>
                </c:pt>
                <c:pt idx="286">
                  <c:v>584945.96318121511</c:v>
                </c:pt>
                <c:pt idx="287">
                  <c:v>587182.18894868193</c:v>
                </c:pt>
                <c:pt idx="288">
                  <c:v>586945.76050564635</c:v>
                </c:pt>
                <c:pt idx="289">
                  <c:v>587256.9013271709</c:v>
                </c:pt>
                <c:pt idx="290">
                  <c:v>589395.68836050411</c:v>
                </c:pt>
                <c:pt idx="291">
                  <c:v>590370.31975875108</c:v>
                </c:pt>
                <c:pt idx="292">
                  <c:v>592502.60975875112</c:v>
                </c:pt>
                <c:pt idx="293">
                  <c:v>590988.46041501779</c:v>
                </c:pt>
                <c:pt idx="294">
                  <c:v>593746.29041501798</c:v>
                </c:pt>
                <c:pt idx="295">
                  <c:v>594960.5</c:v>
                </c:pt>
                <c:pt idx="296">
                  <c:v>596327.80025247892</c:v>
                </c:pt>
                <c:pt idx="297">
                  <c:v>599213.70634853223</c:v>
                </c:pt>
                <c:pt idx="298">
                  <c:v>602348.06749652699</c:v>
                </c:pt>
                <c:pt idx="299">
                  <c:v>605058.21064213885</c:v>
                </c:pt>
                <c:pt idx="300">
                  <c:v>606878.11064213875</c:v>
                </c:pt>
                <c:pt idx="301">
                  <c:v>611620.24360880558</c:v>
                </c:pt>
                <c:pt idx="302">
                  <c:v>613331.93360880599</c:v>
                </c:pt>
                <c:pt idx="303">
                  <c:v>613712.17360880598</c:v>
                </c:pt>
                <c:pt idx="304">
                  <c:v>616899.30064213928</c:v>
                </c:pt>
                <c:pt idx="305">
                  <c:v>628379.24065526295</c:v>
                </c:pt>
                <c:pt idx="306">
                  <c:v>636520.9603191386</c:v>
                </c:pt>
                <c:pt idx="307">
                  <c:v>636900.661497558</c:v>
                </c:pt>
                <c:pt idx="308">
                  <c:v>654926.73659236263</c:v>
                </c:pt>
                <c:pt idx="309">
                  <c:v>652929.98</c:v>
                </c:pt>
                <c:pt idx="310">
                  <c:v>649054.12</c:v>
                </c:pt>
                <c:pt idx="311">
                  <c:v>647787.43999999994</c:v>
                </c:pt>
                <c:pt idx="312">
                  <c:v>646867.55999999994</c:v>
                </c:pt>
                <c:pt idx="313">
                  <c:v>678023.46519466373</c:v>
                </c:pt>
                <c:pt idx="314">
                  <c:v>679084.25347661623</c:v>
                </c:pt>
                <c:pt idx="315">
                  <c:v>683208.77029618865</c:v>
                </c:pt>
                <c:pt idx="316">
                  <c:v>683674.28037618857</c:v>
                </c:pt>
                <c:pt idx="317">
                  <c:v>679387.87103255023</c:v>
                </c:pt>
                <c:pt idx="318">
                  <c:v>679367.04785105016</c:v>
                </c:pt>
                <c:pt idx="319">
                  <c:v>685745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F8-4121-BF5F-CAE5CF9E7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940255"/>
        <c:axId val="187932575"/>
      </c:lineChart>
      <c:dateAx>
        <c:axId val="187940255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7932575"/>
        <c:crosses val="autoZero"/>
        <c:auto val="1"/>
        <c:lblOffset val="100"/>
        <c:baseTimeUnit val="days"/>
      </c:dateAx>
      <c:valAx>
        <c:axId val="18793257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prstDash val="solid"/>
              <a:round/>
            </a:ln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7940255"/>
        <c:crosses val="autoZero"/>
        <c:crossBetween val="between"/>
        <c:majorUnit val="50000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1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18</xdr:col>
      <xdr:colOff>7620</xdr:colOff>
      <xdr:row>32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419100</xdr:colOff>
      <xdr:row>160</xdr:row>
      <xdr:rowOff>166466</xdr:rowOff>
    </xdr:from>
    <xdr:to>
      <xdr:col>17</xdr:col>
      <xdr:colOff>122746</xdr:colOff>
      <xdr:row>176</xdr:row>
      <xdr:rowOff>142348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3475" y="30941741"/>
          <a:ext cx="6256846" cy="305245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12</xdr:col>
      <xdr:colOff>0</xdr:colOff>
      <xdr:row>214</xdr:row>
      <xdr:rowOff>0</xdr:rowOff>
    </xdr:from>
    <xdr:to>
      <xdr:col>16</xdr:col>
      <xdr:colOff>294514</xdr:colOff>
      <xdr:row>243</xdr:row>
      <xdr:rowOff>180242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54600" y="41138475"/>
          <a:ext cx="6085714" cy="586666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0</xdr:colOff>
      <xdr:row>254</xdr:row>
      <xdr:rowOff>0</xdr:rowOff>
    </xdr:from>
    <xdr:to>
      <xdr:col>6</xdr:col>
      <xdr:colOff>1485438</xdr:colOff>
      <xdr:row>265</xdr:row>
      <xdr:rowOff>94970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01050" y="48939450"/>
          <a:ext cx="3695238" cy="2238095"/>
        </a:xfrm>
        <a:prstGeom prst="rect">
          <a:avLst/>
        </a:prstGeom>
        <a:ln>
          <a:prstDash val="solid"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3.853999074076" createdVersion="8" refreshedVersion="8" minRefreshableVersion="3" recordCount="572" xr:uid="{00000000-000A-0000-FFFF-FFFF591D0000}">
  <cacheSource type="worksheet">
    <worksheetSource name="BaseOperacionesReales"/>
  </cacheSource>
  <cacheFields count="7">
    <cacheField name="Fecha" numFmtId="14">
      <sharedItems containsSemiMixedTypes="0" containsNonDate="0" containsDate="1" containsString="0" minDate="2026-04-06T00:00:00" maxDate="2026-10-07T00:00:00" count="119">
        <d v="2026-04-06T00:00:00"/>
        <d v="2026-04-08T00:00:00"/>
        <d v="2026-04-07T00:00:00"/>
        <d v="2026-04-09T00:00:00"/>
        <d v="2026-04-10T00:00:00"/>
        <d v="2026-04-13T00:00:00"/>
        <d v="2026-04-14T00:00:00"/>
        <d v="2026-04-15T00:00:00"/>
        <d v="2026-04-17T00:00:00"/>
        <d v="2026-04-18T00:00:00"/>
        <d v="2026-04-19T00:00:00"/>
        <d v="2026-04-20T00:00:00"/>
        <d v="2026-04-21T00:00:00"/>
        <d v="2026-04-22T00:00:00"/>
        <d v="2026-04-24T00:00:00"/>
        <d v="2026-04-27T00:00:00"/>
        <d v="2026-04-28T00:00:00"/>
        <d v="2026-04-29T00:00:00"/>
        <d v="2026-05-04T00:00:00"/>
        <d v="2026-05-05T00:00:00"/>
        <d v="2026-05-06T00:00:00"/>
        <d v="2026-05-07T00:00:00"/>
        <d v="2026-05-08T00:00:00"/>
        <d v="2026-05-09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1T00:00:00"/>
        <d v="2026-05-22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5T00:00:00"/>
        <d v="2026-06-08T00:00:00"/>
        <d v="2026-06-09T00:00:00"/>
        <d v="2026-06-10T00:00:00"/>
        <d v="2026-06-11T00:00:00"/>
        <d v="2026-06-12T00:00:00"/>
        <d v="2026-06-14T00:00:00"/>
        <d v="2026-06-15T00:00:00"/>
        <d v="2026-06-16T00:00:00"/>
        <d v="2026-06-17T00:00:00"/>
        <d v="2026-06-18T00:00:00"/>
        <d v="2026-06-19T00:00:00"/>
        <d v="2026-06-22T00:00:00"/>
        <d v="2026-06-23T00:00:00"/>
        <d v="2026-06-24T00:00:00"/>
        <d v="2026-06-25T00:00:00"/>
        <d v="2026-06-26T00:00:00"/>
        <d v="2026-06-29T00:00:00"/>
        <d v="2026-07-01T00:00:00"/>
        <d v="2026-07-02T00:00:00"/>
        <d v="2026-07-06T00:00:00"/>
        <d v="2026-07-07T00:00:00"/>
        <d v="2026-07-08T00:00:00"/>
        <d v="2026-07-09T00:00:00"/>
        <d v="2026-07-10T00:00:00"/>
        <d v="2026-07-13T00:00:00"/>
        <d v="2026-07-14T00:00:00"/>
        <d v="2026-07-15T00:00:00"/>
        <d v="2026-07-16T00:00:00"/>
        <d v="2026-07-20T00:00:00"/>
        <d v="2026-07-21T00:00:00"/>
        <d v="2026-07-22T00:00:00"/>
        <d v="2026-07-23T00:00:00"/>
        <d v="2026-07-24T00:00:00"/>
        <d v="2026-07-27T00:00:00"/>
        <d v="2026-07-28T00:00:00"/>
        <d v="2026-07-29T00:00:00"/>
        <d v="2026-07-30T00:00:00"/>
        <d v="2026-08-03T00:00:00"/>
        <d v="2026-08-04T00:00:00"/>
        <d v="2026-08-05T00:00:00"/>
        <d v="2026-08-06T00:00:00"/>
        <d v="2026-08-07T00:00:00"/>
        <d v="2026-08-11T00:00:00"/>
        <d v="2026-08-12T00:00:00"/>
        <d v="2026-08-13T00:00:00"/>
        <d v="2026-08-14T00:00:00"/>
        <d v="2026-08-17T00:00:00"/>
        <d v="2026-08-18T00:00:00"/>
        <d v="2026-08-19T00:00:00"/>
        <d v="2026-08-20T00:00:00"/>
        <d v="2026-08-21T00:00:00"/>
        <d v="2026-08-24T00:00:00"/>
        <d v="2026-08-25T00:00:00"/>
        <d v="2026-08-26T00:00:00"/>
        <d v="2026-08-27T00:00:00"/>
        <d v="2026-08-28T00:00:00"/>
        <d v="2026-08-31T00:00:00"/>
        <d v="2026-09-01T00:00:00"/>
        <d v="2026-09-02T00:00:00"/>
        <d v="2026-09-03T00:00:00"/>
        <d v="2026-09-04T00:00:00"/>
        <d v="2026-09-07T00:00:00"/>
        <d v="2026-09-09T00:00:00"/>
        <d v="2026-09-10T00:00:00"/>
        <d v="2026-09-11T00:00:00"/>
        <d v="2026-09-14T00:00:00"/>
        <d v="2026-09-15T00:00:00"/>
        <d v="2026-09-16T00:00:00"/>
        <d v="2026-09-18T00:00:00"/>
        <d v="2026-09-21T00:00:00"/>
        <d v="2026-09-22T00:00:00"/>
        <d v="2026-09-23T00:00:00"/>
        <d v="2026-09-24T00:00:00"/>
        <d v="2026-09-25T00:00:00"/>
        <d v="2026-10-06T00:00:00"/>
        <d v="2026-09-08T00:00:00"/>
        <d v="2026-06-07T00:00:00" u="1"/>
      </sharedItems>
    </cacheField>
    <cacheField name="Titular" numFmtId="14">
      <sharedItems containsNonDate="0" containsBlank="1" count="6">
        <s v="Cristian"/>
        <s v="Isabel"/>
        <s v="Jhon"/>
        <s v="Argentina"/>
        <s v="ORELLANA OCAÑA JHON ALFREDO" u="1"/>
        <m u="1"/>
      </sharedItems>
    </cacheField>
    <cacheField name="Operación" numFmtId="0">
      <sharedItems containsBlank="1" count="39">
        <s v="Venta Bonos"/>
        <s v="Transf. Produbanco"/>
        <s v="Transf. Pacífico"/>
        <s v="Transf. Pichincha"/>
        <s v="Compra Bonos"/>
        <s v="Compra Acciones Guayaquil"/>
        <s v="Recibido fondos en Banco"/>
        <s v="Compra Acciones Pichincha"/>
        <s v="Compra Acciones CRIDESA"/>
        <s v="Compra Nota Crédito"/>
        <s v="Venta Obligacion AGROSYLMA"/>
        <s v="Compra Papel EMPAGRAN"/>
        <s v="Pago Saldo Isabel"/>
        <s v="Pago Saldo Cristian"/>
        <s v="Transf. Pacifico Isabel"/>
        <s v="Compra Acciones Bolivariano"/>
        <s v="Transf. Pacifico Cristian"/>
        <s v="Transf. Produbanco Jhon"/>
        <s v="Transf. Pacifico Jhon"/>
        <s v="Venta Nota Crédito"/>
        <s v="Compensación para encerar saldo"/>
        <s v="Venta Papel Comercial"/>
        <s v="Retención Decevale por Venta Papel Comercial"/>
        <s v="Compra Obligacion BlueEnergy"/>
        <s v="Transf. Pichincha Isabel"/>
        <s v="Transf. Produbanco Isabel"/>
        <s v="Retención Decevale por Venta Nota Credito"/>
        <s v="Devolucion Saldo"/>
        <s v="Transf. Pichincha Jhon"/>
        <s v="Compra Acciones Produbanco"/>
        <s v="Venta Acciones Austro"/>
        <s v="Compra Acciones Austro"/>
        <s v="Compra Acciones BVQ"/>
        <s v="Venta Acciones Guayaquil"/>
        <s v="Trans Pacifico Isabel" u="1"/>
        <s v="Trans Pacifico Jhon" u="1"/>
        <s v="Descuento por Venta Papel Comercial" u="1"/>
        <s v="Venta Papael Comercial" u="1"/>
        <m u="1"/>
      </sharedItems>
    </cacheField>
    <cacheField name="Valor" numFmtId="171">
      <sharedItems containsSemiMixedTypes="0" containsString="0" containsNumber="1" minValue="-138241.19" maxValue="97845.45"/>
    </cacheField>
    <cacheField name="Utilidad" numFmtId="171">
      <sharedItems containsString="0" containsBlank="1" containsNumber="1" minValue="-8.5299999999999994" maxValue="5594.65"/>
    </cacheField>
    <cacheField name="Dato PDF" numFmtId="171">
      <sharedItems containsString="0" containsBlank="1" containsNumber="1" minValue="-47609.79" maxValue="70721.77"/>
    </cacheField>
    <cacheField name="Diferencias" numFmtId="171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3.854041666666" createdVersion="8" refreshedVersion="8" minRefreshableVersion="3" recordCount="156" xr:uid="{00000000-000A-0000-FFFF-FFFF531D0000}">
  <cacheSource type="worksheet">
    <worksheetSource name="TitulosVendidos"/>
  </cacheSource>
  <cacheFields count="45">
    <cacheField name="Fecha Venta" numFmtId="170">
      <sharedItems containsSemiMixedTypes="0" containsNonDate="0" containsDate="1" containsString="0" minDate="2022-12-12T00:00:00" maxDate="2026-09-20T00:00:00" count="66">
        <d v="2026-04-15T00:00:00"/>
        <d v="2026-04-14T00:00:00"/>
        <d v="2026-04-09T00:00:00"/>
        <d v="2026-04-07T00:00:00"/>
        <d v="2026-04-06T00:00:00"/>
        <d v="2026-02-23T00:00:00"/>
        <d v="2026-02-12T00:00:00"/>
        <d v="2026-02-03T00:00:00"/>
        <d v="2025-05-28T00:00:00"/>
        <d v="2025-05-14T00:00:00"/>
        <d v="2025-04-24T00:00:00"/>
        <d v="2025-02-25T00:00:00"/>
        <d v="2025-02-17T00:00:00"/>
        <d v="2025-02-13T00:00:00"/>
        <d v="2024-10-25T00:00:00"/>
        <d v="2024-10-09T00:00:00"/>
        <d v="2024-09-30T00:00:00"/>
        <d v="2024-07-19T00:00:00"/>
        <d v="2024-07-18T00:00:00"/>
        <d v="2023-10-04T00:00:00"/>
        <d v="2023-04-10T00:00:00"/>
        <d v="2023-03-24T00:00:00"/>
        <d v="2023-03-20T00:00:00"/>
        <d v="2023-03-14T00:00:00"/>
        <d v="2023-03-06T00:00:00"/>
        <d v="2023-02-22T00:00:00"/>
        <d v="2023-02-15T00:00:00"/>
        <d v="2023-02-07T00:00:00"/>
        <d v="2023-01-27T00:00:00"/>
        <d v="2022-12-30T00:00:00"/>
        <d v="2022-12-29T00:00:00"/>
        <d v="2022-12-28T00:00:00"/>
        <d v="2022-12-27T00:00:00"/>
        <d v="2022-12-13T00:00:00"/>
        <d v="2022-12-12T00:00:00"/>
        <d v="2026-04-20T00:00:00"/>
        <d v="2026-04-08T00:00:00"/>
        <d v="2026-05-05T00:00:00"/>
        <d v="2026-05-08T00:00:00"/>
        <d v="2026-05-12T00:00:00"/>
        <d v="2026-05-14T00:00:00"/>
        <d v="2026-05-19T00:00:00"/>
        <d v="2026-05-20T00:00:00"/>
        <d v="2026-05-27T00:00:00"/>
        <d v="2026-06-01T00:00:00"/>
        <d v="2026-06-05T00:00:00"/>
        <d v="2026-06-08T00:00:00"/>
        <d v="2026-06-15T00:00:00"/>
        <d v="2026-06-17T00:00:00"/>
        <d v="2026-06-19T00:00:00"/>
        <d v="2026-06-25T00:00:00"/>
        <d v="2026-07-01T00:00:00"/>
        <d v="2026-07-10T00:00:00"/>
        <d v="2026-07-20T00:00:00"/>
        <d v="2026-07-23T00:00:00"/>
        <d v="2026-07-29T00:00:00"/>
        <d v="2026-08-03T00:00:00"/>
        <d v="2026-08-12T00:00:00"/>
        <d v="2026-08-18T00:00:00"/>
        <d v="2026-08-20T00:00:00"/>
        <d v="2026-08-27T00:00:00"/>
        <d v="2026-09-02T00:00:00"/>
        <d v="2026-09-07T00:00:00"/>
        <d v="2026-09-15T00:00:00"/>
        <d v="2026-09-18T00:00:00"/>
        <d v="2026-09-19T00:00:00" u="1"/>
      </sharedItems>
      <fieldGroup par="44"/>
    </cacheField>
    <cacheField name="Título" numFmtId="170">
      <sharedItems containsNonDate="0" containsBlank="1" count="6">
        <s v="Bono Estado"/>
        <s v="Nota Crédito SRI"/>
        <s v="Utilidades por Acciones PRODUBANCO"/>
        <s v="Papel Comercial"/>
        <m u="1"/>
        <s v="Acciones Produbanco" u="1"/>
      </sharedItems>
    </cacheField>
    <cacheField name="Titular" numFmtId="0">
      <sharedItems/>
    </cacheField>
    <cacheField name="Fecha de _x000a_Compra" numFmtId="170">
      <sharedItems containsSemiMixedTypes="0" containsNonDate="0" containsDate="1" containsString="0" minDate="2021-10-22T00:00:00" maxDate="2026-09-10T00:00:00"/>
    </cacheField>
    <cacheField name="Fecha Primer Pago" numFmtId="170">
      <sharedItems containsNonDate="0" containsDate="1" containsString="0" containsBlank="1" minDate="2021-10-28T00:00:00" maxDate="2026-08-03T00:00:00"/>
    </cacheField>
    <cacheField name="Fecha de _x000a_Emisión" numFmtId="170">
      <sharedItems containsNonDate="0" containsDate="1" containsString="0" containsBlank="1" minDate="2019-09-20T00:00:00" maxDate="2026-07-03T00:00:00"/>
    </cacheField>
    <cacheField name="Fecha de _x000a_Vencim." numFmtId="170">
      <sharedItems containsNonDate="0" containsDate="1" containsString="0" containsBlank="1" minDate="2024-11-18T00:00:00" maxDate="2035-07-03T00:00:00"/>
    </cacheField>
    <cacheField name="Tasa _x000a_Mensual" numFmtId="2">
      <sharedItems containsString="0" containsBlank="1" containsNumber="1" minValue="3.82" maxValue="9.8662276268283957"/>
    </cacheField>
    <cacheField name="Tasa Mensual Real" numFmtId="2">
      <sharedItems containsSemiMixedTypes="0" containsString="0" containsNumber="1" minValue="0" maxValue="12.275214071171741"/>
    </cacheField>
    <cacheField name="Rendim." numFmtId="2">
      <sharedItems containsString="0" containsBlank="1" containsNumber="1" minValue="8.1999999999999993" maxValue="86.569166666666661"/>
    </cacheField>
    <cacheField name="Interés_x000a_Mensual" numFmtId="44">
      <sharedItems containsSemiMixedTypes="0" containsString="0" containsNumber="1" minValue="0" maxValue="441.94241250000005"/>
    </cacheField>
    <cacheField name="Interés Primer Mes" numFmtId="44">
      <sharedItems containsSemiMixedTypes="0" containsString="0" containsNumber="1" minValue="-23.011440999999998" maxValue="307.44999999999993"/>
    </cacheField>
    <cacheField name="Períodos Recibidos" numFmtId="0">
      <sharedItems containsSemiMixedTypes="0" containsString="0" containsNumber="1" containsInteger="1" minValue="0" maxValue="39"/>
    </cacheField>
    <cacheField name="Interés al Vencimiento" numFmtId="44">
      <sharedItems containsString="0" containsBlank="1" containsNumber="1" minValue="839.97099433333324" maxValue="3370.858866666666"/>
    </cacheField>
    <cacheField name="Interés _x000a_Recibido" numFmtId="44">
      <sharedItems containsSemiMixedTypes="0" containsString="0" containsNumber="1" minValue="0" maxValue="6734.994999999999"/>
    </cacheField>
    <cacheField name="Valor _x000a_Nominal" numFmtId="44">
      <sharedItems containsString="0" containsBlank="1" containsNumber="1" minValue="454" maxValue="85399.5"/>
    </cacheField>
    <cacheField name="% Precio Comprado" numFmtId="2">
      <sharedItems containsString="0" containsBlank="1" containsNumber="1" minValue="67.699280419999994" maxValue="95.478678939999995"/>
    </cacheField>
    <cacheField name="% Precio Neto Comprado" numFmtId="2">
      <sharedItems containsString="0" containsBlank="1" containsNumber="1" minValue="67.973052070759977" maxValue="96.050399999999996"/>
    </cacheField>
    <cacheField name="Valor _x000a_Comprado Sin Comisión" numFmtId="44">
      <sharedItems containsSemiMixedTypes="0" containsString="0" containsNumber="1" minValue="0" maxValue="72704.43696882209"/>
    </cacheField>
    <cacheField name="Valor Comprado Con Comisión" numFmtId="0">
      <sharedItems containsSemiMixedTypes="0" containsString="0" containsNumber="1" minValue="324.92275232560002" maxValue="72958.896968822097"/>
    </cacheField>
    <cacheField name="PAGADO_x000a_incluye interés acumulado" numFmtId="44">
      <sharedItems containsSemiMixedTypes="0" containsString="0" containsNumber="1" minValue="324.99275232560001" maxValue="73327.18696882209"/>
    </cacheField>
    <cacheField name="Interés_x000a_Acumulado _x000a_Previo" numFmtId="44">
      <sharedItems containsString="0" containsBlank="1" containsNumber="1" minValue="0" maxValue="368.29"/>
    </cacheField>
    <cacheField name="Comisión Santa Fé_x000a_Compra" numFmtId="0">
      <sharedItems containsString="0" containsBlank="1" containsNumber="1" minValue="3.13" maxValue="218.11"/>
    </cacheField>
    <cacheField name="Comisión_x000a_Bolsa Compra" numFmtId="0">
      <sharedItems containsString="0" containsBlank="1" containsNumber="1" minValue="0.34" maxValue="36.35"/>
    </cacheField>
    <cacheField name="Total _x000a_Comisiones" numFmtId="44">
      <sharedItems containsSemiMixedTypes="0" containsString="0" containsNumber="1" minValue="0" maxValue="254.46"/>
    </cacheField>
    <cacheField name="Operación Compra No." numFmtId="174">
      <sharedItems containsBlank="1" containsMixedTypes="1" containsNumber="1" containsInteger="1" minValue="365442" maxValue="370501"/>
    </cacheField>
    <cacheField name="% Precio Vendido" numFmtId="2">
      <sharedItems containsString="0" containsBlank="1" containsNumber="1" minValue="74.340201460000003" maxValue="98.75"/>
    </cacheField>
    <cacheField name="% Precio Neto Vendido" numFmtId="2">
      <sharedItems containsString="0" containsBlank="1" containsNumber="1" minValue="85.392399999999995" maxValue="98.631600000000006"/>
    </cacheField>
    <cacheField name="Interes Previo Transacción " numFmtId="44">
      <sharedItems containsString="0" containsBlank="1" containsNumber="1" minValue="0" maxValue="244.91"/>
    </cacheField>
    <cacheField name="Valor venta _x000a_sin comisión" numFmtId="44">
      <sharedItems containsSemiMixedTypes="0" containsString="0" containsNumber="1" minValue="0" maxValue="75090.939711481798"/>
    </cacheField>
    <cacheField name="Comisión Santa Fe_x000a_Venta" numFmtId="44">
      <sharedItems containsString="0" containsBlank="1" containsNumber="1" minValue="1.0125789355825929" maxValue="927"/>
    </cacheField>
    <cacheField name="Comisión_x000a_Bolsa Venta" numFmtId="44">
      <sharedItems containsString="0" containsBlank="1" containsNumber="1" minValue="0.1687631559304322" maxValue="54.4"/>
    </cacheField>
    <cacheField name="Valor Venta Con Comisión" numFmtId="44">
      <sharedItems containsSemiMixedTypes="0" containsString="0" containsNumber="1" minValue="0" maxValue="74677.944195193239"/>
    </cacheField>
    <cacheField name="Utilidad Sin _x000a_Considerar Comisión" numFmtId="44">
      <sharedItems containsSemiMixedTypes="0" containsString="0" containsNumber="1" minValue="-8.3296070862400029" maxValue="46916.667849999998"/>
    </cacheField>
    <cacheField name="Utilidad Considera _x000a_Comisión_x000a_(Ganancia de Capital)" numFmtId="44">
      <sharedItems containsSemiMixedTypes="0" containsString="0" containsNumber="1" minValue="-54.676888959998905" maxValue="5515.5183369830011"/>
    </cacheField>
    <cacheField name="Utilidad / Pérdida_x000a_(Rendimiento Total)" numFmtId="44">
      <sharedItems containsSemiMixedTypes="0" containsString="0" containsNumber="1" minValue="1.2501440002779418E-2" maxValue="8364.4030869830003"/>
    </cacheField>
    <cacheField name="Dias _x000a_Transcurridos" numFmtId="0">
      <sharedItems containsSemiMixedTypes="0" containsString="0" containsNumber="1" containsInteger="1" minValue="2" maxValue="1168"/>
    </cacheField>
    <cacheField name="Tasa de Rentabilidad Porcentual (ROI)" numFmtId="175">
      <sharedItems containsSemiMixedTypes="0" containsString="0" containsNumber="1" minValue="2.5233212409280504E-6" maxValue="0.52693694546151471"/>
    </cacheField>
    <cacheField name="% Ganancia Anual estimado" numFmtId="175">
      <sharedItems containsSemiMixedTypes="0" containsString="0" containsNumber="1" minValue="2.3025306323468461E-4" maxValue="2.0623390316079804"/>
    </cacheField>
    <cacheField name="Tasa Anualizada" numFmtId="175">
      <sharedItems containsSemiMixedTypes="0" containsString="0" containsNumber="1" minValue="2.3027928293051225E-4" maxValue="6.3948714927210935"/>
    </cacheField>
    <cacheField name="Total Comisiones Santa Fe" numFmtId="44">
      <sharedItems containsSemiMixedTypes="0" containsString="0" containsNumber="1" minValue="0" maxValue="1041.08"/>
    </cacheField>
    <cacheField name="Operación Venta No." numFmtId="1">
      <sharedItems containsBlank="1" containsMixedTypes="1" containsNumber="1" containsInteger="1" minValue="367383" maxValue="3748022"/>
    </cacheField>
    <cacheField name="Meses (Fecha Venta)" numFmtId="0" databaseField="0">
      <fieldGroup base="0">
        <rangePr groupBy="months" startDate="2022-12-12T00:00:00" endDate="2026-09-19T00:00:00"/>
        <groupItems count="14">
          <s v="&lt;12/12/2022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9/9/2026"/>
        </groupItems>
      </fieldGroup>
    </cacheField>
    <cacheField name="Trimestres (Fecha Venta)" numFmtId="0" databaseField="0">
      <fieldGroup base="0">
        <rangePr groupBy="quarters" startDate="2022-12-12T00:00:00" endDate="2026-09-19T00:00:00"/>
        <groupItems count="6">
          <s v="&lt;12/12/2022"/>
          <s v="Trim.1"/>
          <s v="Trim.2"/>
          <s v="Trim.3"/>
          <s v="Trim.4"/>
          <s v="&gt;19/9/2026"/>
        </groupItems>
      </fieldGroup>
    </cacheField>
    <cacheField name="Años (Fecha Venta)" numFmtId="0" databaseField="0">
      <fieldGroup base="0">
        <rangePr groupBy="years" startDate="2022-12-12T00:00:00" endDate="2026-09-19T00:00:00"/>
        <groupItems count="7">
          <s v="&lt;12/12/2022"/>
          <s v="2022"/>
          <s v="2023"/>
          <s v="2024"/>
          <s v="2025"/>
          <s v="2026"/>
          <s v="&gt;19/9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3.856061921295" missingItemsLimit="0" createdVersion="8" refreshedVersion="8" minRefreshableVersion="3" recordCount="38" xr:uid="{00000000-000A-0000-FFFF-FFFF3A1D0000}">
  <cacheSource type="worksheet">
    <worksheetSource name="TitulosActivos"/>
  </cacheSource>
  <cacheFields count="26">
    <cacheField name="Fecha Actual" numFmtId="170">
      <sharedItems containsSemiMixedTypes="0" containsNonDate="0" containsDate="1" containsString="0" minDate="2026-10-08T00:00:00" maxDate="2026-10-09T00:00:00"/>
    </cacheField>
    <cacheField name="Título" numFmtId="170">
      <sharedItems containsNonDate="0" count="1">
        <s v="Bono Estado"/>
      </sharedItems>
    </cacheField>
    <cacheField name="Titular" numFmtId="0">
      <sharedItems count="4">
        <s v="Jhon"/>
        <s v="Cristian"/>
        <s v="Argentina"/>
        <s v="Isabel"/>
      </sharedItems>
    </cacheField>
    <cacheField name="Fecha de _x000a_Compra" numFmtId="170">
      <sharedItems containsSemiMixedTypes="0" containsNonDate="0" containsDate="1" containsString="0" minDate="2021-09-23T00:00:00" maxDate="2026-10-06T00:00:00"/>
    </cacheField>
    <cacheField name="Fecha Primer Pago" numFmtId="170">
      <sharedItems containsSemiMixedTypes="0" containsNonDate="0" containsDate="1" containsString="0" minDate="2021-10-17T00:00:00" maxDate="2026-11-25T00:00:00"/>
    </cacheField>
    <cacheField name="Fecha de _x000a_Emisión" numFmtId="170">
      <sharedItems containsSemiMixedTypes="0" containsNonDate="0" containsDate="1" containsString="0" minDate="2021-05-17T00:00:00" maxDate="2026-07-03T00:00:00"/>
    </cacheField>
    <cacheField name="Fecha de _x000a_Vencim." numFmtId="170">
      <sharedItems containsSemiMixedTypes="0" containsNonDate="0" containsDate="1" containsString="0" minDate="2028-04-26T00:00:00" maxDate="2035-05-08T00:00:00"/>
    </cacheField>
    <cacheField name="Tasa _x000a_Mensual" numFmtId="0">
      <sharedItems containsSemiMixedTypes="0" containsString="0" containsNumber="1" minValue="4.71" maxValue="9.25"/>
    </cacheField>
    <cacheField name="Tasa Mensual Real" numFmtId="2">
      <sharedItems containsSemiMixedTypes="0" containsString="0" containsNumber="1" minValue="5.0855387863809778" maxValue="9.409931424462842"/>
    </cacheField>
    <cacheField name="Rendim." numFmtId="2">
      <sharedItems containsSemiMixedTypes="0" containsString="0" containsNumber="1" minValue="8" maxValue="13.75"/>
    </cacheField>
    <cacheField name="Interés_x000a_Mensual" numFmtId="44">
      <sharedItems containsSemiMixedTypes="0" containsString="0" containsNumber="1" minValue="3.1266666666666669" maxValue="188.11125000000001"/>
    </cacheField>
    <cacheField name="Interés Primer Mes" numFmtId="44">
      <sharedItems containsSemiMixedTypes="0" containsString="0" containsNumber="1" minValue="-7.8368420000000008" maxValue="174.77333333333334"/>
    </cacheField>
    <cacheField name="Períodos Recibidos" numFmtId="0">
      <sharedItems containsSemiMixedTypes="0" containsString="0" containsNumber="1" containsInteger="1" minValue="0" maxValue="60"/>
    </cacheField>
    <cacheField name="Interés al Vencimiento" numFmtId="44">
      <sharedItems containsNonDate="0" containsString="0" containsBlank="1"/>
    </cacheField>
    <cacheField name="Interés _x000a_Recibido" numFmtId="44">
      <sharedItems containsSemiMixedTypes="0" containsString="0" containsNumber="1" minValue="5.8724000000000025" maxValue="909.17750000000001"/>
    </cacheField>
    <cacheField name="Valor _x000a_Nominal" numFmtId="44">
      <sharedItems containsSemiMixedTypes="0" containsString="0" containsNumber="1" minValue="700" maxValue="36350"/>
    </cacheField>
    <cacheField name="% Precio Comprado" numFmtId="173">
      <sharedItems containsSemiMixedTypes="0" containsString="0" containsNumber="1" minValue="69.669799999999995" maxValue="99.089471349999997"/>
    </cacheField>
    <cacheField name="% Precio Neto Comprado" numFmtId="173">
      <sharedItems containsSemiMixedTypes="0" containsString="0" containsNumber="1" minValue="10.375299999999999" maxValue="95.866529304029299"/>
    </cacheField>
    <cacheField name="Valor _x000a_Comprado Sin Comisión" numFmtId="44">
      <sharedItems containsSemiMixedTypes="0" containsString="0" containsNumber="1" minValue="501.77648500000004" maxValue="31780.522039490002"/>
    </cacheField>
    <cacheField name="Valor Comprado Con Comisión" numFmtId="44">
      <sharedItems containsSemiMixedTypes="0" containsString="0" containsNumber="1" minValue="509.78" maxValue="31828.19"/>
    </cacheField>
    <cacheField name="PAGADO_x000a_incluye interés acumulado" numFmtId="44">
      <sharedItems containsSemiMixedTypes="0" containsString="0" containsNumber="1" minValue="512.69999999999993" maxValue="31906.5"/>
    </cacheField>
    <cacheField name="Interés_x000a_Acumulado _x000a_Previo" numFmtId="44">
      <sharedItems containsSemiMixedTypes="0" containsString="0" containsNumber="1" minValue="0" maxValue="978.73"/>
    </cacheField>
    <cacheField name="Comisión Santa Fé_x000a_Compra" numFmtId="44">
      <sharedItems containsSemiMixedTypes="0" containsString="0" containsNumber="1" minValue="2.1745169171540679" maxValue="95.22"/>
    </cacheField>
    <cacheField name="Comisión_x000a_Bolsa Compra" numFmtId="44">
      <sharedItems containsSemiMixedTypes="0" containsString="0" containsNumber="1" minValue="0.36199007921818321" maxValue="31.78"/>
    </cacheField>
    <cacheField name="Total _x000a_Comisiones" numFmtId="44">
      <sharedItems containsSemiMixedTypes="0" containsString="0" containsNumber="1" minValue="2.5365069963722511" maxValue="111.06"/>
    </cacheField>
    <cacheField name="Operación Compra No." numFmtId="1">
      <sharedItems containsString="0" containsBlank="1" containsNumber="1" containsInteger="1" minValue="367011" maxValue="3758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3.856062152779" missingItemsLimit="0" createdVersion="8" refreshedVersion="8" minRefreshableVersion="3" recordCount="21" xr:uid="{00000000-000A-0000-FFFF-FFFF3D1D0000}">
  <cacheSource type="worksheet">
    <worksheetSource name="BaseOtrosFondos"/>
  </cacheSource>
  <cacheFields count="3">
    <cacheField name="Origen Fondo" numFmtId="0">
      <sharedItems/>
    </cacheField>
    <cacheField name="Valor" numFmtId="171">
      <sharedItems containsString="0" containsBlank="1" containsNumber="1" minValue="-452.81" maxValue="2793.880000000001"/>
    </cacheField>
    <cacheField name="Orige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3.856062268518" missingItemsLimit="1048576" createdVersion="8" refreshedVersion="8" minRefreshableVersion="3" recordCount="375" xr:uid="{00000000-000A-0000-FFFF-FFFF441D0000}">
  <cacheSource type="worksheet">
    <worksheetSource name="TitulosActivos8"/>
  </cacheSource>
  <cacheFields count="29">
    <cacheField name="Fecha Actual" numFmtId="0">
      <sharedItems containsNonDate="0" containsDate="1" containsString="0" containsBlank="1" minDate="2026-10-08T00:00:00" maxDate="2026-10-09T00:00:00"/>
    </cacheField>
    <cacheField name="Título" numFmtId="0">
      <sharedItems containsNonDate="0" containsBlank="1" count="3">
        <s v="Nota Crédito SRI"/>
        <s v="Papel Comercial"/>
        <m/>
      </sharedItems>
    </cacheField>
    <cacheField name="Titular" numFmtId="0">
      <sharedItems containsBlank="1" count="5">
        <s v="Jhon"/>
        <s v="Isabel"/>
        <s v="Cristian"/>
        <m/>
        <s v="ORELLANA OCAÑA JHON ALFREDO" u="1"/>
      </sharedItems>
    </cacheField>
    <cacheField name="Fecha de _x000a_Compra" numFmtId="0">
      <sharedItems containsNonDate="0" containsDate="1" containsString="0" containsBlank="1" minDate="2026-04-15T00:00:00" maxDate="2026-09-22T00:00:00"/>
    </cacheField>
    <cacheField name="Fecha Primer Pago" numFmtId="0">
      <sharedItems containsNonDate="0" containsString="0" containsBlank="1"/>
    </cacheField>
    <cacheField name="Fecha de _x000a_Emisión" numFmtId="0">
      <sharedItems containsNonDate="0" containsDate="1" containsString="0" containsBlank="1" minDate="2026-04-24T00:00:00" maxDate="2026-04-25T00:00:00"/>
    </cacheField>
    <cacheField name="Fecha de _x000a_Vencim." numFmtId="0">
      <sharedItems containsNonDate="0" containsDate="1" containsString="0" containsBlank="1" minDate="2027-04-09T00:00:00" maxDate="2027-04-17T00:00:00"/>
    </cacheField>
    <cacheField name="Tasa _x000a_Mensual" numFmtId="0">
      <sharedItems containsNonDate="0" containsString="0" containsBlank="1"/>
    </cacheField>
    <cacheField name="Tasa Mensual Real" numFmtId="0">
      <sharedItems containsString="0" containsBlank="1" containsNumber="1" containsInteger="1" minValue="0" maxValue="0"/>
    </cacheField>
    <cacheField name="Rendim." numFmtId="0">
      <sharedItems containsNonDate="0" containsString="0" containsBlank="1"/>
    </cacheField>
    <cacheField name="Interés_x000a_Mensual" numFmtId="0">
      <sharedItems containsString="0" containsBlank="1" containsNumber="1" containsInteger="1" minValue="0" maxValue="0"/>
    </cacheField>
    <cacheField name="Interés Primer Mes" numFmtId="0">
      <sharedItems containsString="0" containsBlank="1" containsNumber="1" containsInteger="1" minValue="0" maxValue="0"/>
    </cacheField>
    <cacheField name="Períodos Recibidos" numFmtId="0">
      <sharedItems containsString="0" containsBlank="1" containsNumber="1" containsInteger="1" minValue="0" maxValue="0"/>
    </cacheField>
    <cacheField name="Interés al Vencimiento" numFmtId="44">
      <sharedItems containsString="0" containsBlank="1" containsNumber="1" minValue="196.98" maxValue="11758.81"/>
    </cacheField>
    <cacheField name="Interés _x000a_Recibido" numFmtId="44">
      <sharedItems containsString="0" containsBlank="1" containsNumber="1" containsInteger="1" minValue="0" maxValue="0"/>
    </cacheField>
    <cacheField name="Valor _x000a_Nominal" numFmtId="0">
      <sharedItems containsString="0" containsBlank="1" containsNumber="1" minValue="54.8" maxValue="150000"/>
    </cacheField>
    <cacheField name="% Precio Comprado" numFmtId="0">
      <sharedItems containsString="0" containsBlank="1" containsNumber="1" minValue="90" maxValue="98.5501"/>
    </cacheField>
    <cacheField name="% Precio Neto Comprado" numFmtId="0">
      <sharedItems containsString="0" containsBlank="1" containsNumber="1" minValue="90.912408760000005" maxValue="98.668300000000002"/>
    </cacheField>
    <cacheField name="Valor _x000a_Comprado Sin Comisión" numFmtId="0">
      <sharedItems containsString="0" containsBlank="1" containsNumber="1" minValue="0" maxValue="138026.22498"/>
    </cacheField>
    <cacheField name="Valor Comprado Con Comisión" numFmtId="0">
      <sharedItems containsString="0" containsBlank="1" containsNumber="1" minValue="49.820000000480007" maxValue="138241.20000000001"/>
    </cacheField>
    <cacheField name="PAGADO_x000a_incluye interés acumulado" numFmtId="0">
      <sharedItems containsString="0" containsBlank="1" containsNumber="1" minValue="49.820000000480007" maxValue="138241.20000000001"/>
    </cacheField>
    <cacheField name="Interés_x000a_Acumulado _x000a_Previo" numFmtId="0">
      <sharedItems containsString="0" containsBlank="1" containsNumber="1" containsInteger="1" minValue="0" maxValue="0"/>
    </cacheField>
    <cacheField name="Comisión Santa Fé_x000a_Compra" numFmtId="0">
      <sharedItems containsString="0" containsBlank="1" containsNumber="1" minValue="0.1" maxValue="133.04"/>
    </cacheField>
    <cacheField name="Comisión_x000a_Bolsa Compra" numFmtId="0">
      <sharedItems containsString="0" containsBlank="1" containsNumber="1" minValue="0" maxValue="81.930139999999994"/>
    </cacheField>
    <cacheField name="Total _x000a_Comisiones" numFmtId="0">
      <sharedItems containsString="0" containsBlank="1" containsNumber="1" minValue="0" maxValue="214.97013999999999"/>
    </cacheField>
    <cacheField name="Operación Compra No." numFmtId="0">
      <sharedItems containsBlank="1" containsMixedTypes="1" containsNumber="1" containsInteger="1" minValue="15706" maxValue="375069"/>
    </cacheField>
    <cacheField name="Estado" numFmtId="0">
      <sharedItems containsBlank="1" count="6">
        <s v="Vendido"/>
        <s v="Vendido parcial"/>
        <m/>
        <s v="Activo"/>
        <s v="NC Vendida" u="1"/>
        <s v="NC Activa" u="1"/>
      </sharedItems>
    </cacheField>
    <cacheField name="Fecha Venta" numFmtId="0">
      <sharedItems containsNonDate="0" containsDate="1" containsString="0" containsBlank="1" minDate="2026-05-05T00:00:00" maxDate="2026-09-16T00:00:00" count="30">
        <d v="2026-05-05T00:00:00"/>
        <d v="2026-05-19T00:00:00"/>
        <d v="2026-05-27T00:00:00"/>
        <d v="2026-05-14T00:00:00"/>
        <d v="2026-08-03T00:00:00"/>
        <m/>
        <d v="2026-06-01T00:00:00"/>
        <d v="2026-06-05T00:00:00"/>
        <d v="2026-06-08T00:00:00"/>
        <d v="2026-06-15T00:00:00"/>
        <d v="2026-06-19T00:00:00"/>
        <d v="2026-07-01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20T00:00:00"/>
        <d v="2026-07-23T00:00:00"/>
        <d v="2026-07-29T00:00:00"/>
        <d v="2026-08-12T00:00:00"/>
        <d v="2026-08-18T00:00:00"/>
        <d v="2026-08-20T00:00:00"/>
        <d v="2026-08-27T00:00:00"/>
        <d v="2026-09-02T00:00:00"/>
        <d v="2026-09-07T00:00:00"/>
        <d v="2026-09-15T00:00:00"/>
      </sharedItems>
    </cacheField>
    <cacheField name="Operación Venta No." numFmtId="0">
      <sharedItems containsBlank="1" containsMixedTypes="1" containsNumber="1" containsInteger="1" minValue="367383" maxValue="37480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3.856062500003" createdVersion="8" refreshedVersion="8" minRefreshableVersion="3" recordCount="1119" xr:uid="{00000000-000A-0000-FFFF-FFFF4E1D0000}">
  <cacheSource type="worksheet">
    <worksheetSource name="BaseInversiones"/>
  </cacheSource>
  <cacheFields count="25">
    <cacheField name="DESDE" numFmtId="170">
      <sharedItems containsSemiMixedTypes="0" containsNonDate="0" containsDate="1" containsString="0" minDate="2021-09-23T00:00:00" maxDate="2026-10-09T00:00:00"/>
    </cacheField>
    <cacheField name="VENCIMIENTO" numFmtId="170">
      <sharedItems containsSemiMixedTypes="0" containsNonDate="0" containsDate="1" containsString="0" minDate="2026-04-03T00:00:00" maxDate="2035-01-01T00:00:00" count="403">
        <d v="2026-04-03T00:00:00"/>
        <d v="2026-04-04T00:00:00"/>
        <d v="2026-04-05T00:00:00"/>
        <d v="2026-04-06T00:00:00"/>
        <d v="2026-04-08T00:00:00"/>
        <d v="2026-04-10T00:00:00"/>
        <d v="2026-04-11T00:00:00"/>
        <d v="2026-04-12T00:00:00"/>
        <d v="2026-04-13T00:00:00"/>
        <d v="2026-04-15T00:00:00"/>
        <d v="2026-05-04T00:00:00"/>
        <d v="2026-04-17T00:00:00"/>
        <d v="2026-04-18T00:00:00"/>
        <d v="2026-04-21T00:00:00"/>
        <d v="2026-04-24T00:00:00"/>
        <d v="2026-04-25T00:00:00"/>
        <d v="2026-04-26T00:00:00"/>
        <d v="2026-04-27T00:00:00"/>
        <d v="2026-04-28T00:00:00"/>
        <d v="2026-05-05T00:00:00"/>
        <d v="2026-05-09T00:00:00"/>
        <d v="2026-05-30T00:00:00"/>
        <d v="2026-05-03T00:00:00"/>
        <d v="2026-05-06T00:00:00"/>
        <d v="2026-05-10T00:00:00"/>
        <d v="2026-05-12T00:00:00"/>
        <d v="2026-05-29T00:00:00"/>
        <d v="2026-05-17T00:00:00"/>
        <d v="2026-05-18T00:00:00"/>
        <d v="2026-05-21T00:00:00"/>
        <d v="2026-05-24T00:00:00"/>
        <d v="2026-05-25T00:00:00"/>
        <d v="2026-05-26T00:00:00"/>
        <d v="2026-05-27T00:00:00"/>
        <d v="2026-05-28T00:00:00"/>
        <d v="2026-06-14T00:00:00"/>
        <d v="2026-06-10T00:00:00"/>
        <d v="2026-06-12T00:00:00"/>
        <d v="2026-06-22T00:00:00"/>
        <d v="2026-06-03T00:00:00"/>
        <d v="2026-06-04T00:00:00"/>
        <d v="2026-06-06T00:00:00"/>
        <d v="2026-06-11T00:00:00"/>
        <d v="2026-06-30T00:00:00"/>
        <d v="2026-06-17T00:00:00"/>
        <d v="2026-06-18T00:00:00"/>
        <d v="2026-06-21T00:00:00"/>
        <d v="2026-06-24T00:00:00"/>
        <d v="2026-06-25T00:00:00"/>
        <d v="2026-06-26T00:00:00"/>
        <d v="2026-06-27T00:00:00"/>
        <d v="2026-06-28T00:00:00"/>
        <d v="2026-07-08T00:00:00"/>
        <d v="2026-07-13T00:00:00"/>
        <d v="2026-07-21T00:00:00"/>
        <d v="2026-07-03T00:00:00"/>
        <d v="2026-07-04T00:00:00"/>
        <d v="2026-07-06T00:00:00"/>
        <d v="2026-07-10T00:00:00"/>
        <d v="2026-07-12T00:00:00"/>
        <d v="2026-08-03T00:00:00"/>
        <d v="2026-07-17T00:00:00"/>
        <d v="2026-07-18T00:00:00"/>
        <d v="2026-07-24T00:00:00"/>
        <d v="2026-07-25T00:00:00"/>
        <d v="2026-07-26T00:00:00"/>
        <d v="2026-07-27T00:00:00"/>
        <d v="2026-07-28T00:00:00"/>
        <d v="2026-08-05T00:00:00"/>
        <d v="2026-08-09T00:00:00"/>
        <d v="2026-08-21T00:00:00"/>
        <d v="2026-08-30T00:00:00"/>
        <d v="2026-08-04T00:00:00"/>
        <d v="2026-08-06T00:00:00"/>
        <d v="2026-08-10T00:00:00"/>
        <d v="2026-08-12T00:00:00"/>
        <d v="2026-09-01T00:00:00"/>
        <d v="2026-08-17T00:00:00"/>
        <d v="2026-08-18T00:00:00"/>
        <d v="2026-08-24T00:00:00"/>
        <d v="2026-08-25T00:00:00"/>
        <d v="2026-08-26T00:00:00"/>
        <d v="2026-08-27T00:00:00"/>
        <d v="2026-08-28T00:00:00"/>
        <d v="2026-09-14T00:00:00"/>
        <d v="2026-09-10T00:00:00"/>
        <d v="2026-11-12T00:00:00"/>
        <d v="2026-09-11T00:00:00"/>
        <d v="2026-09-03T00:00:00"/>
        <d v="2026-09-04T00:00:00"/>
        <d v="2026-09-06T00:00:00"/>
        <d v="2026-09-12T00:00:00"/>
        <d v="2026-09-30T00:00:00"/>
        <d v="2026-09-17T00:00:00"/>
        <d v="2026-09-18T00:00:00"/>
        <d v="2026-09-21T00:00:00"/>
        <d v="2026-09-24T00:00:00"/>
        <d v="2026-09-25T00:00:00"/>
        <d v="2026-09-26T00:00:00"/>
        <d v="2026-09-27T00:00:00"/>
        <d v="2026-09-28T00:00:00"/>
        <d v="2026-10-08T00:00:00"/>
        <d v="2026-10-13T00:00:00"/>
        <d v="2026-10-21T00:00:00"/>
        <d v="2026-10-03T00:00:00"/>
        <d v="2026-10-04T00:00:00"/>
        <d v="2026-10-06T00:00:00"/>
        <d v="2026-10-10T00:00:00"/>
        <d v="2026-10-12T00:00:00"/>
        <d v="2026-10-30T00:00:00"/>
        <d v="2026-10-17T00:00:00"/>
        <d v="2026-10-18T00:00:00"/>
        <d v="2026-10-24T00:00:00"/>
        <d v="2026-10-25T00:00:00"/>
        <d v="2026-10-26T00:00:00"/>
        <d v="2026-10-27T00:00:00"/>
        <d v="2026-10-28T00:00:00"/>
        <d v="2026-11-05T00:00:00"/>
        <d v="2026-11-09T00:00:00"/>
        <d v="2026-11-30T00:00:00"/>
        <d v="2026-11-03T00:00:00"/>
        <d v="2026-11-04T00:00:00"/>
        <d v="2026-11-06T00:00:00"/>
        <d v="2026-11-10T00:00:00"/>
        <d v="2026-11-15T00:00:00"/>
        <d v="2026-11-17T00:00:00"/>
        <d v="2026-11-18T00:00:00"/>
        <d v="2026-11-21T00:00:00"/>
        <d v="2026-11-24T00:00:00"/>
        <d v="2026-11-25T00:00:00"/>
        <d v="2026-11-26T00:00:00"/>
        <d v="2026-11-27T00:00:00"/>
        <d v="2026-11-28T00:00:00"/>
        <d v="2026-12-14T00:00:00"/>
        <d v="2026-12-10T00:00:00"/>
        <d v="2026-12-12T00:00:00"/>
        <d v="2026-12-11T00:00:00"/>
        <d v="2026-12-03T00:00:00"/>
        <d v="2026-12-04T00:00:00"/>
        <d v="2026-12-06T00:00:00"/>
        <d v="2026-12-15T00:00:00"/>
        <d v="2026-12-17T00:00:00"/>
        <d v="2026-12-18T00:00:00"/>
        <d v="2026-12-21T00:00:00"/>
        <d v="2026-12-24T00:00:00"/>
        <d v="2026-12-25T00:00:00"/>
        <d v="2026-12-26T00:00:00"/>
        <d v="2026-12-27T00:00:00"/>
        <d v="2026-12-28T00:00:00"/>
        <d v="2027-01-08T00:00:00"/>
        <d v="2027-01-13T00:00:00"/>
        <d v="2027-01-21T00:00:00"/>
        <d v="2027-01-03T00:00:00"/>
        <d v="2027-01-04T00:00:00"/>
        <d v="2027-01-06T00:00:00"/>
        <d v="2027-01-10T00:00:00"/>
        <d v="2027-01-12T00:00:00"/>
        <d v="2027-01-15T00:00:00"/>
        <d v="2027-01-17T00:00:00"/>
        <d v="2027-01-18T00:00:00"/>
        <d v="2027-01-24T00:00:00"/>
        <d v="2027-01-25T00:00:00"/>
        <d v="2027-01-26T00:00:00"/>
        <d v="2027-01-27T00:00:00"/>
        <d v="2027-01-28T00:00:00"/>
        <d v="2027-02-05T00:00:00"/>
        <d v="2027-02-09T00:00:00"/>
        <d v="2027-02-28T00:00:00"/>
        <d v="2027-02-03T00:00:00"/>
        <d v="2027-02-04T00:00:00"/>
        <d v="2027-02-06T00:00:00"/>
        <d v="2027-02-10T00:00:00"/>
        <d v="2027-02-12T00:00:00"/>
        <d v="2027-02-15T00:00:00"/>
        <d v="2027-02-17T00:00:00"/>
        <d v="2027-02-18T00:00:00"/>
        <d v="2027-02-21T00:00:00"/>
        <d v="2027-02-24T00:00:00"/>
        <d v="2027-02-25T00:00:00"/>
        <d v="2027-02-26T00:00:00"/>
        <d v="2027-02-27T00:00:00"/>
        <d v="2027-03-14T00:00:00"/>
        <d v="2027-03-10T00:00:00"/>
        <d v="2027-03-11T00:00:00"/>
        <d v="2027-03-12T00:00:00"/>
        <d v="2027-03-03T00:00:00"/>
        <d v="2027-03-04T00:00:00"/>
        <d v="2027-03-06T00:00:00"/>
        <d v="2027-03-15T00:00:00"/>
        <d v="2027-03-17T00:00:00"/>
        <d v="2027-03-18T00:00:00"/>
        <d v="2027-03-21T00:00:00"/>
        <d v="2027-03-24T00:00:00"/>
        <d v="2027-03-25T00:00:00"/>
        <d v="2027-03-26T00:00:00"/>
        <d v="2027-03-27T00:00:00"/>
        <d v="2027-03-28T00:00:00"/>
        <d v="2027-04-08T00:00:00"/>
        <d v="2027-04-13T00:00:00"/>
        <d v="2027-04-21T00:00:00"/>
        <d v="2027-05-05T00:00:00"/>
        <d v="2027-05-09T00:00:00"/>
        <d v="2027-05-28T00:00:00"/>
        <d v="2027-05-30T00:00:00"/>
        <d v="2027-06-10T00:00:00"/>
        <d v="2027-06-11T00:00:00"/>
        <d v="2027-06-12T00:00:00"/>
        <d v="2027-07-08T00:00:00"/>
        <d v="2027-07-13T00:00:00"/>
        <d v="2027-07-21T00:00:00"/>
        <d v="2027-08-05T00:00:00"/>
        <d v="2027-08-09T00:00:00"/>
        <d v="2027-08-30T00:00:00"/>
        <d v="2027-09-10T00:00:00"/>
        <d v="2027-09-11T00:00:00"/>
        <d v="2027-09-12T00:00:00"/>
        <d v="2027-10-08T00:00:00"/>
        <d v="2027-10-13T00:00:00"/>
        <d v="2027-10-21T00:00:00"/>
        <d v="2027-11-05T00:00:00"/>
        <d v="2027-11-09T00:00:00"/>
        <d v="2027-12-10T00:00:00"/>
        <d v="2027-12-11T00:00:00"/>
        <d v="2027-12-12T00:00:00"/>
        <d v="2028-01-08T00:00:00"/>
        <d v="2028-01-13T00:00:00"/>
        <d v="2028-01-21T00:00:00"/>
        <d v="2028-02-05T00:00:00"/>
        <d v="2028-02-09T00:00:00"/>
        <d v="2028-03-11T00:00:00"/>
        <d v="2028-03-12T00:00:00"/>
        <d v="2028-04-08T00:00:00"/>
        <d v="2028-04-13T00:00:00"/>
        <d v="2028-04-21T00:00:00"/>
        <d v="2028-05-09T00:00:00"/>
        <d v="2028-06-11T00:00:00"/>
        <d v="2028-06-12T00:00:00"/>
        <d v="2028-07-13T00:00:00"/>
        <d v="2028-07-21T00:00:00"/>
        <d v="2028-09-11T00:00:00"/>
        <d v="2028-09-12T00:00:00"/>
        <d v="2028-10-13T00:00:00"/>
        <d v="2028-10-21T00:00:00"/>
        <d v="2028-12-11T00:00:00"/>
        <d v="2028-12-12T00:00:00"/>
        <d v="2029-01-13T00:00:00"/>
        <d v="2029-01-21T00:00:00"/>
        <d v="2029-03-11T00:00:00"/>
        <d v="2029-04-13T00:00:00"/>
        <d v="2029-06-11T00:00:00"/>
        <d v="2029-07-13T00:00:00"/>
        <d v="2029-09-11T00:00:00"/>
        <d v="2029-10-13T00:00:00"/>
        <d v="2029-12-11T00:00:00"/>
        <d v="2030-01-13T00:00:00"/>
        <d v="2030-03-11T00:00:00"/>
        <d v="2030-04-13T00:00:00"/>
        <d v="2030-06-11T00:00:00"/>
        <d v="2030-07-13T00:00:00"/>
        <d v="2030-09-11T00:00:00"/>
        <d v="2030-10-13T00:00:00"/>
        <d v="2030-12-11T00:00:00"/>
        <d v="2031-01-13T00:00:00"/>
        <d v="2031-03-11T00:00:00"/>
        <d v="2031-06-11T00:00:00"/>
        <d v="2031-09-11T00:00:00"/>
        <d v="2031-12-11T00:00:00"/>
        <d v="2032-03-11T00:00:00"/>
        <d v="2032-06-11T00:00:00"/>
        <d v="2032-09-11T00:00:00"/>
        <d v="2032-12-11T00:00:00"/>
        <d v="2033-03-11T00:00:00"/>
        <d v="2034-12-31T00:00:00"/>
        <d v="2027-04-09T00:00:00"/>
        <d v="2027-04-16T00:00:00"/>
        <d v="2027-04-25T00:00:00"/>
        <d v="2027-04-03T00:00:00"/>
        <d v="2027-04-04T00:00:00"/>
        <d v="2027-04-06T00:00:00"/>
        <d v="2027-04-10T00:00:00"/>
        <d v="2027-04-12T00:00:00"/>
        <d v="2027-04-17T00:00:00"/>
        <d v="2027-04-18T00:00:00"/>
        <d v="2027-04-24T00:00:00"/>
        <d v="2027-04-26T00:00:00"/>
        <d v="2027-04-27T00:00:00"/>
        <d v="2027-04-28T00:00:00"/>
        <d v="2027-04-15T00:00:00"/>
        <d v="2026-05-08T00:00:00"/>
        <d v="2026-06-08T00:00:00"/>
        <d v="2026-08-08T00:00:00"/>
        <d v="2026-09-08T00:00:00"/>
        <d v="2026-11-08T00:00:00"/>
        <d v="2026-12-08T00:00:00"/>
        <d v="2027-02-08T00:00:00"/>
        <d v="2027-03-08T00:00:00"/>
        <d v="2026-06-07T00:00:00"/>
        <d v="2026-07-07T00:00:00"/>
        <d v="2026-08-07T00:00:00"/>
        <d v="2026-09-07T00:00:00"/>
        <d v="2026-10-07T00:00:00"/>
        <d v="2026-11-07T00:00:00"/>
        <d v="2026-12-07T00:00:00"/>
        <d v="2027-01-07T00:00:00"/>
        <d v="2027-02-07T00:00:00"/>
        <d v="2027-03-07T00:00:00"/>
        <d v="2027-04-07T00:00:00"/>
        <d v="2027-05-25T00:00:00"/>
        <d v="2027-05-03T00:00:00"/>
        <d v="2027-05-04T00:00:00"/>
        <d v="2027-05-06T00:00:00"/>
        <d v="2027-05-10T00:00:00"/>
        <d v="2027-05-12T00:00:00"/>
        <d v="2027-05-17T00:00:00"/>
        <d v="2027-05-18T00:00:00"/>
        <d v="2027-05-21T00:00:00"/>
        <d v="2027-05-24T00:00:00"/>
        <d v="2027-05-26T00:00:00"/>
        <d v="2027-05-27T00:00:00"/>
        <d v="2027-05-08T00:00:00"/>
        <d v="2027-05-07T00:00:00"/>
        <d v="2027-05-15T00:00:00"/>
        <d v="2027-06-25T00:00:00"/>
        <d v="2027-06-03T00:00:00"/>
        <d v="2027-06-04T00:00:00"/>
        <d v="2027-06-06T00:00:00"/>
        <d v="2027-06-17T00:00:00"/>
        <d v="2027-06-18T00:00:00"/>
        <d v="2027-06-21T00:00:00"/>
        <d v="2027-06-24T00:00:00"/>
        <d v="2027-06-26T00:00:00"/>
        <d v="2027-06-27T00:00:00"/>
        <d v="2027-06-28T00:00:00"/>
        <d v="2027-06-08T00:00:00"/>
        <d v="2027-06-07T00:00:00"/>
        <d v="2027-06-15T00:00:00"/>
        <d v="2026-08-02T00:00:00"/>
        <d v="2026-09-02T00:00:00"/>
        <d v="2026-10-02T00:00:00"/>
        <d v="2026-11-02T00:00:00"/>
        <d v="2026-12-02T00:00:00"/>
        <d v="2027-01-02T00:00:00"/>
        <d v="2027-02-02T00:00:00"/>
        <d v="2027-03-02T00:00:00"/>
        <d v="2027-04-02T00:00:00"/>
        <d v="2027-05-02T00:00:00"/>
        <d v="2027-06-02T00:00:00"/>
        <d v="2026-07-23T00:00:00"/>
        <d v="2027-07-25T00:00:00"/>
        <d v="2027-07-03T00:00:00"/>
        <d v="2027-07-04T00:00:00"/>
        <d v="2027-07-06T00:00:00"/>
        <d v="2027-07-10T00:00:00"/>
        <d v="2027-07-12T00:00:00"/>
        <d v="2027-07-17T00:00:00"/>
        <d v="2027-07-18T00:00:00"/>
        <d v="2027-07-24T00:00:00"/>
        <d v="2027-07-26T00:00:00"/>
        <d v="2027-07-27T00:00:00"/>
        <d v="2027-07-28T00:00:00"/>
        <d v="2027-07-07T00:00:00"/>
        <d v="2027-07-15T00:00:00"/>
        <d v="2027-07-02T00:00:00"/>
        <d v="2027-08-25T00:00:00"/>
        <d v="2027-08-03T00:00:00"/>
        <d v="2027-08-04T00:00:00"/>
        <d v="2027-08-06T00:00:00"/>
        <d v="2027-08-10T00:00:00"/>
        <d v="2027-08-12T00:00:00"/>
        <d v="2027-08-17T00:00:00"/>
        <d v="2027-08-18T00:00:00"/>
        <d v="2027-08-21T00:00:00"/>
        <d v="2027-08-24T00:00:00"/>
        <d v="2027-08-26T00:00:00"/>
        <d v="2027-08-27T00:00:00"/>
        <d v="2027-08-28T00:00:00"/>
        <d v="2027-08-08T00:00:00"/>
        <d v="2027-08-07T00:00:00"/>
        <d v="2027-08-15T00:00:00"/>
        <d v="2027-08-02T00:00:00"/>
        <d v="2026-09-16T00:00:00"/>
        <d v="2027-09-25T00:00:00"/>
        <d v="2027-09-03T00:00:00"/>
        <d v="2027-09-04T00:00:00"/>
        <d v="2027-09-06T00:00:00"/>
        <d v="2027-09-17T00:00:00"/>
        <d v="2027-09-18T00:00:00"/>
        <d v="2027-09-21T00:00:00"/>
        <d v="2027-09-24T00:00:00"/>
        <d v="2027-09-26T00:00:00"/>
        <d v="2027-09-27T00:00:00"/>
        <d v="2027-09-28T00:00:00"/>
        <d v="2027-09-08T00:00:00"/>
        <d v="2027-09-07T00:00:00"/>
        <d v="2027-09-15T00:00:00"/>
        <d v="2027-09-02T00:00:00"/>
        <d v="2026-10-15T00:00:00"/>
        <d v="2026-09-15T00:00:00" u="1"/>
        <d v="2026-08-31T00:00:00" u="1"/>
        <d v="2026-08-15T00:00:00" u="1"/>
        <d v="2026-07-31T00:00:00" u="1"/>
        <d v="2026-07-15T00:00:00" u="1"/>
        <d v="2026-06-15T00:00:00" u="1"/>
      </sharedItems>
      <fieldGroup par="24"/>
    </cacheField>
    <cacheField name="Título" numFmtId="170">
      <sharedItems containsNonDate="0" containsBlank="1" count="8">
        <s v="Bonos"/>
        <s v="Obligaciones"/>
        <s v="Acciones Sin Interés"/>
        <s v="Titularizaciones"/>
        <s v="Papel Comercial"/>
        <s v="Acciones Pago Interés"/>
        <s v="Acciones" u="1"/>
        <m u="1"/>
      </sharedItems>
    </cacheField>
    <cacheField name="Titular" numFmtId="0">
      <sharedItems containsBlank="1" count="5">
        <s v="Jhon"/>
        <s v="Cristian"/>
        <s v="Isabel"/>
        <s v="Argentina"/>
        <m u="1"/>
      </sharedItems>
    </cacheField>
    <cacheField name="Tipo Inversión" numFmtId="0">
      <sharedItems containsBlank="1" count="90">
        <s v="BONOS DEL ESTADO 3/7/2029"/>
        <s v="BONOS DEL ESTADO 04/12/2031"/>
        <s v="BONOS DEL ESTADO 04/12/2030"/>
        <s v="BONOS DEL ESTADO 06/09/2032"/>
        <s v="BONOS DEL ESTADO 05/09/2032"/>
        <s v="BONOS DEL ESTADO 06/08/2033"/>
        <s v="BONOS DEL ESTADO 2034-08-06"/>
        <s v="BONOS DEL ESTADO 2031-11-06"/>
        <s v="BONOS DEL ESTADO 06/11/2032"/>
        <s v="EMPAGRAM 2028-04-08"/>
        <s v="BONOS DEL ESTADO 08/5/2034"/>
        <s v="BONOS DEL ESTADO 10/09/2032"/>
        <s v="BONOS DEL ESTADO 11/7/2033"/>
        <s v="BONOS DEL ESTADO 12/06/2028"/>
        <s v="TELCONET 2029-01-13"/>
        <s v="BONOS DEL ESTADO 15/07/2027"/>
        <s v="INTERES BRIKAPITAL 01/02/2030"/>
        <s v="BONOS DEL ESTADO 17/5/2028"/>
        <s v="BONOS DEL ESTADO 17/5/2030"/>
        <s v="BONOS DEL ESTADO 2032-11-18"/>
        <s v="BONOS DEL ESTADO 18/11/2032"/>
        <s v="BONOS DEL ESTADO 18/11/2033"/>
        <s v="BONOS DEL ESTADO 21/04/2029"/>
        <s v="TELCONET 2029-01-21"/>
        <s v="BONOS DEL ESTADO 24/05/2031"/>
        <s v="BONOS DEL ESTADO 2033-07-25"/>
        <s v="BONOS DEL ESTADO 26/04/2028"/>
        <s v="BONOS DEL ESTADO 27/07/2029"/>
        <s v="BONOS DEL ESTADO 2033-06-27"/>
        <s v="BONOS DEL ESTADO 2032-06-27"/>
        <s v="BONOS DEL ESTADO 28/04/2029"/>
        <s v="TELCONET 2028-02-09"/>
        <s v="TELCONET 2028-02-05"/>
        <s v="TELCONET 2028-05-09"/>
        <s v="AGRO SILVIA MARIA AGROSYLMA 30/8/2027"/>
        <s v="OBLIGACION DUPOCSA 14/03/2027"/>
        <s v="EMPAGRAN 2027-12-10"/>
        <s v="NUEVO TRANSPORTE 12/12/2028"/>
        <s v="OBLIGACION FUROIANI 22/06/2026"/>
        <s v="BLUE ENERGY 2033-03-11"/>
        <s v="TELCONET 2028-02-10"/>
        <s v="EMPAGRAN 2026-08-21"/>
        <s v="TELCONET 2028-02-13"/>
        <s v="TELCONET 2028-02-14"/>
        <s v="Acciones FAVORITA 31/12/2034"/>
        <s v="Acciones BANCO AUSTRO 31/12/2034"/>
        <s v="Acciones BRIKAPÌTAL 31/12/2034"/>
        <s v="Acciones PRODUBANCO 31/12/2034"/>
        <s v="Acciones Banco GUAYAQUIL 31/12/2034"/>
        <s v="Acciones Banco PICHINCHA 31/12/2034"/>
        <s v="BONOS DEL ESTADO 12/06/2029"/>
        <s v="Acciones CRIDESA 31/12/2034"/>
        <s v="EMPAGRAN 2027-04-09"/>
        <s v="EMPAGRAN 2027-04-16"/>
        <s v="Acciones BANCO BOLIVARIANO 31/12/2034"/>
        <s v="BONOS DEL ESTADO 25/07/2033"/>
        <s v="BONOS DEL ESTADO 25/07/2034"/>
        <s v="BONOS DEL ESTADO 25/07/2035"/>
        <s v="BONOS DEL ESTADO 25/07/2036"/>
        <s v="BONOS DEL ESTADO 25/07/2037"/>
        <s v="BONOS DEL ESTADO 25/07/2038"/>
        <s v="BONOS DEL ESTADO 25/07/2039"/>
        <s v="BONOS DEL ESTADO 25/07/2040"/>
        <s v="BONOS DEL ESTADO 25/07/2041"/>
        <s v="BONOS DEL ESTADO 25/07/2042"/>
        <s v="BONOS DEL ESTADO 25/07/2044"/>
        <s v="BONOS DEL ESTADO 2033-05-08"/>
        <s v="BONOS DEL ESTADO 2033-11-18"/>
        <s v="BONOS DEL ESTADO 2030-11-24"/>
        <s v="BONOS DEL ESTADO 2035-05-07"/>
        <s v="BONOS DEL ESTADO 2031-05-07"/>
        <s v="BONOS DEL ESTADO 2029-04-26"/>
        <s v="BONOS DEL ESTADO 2028-12-08"/>
        <s v="BONOS DEL ESTADO 17/5/2032"/>
        <s v="BONOS DEL ESTADO 7/5/2030"/>
        <s v="BONOS DEL ESTADO 2035-07-02"/>
        <s v="BONOS DEL ESTADO 2034-07-02"/>
        <s v="BONOS DEL ESTADO 2033-07-02"/>
        <s v="Acciones BOLSA VALORES QUITO 31/12/2034"/>
        <s v="BONOS DEL ESTADO 2028-07-15"/>
        <s v="Papel Comercial EMPAGRAN 2027-04-09" u="1"/>
        <s v="Papel Comercial EMPAGRAN 2027-04-16" u="1"/>
        <m u="1"/>
        <s v="EMPAGRAN 2028-08-21" u="1"/>
        <s v="BRIKAPITAL 01/02/2030" u="1"/>
        <s v="DUPOCSA 14/03/2027" u="1"/>
        <s v="FUROIANI 22/06/2026" u="1"/>
        <s v="Nota Crédito SRI" u="1"/>
        <s v="Nota Credito 31/12/2034" u="1"/>
        <s v="Acciones Jhon Banco PICHINCHA 31/12/2034" u="1"/>
      </sharedItems>
    </cacheField>
    <cacheField name="TASA" numFmtId="0">
      <sharedItems containsSemiMixedTypes="0" containsString="0" containsNumber="1" minValue="1" maxValue="10"/>
    </cacheField>
    <cacheField name="Rendimiento" numFmtId="0">
      <sharedItems containsSemiMixedTypes="0" containsString="0" containsNumber="1" minValue="1" maxValue="13.75"/>
    </cacheField>
    <cacheField name="INTERES" numFmtId="44">
      <sharedItems containsString="0" containsBlank="1" containsNumber="1" minValue="0" maxValue="7843.71"/>
    </cacheField>
    <cacheField name="CAPITAL" numFmtId="0">
      <sharedItems containsString="0" containsBlank="1" containsNumber="1" minValue="0" maxValue="20900.48"/>
    </cacheField>
    <cacheField name="Retención" numFmtId="0">
      <sharedItems containsNonDate="0" containsString="0" containsBlank="1"/>
    </cacheField>
    <cacheField name="Interés total" numFmtId="44">
      <sharedItems containsSemiMixedTypes="0" containsString="0" containsNumber="1" minValue="0" maxValue="7843.71"/>
    </cacheField>
    <cacheField name="Retención año" numFmtId="0">
      <sharedItems containsNonDate="0" containsString="0" containsBlank="1"/>
    </cacheField>
    <cacheField name="Interes año" numFmtId="4">
      <sharedItems containsNonDate="0" containsString="0" containsBlank="1"/>
    </cacheField>
    <cacheField name="Mensual" numFmtId="0">
      <sharedItems containsNonDate="0" containsString="0" containsBlank="1"/>
    </cacheField>
    <cacheField name="Retención año2" numFmtId="0">
      <sharedItems containsNonDate="0" containsString="0" containsBlank="1"/>
    </cacheField>
    <cacheField name="Interes año3" numFmtId="0">
      <sharedItems containsNonDate="0" containsString="0" containsBlank="1"/>
    </cacheField>
    <cacheField name="Operación Compra No." numFmtId="1">
      <sharedItems containsBlank="1" containsMixedTypes="1" containsNumber="1" containsInteger="1" minValue="366433" maxValue="3753242"/>
    </cacheField>
    <cacheField name="CAPITAL + INTERES al Corte" numFmtId="0">
      <sharedItems containsSemiMixedTypes="0" containsString="0" containsNumber="1" minValue="2.5299999999999998" maxValue="20900.48"/>
    </cacheField>
    <cacheField name="VIGENTE" numFmtId="0">
      <sharedItems count="2">
        <s v="NO"/>
        <s v="SI"/>
      </sharedItems>
    </cacheField>
    <cacheField name="INTERES  al Corte" numFmtId="0">
      <sharedItems containsSemiMixedTypes="0" containsString="0" containsNumber="1" minValue="0" maxValue="7843.71"/>
    </cacheField>
    <cacheField name="SEMANA" numFmtId="0">
      <sharedItems count="3">
        <b v="0"/>
        <b v="1"/>
        <e v="#NAME?" u="1"/>
      </sharedItems>
    </cacheField>
    <cacheField name="Día Semana" numFmtId="0">
      <sharedItems count="7">
        <s v="viernes"/>
        <s v="sábado"/>
        <s v="domingo"/>
        <s v="lunes"/>
        <s v="miércoles"/>
        <s v="martes"/>
        <s v="jueves"/>
      </sharedItems>
    </cacheField>
    <cacheField name="Meses (VENCIMIENTO)" numFmtId="0" databaseField="0">
      <fieldGroup base="1">
        <rangePr groupBy="months" startDate="2026-04-03T00:00:00" endDate="2035-01-01T00:00:00"/>
        <groupItems count="14">
          <s v="&lt;3/4/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/1/2035"/>
        </groupItems>
      </fieldGroup>
    </cacheField>
    <cacheField name="Trimestres (VENCIMIENTO)" numFmtId="0" databaseField="0">
      <fieldGroup base="1">
        <rangePr groupBy="quarters" startDate="2026-04-03T00:00:00" endDate="2035-01-01T00:00:00"/>
        <groupItems count="6">
          <s v="&lt;3/4/2026"/>
          <s v="Trim.1"/>
          <s v="Trim.2"/>
          <s v="Trim.3"/>
          <s v="Trim.4"/>
          <s v="&gt;1/1/2035"/>
        </groupItems>
      </fieldGroup>
    </cacheField>
    <cacheField name="Años (VENCIMIENTO)" numFmtId="0" databaseField="0">
      <fieldGroup base="1">
        <rangePr groupBy="years" startDate="2026-04-03T00:00:00" endDate="2035-01-01T00:00:00"/>
        <groupItems count="12">
          <s v="&lt;3/4/2026"/>
          <s v="2026"/>
          <s v="2027"/>
          <s v="2028"/>
          <s v="2029"/>
          <s v="2030"/>
          <s v="2031"/>
          <s v="2032"/>
          <s v="2033"/>
          <s v="2034"/>
          <s v="2035"/>
          <s v="&gt;1/1/203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2">
  <r>
    <x v="0"/>
    <x v="0"/>
    <x v="0"/>
    <n v="27564.55"/>
    <n v="2820.15"/>
    <n v="27564.55"/>
    <n v="0"/>
  </r>
  <r>
    <x v="0"/>
    <x v="0"/>
    <x v="0"/>
    <n v="17028.349999999999"/>
    <n v="3383.85"/>
    <n v="17028.349999999999"/>
    <n v="0"/>
  </r>
  <r>
    <x v="0"/>
    <x v="0"/>
    <x v="0"/>
    <n v="19909.09"/>
    <n v="4259.83"/>
    <n v="19909.09"/>
    <n v="0"/>
  </r>
  <r>
    <x v="1"/>
    <x v="0"/>
    <x v="0"/>
    <n v="9818.2199999999993"/>
    <n v="1166.99"/>
    <n v="9818.2199999999993"/>
    <n v="0"/>
  </r>
  <r>
    <x v="1"/>
    <x v="0"/>
    <x v="0"/>
    <n v="2154.54"/>
    <n v="253.53"/>
    <n v="2154.54"/>
    <n v="0"/>
  </r>
  <r>
    <x v="0"/>
    <x v="1"/>
    <x v="0"/>
    <n v="5004.16"/>
    <n v="1156.29"/>
    <n v="5004.16"/>
    <n v="0"/>
  </r>
  <r>
    <x v="0"/>
    <x v="1"/>
    <x v="0"/>
    <n v="7921.83"/>
    <n v="1789.87"/>
    <n v="7921.83"/>
    <n v="0"/>
  </r>
  <r>
    <x v="0"/>
    <x v="1"/>
    <x v="0"/>
    <n v="6685.23"/>
    <n v="1446.65"/>
    <n v="6685.23"/>
    <n v="0"/>
  </r>
  <r>
    <x v="2"/>
    <x v="2"/>
    <x v="0"/>
    <n v="21367.09"/>
    <n v="3625.5"/>
    <n v="21367.09"/>
    <n v="0"/>
  </r>
  <r>
    <x v="2"/>
    <x v="2"/>
    <x v="0"/>
    <n v="18079.46"/>
    <n v="3523.88"/>
    <n v="18079.46"/>
    <n v="0"/>
  </r>
  <r>
    <x v="2"/>
    <x v="2"/>
    <x v="0"/>
    <n v="24279.18"/>
    <n v="5594.65"/>
    <n v="24279.18"/>
    <n v="0"/>
  </r>
  <r>
    <x v="2"/>
    <x v="2"/>
    <x v="0"/>
    <n v="10791.04"/>
    <n v="345.89"/>
    <n v="10791.04"/>
    <n v="0"/>
  </r>
  <r>
    <x v="2"/>
    <x v="2"/>
    <x v="0"/>
    <n v="31349.81"/>
    <n v="2426.87"/>
    <n v="31349.81"/>
    <n v="0"/>
  </r>
  <r>
    <x v="2"/>
    <x v="2"/>
    <x v="0"/>
    <n v="24480.71"/>
    <n v="1961.78"/>
    <n v="24480.71"/>
    <n v="0"/>
  </r>
  <r>
    <x v="1"/>
    <x v="2"/>
    <x v="0"/>
    <n v="6153.26"/>
    <n v="356.22"/>
    <n v="6153.26"/>
    <n v="0"/>
  </r>
  <r>
    <x v="1"/>
    <x v="2"/>
    <x v="0"/>
    <n v="3922.14"/>
    <n v="271.89999999999998"/>
    <n v="3922.14"/>
    <n v="0"/>
  </r>
  <r>
    <x v="1"/>
    <x v="2"/>
    <x v="1"/>
    <n v="1980"/>
    <n v="0"/>
    <m/>
    <n v="0"/>
  </r>
  <r>
    <x v="1"/>
    <x v="2"/>
    <x v="2"/>
    <n v="3000"/>
    <n v="0"/>
    <m/>
    <n v="0"/>
  </r>
  <r>
    <x v="1"/>
    <x v="2"/>
    <x v="3"/>
    <n v="5000"/>
    <n v="0"/>
    <m/>
    <n v="0"/>
  </r>
  <r>
    <x v="1"/>
    <x v="2"/>
    <x v="4"/>
    <n v="-47609.79"/>
    <n v="0"/>
    <n v="-47609.79"/>
    <n v="0"/>
  </r>
  <r>
    <x v="3"/>
    <x v="0"/>
    <x v="0"/>
    <n v="8824.7800000000007"/>
    <n v="1482.74"/>
    <n v="8824.7800000000007"/>
    <n v="0"/>
  </r>
  <r>
    <x v="3"/>
    <x v="0"/>
    <x v="0"/>
    <n v="11526.79"/>
    <n v="1360.39"/>
    <n v="11526.79"/>
    <n v="0"/>
  </r>
  <r>
    <x v="3"/>
    <x v="2"/>
    <x v="0"/>
    <n v="10677.59"/>
    <n v="1074.93"/>
    <n v="10677.59"/>
    <n v="0"/>
  </r>
  <r>
    <x v="3"/>
    <x v="2"/>
    <x v="0"/>
    <n v="8612.08"/>
    <n v="825.11"/>
    <n v="8612.08"/>
    <n v="0"/>
  </r>
  <r>
    <x v="3"/>
    <x v="2"/>
    <x v="0"/>
    <n v="9041.3799999999992"/>
    <n v="1692.39"/>
    <n v="9041.3799999999992"/>
    <n v="0"/>
  </r>
  <r>
    <x v="3"/>
    <x v="2"/>
    <x v="0"/>
    <n v="7336.26"/>
    <n v="1317.26"/>
    <n v="7336.26"/>
    <n v="0"/>
  </r>
  <r>
    <x v="3"/>
    <x v="2"/>
    <x v="0"/>
    <n v="8879.9"/>
    <n v="1849.4"/>
    <n v="8879.9"/>
    <n v="0"/>
  </r>
  <r>
    <x v="3"/>
    <x v="2"/>
    <x v="0"/>
    <n v="7182.74"/>
    <n v="682.73"/>
    <n v="7182.74"/>
    <n v="0"/>
  </r>
  <r>
    <x v="3"/>
    <x v="2"/>
    <x v="0"/>
    <n v="21152.97"/>
    <n v="1395.64"/>
    <n v="21152.97"/>
    <n v="0"/>
  </r>
  <r>
    <x v="3"/>
    <x v="2"/>
    <x v="4"/>
    <n v="-836.72"/>
    <m/>
    <n v="-836.72"/>
    <n v="0"/>
  </r>
  <r>
    <x v="4"/>
    <x v="2"/>
    <x v="4"/>
    <n v="-38969.998542212197"/>
    <m/>
    <m/>
    <n v="0"/>
  </r>
  <r>
    <x v="4"/>
    <x v="0"/>
    <x v="4"/>
    <n v="-73327.186968822105"/>
    <m/>
    <m/>
    <n v="0"/>
  </r>
  <r>
    <x v="4"/>
    <x v="2"/>
    <x v="5"/>
    <n v="-675"/>
    <m/>
    <m/>
    <n v="0"/>
  </r>
  <r>
    <x v="4"/>
    <x v="2"/>
    <x v="6"/>
    <n v="-21152.97"/>
    <m/>
    <m/>
    <n v="0"/>
  </r>
  <r>
    <x v="5"/>
    <x v="0"/>
    <x v="4"/>
    <n v="-14535.07"/>
    <m/>
    <m/>
    <n v="0"/>
  </r>
  <r>
    <x v="5"/>
    <x v="0"/>
    <x v="7"/>
    <n v="-1436"/>
    <m/>
    <m/>
    <n v="0"/>
  </r>
  <r>
    <x v="6"/>
    <x v="2"/>
    <x v="0"/>
    <n v="22710.05"/>
    <n v="1512.54"/>
    <n v="22710.05"/>
    <n v="0"/>
  </r>
  <r>
    <x v="7"/>
    <x v="2"/>
    <x v="0"/>
    <n v="3322.31"/>
    <n v="68.159999999999854"/>
    <n v="3322.31"/>
    <n v="0"/>
  </r>
  <r>
    <x v="7"/>
    <x v="2"/>
    <x v="8"/>
    <n v="-7466.8"/>
    <m/>
    <m/>
    <n v="0"/>
  </r>
  <r>
    <x v="7"/>
    <x v="2"/>
    <x v="9"/>
    <n v="-551.79"/>
    <m/>
    <m/>
    <n v="0"/>
  </r>
  <r>
    <x v="8"/>
    <x v="2"/>
    <x v="10"/>
    <n v="27800"/>
    <m/>
    <n v="27800"/>
    <n v="0"/>
  </r>
  <r>
    <x v="8"/>
    <x v="2"/>
    <x v="11"/>
    <n v="-36865.46"/>
    <m/>
    <m/>
    <n v="0"/>
  </r>
  <r>
    <x v="8"/>
    <x v="0"/>
    <x v="11"/>
    <n v="-7558"/>
    <m/>
    <m/>
    <n v="0"/>
  </r>
  <r>
    <x v="8"/>
    <x v="1"/>
    <x v="11"/>
    <n v="-6191.55"/>
    <m/>
    <m/>
    <n v="0"/>
  </r>
  <r>
    <x v="8"/>
    <x v="1"/>
    <x v="11"/>
    <n v="-13439.3"/>
    <m/>
    <m/>
    <n v="0"/>
  </r>
  <r>
    <x v="9"/>
    <x v="1"/>
    <x v="12"/>
    <n v="19.63"/>
    <m/>
    <m/>
    <n v="0"/>
  </r>
  <r>
    <x v="9"/>
    <x v="0"/>
    <x v="13"/>
    <n v="29.94"/>
    <m/>
    <m/>
    <n v="0"/>
  </r>
  <r>
    <x v="10"/>
    <x v="3"/>
    <x v="14"/>
    <n v="14000"/>
    <m/>
    <m/>
    <n v="0"/>
  </r>
  <r>
    <x v="10"/>
    <x v="3"/>
    <x v="14"/>
    <n v="9500"/>
    <m/>
    <m/>
    <n v="0"/>
  </r>
  <r>
    <x v="11"/>
    <x v="0"/>
    <x v="0"/>
    <n v="97845.45"/>
    <n v="3780.4599999999919"/>
    <m/>
    <n v="0"/>
  </r>
  <r>
    <x v="11"/>
    <x v="2"/>
    <x v="0"/>
    <n v="70721.77"/>
    <n v="3974.0800000000017"/>
    <n v="70721.77"/>
    <n v="0"/>
  </r>
  <r>
    <x v="11"/>
    <x v="2"/>
    <x v="0"/>
    <n v="20840.650000000001"/>
    <n v="997.04000000000087"/>
    <n v="20840.650000000001"/>
    <n v="0"/>
  </r>
  <r>
    <x v="11"/>
    <x v="2"/>
    <x v="0"/>
    <n v="50225.13"/>
    <n v="2649.5"/>
    <n v="50225.13"/>
    <n v="0"/>
  </r>
  <r>
    <x v="11"/>
    <x v="2"/>
    <x v="9"/>
    <n v="-101.63"/>
    <m/>
    <m/>
    <n v="0"/>
  </r>
  <r>
    <x v="12"/>
    <x v="2"/>
    <x v="9"/>
    <n v="-351.23"/>
    <m/>
    <m/>
    <n v="0"/>
  </r>
  <r>
    <x v="12"/>
    <x v="2"/>
    <x v="9"/>
    <n v="-433.26"/>
    <m/>
    <m/>
    <n v="0"/>
  </r>
  <r>
    <x v="13"/>
    <x v="3"/>
    <x v="14"/>
    <n v="1000"/>
    <m/>
    <m/>
    <n v="0"/>
  </r>
  <r>
    <x v="13"/>
    <x v="2"/>
    <x v="9"/>
    <n v="-676.79"/>
    <m/>
    <m/>
    <n v="0"/>
  </r>
  <r>
    <x v="13"/>
    <x v="2"/>
    <x v="9"/>
    <n v="-306.83999999999997"/>
    <m/>
    <m/>
    <n v="0"/>
  </r>
  <r>
    <x v="13"/>
    <x v="2"/>
    <x v="9"/>
    <n v="-531.79999999999995"/>
    <m/>
    <m/>
    <n v="0"/>
  </r>
  <r>
    <x v="13"/>
    <x v="2"/>
    <x v="9"/>
    <n v="-195.26"/>
    <m/>
    <m/>
    <n v="0"/>
  </r>
  <r>
    <x v="13"/>
    <x v="2"/>
    <x v="9"/>
    <n v="-228.84"/>
    <m/>
    <m/>
    <n v="0"/>
  </r>
  <r>
    <x v="13"/>
    <x v="3"/>
    <x v="11"/>
    <n v="-24500"/>
    <m/>
    <m/>
    <n v="0"/>
  </r>
  <r>
    <x v="14"/>
    <x v="2"/>
    <x v="9"/>
    <n v="-131.61000000000001"/>
    <m/>
    <m/>
    <n v="0"/>
  </r>
  <r>
    <x v="14"/>
    <x v="2"/>
    <x v="9"/>
    <n v="-266.05"/>
    <m/>
    <m/>
    <n v="0"/>
  </r>
  <r>
    <x v="14"/>
    <x v="2"/>
    <x v="9"/>
    <n v="-413.45"/>
    <m/>
    <m/>
    <n v="0"/>
  </r>
  <r>
    <x v="14"/>
    <x v="2"/>
    <x v="9"/>
    <n v="-192.94"/>
    <m/>
    <m/>
    <n v="0"/>
  </r>
  <r>
    <x v="15"/>
    <x v="2"/>
    <x v="9"/>
    <n v="-234.78990764"/>
    <m/>
    <m/>
    <n v="0"/>
  </r>
  <r>
    <x v="15"/>
    <x v="2"/>
    <x v="9"/>
    <n v="-510.54025469999988"/>
    <m/>
    <m/>
    <n v="0"/>
  </r>
  <r>
    <x v="15"/>
    <x v="2"/>
    <x v="9"/>
    <n v="-526.76018067999996"/>
    <m/>
    <m/>
    <n v="0"/>
  </r>
  <r>
    <x v="15"/>
    <x v="2"/>
    <x v="9"/>
    <n v="-49.820000000480007"/>
    <m/>
    <m/>
    <n v="0"/>
  </r>
  <r>
    <x v="15"/>
    <x v="2"/>
    <x v="11"/>
    <n v="-138241.19"/>
    <m/>
    <m/>
    <n v="0"/>
  </r>
  <r>
    <x v="15"/>
    <x v="0"/>
    <x v="11"/>
    <n v="-92156.29"/>
    <m/>
    <m/>
    <n v="0"/>
  </r>
  <r>
    <x v="16"/>
    <x v="2"/>
    <x v="15"/>
    <n v="-3700.56"/>
    <m/>
    <m/>
    <n v="0"/>
  </r>
  <r>
    <x v="16"/>
    <x v="0"/>
    <x v="11"/>
    <n v="-5728.65"/>
    <m/>
    <m/>
    <n v="0"/>
  </r>
  <r>
    <x v="16"/>
    <x v="2"/>
    <x v="9"/>
    <n v="-153.75005909999999"/>
    <m/>
    <m/>
    <n v="0"/>
  </r>
  <r>
    <x v="16"/>
    <x v="2"/>
    <x v="9"/>
    <n v="-501.14016476000012"/>
    <m/>
    <m/>
    <n v="0"/>
  </r>
  <r>
    <x v="16"/>
    <x v="2"/>
    <x v="9"/>
    <n v="-445.04004858000002"/>
    <m/>
    <m/>
    <n v="0"/>
  </r>
  <r>
    <x v="16"/>
    <x v="2"/>
    <x v="9"/>
    <n v="-470.22003575999997"/>
    <m/>
    <m/>
    <n v="0"/>
  </r>
  <r>
    <x v="16"/>
    <x v="2"/>
    <x v="9"/>
    <n v="-431.5901044499999"/>
    <m/>
    <m/>
    <n v="0"/>
  </r>
  <r>
    <x v="16"/>
    <x v="2"/>
    <x v="9"/>
    <n v="-239.58011392"/>
    <m/>
    <m/>
    <n v="0"/>
  </r>
  <r>
    <x v="16"/>
    <x v="2"/>
    <x v="9"/>
    <n v="-2208.9506200000001"/>
    <m/>
    <m/>
    <n v="0"/>
  </r>
  <r>
    <x v="16"/>
    <x v="2"/>
    <x v="9"/>
    <n v="-379.31011199999989"/>
    <m/>
    <m/>
    <n v="0"/>
  </r>
  <r>
    <x v="16"/>
    <x v="2"/>
    <x v="9"/>
    <n v="-785.54030095999997"/>
    <m/>
    <m/>
    <n v="0"/>
  </r>
  <r>
    <x v="16"/>
    <x v="2"/>
    <x v="9"/>
    <n v="-328.63983804999998"/>
    <m/>
    <m/>
    <n v="0"/>
  </r>
  <r>
    <x v="16"/>
    <x v="2"/>
    <x v="9"/>
    <n v="-1264.3399555200001"/>
    <m/>
    <m/>
    <n v="0"/>
  </r>
  <r>
    <x v="16"/>
    <x v="2"/>
    <x v="9"/>
    <n v="-761.40018840000005"/>
    <m/>
    <m/>
    <n v="0"/>
  </r>
  <r>
    <x v="16"/>
    <x v="2"/>
    <x v="9"/>
    <n v="-520.34994000999995"/>
    <m/>
    <m/>
    <n v="0"/>
  </r>
  <r>
    <x v="16"/>
    <x v="2"/>
    <x v="9"/>
    <n v="-898.33018909999998"/>
    <m/>
    <m/>
    <n v="0"/>
  </r>
  <r>
    <x v="16"/>
    <x v="2"/>
    <x v="9"/>
    <n v="-933.12984660000006"/>
    <m/>
    <m/>
    <n v="0"/>
  </r>
  <r>
    <x v="16"/>
    <x v="2"/>
    <x v="9"/>
    <n v="-827.21002848000001"/>
    <m/>
    <m/>
    <n v="0"/>
  </r>
  <r>
    <x v="16"/>
    <x v="2"/>
    <x v="9"/>
    <n v="-602.74003149000009"/>
    <m/>
    <m/>
    <n v="0"/>
  </r>
  <r>
    <x v="16"/>
    <x v="2"/>
    <x v="9"/>
    <n v="-416.95021264000002"/>
    <m/>
    <m/>
    <n v="0"/>
  </r>
  <r>
    <x v="16"/>
    <x v="2"/>
    <x v="9"/>
    <n v="-539.41023270000005"/>
    <m/>
    <m/>
    <n v="0"/>
  </r>
  <r>
    <x v="16"/>
    <x v="2"/>
    <x v="9"/>
    <n v="-873.26970142000005"/>
    <m/>
    <m/>
    <n v="0"/>
  </r>
  <r>
    <x v="16"/>
    <x v="2"/>
    <x v="9"/>
    <n v="-803.19990875000008"/>
    <m/>
    <m/>
    <n v="0"/>
  </r>
  <r>
    <x v="16"/>
    <x v="2"/>
    <x v="9"/>
    <n v="-763.90999998533687"/>
    <m/>
    <m/>
    <n v="0"/>
  </r>
  <r>
    <x v="16"/>
    <x v="2"/>
    <x v="9"/>
    <n v="-884.47000003488006"/>
    <m/>
    <m/>
    <n v="0"/>
  </r>
  <r>
    <x v="16"/>
    <x v="2"/>
    <x v="9"/>
    <n v="-447.85999999026001"/>
    <m/>
    <m/>
    <n v="0"/>
  </r>
  <r>
    <x v="16"/>
    <x v="2"/>
    <x v="9"/>
    <n v="-900.44000004175007"/>
    <m/>
    <m/>
    <n v="0"/>
  </r>
  <r>
    <x v="17"/>
    <x v="0"/>
    <x v="16"/>
    <n v="39.49"/>
    <m/>
    <m/>
    <n v="0"/>
  </r>
  <r>
    <x v="17"/>
    <x v="2"/>
    <x v="9"/>
    <n v="-807.46038764000002"/>
    <m/>
    <m/>
    <n v="0"/>
  </r>
  <r>
    <x v="17"/>
    <x v="2"/>
    <x v="9"/>
    <n v="-2800.688988299999"/>
    <m/>
    <m/>
    <n v="0"/>
  </r>
  <r>
    <x v="17"/>
    <x v="2"/>
    <x v="9"/>
    <n v="-1574.40930093"/>
    <m/>
    <m/>
    <n v="0"/>
  </r>
  <r>
    <x v="17"/>
    <x v="2"/>
    <x v="9"/>
    <n v="-683.72997359999999"/>
    <m/>
    <m/>
    <n v="0"/>
  </r>
  <r>
    <x v="17"/>
    <x v="2"/>
    <x v="9"/>
    <n v="-725.07974918000002"/>
    <m/>
    <m/>
    <n v="0"/>
  </r>
  <r>
    <x v="17"/>
    <x v="2"/>
    <x v="9"/>
    <n v="-992.28999810000005"/>
    <m/>
    <m/>
    <n v="0"/>
  </r>
  <r>
    <x v="17"/>
    <x v="2"/>
    <x v="9"/>
    <n v="-1733.1506348"/>
    <m/>
    <m/>
    <n v="0"/>
  </r>
  <r>
    <x v="17"/>
    <x v="2"/>
    <x v="9"/>
    <n v="-748.45018206000009"/>
    <m/>
    <m/>
    <n v="0"/>
  </r>
  <r>
    <x v="17"/>
    <x v="2"/>
    <x v="9"/>
    <n v="-441.02995143999999"/>
    <m/>
    <m/>
    <n v="0"/>
  </r>
  <r>
    <x v="17"/>
    <x v="2"/>
    <x v="9"/>
    <n v="-427.59020304000001"/>
    <m/>
    <m/>
    <n v="0"/>
  </r>
  <r>
    <x v="17"/>
    <x v="2"/>
    <x v="9"/>
    <n v="-1778.56048818"/>
    <m/>
    <m/>
    <n v="0"/>
  </r>
  <r>
    <x v="17"/>
    <x v="2"/>
    <x v="4"/>
    <n v="-31853.0877"/>
    <m/>
    <m/>
    <n v="0"/>
  </r>
  <r>
    <x v="17"/>
    <x v="2"/>
    <x v="9"/>
    <n v="-432.740000014016"/>
    <m/>
    <m/>
    <n v="0"/>
  </r>
  <r>
    <x v="18"/>
    <x v="2"/>
    <x v="9"/>
    <n v="-300.62014879999998"/>
    <m/>
    <m/>
    <n v="0"/>
  </r>
  <r>
    <x v="18"/>
    <x v="2"/>
    <x v="9"/>
    <n v="-484.08976192"/>
    <m/>
    <m/>
    <n v="0"/>
  </r>
  <r>
    <x v="18"/>
    <x v="2"/>
    <x v="9"/>
    <n v="-415.10979551999998"/>
    <m/>
    <m/>
    <n v="0"/>
  </r>
  <r>
    <x v="18"/>
    <x v="2"/>
    <x v="9"/>
    <n v="-229.6899382"/>
    <m/>
    <m/>
    <n v="0"/>
  </r>
  <r>
    <x v="19"/>
    <x v="3"/>
    <x v="17"/>
    <n v="2026"/>
    <m/>
    <m/>
    <n v="0"/>
  </r>
  <r>
    <x v="19"/>
    <x v="3"/>
    <x v="18"/>
    <n v="2400"/>
    <m/>
    <m/>
    <n v="0"/>
  </r>
  <r>
    <x v="19"/>
    <x v="2"/>
    <x v="19"/>
    <n v="38222.83"/>
    <n v="563.96914551939699"/>
    <m/>
    <n v="0"/>
  </r>
  <r>
    <x v="19"/>
    <x v="2"/>
    <x v="6"/>
    <n v="-38222.83"/>
    <m/>
    <m/>
    <n v="0"/>
  </r>
  <r>
    <x v="19"/>
    <x v="1"/>
    <x v="14"/>
    <n v="12000"/>
    <m/>
    <m/>
    <n v="0"/>
  </r>
  <r>
    <x v="20"/>
    <x v="1"/>
    <x v="14"/>
    <n v="15000"/>
    <m/>
    <m/>
    <n v="0"/>
  </r>
  <r>
    <x v="20"/>
    <x v="1"/>
    <x v="9"/>
    <n v="-321.64011964000002"/>
    <m/>
    <m/>
    <n v="0"/>
  </r>
  <r>
    <x v="20"/>
    <x v="1"/>
    <x v="9"/>
    <n v="-329.03999998427997"/>
    <m/>
    <m/>
    <n v="0"/>
  </r>
  <r>
    <x v="20"/>
    <x v="1"/>
    <x v="9"/>
    <n v="-1129.4401215"/>
    <m/>
    <m/>
    <n v="0"/>
  </r>
  <r>
    <x v="20"/>
    <x v="1"/>
    <x v="9"/>
    <n v="-688.72969155999988"/>
    <m/>
    <m/>
    <n v="0"/>
  </r>
  <r>
    <x v="20"/>
    <x v="1"/>
    <x v="9"/>
    <n v="-630.02971799999989"/>
    <m/>
    <m/>
    <n v="0"/>
  </r>
  <r>
    <x v="20"/>
    <x v="1"/>
    <x v="9"/>
    <n v="-306.69986153999997"/>
    <m/>
    <m/>
    <n v="0"/>
  </r>
  <r>
    <x v="20"/>
    <x v="1"/>
    <x v="9"/>
    <n v="-230.51999964000001"/>
    <m/>
    <m/>
    <n v="0"/>
  </r>
  <r>
    <x v="20"/>
    <x v="1"/>
    <x v="9"/>
    <n v="-1723.8496342200001"/>
    <m/>
    <m/>
    <n v="0"/>
  </r>
  <r>
    <x v="20"/>
    <x v="1"/>
    <x v="9"/>
    <n v="-199.10002373"/>
    <m/>
    <m/>
    <n v="0"/>
  </r>
  <r>
    <x v="20"/>
    <x v="1"/>
    <x v="9"/>
    <n v="-599.50999376000004"/>
    <m/>
    <m/>
    <n v="0"/>
  </r>
  <r>
    <x v="20"/>
    <x v="1"/>
    <x v="9"/>
    <n v="-678.99966558000006"/>
    <m/>
    <m/>
    <n v="0"/>
  </r>
  <r>
    <x v="20"/>
    <x v="1"/>
    <x v="9"/>
    <n v="-706.71027083000013"/>
    <m/>
    <m/>
    <n v="0"/>
  </r>
  <r>
    <x v="20"/>
    <x v="1"/>
    <x v="9"/>
    <n v="-265.67997478000001"/>
    <m/>
    <m/>
    <n v="0"/>
  </r>
  <r>
    <x v="21"/>
    <x v="3"/>
    <x v="14"/>
    <n v="5400"/>
    <m/>
    <m/>
    <n v="0"/>
  </r>
  <r>
    <x v="21"/>
    <x v="3"/>
    <x v="14"/>
    <n v="174"/>
    <m/>
    <m/>
    <n v="0"/>
  </r>
  <r>
    <x v="21"/>
    <x v="1"/>
    <x v="9"/>
    <n v="-127.94002986"/>
    <m/>
    <m/>
    <n v="0"/>
  </r>
  <r>
    <x v="21"/>
    <x v="1"/>
    <x v="9"/>
    <n v="-817.94008589999999"/>
    <m/>
    <m/>
    <n v="0"/>
  </r>
  <r>
    <x v="21"/>
    <x v="1"/>
    <x v="9"/>
    <n v="-691.34996712999998"/>
    <m/>
    <m/>
    <n v="0"/>
  </r>
  <r>
    <x v="21"/>
    <x v="1"/>
    <x v="9"/>
    <n v="-490.90974893999999"/>
    <m/>
    <m/>
    <n v="0"/>
  </r>
  <r>
    <x v="21"/>
    <x v="3"/>
    <x v="4"/>
    <n v="-10000"/>
    <m/>
    <m/>
    <n v="0"/>
  </r>
  <r>
    <x v="21"/>
    <x v="2"/>
    <x v="4"/>
    <n v="-18093.509999999998"/>
    <m/>
    <m/>
    <n v="0"/>
  </r>
  <r>
    <x v="21"/>
    <x v="2"/>
    <x v="4"/>
    <n v="-31906.5"/>
    <m/>
    <m/>
    <n v="0"/>
  </r>
  <r>
    <x v="21"/>
    <x v="2"/>
    <x v="6"/>
    <n v="-3876.06"/>
    <m/>
    <m/>
    <n v="0"/>
  </r>
  <r>
    <x v="22"/>
    <x v="1"/>
    <x v="9"/>
    <n v="-280.56998807999997"/>
    <m/>
    <m/>
    <n v="0"/>
  </r>
  <r>
    <x v="23"/>
    <x v="1"/>
    <x v="9"/>
    <n v="-286.42010879999998"/>
    <m/>
    <m/>
    <n v="0"/>
  </r>
  <r>
    <x v="24"/>
    <x v="1"/>
    <x v="9"/>
    <n v="-1282.7000278400001"/>
    <m/>
    <m/>
    <n v="0"/>
  </r>
  <r>
    <x v="24"/>
    <x v="2"/>
    <x v="20"/>
    <n v="0.99"/>
    <m/>
    <m/>
    <n v="0"/>
  </r>
  <r>
    <x v="25"/>
    <x v="0"/>
    <x v="0"/>
    <n v="14682.630080000001"/>
    <n v="147.55807999999709"/>
    <m/>
    <n v="0"/>
  </r>
  <r>
    <x v="25"/>
    <x v="1"/>
    <x v="9"/>
    <n v="-5259.9579753600001"/>
    <m/>
    <m/>
    <n v="0"/>
  </r>
  <r>
    <x v="25"/>
    <x v="0"/>
    <x v="4"/>
    <n v="-23524.15"/>
    <m/>
    <m/>
    <n v="0"/>
  </r>
  <r>
    <x v="25"/>
    <x v="0"/>
    <x v="18"/>
    <n v="11700"/>
    <m/>
    <m/>
    <n v="0"/>
  </r>
  <r>
    <x v="26"/>
    <x v="1"/>
    <x v="9"/>
    <n v="-1745.1508713600001"/>
    <m/>
    <m/>
    <n v="0"/>
  </r>
  <r>
    <x v="26"/>
    <x v="1"/>
    <x v="9"/>
    <n v="-900.45020467999996"/>
    <m/>
    <m/>
    <n v="0"/>
  </r>
  <r>
    <x v="26"/>
    <x v="1"/>
    <x v="9"/>
    <n v="-792.31992465999997"/>
    <m/>
    <m/>
    <n v="0"/>
  </r>
  <r>
    <x v="27"/>
    <x v="1"/>
    <x v="9"/>
    <n v="-407.44983252999998"/>
    <m/>
    <m/>
    <n v="0"/>
  </r>
  <r>
    <x v="27"/>
    <x v="1"/>
    <x v="9"/>
    <n v="-599.22028740000007"/>
    <m/>
    <m/>
    <n v="0"/>
  </r>
  <r>
    <x v="27"/>
    <x v="1"/>
    <x v="9"/>
    <n v="-958.12989865999987"/>
    <m/>
    <m/>
    <n v="0"/>
  </r>
  <r>
    <x v="27"/>
    <x v="1"/>
    <x v="9"/>
    <n v="-1055.9194907999999"/>
    <m/>
    <m/>
    <n v="0"/>
  </r>
  <r>
    <x v="27"/>
    <x v="1"/>
    <x v="9"/>
    <n v="-515.53993107999997"/>
    <m/>
    <m/>
    <n v="0"/>
  </r>
  <r>
    <x v="27"/>
    <x v="1"/>
    <x v="9"/>
    <n v="-143.49000351999999"/>
    <m/>
    <m/>
    <n v="0"/>
  </r>
  <r>
    <x v="27"/>
    <x v="1"/>
    <x v="9"/>
    <n v="-958.47048575999997"/>
    <m/>
    <m/>
    <n v="0"/>
  </r>
  <r>
    <x v="27"/>
    <x v="2"/>
    <x v="21"/>
    <n v="24863.273663889999"/>
    <n v="72.018463889995473"/>
    <m/>
    <n v="0"/>
  </r>
  <r>
    <x v="28"/>
    <x v="1"/>
    <x v="9"/>
    <n v="-1716.5992633200001"/>
    <m/>
    <m/>
    <n v="0"/>
  </r>
  <r>
    <x v="28"/>
    <x v="1"/>
    <x v="9"/>
    <n v="-95.600001000000006"/>
    <m/>
    <m/>
    <n v="0"/>
  </r>
  <r>
    <x v="28"/>
    <x v="2"/>
    <x v="4"/>
    <n v="-18094.63"/>
    <m/>
    <m/>
    <n v="0"/>
  </r>
  <r>
    <x v="29"/>
    <x v="2"/>
    <x v="9"/>
    <n v="-3066.9584724900001"/>
    <m/>
    <m/>
    <n v="0"/>
  </r>
  <r>
    <x v="29"/>
    <x v="1"/>
    <x v="9"/>
    <n v="-65.940024890000004"/>
    <m/>
    <m/>
    <n v="0"/>
  </r>
  <r>
    <x v="29"/>
    <x v="0"/>
    <x v="9"/>
    <n v="-1085.8305458699999"/>
    <m/>
    <m/>
    <n v="0"/>
  </r>
  <r>
    <x v="29"/>
    <x v="0"/>
    <x v="9"/>
    <n v="-1195.9001086999999"/>
    <m/>
    <m/>
    <n v="0"/>
  </r>
  <r>
    <x v="29"/>
    <x v="2"/>
    <x v="5"/>
    <n v="-1882.37"/>
    <m/>
    <m/>
    <n v="0"/>
  </r>
  <r>
    <x v="30"/>
    <x v="2"/>
    <x v="14"/>
    <n v="300"/>
    <m/>
    <m/>
    <n v="0"/>
  </r>
  <r>
    <x v="30"/>
    <x v="1"/>
    <x v="19"/>
    <n v="32552.18"/>
    <n v="201.473646605722"/>
    <m/>
    <n v="0"/>
  </r>
  <r>
    <x v="30"/>
    <x v="2"/>
    <x v="5"/>
    <n v="-3489.14"/>
    <m/>
    <m/>
    <n v="0"/>
  </r>
  <r>
    <x v="30"/>
    <x v="0"/>
    <x v="9"/>
    <n v="-396.92008193999999"/>
    <m/>
    <m/>
    <n v="0"/>
  </r>
  <r>
    <x v="30"/>
    <x v="2"/>
    <x v="9"/>
    <n v="-372.809999991528"/>
    <m/>
    <m/>
    <n v="0"/>
  </r>
  <r>
    <x v="30"/>
    <x v="2"/>
    <x v="9"/>
    <n v="-830.87978294000004"/>
    <m/>
    <m/>
    <n v="0"/>
  </r>
  <r>
    <x v="30"/>
    <x v="2"/>
    <x v="4"/>
    <n v="-12069.24"/>
    <m/>
    <m/>
    <n v="0"/>
  </r>
  <r>
    <x v="30"/>
    <x v="2"/>
    <x v="21"/>
    <n v="9917.5851082315003"/>
    <n v="42.555388231501638"/>
    <m/>
    <n v="0"/>
  </r>
  <r>
    <x v="30"/>
    <x v="2"/>
    <x v="21"/>
    <n v="39795.871036299999"/>
    <n v="166.7270362999989"/>
    <m/>
    <n v="0"/>
  </r>
  <r>
    <x v="31"/>
    <x v="1"/>
    <x v="9"/>
    <n v="-261.62003068000001"/>
    <m/>
    <m/>
    <n v="0"/>
  </r>
  <r>
    <x v="31"/>
    <x v="1"/>
    <x v="9"/>
    <n v="-1194.54022833"/>
    <m/>
    <m/>
    <n v="0"/>
  </r>
  <r>
    <x v="31"/>
    <x v="1"/>
    <x v="9"/>
    <n v="-2147.6393011800001"/>
    <m/>
    <m/>
    <n v="0"/>
  </r>
  <r>
    <x v="31"/>
    <x v="1"/>
    <x v="9"/>
    <n v="-162.44001080000001"/>
    <m/>
    <m/>
    <n v="0"/>
  </r>
  <r>
    <x v="31"/>
    <x v="1"/>
    <x v="9"/>
    <n v="-128.1900431"/>
    <m/>
    <m/>
    <n v="0"/>
  </r>
  <r>
    <x v="31"/>
    <x v="1"/>
    <x v="9"/>
    <n v="-275.17990500000002"/>
    <m/>
    <m/>
    <n v="0"/>
  </r>
  <r>
    <x v="31"/>
    <x v="1"/>
    <x v="9"/>
    <n v="-3148.8486250199999"/>
    <m/>
    <m/>
    <n v="0"/>
  </r>
  <r>
    <x v="31"/>
    <x v="2"/>
    <x v="21"/>
    <n v="24851.312849999998"/>
    <n v="106.14408890499909"/>
    <m/>
    <n v="0"/>
  </r>
  <r>
    <x v="31"/>
    <x v="2"/>
    <x v="4"/>
    <n v="-2632.32"/>
    <m/>
    <m/>
    <n v="0"/>
  </r>
  <r>
    <x v="29"/>
    <x v="1"/>
    <x v="20"/>
    <n v="2.0172263342868502"/>
    <m/>
    <m/>
    <n v="0"/>
  </r>
  <r>
    <x v="27"/>
    <x v="2"/>
    <x v="22"/>
    <n v="-4.5"/>
    <n v="-4.5"/>
    <m/>
    <n v="0"/>
  </r>
  <r>
    <x v="30"/>
    <x v="2"/>
    <x v="22"/>
    <n v="-2.13"/>
    <n v="-2.13"/>
    <m/>
    <n v="0"/>
  </r>
  <r>
    <x v="30"/>
    <x v="2"/>
    <x v="22"/>
    <n v="-8.5299999999999994"/>
    <n v="-8.5299999999999994"/>
    <m/>
    <n v="0"/>
  </r>
  <r>
    <x v="31"/>
    <x v="2"/>
    <x v="22"/>
    <n v="-5.5"/>
    <n v="-5.5"/>
    <m/>
    <n v="0"/>
  </r>
  <r>
    <x v="32"/>
    <x v="1"/>
    <x v="9"/>
    <n v="-1416.1499999914529"/>
    <m/>
    <m/>
    <n v="0"/>
  </r>
  <r>
    <x v="32"/>
    <x v="1"/>
    <x v="9"/>
    <n v="-753.46000002164408"/>
    <m/>
    <m/>
    <n v="0"/>
  </r>
  <r>
    <x v="32"/>
    <x v="1"/>
    <x v="9"/>
    <n v="-282.92000000875402"/>
    <m/>
    <m/>
    <n v="0"/>
  </r>
  <r>
    <x v="32"/>
    <x v="1"/>
    <x v="9"/>
    <n v="-395.71999998668599"/>
    <m/>
    <m/>
    <n v="0"/>
  </r>
  <r>
    <x v="32"/>
    <x v="1"/>
    <x v="9"/>
    <n v="-313.640000007624"/>
    <m/>
    <m/>
    <n v="0"/>
  </r>
  <r>
    <x v="32"/>
    <x v="1"/>
    <x v="9"/>
    <n v="-780.22002134999991"/>
    <m/>
    <m/>
    <n v="0"/>
  </r>
  <r>
    <x v="32"/>
    <x v="1"/>
    <x v="9"/>
    <n v="-945.93029167999998"/>
    <m/>
    <m/>
    <n v="0"/>
  </r>
  <r>
    <x v="32"/>
    <x v="1"/>
    <x v="9"/>
    <n v="-620.49970080000003"/>
    <m/>
    <m/>
    <n v="0"/>
  </r>
  <r>
    <x v="32"/>
    <x v="1"/>
    <x v="9"/>
    <n v="-411.31998463999997"/>
    <m/>
    <m/>
    <n v="0"/>
  </r>
  <r>
    <x v="32"/>
    <x v="1"/>
    <x v="9"/>
    <n v="-126.26003396"/>
    <m/>
    <m/>
    <n v="0"/>
  </r>
  <r>
    <x v="32"/>
    <x v="1"/>
    <x v="9"/>
    <n v="-137.87997766999999"/>
    <m/>
    <m/>
    <n v="0"/>
  </r>
  <r>
    <x v="32"/>
    <x v="1"/>
    <x v="9"/>
    <n v="-686.18006559999992"/>
    <m/>
    <m/>
    <n v="0"/>
  </r>
  <r>
    <x v="32"/>
    <x v="1"/>
    <x v="9"/>
    <n v="-1234.51035252"/>
    <m/>
    <m/>
    <n v="0"/>
  </r>
  <r>
    <x v="32"/>
    <x v="1"/>
    <x v="9"/>
    <n v="-996.52968549000002"/>
    <m/>
    <m/>
    <n v="0"/>
  </r>
  <r>
    <x v="32"/>
    <x v="2"/>
    <x v="7"/>
    <n v="-902.69"/>
    <m/>
    <m/>
    <n v="0"/>
  </r>
  <r>
    <x v="32"/>
    <x v="2"/>
    <x v="7"/>
    <n v="-5648.33"/>
    <m/>
    <m/>
    <n v="0"/>
  </r>
  <r>
    <x v="32"/>
    <x v="2"/>
    <x v="23"/>
    <n v="-4210.7700000000004"/>
    <m/>
    <m/>
    <n v="0"/>
  </r>
  <r>
    <x v="32"/>
    <x v="2"/>
    <x v="23"/>
    <n v="-15498.14"/>
    <m/>
    <m/>
    <n v="0"/>
  </r>
  <r>
    <x v="33"/>
    <x v="1"/>
    <x v="9"/>
    <n v="-247.93999999799999"/>
    <m/>
    <m/>
    <n v="0"/>
  </r>
  <r>
    <x v="33"/>
    <x v="1"/>
    <x v="9"/>
    <n v="-535.45999997364595"/>
    <m/>
    <m/>
    <n v="0"/>
  </r>
  <r>
    <x v="33"/>
    <x v="1"/>
    <x v="9"/>
    <n v="-569.33000002415702"/>
    <m/>
    <m/>
    <n v="0"/>
  </r>
  <r>
    <x v="33"/>
    <x v="1"/>
    <x v="9"/>
    <n v="-760.02992720000009"/>
    <m/>
    <m/>
    <n v="0"/>
  </r>
  <r>
    <x v="33"/>
    <x v="1"/>
    <x v="9"/>
    <n v="-605.8797523500001"/>
    <m/>
    <m/>
    <n v="0"/>
  </r>
  <r>
    <x v="33"/>
    <x v="1"/>
    <x v="9"/>
    <n v="-2835.9108725999999"/>
    <m/>
    <m/>
    <n v="0"/>
  </r>
  <r>
    <x v="33"/>
    <x v="1"/>
    <x v="9"/>
    <n v="-672.45022987999994"/>
    <m/>
    <m/>
    <n v="0"/>
  </r>
  <r>
    <x v="33"/>
    <x v="1"/>
    <x v="9"/>
    <n v="-1940.7109231899999"/>
    <m/>
    <m/>
    <n v="0"/>
  </r>
  <r>
    <x v="33"/>
    <x v="1"/>
    <x v="9"/>
    <n v="-1001.42993691"/>
    <m/>
    <m/>
    <n v="0"/>
  </r>
  <r>
    <x v="34"/>
    <x v="1"/>
    <x v="9"/>
    <n v="-858.04"/>
    <m/>
    <m/>
    <n v="0"/>
  </r>
  <r>
    <x v="35"/>
    <x v="1"/>
    <x v="9"/>
    <n v="-774.85962276999999"/>
    <m/>
    <m/>
    <n v="0"/>
  </r>
  <r>
    <x v="35"/>
    <x v="1"/>
    <x v="9"/>
    <n v="-355.40006111999998"/>
    <m/>
    <m/>
    <n v="0"/>
  </r>
  <r>
    <x v="35"/>
    <x v="1"/>
    <x v="9"/>
    <n v="-360.91995841999989"/>
    <m/>
    <m/>
    <n v="0"/>
  </r>
  <r>
    <x v="35"/>
    <x v="1"/>
    <x v="9"/>
    <n v="-632.88011180000001"/>
    <m/>
    <m/>
    <n v="0"/>
  </r>
  <r>
    <x v="35"/>
    <x v="1"/>
    <x v="9"/>
    <n v="-1420.00963348"/>
    <m/>
    <m/>
    <n v="0"/>
  </r>
  <r>
    <x v="35"/>
    <x v="1"/>
    <x v="19"/>
    <n v="28293.634999999991"/>
    <m/>
    <m/>
    <n v="0"/>
  </r>
  <r>
    <x v="35"/>
    <x v="2"/>
    <x v="4"/>
    <n v="-25501.38"/>
    <m/>
    <m/>
    <n v="0"/>
  </r>
  <r>
    <x v="35"/>
    <x v="2"/>
    <x v="18"/>
    <n v="1000"/>
    <m/>
    <m/>
    <n v="0"/>
  </r>
  <r>
    <x v="36"/>
    <x v="1"/>
    <x v="9"/>
    <n v="-1985.9207696000001"/>
    <m/>
    <m/>
    <n v="0"/>
  </r>
  <r>
    <x v="36"/>
    <x v="1"/>
    <x v="9"/>
    <n v="-616.60011448"/>
    <m/>
    <m/>
    <n v="0"/>
  </r>
  <r>
    <x v="36"/>
    <x v="1"/>
    <x v="9"/>
    <n v="-2508.8293801999998"/>
    <m/>
    <m/>
    <n v="0"/>
  </r>
  <r>
    <x v="36"/>
    <x v="1"/>
    <x v="9"/>
    <n v="-419.43994400000003"/>
    <m/>
    <m/>
    <n v="0"/>
  </r>
  <r>
    <x v="36"/>
    <x v="1"/>
    <x v="9"/>
    <n v="-1940.45942928"/>
    <m/>
    <m/>
    <n v="0"/>
  </r>
  <r>
    <x v="36"/>
    <x v="1"/>
    <x v="9"/>
    <n v="-1594.7304585899999"/>
    <m/>
    <m/>
    <n v="0"/>
  </r>
  <r>
    <x v="36"/>
    <x v="1"/>
    <x v="9"/>
    <n v="-525.78024074999996"/>
    <m/>
    <m/>
    <n v="0"/>
  </r>
  <r>
    <x v="36"/>
    <x v="1"/>
    <x v="9"/>
    <n v="-1235.9002989000001"/>
    <m/>
    <m/>
    <n v="0"/>
  </r>
  <r>
    <x v="36"/>
    <x v="1"/>
    <x v="9"/>
    <n v="-791.67030168000008"/>
    <m/>
    <m/>
    <n v="0"/>
  </r>
  <r>
    <x v="36"/>
    <x v="1"/>
    <x v="9"/>
    <n v="-2057.8310382"/>
    <m/>
    <m/>
    <n v="0"/>
  </r>
  <r>
    <x v="36"/>
    <x v="1"/>
    <x v="9"/>
    <n v="-280.80999998990399"/>
    <m/>
    <m/>
    <n v="0"/>
  </r>
  <r>
    <x v="36"/>
    <x v="1"/>
    <x v="9"/>
    <n v="-2167.4200000344999"/>
    <m/>
    <m/>
    <n v="0"/>
  </r>
  <r>
    <x v="36"/>
    <x v="1"/>
    <x v="9"/>
    <n v="-2409.3900000294102"/>
    <m/>
    <m/>
    <n v="0"/>
  </r>
  <r>
    <x v="37"/>
    <x v="2"/>
    <x v="9"/>
    <n v="-3901.0192888299998"/>
    <m/>
    <m/>
    <n v="0"/>
  </r>
  <r>
    <x v="37"/>
    <x v="1"/>
    <x v="9"/>
    <n v="-944.72953919999998"/>
    <m/>
    <m/>
    <n v="0"/>
  </r>
  <r>
    <x v="37"/>
    <x v="1"/>
    <x v="9"/>
    <n v="-679.46017762000008"/>
    <m/>
    <m/>
    <n v="0"/>
  </r>
  <r>
    <x v="37"/>
    <x v="0"/>
    <x v="9"/>
    <n v="-253.11994136000001"/>
    <m/>
    <m/>
    <n v="0"/>
  </r>
  <r>
    <x v="37"/>
    <x v="2"/>
    <x v="9"/>
    <n v="-496.08017514000011"/>
    <m/>
    <m/>
    <n v="0"/>
  </r>
  <r>
    <x v="37"/>
    <x v="2"/>
    <x v="9"/>
    <n v="-341.53016936"/>
    <m/>
    <m/>
    <n v="0"/>
  </r>
  <r>
    <x v="37"/>
    <x v="2"/>
    <x v="9"/>
    <n v="-469.29983249999998"/>
    <m/>
    <m/>
    <n v="0"/>
  </r>
  <r>
    <x v="37"/>
    <x v="1"/>
    <x v="9"/>
    <n v="-1150.9094425999999"/>
    <m/>
    <m/>
    <n v="0"/>
  </r>
  <r>
    <x v="37"/>
    <x v="1"/>
    <x v="9"/>
    <n v="-1917.39905488"/>
    <m/>
    <m/>
    <n v="0"/>
  </r>
  <r>
    <x v="37"/>
    <x v="1"/>
    <x v="9"/>
    <n v="-470.17986869999999"/>
    <m/>
    <m/>
    <n v="0"/>
  </r>
  <r>
    <x v="37"/>
    <x v="1"/>
    <x v="9"/>
    <n v="-309.10993553999998"/>
    <m/>
    <m/>
    <n v="0"/>
  </r>
  <r>
    <x v="37"/>
    <x v="1"/>
    <x v="9"/>
    <n v="-6811.3092753199999"/>
    <m/>
    <m/>
    <n v="0"/>
  </r>
  <r>
    <x v="37"/>
    <x v="2"/>
    <x v="7"/>
    <n v="-525.04"/>
    <m/>
    <m/>
    <n v="0"/>
  </r>
  <r>
    <x v="17"/>
    <x v="0"/>
    <x v="16"/>
    <n v="73.290000000000006"/>
    <m/>
    <m/>
    <n v="0"/>
  </r>
  <r>
    <x v="38"/>
    <x v="2"/>
    <x v="9"/>
    <n v="-749"/>
    <m/>
    <m/>
    <n v="0"/>
  </r>
  <r>
    <x v="38"/>
    <x v="1"/>
    <x v="9"/>
    <n v="-243.96"/>
    <m/>
    <m/>
    <n v="0"/>
  </r>
  <r>
    <x v="38"/>
    <x v="1"/>
    <x v="9"/>
    <n v="-397.28"/>
    <m/>
    <m/>
    <n v="0"/>
  </r>
  <r>
    <x v="38"/>
    <x v="1"/>
    <x v="9"/>
    <n v="-590.34"/>
    <m/>
    <m/>
    <n v="0"/>
  </r>
  <r>
    <x v="38"/>
    <x v="1"/>
    <x v="9"/>
    <n v="-7985.87"/>
    <m/>
    <m/>
    <n v="0"/>
  </r>
  <r>
    <x v="38"/>
    <x v="1"/>
    <x v="9"/>
    <n v="-415.06"/>
    <m/>
    <m/>
    <n v="0"/>
  </r>
  <r>
    <x v="38"/>
    <x v="1"/>
    <x v="19"/>
    <n v="40075.46"/>
    <m/>
    <m/>
    <n v="0"/>
  </r>
  <r>
    <x v="38"/>
    <x v="1"/>
    <x v="14"/>
    <n v="3500"/>
    <m/>
    <m/>
    <n v="0"/>
  </r>
  <r>
    <x v="38"/>
    <x v="1"/>
    <x v="24"/>
    <n v="200"/>
    <m/>
    <m/>
    <n v="0"/>
  </r>
  <r>
    <x v="39"/>
    <x v="1"/>
    <x v="9"/>
    <n v="-707.96"/>
    <m/>
    <m/>
    <n v="0"/>
  </r>
  <r>
    <x v="39"/>
    <x v="1"/>
    <x v="9"/>
    <n v="-215.13"/>
    <m/>
    <m/>
    <n v="0"/>
  </r>
  <r>
    <x v="39"/>
    <x v="1"/>
    <x v="9"/>
    <n v="-1278.58"/>
    <m/>
    <m/>
    <n v="0"/>
  </r>
  <r>
    <x v="39"/>
    <x v="1"/>
    <x v="9"/>
    <n v="-327.02999999999997"/>
    <m/>
    <m/>
    <n v="0"/>
  </r>
  <r>
    <x v="39"/>
    <x v="1"/>
    <x v="9"/>
    <n v="-941.24"/>
    <m/>
    <m/>
    <n v="0"/>
  </r>
  <r>
    <x v="39"/>
    <x v="1"/>
    <x v="9"/>
    <n v="-147.27000000000001"/>
    <m/>
    <m/>
    <n v="0"/>
  </r>
  <r>
    <x v="39"/>
    <x v="1"/>
    <x v="9"/>
    <n v="-1883.03"/>
    <m/>
    <m/>
    <n v="0"/>
  </r>
  <r>
    <x v="39"/>
    <x v="1"/>
    <x v="9"/>
    <n v="-326.5"/>
    <m/>
    <m/>
    <n v="0"/>
  </r>
  <r>
    <x v="39"/>
    <x v="1"/>
    <x v="9"/>
    <n v="-3439.58"/>
    <m/>
    <m/>
    <n v="0"/>
  </r>
  <r>
    <x v="39"/>
    <x v="1"/>
    <x v="9"/>
    <n v="-647.15"/>
    <m/>
    <m/>
    <n v="0"/>
  </r>
  <r>
    <x v="40"/>
    <x v="1"/>
    <x v="9"/>
    <n v="-281.47000000000003"/>
    <m/>
    <m/>
    <n v="0"/>
  </r>
  <r>
    <x v="40"/>
    <x v="1"/>
    <x v="9"/>
    <n v="-12443.02"/>
    <m/>
    <m/>
    <n v="0"/>
  </r>
  <r>
    <x v="40"/>
    <x v="1"/>
    <x v="9"/>
    <n v="-500.78"/>
    <m/>
    <m/>
    <n v="0"/>
  </r>
  <r>
    <x v="40"/>
    <x v="1"/>
    <x v="9"/>
    <n v="-3339.2"/>
    <m/>
    <m/>
    <n v="0"/>
  </r>
  <r>
    <x v="40"/>
    <x v="1"/>
    <x v="9"/>
    <n v="-3516.8"/>
    <m/>
    <m/>
    <n v="0"/>
  </r>
  <r>
    <x v="40"/>
    <x v="1"/>
    <x v="9"/>
    <n v="-1450.33"/>
    <m/>
    <m/>
    <n v="0"/>
  </r>
  <r>
    <x v="40"/>
    <x v="1"/>
    <x v="9"/>
    <n v="-1267.19"/>
    <m/>
    <m/>
    <n v="0"/>
  </r>
  <r>
    <x v="41"/>
    <x v="1"/>
    <x v="25"/>
    <n v="2000"/>
    <m/>
    <m/>
    <n v="0"/>
  </r>
  <r>
    <x v="41"/>
    <x v="1"/>
    <x v="19"/>
    <n v="38510.824522000003"/>
    <m/>
    <m/>
    <n v="0"/>
  </r>
  <r>
    <x v="41"/>
    <x v="1"/>
    <x v="9"/>
    <n v="-332.99"/>
    <m/>
    <m/>
    <n v="0"/>
  </r>
  <r>
    <x v="41"/>
    <x v="1"/>
    <x v="9"/>
    <n v="-530.29"/>
    <m/>
    <m/>
    <n v="0"/>
  </r>
  <r>
    <x v="41"/>
    <x v="1"/>
    <x v="9"/>
    <n v="-2254.5"/>
    <m/>
    <m/>
    <n v="0"/>
  </r>
  <r>
    <x v="41"/>
    <x v="1"/>
    <x v="9"/>
    <n v="-3829.03"/>
    <m/>
    <m/>
    <n v="0"/>
  </r>
  <r>
    <x v="41"/>
    <x v="1"/>
    <x v="9"/>
    <n v="-4357.5600000000004"/>
    <m/>
    <m/>
    <n v="0"/>
  </r>
  <r>
    <x v="41"/>
    <x v="1"/>
    <x v="9"/>
    <n v="-4748.67"/>
    <m/>
    <m/>
    <n v="0"/>
  </r>
  <r>
    <x v="41"/>
    <x v="1"/>
    <x v="9"/>
    <n v="-4777.79"/>
    <m/>
    <m/>
    <n v="0"/>
  </r>
  <r>
    <x v="41"/>
    <x v="1"/>
    <x v="9"/>
    <n v="-3507"/>
    <m/>
    <m/>
    <n v="0"/>
  </r>
  <r>
    <x v="41"/>
    <x v="1"/>
    <x v="9"/>
    <n v="-1370.86"/>
    <m/>
    <m/>
    <n v="0"/>
  </r>
  <r>
    <x v="41"/>
    <x v="1"/>
    <x v="9"/>
    <n v="-514.08000000000004"/>
    <m/>
    <m/>
    <n v="0"/>
  </r>
  <r>
    <x v="41"/>
    <x v="1"/>
    <x v="9"/>
    <n v="-925.84"/>
    <m/>
    <m/>
    <n v="0"/>
  </r>
  <r>
    <x v="41"/>
    <x v="1"/>
    <x v="9"/>
    <n v="-588.5"/>
    <m/>
    <m/>
    <n v="0"/>
  </r>
  <r>
    <x v="41"/>
    <x v="1"/>
    <x v="9"/>
    <n v="-588.5"/>
    <m/>
    <m/>
    <n v="0"/>
  </r>
  <r>
    <x v="41"/>
    <x v="1"/>
    <x v="9"/>
    <n v="-745.64"/>
    <m/>
    <m/>
    <n v="0"/>
  </r>
  <r>
    <x v="41"/>
    <x v="1"/>
    <x v="9"/>
    <n v="-843.11"/>
    <m/>
    <m/>
    <n v="0"/>
  </r>
  <r>
    <x v="41"/>
    <x v="1"/>
    <x v="9"/>
    <n v="-1108.67"/>
    <m/>
    <m/>
    <n v="0"/>
  </r>
  <r>
    <x v="41"/>
    <x v="1"/>
    <x v="9"/>
    <n v="-1548.84"/>
    <m/>
    <m/>
    <n v="0"/>
  </r>
  <r>
    <x v="41"/>
    <x v="1"/>
    <x v="9"/>
    <n v="-1735.44"/>
    <m/>
    <m/>
    <n v="0"/>
  </r>
  <r>
    <x v="41"/>
    <x v="1"/>
    <x v="9"/>
    <n v="-1677.33"/>
    <m/>
    <m/>
    <n v="0"/>
  </r>
  <r>
    <x v="41"/>
    <x v="1"/>
    <x v="9"/>
    <n v="-2374.5100000000002"/>
    <m/>
    <m/>
    <n v="0"/>
  </r>
  <r>
    <x v="42"/>
    <x v="1"/>
    <x v="9"/>
    <n v="-544.85"/>
    <m/>
    <m/>
    <n v="0"/>
  </r>
  <r>
    <x v="42"/>
    <x v="1"/>
    <x v="9"/>
    <n v="-833.09"/>
    <m/>
    <m/>
    <n v="0"/>
  </r>
  <r>
    <x v="42"/>
    <x v="1"/>
    <x v="9"/>
    <n v="-418.37"/>
    <m/>
    <m/>
    <n v="0"/>
  </r>
  <r>
    <x v="42"/>
    <x v="1"/>
    <x v="9"/>
    <n v="-885.22"/>
    <m/>
    <m/>
    <n v="0"/>
  </r>
  <r>
    <x v="42"/>
    <x v="1"/>
    <x v="9"/>
    <n v="-293.52999999999997"/>
    <m/>
    <m/>
    <n v="0"/>
  </r>
  <r>
    <x v="42"/>
    <x v="1"/>
    <x v="19"/>
    <n v="43387.18"/>
    <m/>
    <m/>
    <n v="0"/>
  </r>
  <r>
    <x v="42"/>
    <x v="1"/>
    <x v="26"/>
    <n v="-9.52"/>
    <m/>
    <m/>
    <n v="0"/>
  </r>
  <r>
    <x v="43"/>
    <x v="1"/>
    <x v="9"/>
    <n v="-2386.85"/>
    <m/>
    <m/>
    <n v="0"/>
  </r>
  <r>
    <x v="43"/>
    <x v="1"/>
    <x v="9"/>
    <n v="-546.32000000000005"/>
    <m/>
    <m/>
    <n v="0"/>
  </r>
  <r>
    <x v="43"/>
    <x v="1"/>
    <x v="9"/>
    <n v="-164.71"/>
    <m/>
    <m/>
    <n v="0"/>
  </r>
  <r>
    <x v="43"/>
    <x v="1"/>
    <x v="9"/>
    <n v="-2277.29"/>
    <m/>
    <m/>
    <n v="0"/>
  </r>
  <r>
    <x v="43"/>
    <x v="1"/>
    <x v="9"/>
    <n v="-437.97"/>
    <m/>
    <m/>
    <n v="0"/>
  </r>
  <r>
    <x v="43"/>
    <x v="1"/>
    <x v="9"/>
    <n v="-649.75"/>
    <m/>
    <m/>
    <n v="0"/>
  </r>
  <r>
    <x v="43"/>
    <x v="1"/>
    <x v="9"/>
    <n v="-364.23"/>
    <m/>
    <m/>
    <n v="0"/>
  </r>
  <r>
    <x v="43"/>
    <x v="1"/>
    <x v="9"/>
    <n v="-374.41"/>
    <m/>
    <m/>
    <n v="0"/>
  </r>
  <r>
    <x v="43"/>
    <x v="1"/>
    <x v="9"/>
    <n v="-845.22"/>
    <m/>
    <m/>
    <n v="0"/>
  </r>
  <r>
    <x v="44"/>
    <x v="1"/>
    <x v="9"/>
    <n v="-5936.8"/>
    <m/>
    <m/>
    <n v="0"/>
  </r>
  <r>
    <x v="44"/>
    <x v="1"/>
    <x v="9"/>
    <n v="-1518.29"/>
    <m/>
    <m/>
    <n v="0"/>
  </r>
  <r>
    <x v="44"/>
    <x v="1"/>
    <x v="9"/>
    <n v="-4085.96"/>
    <m/>
    <m/>
    <n v="0"/>
  </r>
  <r>
    <x v="44"/>
    <x v="1"/>
    <x v="9"/>
    <n v="-613.70000000000005"/>
    <m/>
    <m/>
    <n v="0"/>
  </r>
  <r>
    <x v="44"/>
    <x v="1"/>
    <x v="9"/>
    <n v="-982.42"/>
    <m/>
    <m/>
    <n v="0"/>
  </r>
  <r>
    <x v="44"/>
    <x v="1"/>
    <x v="9"/>
    <n v="-758.02"/>
    <m/>
    <m/>
    <n v="0"/>
  </r>
  <r>
    <x v="44"/>
    <x v="1"/>
    <x v="9"/>
    <n v="-286.02"/>
    <m/>
    <m/>
    <n v="0"/>
  </r>
  <r>
    <x v="44"/>
    <x v="2"/>
    <x v="27"/>
    <n v="-25.76"/>
    <m/>
    <m/>
    <n v="0"/>
  </r>
  <r>
    <x v="45"/>
    <x v="1"/>
    <x v="9"/>
    <n v="-1405.36"/>
    <m/>
    <m/>
    <n v="0"/>
  </r>
  <r>
    <x v="45"/>
    <x v="1"/>
    <x v="9"/>
    <n v="-271.05"/>
    <m/>
    <m/>
    <n v="0"/>
  </r>
  <r>
    <x v="45"/>
    <x v="1"/>
    <x v="9"/>
    <n v="-736.93"/>
    <m/>
    <m/>
    <n v="0"/>
  </r>
  <r>
    <x v="45"/>
    <x v="1"/>
    <x v="9"/>
    <n v="-534.49"/>
    <m/>
    <m/>
    <n v="0"/>
  </r>
  <r>
    <x v="45"/>
    <x v="1"/>
    <x v="9"/>
    <n v="-774.03"/>
    <m/>
    <m/>
    <n v="0"/>
  </r>
  <r>
    <x v="45"/>
    <x v="1"/>
    <x v="9"/>
    <n v="-2770.19"/>
    <m/>
    <m/>
    <n v="0"/>
  </r>
  <r>
    <x v="45"/>
    <x v="1"/>
    <x v="9"/>
    <n v="-720.17"/>
    <m/>
    <m/>
    <n v="0"/>
  </r>
  <r>
    <x v="45"/>
    <x v="1"/>
    <x v="9"/>
    <n v="-951.41"/>
    <m/>
    <m/>
    <n v="0"/>
  </r>
  <r>
    <x v="45"/>
    <x v="1"/>
    <x v="9"/>
    <n v="-1582.67"/>
    <m/>
    <m/>
    <n v="0"/>
  </r>
  <r>
    <x v="45"/>
    <x v="1"/>
    <x v="14"/>
    <n v="3850"/>
    <m/>
    <m/>
    <n v="0"/>
  </r>
  <r>
    <x v="45"/>
    <x v="1"/>
    <x v="14"/>
    <n v="3000"/>
    <m/>
    <m/>
    <n v="0"/>
  </r>
  <r>
    <x v="46"/>
    <x v="1"/>
    <x v="9"/>
    <n v="-1269.02"/>
    <m/>
    <m/>
    <n v="0"/>
  </r>
  <r>
    <x v="46"/>
    <x v="1"/>
    <x v="9"/>
    <n v="-419.97"/>
    <m/>
    <m/>
    <n v="0"/>
  </r>
  <r>
    <x v="46"/>
    <x v="1"/>
    <x v="9"/>
    <n v="-2526.9899999999998"/>
    <m/>
    <m/>
    <n v="0"/>
  </r>
  <r>
    <x v="46"/>
    <x v="1"/>
    <x v="9"/>
    <n v="-2644.4"/>
    <m/>
    <m/>
    <n v="0"/>
  </r>
  <r>
    <x v="46"/>
    <x v="1"/>
    <x v="9"/>
    <n v="-447.29"/>
    <m/>
    <m/>
    <n v="0"/>
  </r>
  <r>
    <x v="46"/>
    <x v="1"/>
    <x v="9"/>
    <n v="-1798.99"/>
    <m/>
    <m/>
    <n v="0"/>
  </r>
  <r>
    <x v="46"/>
    <x v="1"/>
    <x v="9"/>
    <n v="-1016.87"/>
    <m/>
    <m/>
    <n v="0"/>
  </r>
  <r>
    <x v="46"/>
    <x v="1"/>
    <x v="9"/>
    <n v="-1500.97"/>
    <m/>
    <m/>
    <n v="0"/>
  </r>
  <r>
    <x v="46"/>
    <x v="1"/>
    <x v="4"/>
    <n v="-3595.77"/>
    <m/>
    <m/>
    <n v="0"/>
  </r>
  <r>
    <x v="47"/>
    <x v="1"/>
    <x v="14"/>
    <n v="1480"/>
    <m/>
    <m/>
    <n v="0"/>
  </r>
  <r>
    <x v="48"/>
    <x v="1"/>
    <x v="19"/>
    <n v="46860.11"/>
    <m/>
    <m/>
    <n v="0"/>
  </r>
  <r>
    <x v="48"/>
    <x v="1"/>
    <x v="9"/>
    <n v="-476.11"/>
    <m/>
    <m/>
    <n v="0"/>
  </r>
  <r>
    <x v="48"/>
    <x v="1"/>
    <x v="9"/>
    <n v="-745.02"/>
    <m/>
    <m/>
    <n v="0"/>
  </r>
  <r>
    <x v="48"/>
    <x v="1"/>
    <x v="6"/>
    <n v="-14500"/>
    <m/>
    <m/>
    <n v="0"/>
  </r>
  <r>
    <x v="48"/>
    <x v="1"/>
    <x v="4"/>
    <n v="-9093.7199999999993"/>
    <m/>
    <m/>
    <n v="0"/>
  </r>
  <r>
    <x v="48"/>
    <x v="1"/>
    <x v="4"/>
    <n v="-13154.55"/>
    <m/>
    <m/>
    <n v="0"/>
  </r>
  <r>
    <x v="48"/>
    <x v="2"/>
    <x v="7"/>
    <n v="-14472.99"/>
    <m/>
    <m/>
    <n v="0"/>
  </r>
  <r>
    <x v="48"/>
    <x v="2"/>
    <x v="18"/>
    <n v="14472.99"/>
    <m/>
    <m/>
    <n v="0"/>
  </r>
  <r>
    <x v="49"/>
    <x v="1"/>
    <x v="9"/>
    <n v="-942.62"/>
    <m/>
    <m/>
    <n v="0"/>
  </r>
  <r>
    <x v="49"/>
    <x v="1"/>
    <x v="9"/>
    <n v="-592.28"/>
    <m/>
    <m/>
    <n v="0"/>
  </r>
  <r>
    <x v="49"/>
    <x v="1"/>
    <x v="9"/>
    <n v="-268.89"/>
    <m/>
    <m/>
    <n v="0"/>
  </r>
  <r>
    <x v="49"/>
    <x v="1"/>
    <x v="9"/>
    <n v="-481.28"/>
    <m/>
    <m/>
    <n v="0"/>
  </r>
  <r>
    <x v="49"/>
    <x v="1"/>
    <x v="9"/>
    <n v="-284.99"/>
    <m/>
    <m/>
    <n v="0"/>
  </r>
  <r>
    <x v="49"/>
    <x v="1"/>
    <x v="9"/>
    <n v="-1857.01"/>
    <m/>
    <m/>
    <n v="0"/>
  </r>
  <r>
    <x v="49"/>
    <x v="1"/>
    <x v="9"/>
    <n v="-4308.87"/>
    <m/>
    <m/>
    <n v="0"/>
  </r>
  <r>
    <x v="49"/>
    <x v="1"/>
    <x v="9"/>
    <n v="-304.7"/>
    <m/>
    <m/>
    <n v="0"/>
  </r>
  <r>
    <x v="49"/>
    <x v="1"/>
    <x v="9"/>
    <n v="-1009.53"/>
    <m/>
    <m/>
    <n v="0"/>
  </r>
  <r>
    <x v="49"/>
    <x v="1"/>
    <x v="9"/>
    <n v="-555"/>
    <m/>
    <m/>
    <n v="0"/>
  </r>
  <r>
    <x v="49"/>
    <x v="1"/>
    <x v="9"/>
    <n v="-580.92999999999995"/>
    <m/>
    <m/>
    <n v="0"/>
  </r>
  <r>
    <x v="49"/>
    <x v="1"/>
    <x v="5"/>
    <n v="-1586.91"/>
    <m/>
    <m/>
    <n v="0"/>
  </r>
  <r>
    <x v="49"/>
    <x v="1"/>
    <x v="14"/>
    <n v="1000"/>
    <m/>
    <m/>
    <n v="0"/>
  </r>
  <r>
    <x v="50"/>
    <x v="1"/>
    <x v="9"/>
    <n v="-1436.5"/>
    <m/>
    <m/>
    <n v="0"/>
  </r>
  <r>
    <x v="50"/>
    <x v="1"/>
    <x v="9"/>
    <n v="-727.19"/>
    <m/>
    <m/>
    <n v="0"/>
  </r>
  <r>
    <x v="50"/>
    <x v="2"/>
    <x v="9"/>
    <n v="-3739.64"/>
    <m/>
    <m/>
    <n v="0"/>
  </r>
  <r>
    <x v="50"/>
    <x v="2"/>
    <x v="9"/>
    <n v="-1196.72"/>
    <m/>
    <m/>
    <n v="0"/>
  </r>
  <r>
    <x v="50"/>
    <x v="2"/>
    <x v="9"/>
    <n v="-1728.01"/>
    <m/>
    <m/>
    <n v="0"/>
  </r>
  <r>
    <x v="50"/>
    <x v="2"/>
    <x v="9"/>
    <n v="-1014.58"/>
    <m/>
    <m/>
    <n v="0"/>
  </r>
  <r>
    <x v="50"/>
    <x v="2"/>
    <x v="9"/>
    <n v="-174.05"/>
    <m/>
    <m/>
    <n v="0"/>
  </r>
  <r>
    <x v="50"/>
    <x v="2"/>
    <x v="9"/>
    <n v="-1600.27"/>
    <m/>
    <m/>
    <n v="0"/>
  </r>
  <r>
    <x v="50"/>
    <x v="2"/>
    <x v="9"/>
    <n v="-1558.61"/>
    <m/>
    <m/>
    <n v="0"/>
  </r>
  <r>
    <x v="50"/>
    <x v="2"/>
    <x v="0"/>
    <n v="12281.94"/>
    <m/>
    <m/>
    <n v="0"/>
  </r>
  <r>
    <x v="51"/>
    <x v="2"/>
    <x v="9"/>
    <n v="-404.38"/>
    <m/>
    <m/>
    <n v="0"/>
  </r>
  <r>
    <x v="51"/>
    <x v="2"/>
    <x v="9"/>
    <n v="-593.28"/>
    <m/>
    <m/>
    <n v="0"/>
  </r>
  <r>
    <x v="51"/>
    <x v="2"/>
    <x v="9"/>
    <n v="-317.94"/>
    <m/>
    <m/>
    <n v="0"/>
  </r>
  <r>
    <x v="51"/>
    <x v="2"/>
    <x v="9"/>
    <n v="-232.79"/>
    <m/>
    <m/>
    <n v="0"/>
  </r>
  <r>
    <x v="51"/>
    <x v="2"/>
    <x v="18"/>
    <n v="120"/>
    <m/>
    <m/>
    <n v="0"/>
  </r>
  <r>
    <x v="51"/>
    <x v="2"/>
    <x v="18"/>
    <n v="158.33000000000001"/>
    <m/>
    <m/>
    <n v="0"/>
  </r>
  <r>
    <x v="51"/>
    <x v="1"/>
    <x v="27"/>
    <n v="-111.45"/>
    <m/>
    <m/>
    <n v="0"/>
  </r>
  <r>
    <x v="52"/>
    <x v="2"/>
    <x v="19"/>
    <n v="27277.001800000009"/>
    <m/>
    <m/>
    <n v="0"/>
  </r>
  <r>
    <x v="53"/>
    <x v="2"/>
    <x v="9"/>
    <n v="-352.16"/>
    <m/>
    <m/>
    <n v="0"/>
  </r>
  <r>
    <x v="53"/>
    <x v="2"/>
    <x v="9"/>
    <n v="-867.2"/>
    <m/>
    <m/>
    <n v="0"/>
  </r>
  <r>
    <x v="53"/>
    <x v="2"/>
    <x v="9"/>
    <n v="-1204.78"/>
    <m/>
    <m/>
    <n v="0"/>
  </r>
  <r>
    <x v="53"/>
    <x v="2"/>
    <x v="9"/>
    <n v="-930.5"/>
    <m/>
    <m/>
    <n v="0"/>
  </r>
  <r>
    <x v="53"/>
    <x v="2"/>
    <x v="9"/>
    <n v="-2097.65"/>
    <m/>
    <m/>
    <n v="0"/>
  </r>
  <r>
    <x v="53"/>
    <x v="2"/>
    <x v="9"/>
    <n v="-324.86"/>
    <m/>
    <m/>
    <n v="0"/>
  </r>
  <r>
    <x v="54"/>
    <x v="2"/>
    <x v="9"/>
    <n v="-874.96"/>
    <m/>
    <m/>
    <n v="0"/>
  </r>
  <r>
    <x v="54"/>
    <x v="2"/>
    <x v="9"/>
    <n v="-386.14"/>
    <m/>
    <m/>
    <n v="0"/>
  </r>
  <r>
    <x v="54"/>
    <x v="2"/>
    <x v="9"/>
    <n v="-4389.58"/>
    <m/>
    <m/>
    <n v="0"/>
  </r>
  <r>
    <x v="54"/>
    <x v="2"/>
    <x v="14"/>
    <n v="2900"/>
    <m/>
    <m/>
    <n v="0"/>
  </r>
  <r>
    <x v="55"/>
    <x v="2"/>
    <x v="9"/>
    <n v="-1526.04"/>
    <m/>
    <m/>
    <n v="0"/>
  </r>
  <r>
    <x v="55"/>
    <x v="2"/>
    <x v="9"/>
    <n v="-1262.29"/>
    <m/>
    <m/>
    <n v="0"/>
  </r>
  <r>
    <x v="55"/>
    <x v="2"/>
    <x v="9"/>
    <n v="-1542.35"/>
    <m/>
    <m/>
    <n v="0"/>
  </r>
  <r>
    <x v="55"/>
    <x v="2"/>
    <x v="9"/>
    <n v="-324.14999999999998"/>
    <m/>
    <m/>
    <n v="0"/>
  </r>
  <r>
    <x v="55"/>
    <x v="2"/>
    <x v="9"/>
    <n v="-1679.4"/>
    <m/>
    <m/>
    <n v="0"/>
  </r>
  <r>
    <x v="56"/>
    <x v="2"/>
    <x v="9"/>
    <n v="-5178"/>
    <m/>
    <m/>
    <n v="0"/>
  </r>
  <r>
    <x v="56"/>
    <x v="2"/>
    <x v="9"/>
    <n v="-4827.47"/>
    <m/>
    <m/>
    <n v="0"/>
  </r>
  <r>
    <x v="56"/>
    <x v="2"/>
    <x v="9"/>
    <n v="-4609.3999999999996"/>
    <m/>
    <m/>
    <n v="0"/>
  </r>
  <r>
    <x v="56"/>
    <x v="2"/>
    <x v="0"/>
    <n v="25688.03"/>
    <m/>
    <m/>
    <n v="0"/>
  </r>
  <r>
    <x v="56"/>
    <x v="2"/>
    <x v="18"/>
    <n v="300"/>
    <m/>
    <m/>
    <n v="0"/>
  </r>
  <r>
    <x v="57"/>
    <x v="2"/>
    <x v="9"/>
    <n v="-5402.15"/>
    <m/>
    <m/>
    <n v="0"/>
  </r>
  <r>
    <x v="58"/>
    <x v="2"/>
    <x v="9"/>
    <n v="-6365.95"/>
    <m/>
    <m/>
    <n v="0"/>
  </r>
  <r>
    <x v="59"/>
    <x v="2"/>
    <x v="11"/>
    <n v="-3103.02"/>
    <m/>
    <m/>
    <n v="0"/>
  </r>
  <r>
    <x v="59"/>
    <x v="2"/>
    <x v="19"/>
    <n v="44360"/>
    <m/>
    <m/>
    <n v="0"/>
  </r>
  <r>
    <x v="60"/>
    <x v="2"/>
    <x v="9"/>
    <n v="-6180.03"/>
    <m/>
    <m/>
    <n v="0"/>
  </r>
  <r>
    <x v="61"/>
    <x v="2"/>
    <x v="9"/>
    <n v="-404.09"/>
    <m/>
    <m/>
    <n v="0"/>
  </r>
  <r>
    <x v="61"/>
    <x v="2"/>
    <x v="9"/>
    <n v="-378.44"/>
    <m/>
    <m/>
    <n v="0"/>
  </r>
  <r>
    <x v="61"/>
    <x v="2"/>
    <x v="17"/>
    <n v="1500"/>
    <m/>
    <m/>
    <n v="0"/>
  </r>
  <r>
    <x v="62"/>
    <x v="2"/>
    <x v="9"/>
    <n v="-143.32"/>
    <m/>
    <m/>
    <n v="0"/>
  </r>
  <r>
    <x v="62"/>
    <x v="2"/>
    <x v="9"/>
    <n v="-395.85"/>
    <m/>
    <m/>
    <n v="0"/>
  </r>
  <r>
    <x v="63"/>
    <x v="2"/>
    <x v="9"/>
    <n v="-199.72"/>
    <m/>
    <m/>
    <n v="0"/>
  </r>
  <r>
    <x v="63"/>
    <x v="2"/>
    <x v="4"/>
    <n v="-44873"/>
    <m/>
    <m/>
    <n v="0"/>
  </r>
  <r>
    <x v="63"/>
    <x v="2"/>
    <x v="4"/>
    <n v="-2202.5300000000002"/>
    <m/>
    <m/>
    <n v="0"/>
  </r>
  <r>
    <x v="63"/>
    <x v="2"/>
    <x v="5"/>
    <n v="-1754.1"/>
    <m/>
    <m/>
    <n v="0"/>
  </r>
  <r>
    <x v="63"/>
    <x v="2"/>
    <x v="18"/>
    <n v="1754.1"/>
    <m/>
    <m/>
    <n v="0"/>
  </r>
  <r>
    <x v="64"/>
    <x v="2"/>
    <x v="18"/>
    <n v="480"/>
    <m/>
    <m/>
    <n v="0"/>
  </r>
  <r>
    <x v="64"/>
    <x v="2"/>
    <x v="17"/>
    <n v="1000"/>
    <m/>
    <m/>
    <n v="0"/>
  </r>
  <r>
    <x v="64"/>
    <x v="2"/>
    <x v="17"/>
    <n v="650"/>
    <m/>
    <m/>
    <n v="0"/>
  </r>
  <r>
    <x v="64"/>
    <x v="2"/>
    <x v="28"/>
    <n v="220"/>
    <m/>
    <m/>
    <n v="0"/>
  </r>
  <r>
    <x v="64"/>
    <x v="2"/>
    <x v="9"/>
    <n v="-510.63"/>
    <m/>
    <m/>
    <n v="0"/>
  </r>
  <r>
    <x v="64"/>
    <x v="2"/>
    <x v="9"/>
    <n v="-663.1"/>
    <m/>
    <m/>
    <n v="0"/>
  </r>
  <r>
    <x v="65"/>
    <x v="2"/>
    <x v="9"/>
    <n v="-1376.54"/>
    <m/>
    <m/>
    <n v="0"/>
  </r>
  <r>
    <x v="65"/>
    <x v="2"/>
    <x v="19"/>
    <n v="8913.24"/>
    <m/>
    <m/>
    <n v="0"/>
  </r>
  <r>
    <x v="66"/>
    <x v="2"/>
    <x v="18"/>
    <n v="1700"/>
    <m/>
    <m/>
    <n v="0"/>
  </r>
  <r>
    <x v="66"/>
    <x v="2"/>
    <x v="9"/>
    <n v="-2444.9499999999998"/>
    <m/>
    <m/>
    <n v="0"/>
  </r>
  <r>
    <x v="66"/>
    <x v="2"/>
    <x v="9"/>
    <n v="-1640.12"/>
    <m/>
    <m/>
    <n v="0"/>
  </r>
  <r>
    <x v="67"/>
    <x v="2"/>
    <x v="9"/>
    <n v="-319.79000000000002"/>
    <m/>
    <m/>
    <n v="0"/>
  </r>
  <r>
    <x v="68"/>
    <x v="2"/>
    <x v="9"/>
    <n v="-558.58000000000004"/>
    <m/>
    <m/>
    <n v="0"/>
  </r>
  <r>
    <x v="68"/>
    <x v="2"/>
    <x v="4"/>
    <n v="-2897.51"/>
    <m/>
    <m/>
    <n v="0"/>
  </r>
  <r>
    <x v="69"/>
    <x v="2"/>
    <x v="9"/>
    <n v="-1520.34"/>
    <m/>
    <m/>
    <n v="0"/>
  </r>
  <r>
    <x v="69"/>
    <x v="2"/>
    <x v="9"/>
    <n v="-642.27"/>
    <m/>
    <m/>
    <n v="0"/>
  </r>
  <r>
    <x v="69"/>
    <x v="2"/>
    <x v="9"/>
    <n v="-410.85"/>
    <m/>
    <m/>
    <n v="0"/>
  </r>
  <r>
    <x v="69"/>
    <x v="2"/>
    <x v="9"/>
    <n v="-356.98"/>
    <m/>
    <m/>
    <n v="0"/>
  </r>
  <r>
    <x v="69"/>
    <x v="2"/>
    <x v="28"/>
    <n v="378.42"/>
    <m/>
    <m/>
    <n v="0"/>
  </r>
  <r>
    <x v="70"/>
    <x v="2"/>
    <x v="19"/>
    <n v="9318.42"/>
    <m/>
    <m/>
    <n v="0"/>
  </r>
  <r>
    <x v="70"/>
    <x v="2"/>
    <x v="9"/>
    <n v="-756.62"/>
    <m/>
    <m/>
    <n v="0"/>
  </r>
  <r>
    <x v="70"/>
    <x v="2"/>
    <x v="9"/>
    <n v="-1148.19"/>
    <m/>
    <m/>
    <n v="0"/>
  </r>
  <r>
    <x v="70"/>
    <x v="2"/>
    <x v="9"/>
    <n v="-1253.25"/>
    <m/>
    <m/>
    <n v="0"/>
  </r>
  <r>
    <x v="71"/>
    <x v="2"/>
    <x v="9"/>
    <n v="-105.21"/>
    <m/>
    <m/>
    <n v="0"/>
  </r>
  <r>
    <x v="71"/>
    <x v="2"/>
    <x v="9"/>
    <n v="-838.57"/>
    <m/>
    <m/>
    <n v="0"/>
  </r>
  <r>
    <x v="71"/>
    <x v="2"/>
    <x v="9"/>
    <n v="-641.45000000000005"/>
    <m/>
    <m/>
    <n v="0"/>
  </r>
  <r>
    <x v="72"/>
    <x v="2"/>
    <x v="9"/>
    <n v="-802.85"/>
    <m/>
    <m/>
    <n v="0"/>
  </r>
  <r>
    <x v="72"/>
    <x v="2"/>
    <x v="9"/>
    <n v="-626.54"/>
    <m/>
    <m/>
    <n v="0"/>
  </r>
  <r>
    <x v="72"/>
    <x v="2"/>
    <x v="9"/>
    <n v="-494.66"/>
    <m/>
    <m/>
    <n v="0"/>
  </r>
  <r>
    <x v="72"/>
    <x v="2"/>
    <x v="9"/>
    <n v="-382.41"/>
    <m/>
    <m/>
    <n v="0"/>
  </r>
  <r>
    <x v="72"/>
    <x v="2"/>
    <x v="18"/>
    <n v="1000"/>
    <m/>
    <m/>
    <n v="0"/>
  </r>
  <r>
    <x v="73"/>
    <x v="2"/>
    <x v="9"/>
    <n v="-633.28"/>
    <m/>
    <m/>
    <n v="0"/>
  </r>
  <r>
    <x v="73"/>
    <x v="2"/>
    <x v="9"/>
    <n v="-353.37"/>
    <m/>
    <m/>
    <n v="0"/>
  </r>
  <r>
    <x v="73"/>
    <x v="2"/>
    <x v="19"/>
    <n v="7111.18"/>
    <m/>
    <m/>
    <n v="0"/>
  </r>
  <r>
    <x v="74"/>
    <x v="2"/>
    <x v="9"/>
    <n v="-3575.89"/>
    <m/>
    <m/>
    <n v="0"/>
  </r>
  <r>
    <x v="75"/>
    <x v="2"/>
    <x v="9"/>
    <n v="-131.58000000000001"/>
    <m/>
    <m/>
    <n v="0"/>
  </r>
  <r>
    <x v="75"/>
    <x v="2"/>
    <x v="9"/>
    <n v="-654"/>
    <m/>
    <m/>
    <n v="0"/>
  </r>
  <r>
    <x v="75"/>
    <x v="2"/>
    <x v="9"/>
    <n v="-2055.33"/>
    <m/>
    <m/>
    <n v="0"/>
  </r>
  <r>
    <x v="75"/>
    <x v="2"/>
    <x v="9"/>
    <n v="-434.47"/>
    <m/>
    <m/>
    <n v="0"/>
  </r>
  <r>
    <x v="75"/>
    <x v="2"/>
    <x v="18"/>
    <n v="500"/>
    <m/>
    <m/>
    <n v="0"/>
  </r>
  <r>
    <x v="76"/>
    <x v="2"/>
    <x v="7"/>
    <n v="-6500"/>
    <m/>
    <m/>
    <n v="0"/>
  </r>
  <r>
    <x v="77"/>
    <x v="2"/>
    <x v="19"/>
    <n v="7886.7"/>
    <m/>
    <m/>
    <n v="0"/>
  </r>
  <r>
    <x v="77"/>
    <x v="2"/>
    <x v="9"/>
    <n v="-731.68999997103799"/>
    <m/>
    <m/>
    <n v="0"/>
  </r>
  <r>
    <x v="77"/>
    <x v="2"/>
    <x v="5"/>
    <n v="-1972.53"/>
    <m/>
    <m/>
    <n v="0"/>
  </r>
  <r>
    <x v="77"/>
    <x v="2"/>
    <x v="5"/>
    <n v="-3922.92"/>
    <m/>
    <m/>
    <n v="0"/>
  </r>
  <r>
    <x v="77"/>
    <x v="2"/>
    <x v="7"/>
    <n v="-1157.1500000000001"/>
    <m/>
    <m/>
    <n v="0"/>
  </r>
  <r>
    <x v="78"/>
    <x v="2"/>
    <x v="7"/>
    <n v="-5529.99"/>
    <m/>
    <m/>
    <n v="0"/>
  </r>
  <r>
    <x v="78"/>
    <x v="2"/>
    <x v="29"/>
    <n v="-7751.75"/>
    <m/>
    <m/>
    <n v="0"/>
  </r>
  <r>
    <x v="79"/>
    <x v="2"/>
    <x v="18"/>
    <n v="750"/>
    <m/>
    <m/>
    <n v="0"/>
  </r>
  <r>
    <x v="79"/>
    <x v="2"/>
    <x v="28"/>
    <n v="250"/>
    <m/>
    <m/>
    <n v="0"/>
  </r>
  <r>
    <x v="79"/>
    <x v="2"/>
    <x v="28"/>
    <n v="7000"/>
    <m/>
    <m/>
    <n v="0"/>
  </r>
  <r>
    <x v="79"/>
    <x v="2"/>
    <x v="30"/>
    <n v="2840.3"/>
    <m/>
    <m/>
    <n v="0"/>
  </r>
  <r>
    <x v="79"/>
    <x v="2"/>
    <x v="30"/>
    <n v="1243.5"/>
    <m/>
    <m/>
    <n v="0"/>
  </r>
  <r>
    <x v="79"/>
    <x v="2"/>
    <x v="21"/>
    <n v="28374.3"/>
    <m/>
    <m/>
    <n v="0"/>
  </r>
  <r>
    <x v="80"/>
    <x v="2"/>
    <x v="9"/>
    <n v="-484.26"/>
    <m/>
    <m/>
    <n v="0"/>
  </r>
  <r>
    <x v="80"/>
    <x v="2"/>
    <x v="7"/>
    <n v="-146.5"/>
    <m/>
    <m/>
    <n v="0"/>
  </r>
  <r>
    <x v="80"/>
    <x v="2"/>
    <x v="7"/>
    <n v="-3061.18"/>
    <m/>
    <m/>
    <n v="0"/>
  </r>
  <r>
    <x v="81"/>
    <x v="2"/>
    <x v="9"/>
    <n v="-523.01"/>
    <m/>
    <m/>
    <n v="0"/>
  </r>
  <r>
    <x v="81"/>
    <x v="2"/>
    <x v="5"/>
    <n v="-2041.67"/>
    <m/>
    <m/>
    <n v="0"/>
  </r>
  <r>
    <x v="81"/>
    <x v="2"/>
    <x v="29"/>
    <n v="-2439.04"/>
    <m/>
    <m/>
    <n v="0"/>
  </r>
  <r>
    <x v="81"/>
    <x v="2"/>
    <x v="29"/>
    <n v="-13600"/>
    <m/>
    <m/>
    <n v="0"/>
  </r>
  <r>
    <x v="82"/>
    <x v="2"/>
    <x v="9"/>
    <n v="-560.17999999999995"/>
    <m/>
    <m/>
    <n v="0"/>
  </r>
  <r>
    <x v="82"/>
    <x v="2"/>
    <x v="9"/>
    <n v="-493.58"/>
    <m/>
    <m/>
    <n v="0"/>
  </r>
  <r>
    <x v="82"/>
    <x v="2"/>
    <x v="28"/>
    <n v="2200"/>
    <m/>
    <m/>
    <n v="0"/>
  </r>
  <r>
    <x v="82"/>
    <x v="2"/>
    <x v="18"/>
    <n v="1000"/>
    <m/>
    <m/>
    <n v="0"/>
  </r>
  <r>
    <x v="83"/>
    <x v="2"/>
    <x v="9"/>
    <n v="-1582.23"/>
    <m/>
    <m/>
    <n v="0"/>
  </r>
  <r>
    <x v="83"/>
    <x v="2"/>
    <x v="9"/>
    <n v="-2227.5100000000002"/>
    <m/>
    <m/>
    <n v="0"/>
  </r>
  <r>
    <x v="83"/>
    <x v="2"/>
    <x v="18"/>
    <n v="250"/>
    <m/>
    <m/>
    <n v="0"/>
  </r>
  <r>
    <x v="83"/>
    <x v="2"/>
    <x v="17"/>
    <n v="1980"/>
    <m/>
    <m/>
    <n v="0"/>
  </r>
  <r>
    <x v="84"/>
    <x v="2"/>
    <x v="9"/>
    <n v="-1586.41"/>
    <m/>
    <m/>
    <n v="0"/>
  </r>
  <r>
    <x v="85"/>
    <x v="2"/>
    <x v="19"/>
    <n v="8232.9599999999991"/>
    <m/>
    <m/>
    <n v="0"/>
  </r>
  <r>
    <x v="85"/>
    <x v="2"/>
    <x v="9"/>
    <n v="-958.98"/>
    <m/>
    <m/>
    <n v="0"/>
  </r>
  <r>
    <x v="85"/>
    <x v="2"/>
    <x v="9"/>
    <n v="-795.99"/>
    <m/>
    <m/>
    <n v="0"/>
  </r>
  <r>
    <x v="86"/>
    <x v="2"/>
    <x v="9"/>
    <n v="-1743.12"/>
    <m/>
    <m/>
    <n v="0"/>
  </r>
  <r>
    <x v="87"/>
    <x v="2"/>
    <x v="9"/>
    <n v="-872.73"/>
    <m/>
    <m/>
    <n v="0"/>
  </r>
  <r>
    <x v="87"/>
    <x v="2"/>
    <x v="17"/>
    <n v="200"/>
    <m/>
    <m/>
    <n v="0"/>
  </r>
  <r>
    <x v="88"/>
    <x v="2"/>
    <x v="9"/>
    <n v="-2954.62"/>
    <m/>
    <m/>
    <n v="0"/>
  </r>
  <r>
    <x v="89"/>
    <x v="2"/>
    <x v="19"/>
    <n v="7346.19"/>
    <m/>
    <m/>
    <n v="0"/>
  </r>
  <r>
    <x v="89"/>
    <x v="2"/>
    <x v="9"/>
    <n v="-613.99"/>
    <m/>
    <m/>
    <n v="0"/>
  </r>
  <r>
    <x v="89"/>
    <x v="2"/>
    <x v="9"/>
    <n v="-1507.01"/>
    <m/>
    <m/>
    <n v="0"/>
  </r>
  <r>
    <x v="89"/>
    <x v="2"/>
    <x v="9"/>
    <n v="-4518.04"/>
    <m/>
    <m/>
    <n v="0"/>
  </r>
  <r>
    <x v="90"/>
    <x v="2"/>
    <x v="9"/>
    <n v="-1388.65"/>
    <m/>
    <m/>
    <n v="0"/>
  </r>
  <r>
    <x v="90"/>
    <x v="2"/>
    <x v="9"/>
    <n v="-640.39"/>
    <m/>
    <m/>
    <n v="0"/>
  </r>
  <r>
    <x v="90"/>
    <x v="2"/>
    <x v="18"/>
    <n v="300"/>
    <m/>
    <m/>
    <n v="0"/>
  </r>
  <r>
    <x v="91"/>
    <x v="2"/>
    <x v="19"/>
    <n v="8705.2516350000005"/>
    <m/>
    <m/>
    <n v="0"/>
  </r>
  <r>
    <x v="92"/>
    <x v="2"/>
    <x v="9"/>
    <n v="-381.63"/>
    <m/>
    <m/>
    <n v="0"/>
  </r>
  <r>
    <x v="92"/>
    <x v="2"/>
    <x v="9"/>
    <n v="-980.92"/>
    <m/>
    <m/>
    <n v="0"/>
  </r>
  <r>
    <x v="93"/>
    <x v="2"/>
    <x v="9"/>
    <n v="-466.49"/>
    <m/>
    <m/>
    <n v="0"/>
  </r>
  <r>
    <x v="93"/>
    <x v="2"/>
    <x v="9"/>
    <n v="-323.26"/>
    <m/>
    <m/>
    <n v="0"/>
  </r>
  <r>
    <x v="93"/>
    <x v="2"/>
    <x v="18"/>
    <n v="3500"/>
    <m/>
    <m/>
    <n v="0"/>
  </r>
  <r>
    <x v="94"/>
    <x v="2"/>
    <x v="9"/>
    <n v="-933.18"/>
    <m/>
    <m/>
    <n v="0"/>
  </r>
  <r>
    <x v="95"/>
    <x v="2"/>
    <x v="9"/>
    <n v="-587.89"/>
    <m/>
    <m/>
    <n v="0"/>
  </r>
  <r>
    <x v="96"/>
    <x v="2"/>
    <x v="9"/>
    <n v="-538.79"/>
    <m/>
    <m/>
    <n v="0"/>
  </r>
  <r>
    <x v="96"/>
    <x v="2"/>
    <x v="9"/>
    <n v="-508.76"/>
    <m/>
    <m/>
    <n v="0"/>
  </r>
  <r>
    <x v="96"/>
    <x v="2"/>
    <x v="19"/>
    <n v="3695.02"/>
    <m/>
    <m/>
    <n v="0"/>
  </r>
  <r>
    <x v="97"/>
    <x v="2"/>
    <x v="9"/>
    <n v="-768.34"/>
    <m/>
    <m/>
    <n v="0"/>
  </r>
  <r>
    <x v="98"/>
    <x v="2"/>
    <x v="9"/>
    <n v="-4945.76"/>
    <m/>
    <m/>
    <n v="0"/>
  </r>
  <r>
    <x v="98"/>
    <x v="2"/>
    <x v="9"/>
    <n v="-615.64"/>
    <m/>
    <m/>
    <n v="0"/>
  </r>
  <r>
    <x v="99"/>
    <x v="2"/>
    <x v="29"/>
    <n v="-4792.97"/>
    <m/>
    <m/>
    <n v="0"/>
  </r>
  <r>
    <x v="99"/>
    <x v="2"/>
    <x v="18"/>
    <n v="3250"/>
    <m/>
    <m/>
    <n v="0"/>
  </r>
  <r>
    <x v="99"/>
    <x v="2"/>
    <x v="28"/>
    <n v="750"/>
    <m/>
    <m/>
    <n v="0"/>
  </r>
  <r>
    <x v="100"/>
    <x v="2"/>
    <x v="18"/>
    <n v="300"/>
    <m/>
    <m/>
    <n v="0"/>
  </r>
  <r>
    <x v="100"/>
    <x v="2"/>
    <x v="19"/>
    <n v="7411.58"/>
    <m/>
    <m/>
    <n v="0"/>
  </r>
  <r>
    <x v="101"/>
    <x v="2"/>
    <x v="9"/>
    <n v="-1623.68"/>
    <m/>
    <m/>
    <n v="0"/>
  </r>
  <r>
    <x v="101"/>
    <x v="2"/>
    <x v="7"/>
    <n v="-6654.45"/>
    <m/>
    <m/>
    <n v="0"/>
  </r>
  <r>
    <x v="101"/>
    <x v="2"/>
    <x v="18"/>
    <n v="300"/>
    <m/>
    <m/>
    <n v="0"/>
  </r>
  <r>
    <x v="102"/>
    <x v="2"/>
    <x v="17"/>
    <n v="500"/>
    <m/>
    <m/>
    <n v="0"/>
  </r>
  <r>
    <x v="102"/>
    <x v="2"/>
    <x v="9"/>
    <n v="-3330.68"/>
    <m/>
    <m/>
    <n v="0"/>
  </r>
  <r>
    <x v="103"/>
    <x v="2"/>
    <x v="19"/>
    <n v="4954.3717800000013"/>
    <m/>
    <m/>
    <n v="0"/>
  </r>
  <r>
    <x v="103"/>
    <x v="2"/>
    <x v="18"/>
    <n v="600"/>
    <m/>
    <m/>
    <n v="0"/>
  </r>
  <r>
    <x v="104"/>
    <x v="2"/>
    <x v="9"/>
    <n v="-659.38"/>
    <m/>
    <m/>
    <n v="0"/>
  </r>
  <r>
    <x v="104"/>
    <x v="2"/>
    <x v="9"/>
    <n v="-952.95"/>
    <m/>
    <m/>
    <n v="0"/>
  </r>
  <r>
    <x v="105"/>
    <x v="2"/>
    <x v="9"/>
    <n v="-563.63"/>
    <m/>
    <m/>
    <n v="0"/>
  </r>
  <r>
    <x v="105"/>
    <x v="2"/>
    <x v="9"/>
    <n v="-309.26"/>
    <m/>
    <m/>
    <n v="0"/>
  </r>
  <r>
    <x v="105"/>
    <x v="2"/>
    <x v="9"/>
    <n v="-513.35"/>
    <m/>
    <m/>
    <n v="0"/>
  </r>
  <r>
    <x v="105"/>
    <x v="2"/>
    <x v="9"/>
    <n v="-1232.31"/>
    <m/>
    <m/>
    <n v="0"/>
  </r>
  <r>
    <x v="105"/>
    <x v="2"/>
    <x v="18"/>
    <n v="2900"/>
    <m/>
    <m/>
    <n v="0"/>
  </r>
  <r>
    <x v="105"/>
    <x v="2"/>
    <x v="17"/>
    <n v="2000"/>
    <m/>
    <m/>
    <n v="0"/>
  </r>
  <r>
    <x v="106"/>
    <x v="2"/>
    <x v="9"/>
    <n v="-205.9"/>
    <m/>
    <m/>
    <n v="0"/>
  </r>
  <r>
    <x v="106"/>
    <x v="2"/>
    <x v="9"/>
    <n v="-3813.79"/>
    <m/>
    <m/>
    <n v="0"/>
  </r>
  <r>
    <x v="106"/>
    <x v="2"/>
    <x v="9"/>
    <n v="-1315.26"/>
    <m/>
    <m/>
    <n v="0"/>
  </r>
  <r>
    <x v="106"/>
    <x v="2"/>
    <x v="9"/>
    <n v="-2247.63"/>
    <m/>
    <m/>
    <n v="0"/>
  </r>
  <r>
    <x v="106"/>
    <x v="2"/>
    <x v="5"/>
    <n v="-323.60000000000002"/>
    <m/>
    <m/>
    <n v="0"/>
  </r>
  <r>
    <x v="106"/>
    <x v="2"/>
    <x v="29"/>
    <n v="-802.65"/>
    <m/>
    <m/>
    <n v="0"/>
  </r>
  <r>
    <x v="106"/>
    <x v="2"/>
    <x v="18"/>
    <n v="3000"/>
    <m/>
    <m/>
    <n v="0"/>
  </r>
  <r>
    <x v="107"/>
    <x v="2"/>
    <x v="29"/>
    <n v="-376.13"/>
    <m/>
    <m/>
    <n v="0"/>
  </r>
  <r>
    <x v="108"/>
    <x v="2"/>
    <x v="29"/>
    <n v="-12486.2"/>
    <m/>
    <m/>
    <n v="0"/>
  </r>
  <r>
    <x v="108"/>
    <x v="2"/>
    <x v="19"/>
    <n v="11815.02"/>
    <m/>
    <m/>
    <n v="0"/>
  </r>
  <r>
    <x v="108"/>
    <x v="2"/>
    <x v="18"/>
    <n v="1000"/>
    <m/>
    <m/>
    <n v="0"/>
  </r>
  <r>
    <x v="109"/>
    <x v="2"/>
    <x v="29"/>
    <n v="-2017.5224324999899"/>
    <m/>
    <m/>
    <n v="0"/>
  </r>
  <r>
    <x v="110"/>
    <x v="2"/>
    <x v="0"/>
    <n v="18405"/>
    <m/>
    <m/>
    <n v="0"/>
  </r>
  <r>
    <x v="110"/>
    <x v="2"/>
    <x v="0"/>
    <n v="28095"/>
    <m/>
    <m/>
    <n v="0"/>
  </r>
  <r>
    <x v="110"/>
    <x v="2"/>
    <x v="29"/>
    <n v="-11146.52"/>
    <m/>
    <m/>
    <n v="0"/>
  </r>
  <r>
    <x v="111"/>
    <x v="2"/>
    <x v="9"/>
    <n v="-210.04"/>
    <m/>
    <m/>
    <n v="0"/>
  </r>
  <r>
    <x v="111"/>
    <x v="2"/>
    <x v="31"/>
    <n v="-263.75"/>
    <m/>
    <m/>
    <n v="0"/>
  </r>
  <r>
    <x v="111"/>
    <x v="2"/>
    <x v="27"/>
    <n v="-2000"/>
    <m/>
    <m/>
    <n v="0"/>
  </r>
  <r>
    <x v="112"/>
    <x v="2"/>
    <x v="5"/>
    <n v="-12126.78"/>
    <m/>
    <m/>
    <n v="0"/>
  </r>
  <r>
    <x v="113"/>
    <x v="2"/>
    <x v="15"/>
    <n v="-1559.8"/>
    <m/>
    <m/>
    <n v="0"/>
  </r>
  <r>
    <x v="114"/>
    <x v="2"/>
    <x v="32"/>
    <n v="-6095.47"/>
    <m/>
    <m/>
    <n v="0"/>
  </r>
  <r>
    <x v="114"/>
    <x v="2"/>
    <x v="29"/>
    <n v="-6064.12"/>
    <m/>
    <m/>
    <n v="0"/>
  </r>
  <r>
    <x v="114"/>
    <x v="2"/>
    <x v="15"/>
    <n v="-2431.85"/>
    <m/>
    <m/>
    <n v="0"/>
  </r>
  <r>
    <x v="115"/>
    <x v="2"/>
    <x v="15"/>
    <n v="-4601.67"/>
    <m/>
    <m/>
    <n v="0"/>
  </r>
  <r>
    <x v="116"/>
    <x v="2"/>
    <x v="33"/>
    <n v="7915.45"/>
    <m/>
    <m/>
    <n v="0"/>
  </r>
  <r>
    <x v="103"/>
    <x v="2"/>
    <x v="18"/>
    <n v="400"/>
    <m/>
    <m/>
    <n v="0"/>
  </r>
  <r>
    <x v="117"/>
    <x v="2"/>
    <x v="15"/>
    <n v="-5521.57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x v="0"/>
    <s v="Jhon"/>
    <d v="2025-06-11T00:00:00"/>
    <d v="2025-06-15T00:00:00"/>
    <d v="2024-07-15T00:00:00"/>
    <d v="2027-07-15T00:00:00"/>
    <n v="4.3"/>
    <n v="4.640367533815235"/>
    <n v="9"/>
    <n v="12.541666666666666"/>
    <n v="1.6716666666666669"/>
    <n v="10"/>
    <m/>
    <n v="127.08833333333332"/>
    <n v="3500"/>
    <n v="92.050788089999998"/>
    <n v="92.665073804285711"/>
    <n v="3221.7775831499998"/>
    <n v="3243.2775831499998"/>
    <n v="3254.1475831499997"/>
    <n v="10.87"/>
    <n v="17.5"/>
    <n v="4"/>
    <n v="21.5"/>
    <m/>
    <n v="95.997330000000005"/>
    <m/>
    <n v="0"/>
    <n v="3359.9065500000002"/>
    <n v="33.6"/>
    <n v="4"/>
    <n v="3322.3065500000002"/>
    <n v="138.12896685000032"/>
    <n v="79.028966850000415"/>
    <n v="206.11730018333373"/>
    <n v="308"/>
    <n v="6.3552161324145567E-2"/>
    <n v="7.5313437932834848E-2"/>
    <n v="7.5748896006265776E-2"/>
    <n v="51.1"/>
    <m/>
  </r>
  <r>
    <x v="1"/>
    <x v="0"/>
    <s v="Jhon"/>
    <d v="2026-02-25T00:00:00"/>
    <d v="2026-03-11T00:00:00"/>
    <d v="2023-07-11T00:00:00"/>
    <d v="2033-07-11T00:00:00"/>
    <n v="6.5"/>
    <n v="7.9820037861132036"/>
    <n v="11.25"/>
    <n v="140.5625"/>
    <n v="74.962500000000006"/>
    <n v="1"/>
    <m/>
    <n v="215.52500000000001"/>
    <n v="25950"/>
    <n v="81.189640850000004"/>
    <n v="81.433186129383444"/>
    <n v="21068.711800575002"/>
    <n v="21131.911800575006"/>
    <n v="21197.511800575005"/>
    <n v="65.599999999999994"/>
    <n v="52.67"/>
    <n v="10.53"/>
    <n v="63.2"/>
    <m/>
    <n v="88.388559999999998"/>
    <m/>
    <n v="14.06"/>
    <n v="22936.831319999998"/>
    <n v="229.37"/>
    <n v="11.47"/>
    <n v="22695.991319999997"/>
    <n v="1868.1195194249958"/>
    <n v="1564.0795194249913"/>
    <n v="1793.6645194249913"/>
    <n v="48"/>
    <n v="8.4879424841068335E-2"/>
    <n v="0.64543729306229047"/>
    <n v="0.85800387506468745"/>
    <n v="282.04000000000002"/>
    <m/>
  </r>
  <r>
    <x v="2"/>
    <x v="0"/>
    <s v="Jhon"/>
    <d v="2025-03-13T00:00:00"/>
    <d v="2025-03-17T00:00:00"/>
    <d v="2023-05-17T00:00:00"/>
    <d v="2031-05-17T00:00:00"/>
    <n v="5.93"/>
    <n v="7.4503161726522809"/>
    <n v="11.25"/>
    <n v="59.300000000000004"/>
    <n v="7.9100000000000037"/>
    <n v="12"/>
    <m/>
    <n v="719.51"/>
    <n v="12000"/>
    <n v="79.304270860000003"/>
    <n v="79.593937526666664"/>
    <n v="9516.5125031999996"/>
    <n v="9551.2725031999998"/>
    <n v="9602.6625031999993"/>
    <n v="51.39"/>
    <n v="30"/>
    <n v="4.76"/>
    <n v="34.76"/>
    <m/>
    <n v="89.557850000000002"/>
    <m/>
    <n v="43.49"/>
    <n v="10746.941999999999"/>
    <n v="107.47"/>
    <n v="5.37"/>
    <n v="10634.101999999999"/>
    <n v="1230.4294967999995"/>
    <n v="1082.8294967999991"/>
    <n v="1845.8294967999991"/>
    <n v="392"/>
    <n v="0.19325482506980968"/>
    <n v="0.17994390599612381"/>
    <n v="0.17882138103046952"/>
    <n v="137.47"/>
    <m/>
  </r>
  <r>
    <x v="2"/>
    <x v="0"/>
    <s v="Jhon"/>
    <d v="2025-03-10T00:00:00"/>
    <d v="2025-04-11T00:00:00"/>
    <d v="2023-07-11T00:00:00"/>
    <d v="2032-07-11T00:00:00"/>
    <n v="6.21"/>
    <n v="7.8610262547473315"/>
    <n v="11.25"/>
    <n v="31.878"/>
    <n v="31.878"/>
    <n v="12"/>
    <m/>
    <n v="414.41399999999999"/>
    <n v="6160"/>
    <n v="78.696182800000003"/>
    <n v="78.997319163636362"/>
    <n v="4847.6848604799998"/>
    <n v="4866.23486048"/>
    <n v="4866.23486048"/>
    <n v="0"/>
    <n v="14.55"/>
    <n v="4"/>
    <n v="18.55"/>
    <m/>
    <n v="89.340159999999997"/>
    <m/>
    <n v="29.754154195479408"/>
    <n v="5503.3538560000006"/>
    <n v="55.032469811126013"/>
    <n v="2.75289503560739"/>
    <n v="5445.5684911532671"/>
    <n v="655.66899552000086"/>
    <n v="579.33363067326718"/>
    <n v="1023.5017848687465"/>
    <n v="395"/>
    <n v="0.210327247700451"/>
    <n v="0.19435302635611296"/>
    <n v="0.19290647124430937"/>
    <n v="69.582469811126018"/>
    <m/>
  </r>
  <r>
    <x v="2"/>
    <x v="0"/>
    <s v="Jhon"/>
    <d v="2026-02-04T00:00:00"/>
    <d v="2026-02-11T00:00:00"/>
    <d v="2023-07-11T00:00:00"/>
    <d v="2032-07-11T00:00:00"/>
    <n v="6.21"/>
    <n v="7.5394021598707974"/>
    <n v="11"/>
    <n v="18.262575000000002"/>
    <n v="4.2625750000000018"/>
    <n v="1"/>
    <m/>
    <n v="22.525150000000004"/>
    <n v="3529"/>
    <n v="82.007964950000002"/>
    <n v="82.367273536001704"/>
    <n v="2894.0610830855003"/>
    <n v="2906.7410830855001"/>
    <n v="2920.7410830855001"/>
    <n v="14"/>
    <n v="8.68"/>
    <n v="4"/>
    <n v="12.68"/>
    <m/>
    <n v="89.340159999999997"/>
    <m/>
    <n v="17.045845804520589"/>
    <n v="3152.8142463999998"/>
    <n v="31.527530188873978"/>
    <n v="1.5771049643926101"/>
    <n v="3119.7096112467329"/>
    <n v="258.75316331449949"/>
    <n v="212.96852816123283"/>
    <n v="252.5395239657534"/>
    <n v="64"/>
    <n v="8.6880639433383311E-2"/>
    <n v="0.49549114676851419"/>
    <n v="0.60823544266991703"/>
    <n v="40.207530188873974"/>
    <m/>
  </r>
  <r>
    <x v="2"/>
    <x v="0"/>
    <s v="Jhon"/>
    <d v="2024-10-25T00:00:00"/>
    <d v="2024-11-18T00:00:00"/>
    <d v="2023-10-18T00:00:00"/>
    <d v="2029-10-18T00:00:00"/>
    <n v="5.36"/>
    <n v="7.3038866053650038"/>
    <n v="13"/>
    <n v="44.666666666666664"/>
    <n v="34.246666666666663"/>
    <n v="16"/>
    <m/>
    <n v="748.9133333333333"/>
    <n v="10000"/>
    <n v="73.126186189999999"/>
    <n v="73.385586189999998"/>
    <n v="7312.6186189999999"/>
    <n v="7338.5586190000004"/>
    <n v="7348.9786190000004"/>
    <n v="10.42"/>
    <n v="21.94"/>
    <n v="4"/>
    <n v="25.94"/>
    <m/>
    <n v="91.057169999999999"/>
    <m/>
    <n v="31.27"/>
    <n v="9105.7169999999987"/>
    <n v="91.06"/>
    <n v="4.55"/>
    <n v="9010.107"/>
    <n v="1793.0983809999989"/>
    <n v="1671.5483809999996"/>
    <n v="2451.731714333333"/>
    <n v="531"/>
    <n v="0.33408900052738449"/>
    <n v="0.22964686476929441"/>
    <n v="0.2191294369542347"/>
    <n v="113"/>
    <m/>
  </r>
  <r>
    <x v="2"/>
    <x v="0"/>
    <s v="Jhon"/>
    <d v="2024-11-19T00:00:00"/>
    <d v="2024-12-12T00:00:00"/>
    <d v="2024-06-12T00:00:00"/>
    <d v="2029-06-12T00:00:00"/>
    <n v="5.07"/>
    <n v="6.8319580053597289"/>
    <n v="13"/>
    <n v="34.222500000000004"/>
    <n v="26.232500000000002"/>
    <n v="16"/>
    <m/>
    <n v="573.79250000000002"/>
    <n v="8100"/>
    <n v="73.938699999999997"/>
    <n v="74.210058024691349"/>
    <n v="5989.0347000000002"/>
    <n v="6011.0146999999997"/>
    <n v="6019.0046999999995"/>
    <n v="7.99"/>
    <n v="17.98"/>
    <n v="4"/>
    <n v="21.98"/>
    <m/>
    <n v="91.151719999999997"/>
    <m/>
    <n v="30.8"/>
    <n v="7383.2893199999999"/>
    <n v="73.83"/>
    <n v="4"/>
    <n v="7305.4593199999999"/>
    <n v="1394.2546199999997"/>
    <n v="1294.4446200000002"/>
    <n v="1899.0371200000002"/>
    <n v="506"/>
    <n v="0.31592621458736414"/>
    <n v="0.22789143937626069"/>
    <n v="0.21900907817313398"/>
    <n v="91.81"/>
    <m/>
  </r>
  <r>
    <x v="2"/>
    <x v="0"/>
    <s v="Jhon"/>
    <d v="2024-10-22T00:00:00"/>
    <d v="2024-11-12T00:00:00"/>
    <d v="2024-06-12T00:00:00"/>
    <d v="2030-06-12T00:00:00"/>
    <n v="5.36"/>
    <n v="7.6568367166648414"/>
    <n v="13.25"/>
    <n v="30.998666666666669"/>
    <n v="20.668666666666667"/>
    <n v="17"/>
    <m/>
    <n v="547.64600000000007"/>
    <n v="6940"/>
    <n v="69.740839129999998"/>
    <n v="70.002798784178665"/>
    <n v="4840.0142356219994"/>
    <n v="4858.1942356219988"/>
    <n v="4868.5242356219987"/>
    <n v="10.33"/>
    <n v="14.18"/>
    <n v="4"/>
    <n v="18.18"/>
    <m/>
    <n v="89.245310000000003"/>
    <m/>
    <n v="27.898661338661341"/>
    <n v="6193.6245140000001"/>
    <n v="61.93308691308691"/>
    <n v="3.0990809190809192"/>
    <n v="6128.5923461678321"/>
    <n v="1353.6102783780007"/>
    <n v="1270.3981105458333"/>
    <n v="1845.942771884495"/>
    <n v="534"/>
    <n v="0.37996479398649596"/>
    <n v="0.25971376367990828"/>
    <n v="0.24624280434490431"/>
    <n v="76.113086913086903"/>
    <m/>
  </r>
  <r>
    <x v="2"/>
    <x v="0"/>
    <s v="Jhon"/>
    <d v="2024-10-25T00:00:00"/>
    <d v="2024-11-12T00:00:00"/>
    <d v="2024-06-12T00:00:00"/>
    <d v="2030-06-12T00:00:00"/>
    <n v="5.36"/>
    <n v="7.6321760849195632"/>
    <n v="13.25"/>
    <n v="13.712666666666669"/>
    <n v="7.7726666666666686"/>
    <n v="17"/>
    <m/>
    <n v="240.88800000000006"/>
    <n v="3070"/>
    <n v="69.772961589999994"/>
    <n v="70.228987648631929"/>
    <n v="2142.029920813"/>
    <n v="2156.0299208130004"/>
    <n v="2161.9699208130005"/>
    <n v="5.94"/>
    <n v="10"/>
    <n v="4"/>
    <n v="14"/>
    <m/>
    <n v="89.245310000000003"/>
    <m/>
    <n v="12.341338661338661"/>
    <n v="2739.831017"/>
    <n v="27.396913086913081"/>
    <n v="1.370919080919081"/>
    <n v="2711.0631848321677"/>
    <n v="597.80109618699998"/>
    <n v="555.03326401916729"/>
    <n v="808.26260268050601"/>
    <n v="531"/>
    <n v="0.37488468730328406"/>
    <n v="0.25768909767551545"/>
    <n v="0.24463437049247494"/>
    <n v="37.396913086913081"/>
    <m/>
  </r>
  <r>
    <x v="2"/>
    <x v="0"/>
    <s v="Jhon"/>
    <d v="2025-05-21T00:00:00"/>
    <d v="2025-05-27T00:00:00"/>
    <d v="2024-06-27T00:00:00"/>
    <d v="2032-06-27T00:00:00"/>
    <n v="5.93"/>
    <n v="7.6105252051048673"/>
    <n v="11"/>
    <n v="40.768750000000004"/>
    <n v="8.1487500000000068"/>
    <n v="10"/>
    <m/>
    <n v="415.83625000000006"/>
    <n v="8250"/>
    <n v="77.636952399999998"/>
    <n v="77.918406945454549"/>
    <n v="6405.048573"/>
    <n v="6428.2685730000003"/>
    <n v="6460.8885730000002"/>
    <n v="32.619999999999997"/>
    <n v="19.22"/>
    <n v="4"/>
    <n v="23.22"/>
    <m/>
    <n v="87.792270000000002"/>
    <m/>
    <n v="16.309999999999999"/>
    <n v="7242.8622750000004"/>
    <n v="72.430000000000007"/>
    <n v="4"/>
    <n v="7166.4322750000001"/>
    <n v="837.81370200000038"/>
    <n v="738.16370199999983"/>
    <n v="1170.3099519999998"/>
    <n v="323"/>
    <n v="0.18205679160879076"/>
    <n v="0.20572981095111029"/>
    <n v="0.20804629023955301"/>
    <n v="91.65"/>
    <m/>
  </r>
  <r>
    <x v="2"/>
    <x v="0"/>
    <s v="Jhon"/>
    <d v="2026-03-02T00:00:00"/>
    <d v="2026-03-25T00:00:00"/>
    <d v="2024-07-25T00:00:00"/>
    <d v="2032-07-25T00:00:00"/>
    <n v="5.93"/>
    <n v="7.3514831415049997"/>
    <n v="10.75"/>
    <n v="111.68166666666667"/>
    <n v="85.62166666666667"/>
    <n v="0"/>
    <m/>
    <n v="85.62166666666667"/>
    <n v="22600"/>
    <n v="80.422711899999996"/>
    <n v="80.663995085840696"/>
    <n v="18175.532889399998"/>
    <n v="18230.062889399996"/>
    <n v="18256.122889399998"/>
    <n v="26.06"/>
    <n v="45.44"/>
    <n v="9.09"/>
    <n v="54.53"/>
    <m/>
    <n v="87.164420000000007"/>
    <m/>
    <n v="52.120441537203597"/>
    <n v="19699.158920000002"/>
    <n v="196.98773507767791"/>
    <n v="9.8493867538838913"/>
    <n v="19492.321798168439"/>
    <n v="1523.626030600004"/>
    <n v="1262.2589087684428"/>
    <n v="1400.001016972313"/>
    <n v="38"/>
    <n v="7.6796280159096647E-2"/>
    <n v="0.73764848047553355"/>
    <n v="1.0354065662333873"/>
    <n v="242.42773507767791"/>
    <m/>
  </r>
  <r>
    <x v="2"/>
    <x v="0"/>
    <s v="Jhon"/>
    <d v="2025-06-19T00:00:00"/>
    <d v="2025-06-25T00:00:00"/>
    <d v="2024-07-25T00:00:00"/>
    <d v="2032-07-25T00:00:00"/>
    <n v="5.93"/>
    <n v="7.3834546907154213"/>
    <n v="10.5"/>
    <n v="9.1914999999999996"/>
    <n v="1.8414999999999999"/>
    <n v="9"/>
    <m/>
    <n v="84.564999999999998"/>
    <n v="1860"/>
    <n v="79.562018809999998"/>
    <n v="80.314706982043006"/>
    <n v="1479.8535498659999"/>
    <n v="1493.8535498659999"/>
    <n v="1501.2035498659998"/>
    <n v="7.35"/>
    <n v="10"/>
    <n v="4"/>
    <n v="14"/>
    <m/>
    <n v="87.164420000000007"/>
    <m/>
    <n v="4.2895584627964016"/>
    <n v="1621.258212"/>
    <n v="16.212264922322159"/>
    <n v="0.81061324611610786"/>
    <n v="1604.2353338315615"/>
    <n v="141.40466213400009"/>
    <n v="110.38178396556168"/>
    <n v="199.23634242835809"/>
    <n v="294"/>
    <n v="0.13337073265731422"/>
    <n v="0.16557931095210779"/>
    <n v="0.16816084446088686"/>
    <n v="26.212264922322159"/>
    <m/>
  </r>
  <r>
    <x v="2"/>
    <x v="0"/>
    <s v="Cristian"/>
    <d v="2024-12-23T00:00:00"/>
    <d v="2025-01-03T00:00:00"/>
    <d v="2023-07-03T00:00:00"/>
    <d v="2029-07-03T00:00:00"/>
    <n v="5.36"/>
    <n v="7.1167314757507292"/>
    <n v="13"/>
    <n v="43.371333333333332"/>
    <n v="14.461333333333332"/>
    <n v="15"/>
    <m/>
    <n v="665.03133333333324"/>
    <n v="9710"/>
    <n v="75.049149999999997"/>
    <n v="75.315473377960856"/>
    <n v="7287.272465"/>
    <n v="7313.1324649999988"/>
    <n v="7342.0424649999986"/>
    <n v="28.91"/>
    <n v="21.86"/>
    <n v="4"/>
    <n v="25.86"/>
    <m/>
    <n v="91.757549999999995"/>
    <m/>
    <n v="8.67"/>
    <n v="8909.6581049999986"/>
    <n v="89.1"/>
    <n v="4.45"/>
    <n v="8816.1081049999975"/>
    <n v="1622.3856399999986"/>
    <n v="1502.9756399999987"/>
    <n v="2176.6769733333322"/>
    <n v="472"/>
    <n v="0.29763948400370355"/>
    <n v="0.23016612640116907"/>
    <n v="0.22321445179995569"/>
    <n v="110.96"/>
    <m/>
  </r>
  <r>
    <x v="2"/>
    <x v="0"/>
    <s v="Cristian"/>
    <d v="2025-02-19T00:00:00"/>
    <d v="2025-03-04T00:00:00"/>
    <d v="2024-12-04T00:00:00"/>
    <d v="2031-12-04T00:00:00"/>
    <n v="5.64"/>
    <n v="7.4222859786356219"/>
    <n v="11"/>
    <n v="31.160999999999998"/>
    <n v="15.580999999999998"/>
    <n v="13"/>
    <m/>
    <n v="420.67399999999998"/>
    <n v="6630"/>
    <n v="75.775455690000001"/>
    <n v="75.987371225444946"/>
    <n v="5023.9127122469999"/>
    <n v="5037.9627122470001"/>
    <n v="5053.5427122470001"/>
    <n v="15.58"/>
    <n v="10.050000000000001"/>
    <n v="4"/>
    <n v="14.05"/>
    <m/>
    <n v="86.210440000000006"/>
    <m/>
    <n v="5.195955555555555"/>
    <n v="5715.7521720000004"/>
    <n v="57.15551111111111"/>
    <n v="2.8582666666666672"/>
    <n v="5655.7383942222223"/>
    <n v="691.83945975300048"/>
    <n v="617.77568197522214"/>
    <n v="1043.6456375307778"/>
    <n v="414"/>
    <n v="0.20715628462150676"/>
    <n v="0.18263778716630424"/>
    <n v="0.18055487055467756"/>
    <n v="67.205511111111107"/>
    <m/>
  </r>
  <r>
    <x v="2"/>
    <x v="0"/>
    <s v="Cristian"/>
    <d v="2025-02-20T00:00:00"/>
    <d v="2025-03-04T00:00:00"/>
    <d v="2024-12-04T00:00:00"/>
    <d v="2031-12-04T00:00:00"/>
    <n v="5.64"/>
    <n v="7.6039315656211848"/>
    <n v="11.5"/>
    <n v="32.288999999999994"/>
    <n v="15.068999999999996"/>
    <n v="13"/>
    <m/>
    <n v="434.82599999999996"/>
    <n v="6870"/>
    <n v="73.892243559999997"/>
    <n v="74.172156223755451"/>
    <n v="5076.3971325719995"/>
    <n v="5095.6271325719999"/>
    <n v="5112.8471325720002"/>
    <n v="17.22"/>
    <n v="15.23"/>
    <n v="4"/>
    <n v="19.23"/>
    <m/>
    <n v="86.210440000000006"/>
    <m/>
    <n v="5.3840444444444451"/>
    <n v="5922.657228"/>
    <n v="59.224488888888892"/>
    <n v="2.961733333333334"/>
    <n v="5860.4710057777775"/>
    <n v="846.26009542800057"/>
    <n v="764.84387320577753"/>
    <n v="1205.053917650222"/>
    <n v="413"/>
    <n v="0.23648785248577936"/>
    <n v="0.20900258149469603"/>
    <n v="0.2063554617256329"/>
    <n v="74.454488888888889"/>
    <m/>
  </r>
  <r>
    <x v="3"/>
    <x v="0"/>
    <s v="Jhon"/>
    <d v="2023-09-22T00:00:00"/>
    <d v="2023-10-17T00:00:00"/>
    <d v="2023-05-17T00:00:00"/>
    <d v="2032-05-17T00:00:00"/>
    <n v="6.21"/>
    <n v="9.0035993977045425"/>
    <n v="13"/>
    <n v="47.183062500000005"/>
    <n v="34.603062500000007"/>
    <n v="30"/>
    <m/>
    <n v="1450.0949375000002"/>
    <n v="9117.5"/>
    <n v="68.722347099999993"/>
    <n v="68.972415649492731"/>
    <n v="6265.7599968425002"/>
    <n v="6288.5599968424995"/>
    <n v="6301.1399968424994"/>
    <n v="12.58"/>
    <n v="18.8"/>
    <n v="4"/>
    <n v="22.8"/>
    <m/>
    <n v="89.605003530000005"/>
    <m/>
    <n v="31.455764304013659"/>
    <n v="8169.7361968477499"/>
    <n v="45.588449521984543"/>
    <n v="3.4638561996209201"/>
    <n v="8120.6838911261448"/>
    <n v="1903.9762000052497"/>
    <n v="1832.1238942836453"/>
    <n v="3313.6745960876592"/>
    <n v="928"/>
    <n v="0.52693694546151471"/>
    <n v="0.207254294281738"/>
    <n v="0.18113714109279599"/>
    <n v="64.388449521984541"/>
    <m/>
  </r>
  <r>
    <x v="3"/>
    <x v="0"/>
    <s v="Jhon"/>
    <d v="2023-11-01T00:00:00"/>
    <d v="2023-11-17T00:00:00"/>
    <d v="2023-05-17T00:00:00"/>
    <d v="2032-05-17T00:00:00"/>
    <n v="6.21"/>
    <n v="8.7050501907120896"/>
    <n v="12.5"/>
    <n v="14.49"/>
    <n v="7.73"/>
    <n v="29"/>
    <m/>
    <n v="427.94"/>
    <n v="2800"/>
    <n v="70.837900000000005"/>
    <n v="71.337900000000005"/>
    <n v="1983.4612000000002"/>
    <n v="1997.4612000000002"/>
    <n v="2004.2212000000002"/>
    <n v="6.76"/>
    <n v="10"/>
    <n v="4"/>
    <n v="14"/>
    <m/>
    <n v="89.605003530000005"/>
    <m/>
    <n v="9.6601195559350987"/>
    <n v="2508.9400988399998"/>
    <n v="14.000291599841701"/>
    <n v="1.063756222532336"/>
    <n v="2493.8760510176257"/>
    <n v="525.4788988399996"/>
    <n v="496.41485101762555"/>
    <n v="934.01497057356073"/>
    <n v="888"/>
    <n v="0.46760105806989427"/>
    <n v="0.19220088535530563"/>
    <n v="0.17079780229007735"/>
    <n v="24.000291599841702"/>
    <m/>
  </r>
  <r>
    <x v="3"/>
    <x v="0"/>
    <s v="Jhon"/>
    <d v="2025-01-30T00:00:00"/>
    <d v="2025-02-17T00:00:00"/>
    <d v="2023-05-17T00:00:00"/>
    <d v="2032-05-17T00:00:00"/>
    <n v="6.21"/>
    <n v="8.1299147375194121"/>
    <n v="12"/>
    <n v="50.663250000000005"/>
    <n v="28.713250000000006"/>
    <n v="13"/>
    <m/>
    <n v="687.33550000000014"/>
    <n v="9790"/>
    <n v="76.112654800000001"/>
    <n v="76.384564912359551"/>
    <n v="7451.4289049200006"/>
    <n v="7478.0489049200005"/>
    <n v="7499.9989049200003"/>
    <n v="21.95"/>
    <n v="22.62"/>
    <n v="4"/>
    <n v="26.62"/>
    <m/>
    <n v="89.605003530000005"/>
    <m/>
    <n v="33.775918018787358"/>
    <n v="8772.3298455870008"/>
    <n v="48.951019558017947"/>
    <n v="3.7193476494969899"/>
    <n v="8719.6594783794844"/>
    <n v="1320.9009406670002"/>
    <n v="1241.6105734594839"/>
    <n v="1962.7219914782713"/>
    <n v="432"/>
    <n v="0.26246444980948791"/>
    <n v="0.22175815782514602"/>
    <n v="0.21764535379356498"/>
    <n v="71.571019558017952"/>
    <m/>
  </r>
  <r>
    <x v="3"/>
    <x v="0"/>
    <s v="Jhon"/>
    <d v="2025-06-16T00:00:00"/>
    <d v="2025-06-17T00:00:00"/>
    <d v="2023-05-17T00:00:00"/>
    <d v="2032-05-17T00:00:00"/>
    <n v="6.21"/>
    <n v="7.397094759223533"/>
    <n v="10.5"/>
    <n v="2.8255499999999998"/>
    <n v="9.5549999999999802E-2"/>
    <n v="9"/>
    <m/>
    <n v="25.525499999999997"/>
    <n v="546"/>
    <n v="82.486676970000005"/>
    <n v="83.951878435201479"/>
    <n v="450.37725625620004"/>
    <n v="458.37725625620004"/>
    <n v="461.10725625620006"/>
    <n v="2.73"/>
    <n v="4"/>
    <n v="4"/>
    <n v="8"/>
    <m/>
    <n v="89.605003530000005"/>
    <m/>
    <n v="1.8837233134073439"/>
    <n v="489.24331927380001"/>
    <n v="2.7300568619691319"/>
    <n v="0.20743246339380561"/>
    <n v="486.30582994843707"/>
    <n v="38.86606301759997"/>
    <n v="27.928573692237023"/>
    <n v="55.337797005644362"/>
    <n v="295"/>
    <n v="0.12072544230840829"/>
    <n v="0.14937215743243737"/>
    <n v="0.15144927730441959"/>
    <n v="6.7300568619691319"/>
    <m/>
  </r>
  <r>
    <x v="3"/>
    <x v="0"/>
    <s v="Jhon"/>
    <d v="2026-02-20T00:00:00"/>
    <d v="2026-03-17T00:00:00"/>
    <d v="2023-05-17T00:00:00"/>
    <d v="2032-05-17T00:00:00"/>
    <n v="6.21"/>
    <n v="7.3877592340912557"/>
    <n v="10.75"/>
    <n v="9.0665999999999993"/>
    <n v="6.6465999999999994"/>
    <n v="0"/>
    <m/>
    <n v="6.6465999999999994"/>
    <n v="1752"/>
    <n v="83.412416089999994"/>
    <n v="84.057964035205472"/>
    <n v="1461.3855298968001"/>
    <n v="1472.6955298968001"/>
    <n v="1475.1155298968001"/>
    <n v="2.42"/>
    <n v="7.31"/>
    <n v="4"/>
    <n v="11.309999999999999"/>
    <m/>
    <n v="89.605003530000005"/>
    <m/>
    <n v="6.044474807856532"/>
    <n v="1569.8796618456001"/>
    <n v="8.7601824581866659"/>
    <n v="0.66560746495594758"/>
    <n v="1560.4538719224577"/>
    <n v="108.49413194880003"/>
    <n v="87.758342025657612"/>
    <n v="100.44941683351415"/>
    <n v="46"/>
    <n v="6.8207864283089933E-2"/>
    <n v="0.54121457528973527"/>
    <n v="0.68801893211710552"/>
    <n v="16.070182458186665"/>
    <m/>
  </r>
  <r>
    <x v="3"/>
    <x v="0"/>
    <s v="Jhon"/>
    <d v="2024-07-19T00:00:00"/>
    <d v="2024-07-24T00:00:00"/>
    <d v="2023-05-24T00:00:00"/>
    <d v="2030-05-24T00:00:00"/>
    <n v="5.64"/>
    <n v="8.176165230035517"/>
    <n v="14"/>
    <n v="36.283999999999999"/>
    <n v="6.0440000000000005"/>
    <n v="20"/>
    <m/>
    <n v="731.72399999999993"/>
    <n v="7720"/>
    <n v="68.722962339999995"/>
    <n v="68.980993428082911"/>
    <n v="5305.4126926480003"/>
    <n v="5325.3326926480013"/>
    <n v="5355.5726926480011"/>
    <n v="30.24"/>
    <n v="15.92"/>
    <n v="4"/>
    <n v="19.920000000000002"/>
    <m/>
    <n v="90.380692679999996"/>
    <m/>
    <n v="15.72323252354982"/>
    <n v="6977.3894748959992"/>
    <n v="69.774714923153198"/>
    <n v="3.486822012890431"/>
    <n v="6904.1279379599555"/>
    <n v="1671.9767822479989"/>
    <n v="1578.7952453119542"/>
    <n v="2326.2424778355044"/>
    <n v="627"/>
    <n v="0.43682575570293414"/>
    <n v="0.25429250531351033"/>
    <n v="0.23489712183766098"/>
    <n v="85.694714923153199"/>
    <m/>
  </r>
  <r>
    <x v="3"/>
    <x v="0"/>
    <s v="Jhon"/>
    <d v="2024-12-11T00:00:00"/>
    <d v="2024-12-24T00:00:00"/>
    <d v="2023-05-24T00:00:00"/>
    <d v="2030-05-24T00:00:00"/>
    <n v="5.64"/>
    <n v="7.659996686390552"/>
    <n v="13"/>
    <n v="58.514999999999993"/>
    <n v="25.354999999999997"/>
    <n v="15"/>
    <m/>
    <n v="903.07999999999993"/>
    <n v="12450"/>
    <n v="73.287346959999994"/>
    <n v="73.629274670843358"/>
    <n v="9124.2746965199985"/>
    <n v="9166.8446965199983"/>
    <n v="9200.0046965199981"/>
    <n v="33.159999999999997"/>
    <n v="38.01"/>
    <n v="4.5599999999999996"/>
    <n v="42.57"/>
    <m/>
    <n v="90.380692679999996"/>
    <m/>
    <n v="25.35676747645017"/>
    <n v="11252.39623866"/>
    <n v="112.5252850768468"/>
    <n v="5.6231779871095684"/>
    <n v="11134.247775596043"/>
    <n v="2128.1215421400011"/>
    <n v="1967.4030790760444"/>
    <n v="2895.8398465524947"/>
    <n v="482"/>
    <n v="0.31590366613845222"/>
    <n v="0.23922165589322625"/>
    <n v="0.23107300389190399"/>
    <n v="150.5352850768468"/>
    <m/>
  </r>
  <r>
    <x v="3"/>
    <x v="0"/>
    <s v="Jhon"/>
    <d v="2024-07-19T00:00:00"/>
    <d v="2024-08-15T00:00:00"/>
    <d v="2022-12-15T00:00:00"/>
    <d v="2030-12-15T00:00:00"/>
    <n v="5.93"/>
    <n v="8.4787172626193001"/>
    <n v="14"/>
    <n v="131.89308333333332"/>
    <n v="114.30308333333332"/>
    <n v="20"/>
    <m/>
    <n v="2752.1647499999999"/>
    <n v="26690"/>
    <n v="69.695875770000001"/>
    <n v="69.93982481458599"/>
    <n v="18601.829243012999"/>
    <n v="18666.939243012999"/>
    <n v="18684.529243012999"/>
    <n v="17.59"/>
    <n v="55.81"/>
    <n v="9.3000000000000007"/>
    <n v="65.11"/>
    <m/>
    <n v="91.566382840000003"/>
    <m/>
    <n v="96.72"/>
    <n v="24439.067579996001"/>
    <n v="244.39"/>
    <n v="12.22"/>
    <n v="24182.457579996"/>
    <n v="5837.2383369830022"/>
    <n v="5515.5183369830011"/>
    <n v="8364.4030869830003"/>
    <n v="627"/>
    <n v="0.44808647942183566"/>
    <n v="0.26084779105098888"/>
    <n v="0.24052194938635196"/>
    <n v="300.2"/>
    <m/>
  </r>
  <r>
    <x v="3"/>
    <x v="0"/>
    <s v="Jhon"/>
    <d v="2025-05-28T00:00:00"/>
    <d v="2025-06-08T00:00:00"/>
    <d v="2025-05-08T00:00:00"/>
    <d v="2034-05-08T00:00:00"/>
    <n v="7.93"/>
    <n v="9.8593663519730139"/>
    <n v="12"/>
    <n v="113.66333333333334"/>
    <n v="37.88333333333334"/>
    <n v="10"/>
    <m/>
    <n v="1174.5166666666669"/>
    <n v="17200"/>
    <n v="80.150609099999997"/>
    <n v="80.431132355813958"/>
    <n v="13785.904765200001"/>
    <n v="13834.154765200001"/>
    <n v="13909.934765200001"/>
    <n v="75.78"/>
    <n v="41.36"/>
    <n v="6.89"/>
    <n v="48.25"/>
    <m/>
    <n v="92.384955239999996"/>
    <m/>
    <n v="109.8737373737374"/>
    <n v="15890.21230128"/>
    <n v="158.90404040404039"/>
    <n v="7.9444444444444446"/>
    <n v="15723.363816431514"/>
    <n v="2104.3075360799994"/>
    <n v="1889.2090512315135"/>
    <n v="3173.5994552719176"/>
    <n v="314"/>
    <n v="0.22940320598806288"/>
    <n v="0.26666296237465908"/>
    <n v="0.27134239799444182"/>
    <n v="200.26404040404037"/>
    <m/>
  </r>
  <r>
    <x v="3"/>
    <x v="0"/>
    <s v="Jhon"/>
    <d v="2025-09-02T00:00:00"/>
    <d v="2025-09-08T00:00:00"/>
    <d v="2025-05-08T00:00:00"/>
    <d v="2034-05-08T00:00:00"/>
    <n v="7.93"/>
    <n v="8.8323509878686597"/>
    <n v="10"/>
    <n v="58.523400000000002"/>
    <n v="9.7533999999999992"/>
    <n v="7"/>
    <m/>
    <n v="419.41720000000004"/>
    <n v="8856"/>
    <n v="89.487950850000004"/>
    <n v="89.783569639521232"/>
    <n v="7925.0529272760004"/>
    <n v="7951.2329272760007"/>
    <n v="8000.0029272760012"/>
    <n v="48.77"/>
    <n v="22.18"/>
    <n v="4"/>
    <n v="26.18"/>
    <m/>
    <n v="92.384955239999996"/>
    <m/>
    <n v="56.572198731501061"/>
    <n v="8181.6116360543992"/>
    <n v="81.817103594080336"/>
    <n v="4.0904651162790699"/>
    <n v="8095.7040673440397"/>
    <n v="256.5587087783988"/>
    <n v="144.47114006803895"/>
    <n v="620.46053879954013"/>
    <n v="217"/>
    <n v="7.8033248990996756E-2"/>
    <n v="0.13125408240421113"/>
    <n v="0.13471863755614577"/>
    <n v="103.99710359408033"/>
    <m/>
  </r>
  <r>
    <x v="3"/>
    <x v="0"/>
    <s v="Jhon"/>
    <d v="2025-09-02T00:00:00"/>
    <d v="2025-09-15T00:00:00"/>
    <d v="2025-05-08T00:00:00"/>
    <d v="2034-05-08T00:00:00"/>
    <n v="7.93"/>
    <n v="9.0619912131534655"/>
    <n v="10.5"/>
    <n v="52.866666666666667"/>
    <n v="40.526666666666671"/>
    <n v="6"/>
    <m/>
    <n v="357.72666666666669"/>
    <n v="8000"/>
    <n v="87.196861170000005"/>
    <n v="87.508361170000001"/>
    <n v="6975.7488936"/>
    <n v="7000.6688936"/>
    <n v="7013.0088936000002"/>
    <n v="12.34"/>
    <n v="20.92"/>
    <n v="4"/>
    <n v="24.92"/>
    <m/>
    <n v="92.384955239999996"/>
    <m/>
    <n v="51.104063894761573"/>
    <n v="7390.7964191999999"/>
    <n v="73.908856001879244"/>
    <n v="3.6950904392764858"/>
    <n v="7313.1924727588448"/>
    <n v="415.04752559999997"/>
    <n v="312.52357915884477"/>
    <n v="721.35430972027302"/>
    <n v="217"/>
    <n v="0.10304076948700344"/>
    <n v="0.17331742333067399"/>
    <n v="0.17934315161409287"/>
    <n v="94.828856001879245"/>
    <m/>
  </r>
  <r>
    <x v="3"/>
    <x v="0"/>
    <s v="Jhon"/>
    <d v="2025-11-06T00:00:00"/>
    <d v="2025-12-05T00:00:00"/>
    <d v="2025-09-05T00:00:00"/>
    <d v="2032-09-05T00:00:00"/>
    <n v="7.54"/>
    <n v="8.4534171083638459"/>
    <n v="10"/>
    <n v="64.09"/>
    <n v="61.95"/>
    <n v="4"/>
    <m/>
    <n v="318.31"/>
    <n v="10200"/>
    <n v="88.512248670000005"/>
    <n v="89.194699650392167"/>
    <n v="9028.2493643400012"/>
    <n v="9097.8593643400018"/>
    <n v="9099.9993643400012"/>
    <n v="2.14"/>
    <n v="65.099999999999994"/>
    <n v="4.51"/>
    <n v="69.61"/>
    <m/>
    <n v="93.335567310000002"/>
    <m/>
    <n v="4.2732591054916016"/>
    <n v="9520.2278656199996"/>
    <n v="95.201283260992639"/>
    <n v="4.7583317607095674"/>
    <n v="9420.2682505982975"/>
    <n v="491.97850127999845"/>
    <n v="322.40888625829575"/>
    <n v="644.99214536378724"/>
    <n v="152"/>
    <n v="7.0894934680118329E-2"/>
    <n v="0.17024112604107364"/>
    <n v="0.17877689596052337"/>
    <n v="160.30128326099265"/>
    <m/>
  </r>
  <r>
    <x v="3"/>
    <x v="0"/>
    <s v="Jhon"/>
    <d v="2026-01-08T00:00:00"/>
    <d v="2026-02-05T00:00:00"/>
    <d v="2025-09-05T00:00:00"/>
    <d v="2032-09-05T00:00:00"/>
    <n v="7.54"/>
    <n v="9.2983230898470683"/>
    <n v="12"/>
    <n v="75.651333333333341"/>
    <n v="65.561333333333337"/>
    <n v="2"/>
    <m/>
    <n v="216.86400000000003"/>
    <n v="12040"/>
    <n v="80.686402000000001"/>
    <n v="81.089890372093024"/>
    <n v="9714.6428008000003"/>
    <n v="9763.2228008000002"/>
    <n v="9773.3128008000003"/>
    <n v="10.09"/>
    <n v="43.72"/>
    <n v="4.8600000000000003"/>
    <n v="48.58"/>
    <m/>
    <n v="93.335567310000002"/>
    <m/>
    <n v="5.0441215323645974"/>
    <n v="11237.602304124001"/>
    <n v="112.3748480845443"/>
    <n v="5.6166974900924709"/>
    <n v="11119.610758549365"/>
    <n v="1522.9595033240003"/>
    <n v="1356.3879577493644"/>
    <n v="1578.2960792817291"/>
    <n v="89"/>
    <n v="0.16165728381742997"/>
    <n v="0.66297650104901051"/>
    <n v="0.84881307080287072"/>
    <n v="156.09484808454431"/>
    <m/>
  </r>
  <r>
    <x v="4"/>
    <x v="0"/>
    <s v="Isabel"/>
    <d v="2024-01-17T00:00:00"/>
    <d v="2024-01-18T00:00:00"/>
    <d v="2023-10-18T00:00:00"/>
    <d v="2029-10-18T00:00:00"/>
    <n v="5.36"/>
    <n v="7.6179723637082812"/>
    <n v="13"/>
    <n v="33.053333333333335"/>
    <n v="1.1033333333333353"/>
    <n v="26"/>
    <m/>
    <n v="860.49"/>
    <n v="7400"/>
    <n v="70.095605379999995"/>
    <n v="70.359929704324315"/>
    <n v="5187.0747981199993"/>
    <n v="5206.6347981199997"/>
    <n v="5238.5847981199995"/>
    <n v="31.95"/>
    <n v="15.56"/>
    <n v="4"/>
    <n v="19.560000000000002"/>
    <m/>
    <n v="91.037367149999994"/>
    <n v="90.340900000000005"/>
    <n v="19.829999999999998"/>
    <n v="6736.7651691000001"/>
    <n v="67.37"/>
    <n v="4"/>
    <n v="6665.3951691000002"/>
    <n v="1549.6903709800008"/>
    <n v="1458.7603709800005"/>
    <n v="2339.0803709800002"/>
    <n v="810"/>
    <n v="0.44924994006197444"/>
    <n v="0.20243978780570454"/>
    <n v="0.18199040785959508"/>
    <n v="82.93"/>
    <m/>
  </r>
  <r>
    <x v="4"/>
    <x v="0"/>
    <s v="Isabel"/>
    <d v="2024-07-19T00:00:00"/>
    <d v="2024-08-17T00:00:00"/>
    <d v="2023-05-17T00:00:00"/>
    <d v="2032-05-17T00:00:00"/>
    <n v="6.21"/>
    <n v="9.135973464212535"/>
    <n v="14"/>
    <n v="29.280150000000003"/>
    <n v="27.330150000000003"/>
    <n v="19"/>
    <m/>
    <n v="583.65300000000002"/>
    <n v="5658"/>
    <n v="67.699280419999994"/>
    <n v="67.973052070759977"/>
    <n v="3830.4252861635996"/>
    <n v="3845.9152861635994"/>
    <n v="3847.8652861635992"/>
    <n v="1.95"/>
    <n v="11.49"/>
    <n v="4"/>
    <n v="15.49"/>
    <m/>
    <n v="89.07777256"/>
    <n v="89.077799999999996"/>
    <n v="18.54"/>
    <n v="5040.0203714447998"/>
    <n v="50.4"/>
    <n v="4"/>
    <n v="4985.6203714448002"/>
    <n v="1209.5950852812002"/>
    <n v="1139.7050852812008"/>
    <n v="1741.8980852812008"/>
    <n v="626"/>
    <n v="0.45292159490564066"/>
    <n v="0.26408367754082879"/>
    <n v="0.24336338934534241"/>
    <n v="61.89"/>
    <m/>
  </r>
  <r>
    <x v="4"/>
    <x v="0"/>
    <s v="Isabel"/>
    <d v="2024-07-19T00:00:00"/>
    <d v="2024-07-24T00:00:00"/>
    <d v="2023-05-24T00:00:00"/>
    <d v="2030-05-24T00:00:00"/>
    <n v="5.64"/>
    <n v="8.1769429055954088"/>
    <n v="14"/>
    <n v="41.547999999999995"/>
    <n v="6.9279999999999973"/>
    <n v="20"/>
    <m/>
    <n v="837.88799999999992"/>
    <n v="8840"/>
    <n v="68.722962339999995"/>
    <n v="68.974432928235288"/>
    <n v="6075.1098708559994"/>
    <n v="6097.3398708559989"/>
    <n v="6131.9598708559988"/>
    <n v="34.619999999999997"/>
    <n v="18.23"/>
    <n v="4"/>
    <n v="22.23"/>
    <m/>
    <n v="90.374424860000005"/>
    <n v="89.613500000000002"/>
    <n v="16.62"/>
    <n v="7989.0991576240003"/>
    <n v="79.89"/>
    <n v="4"/>
    <n v="7905.209157624"/>
    <n v="1913.989286768001"/>
    <n v="1807.8692867680011"/>
    <n v="2662.3772867680009"/>
    <n v="626"/>
    <n v="0.4366457083184101"/>
    <n v="0.25459374366808257"/>
    <n v="0.23522314410442369"/>
    <n v="98.12"/>
    <m/>
  </r>
  <r>
    <x v="4"/>
    <x v="0"/>
    <s v="Cristian"/>
    <d v="2023-11-30T00:00:00"/>
    <d v="2023-12-17T00:00:00"/>
    <d v="2023-05-17T00:00:00"/>
    <d v="2032-05-17T00:00:00"/>
    <n v="6.21"/>
    <n v="8.9388314888665032"/>
    <n v="13"/>
    <n v="52.2468"/>
    <n v="27.866800000000001"/>
    <n v="28"/>
    <m/>
    <n v="1490.7772"/>
    <n v="10096"/>
    <n v="69.224841999999995"/>
    <n v="69.472167673534074"/>
    <n v="6988.9400483199997"/>
    <n v="7013.91004832"/>
    <n v="7038.2900483200001"/>
    <n v="24.38"/>
    <n v="20.97"/>
    <n v="4"/>
    <n v="24.97"/>
    <m/>
    <n v="89.599852729999995"/>
    <n v="88.986800000000002"/>
    <n v="33.088388429752072"/>
    <n v="9046.0011316208002"/>
    <n v="90.45854338842976"/>
    <n v="4.5239049586776856"/>
    <n v="8951.0186832736927"/>
    <n v="2057.0610833008004"/>
    <n v="1937.1086349536927"/>
    <n v="3460.974223383445"/>
    <n v="858"/>
    <n v="0.49344434125048858"/>
    <n v="0.20991513351565075"/>
    <n v="0.18604563311973821"/>
    <n v="111.42854338842976"/>
    <m/>
  </r>
  <r>
    <x v="4"/>
    <x v="0"/>
    <s v="Cristian"/>
    <d v="2026-03-02T00:00:00"/>
    <d v="2026-03-17T00:00:00"/>
    <d v="2023-05-17T00:00:00"/>
    <d v="2032-05-17T00:00:00"/>
    <n v="6.21"/>
    <n v="7.3455808860519944"/>
    <n v="10.5"/>
    <n v="108.05400000000002"/>
    <n v="54.024000000000015"/>
    <n v="0"/>
    <m/>
    <n v="54.024000000000015"/>
    <n v="20880"/>
    <n v="84.287751560000004"/>
    <n v="84.540625123218391"/>
    <n v="17599.282525728002"/>
    <n v="17652.082525728001"/>
    <n v="17706.112525728"/>
    <n v="54.03"/>
    <n v="44"/>
    <n v="8.8000000000000007"/>
    <n v="52.8"/>
    <m/>
    <n v="89.599852729999995"/>
    <n v="88.986800000000002"/>
    <n v="68.431611570247924"/>
    <n v="18708.449250023998"/>
    <n v="187.08145661157019"/>
    <n v="9.3560950413223143"/>
    <n v="18512.011698371105"/>
    <n v="1109.1667242959957"/>
    <n v="859.92917264310381"/>
    <n v="982.38478421335174"/>
    <n v="35"/>
    <n v="5.565262811237829E-2"/>
    <n v="0.58037740745765931"/>
    <n v="0.75910099900971884"/>
    <n v="231.08145661157019"/>
    <m/>
  </r>
  <r>
    <x v="4"/>
    <x v="0"/>
    <s v="Cristian"/>
    <d v="2023-12-26T00:00:00"/>
    <d v="2024-01-24T00:00:00"/>
    <d v="2023-04-26T00:00:00"/>
    <d v="2030-05-24T00:00:00"/>
    <n v="5.64"/>
    <n v="8.1448013262861192"/>
    <n v="13.25"/>
    <n v="35.278199999999998"/>
    <n v="32.928199999999997"/>
    <n v="26"/>
    <m/>
    <n v="950.16139999999984"/>
    <n v="7506"/>
    <n v="68.979371749999999"/>
    <n v="69.246624614375179"/>
    <n v="5177.5916435549998"/>
    <n v="5197.6516435550011"/>
    <n v="5200.0016435550015"/>
    <n v="2.35"/>
    <n v="16.059999999999999"/>
    <n v="4"/>
    <n v="20.059999999999999"/>
    <m/>
    <n v="90.374424860000005"/>
    <n v="89.613500000000002"/>
    <n v="14.10979475844648"/>
    <n v="6783.5043299916006"/>
    <n v="67.835247868645396"/>
    <n v="3.393144932112409"/>
    <n v="6712.2759371908423"/>
    <n v="1605.9126864366008"/>
    <n v="1514.6242936358412"/>
    <n v="2478.8954883942879"/>
    <n v="832"/>
    <n v="0.4769260539936484"/>
    <n v="0.20922837705250202"/>
    <n v="0.18658269436929653"/>
    <n v="83.895247868645399"/>
    <m/>
  </r>
  <r>
    <x v="4"/>
    <x v="0"/>
    <s v="Cristian"/>
    <d v="2024-11-26T00:00:00"/>
    <d v="2024-12-24T00:00:00"/>
    <d v="2023-05-24T00:00:00"/>
    <d v="2030-05-24T00:00:00"/>
    <n v="5.64"/>
    <n v="7.6813457298500696"/>
    <n v="13"/>
    <n v="54.031199999999991"/>
    <n v="50.43119999999999"/>
    <n v="15"/>
    <m/>
    <n v="860.89919999999984"/>
    <n v="11496"/>
    <n v="73.127139369999995"/>
    <n v="73.424634150793324"/>
    <n v="8406.6959419752002"/>
    <n v="8440.8959419752009"/>
    <n v="8444.4959419752013"/>
    <n v="3.6"/>
    <n v="30"/>
    <n v="4.2"/>
    <n v="34.200000000000003"/>
    <m/>
    <n v="90.374424860000005"/>
    <n v="89.613500000000002"/>
    <n v="21.610205241553519"/>
    <n v="10389.443881905601"/>
    <n v="103.89475213135459"/>
    <n v="5.1968550678875909"/>
    <n v="10280.352274706358"/>
    <n v="1982.7479399304011"/>
    <n v="1839.4563327311571"/>
    <n v="2721.9657379727105"/>
    <n v="496"/>
    <n v="0.32247355691672708"/>
    <n v="0.23730412958589794"/>
    <n v="0.22836412682539042"/>
    <n v="133.89475213135461"/>
    <m/>
  </r>
  <r>
    <x v="4"/>
    <x v="0"/>
    <s v="Cristian"/>
    <d v="2023-11-30T00:00:00"/>
    <d v="2023-12-15T00:00:00"/>
    <d v="2022-12-15T00:00:00"/>
    <d v="2030-12-15T00:00:00"/>
    <n v="5.93"/>
    <n v="8.3637129200416602"/>
    <n v="13"/>
    <n v="72.148333333333326"/>
    <n v="36.078333333333326"/>
    <n v="28"/>
    <m/>
    <n v="2056.2316666666666"/>
    <n v="14600"/>
    <n v="70.654196150000004"/>
    <n v="70.901524917123311"/>
    <n v="10315.512637900001"/>
    <n v="10351.622637900004"/>
    <n v="10387.692637900003"/>
    <n v="36.07"/>
    <n v="30.95"/>
    <n v="5.16"/>
    <n v="36.11"/>
    <m/>
    <n v="91.189790529999996"/>
    <n v="90.578199999999995"/>
    <n v="50.50218380345769"/>
    <n v="13313.70941738"/>
    <n v="133.14030937215651"/>
    <n v="6.6556869881710652"/>
    <n v="13173.913421019672"/>
    <n v="2998.1967794799984"/>
    <n v="2822.290783119668"/>
    <n v="4929.0246335897928"/>
    <n v="858"/>
    <n v="0.47615961342556495"/>
    <n v="0.20256207331040932"/>
    <n v="0.1801865324553813"/>
    <n v="164.0903093721565"/>
    <m/>
  </r>
  <r>
    <x v="4"/>
    <x v="0"/>
    <s v="Cristian"/>
    <d v="2023-12-05T00:00:00"/>
    <d v="2023-12-15T00:00:00"/>
    <d v="2022-12-15T00:00:00"/>
    <d v="2030-12-15T00:00:00"/>
    <n v="5.93"/>
    <n v="8.3561686941264668"/>
    <n v="13"/>
    <n v="36.469500000000004"/>
    <n v="12.159500000000005"/>
    <n v="28"/>
    <m/>
    <n v="1033.3055000000002"/>
    <n v="7380"/>
    <n v="70.699276999999995"/>
    <n v="70.96553716260162"/>
    <n v="5217.6066425999998"/>
    <n v="5237.2566425999994"/>
    <n v="5261.5666425999998"/>
    <n v="24.31"/>
    <n v="15.65"/>
    <n v="4"/>
    <n v="19.649999999999999"/>
    <m/>
    <n v="91.189790529999996"/>
    <n v="90.578199999999995"/>
    <n v="25.527816196542311"/>
    <n v="6729.8065411140005"/>
    <n v="67.299690627843503"/>
    <n v="3.3643130118289348"/>
    <n v="6659.1425374743285"/>
    <n v="1512.1998985140008"/>
    <n v="1421.8858948743291"/>
    <n v="2480.719211070872"/>
    <n v="853"/>
    <n v="0.47366768145227583"/>
    <n v="0.20268312277852368"/>
    <n v="0.18047944142310812"/>
    <n v="82.949690627843509"/>
    <m/>
  </r>
  <r>
    <x v="5"/>
    <x v="0"/>
    <s v="Cristian"/>
    <d v="2025-02-21T00:00:00"/>
    <d v="2025-03-19T00:00:00"/>
    <d v="2024-12-19T00:00:00"/>
    <d v="2029-12-19T00:00:00"/>
    <n v="5.07"/>
    <n v="6.4115926045731717"/>
    <n v="11"/>
    <n v="21.125"/>
    <n v="19.715"/>
    <n v="11"/>
    <m/>
    <n v="252.09"/>
    <n v="5000"/>
    <n v="78.759316999999996"/>
    <n v="79.075516999999991"/>
    <n v="3937.9658499999996"/>
    <n v="3953.7758499999995"/>
    <n v="3955.1858499999994"/>
    <n v="1.41"/>
    <n v="11.81"/>
    <n v="4"/>
    <n v="15.81"/>
    <m/>
    <n v="88.040100590000009"/>
    <m/>
    <n v="2.8196022727272729"/>
    <n v="4402.0050295000001"/>
    <n v="11.00852272727273"/>
    <n v="2.8409090909090908"/>
    <n v="4388.1555976818181"/>
    <n v="464.0391795000005"/>
    <n v="434.37974768181857"/>
    <n v="689.28934995454586"/>
    <n v="367"/>
    <n v="0.17433698219248972"/>
    <n v="0.17338691689443803"/>
    <n v="0.17330898379782211"/>
    <n v="22.818522727272729"/>
    <m/>
  </r>
  <r>
    <x v="5"/>
    <x v="0"/>
    <s v="Cristian"/>
    <d v="2025-11-21T00:00:00"/>
    <d v="2025-12-19T00:00:00"/>
    <d v="2024-12-19T00:00:00"/>
    <d v="2029-12-19T00:00:00"/>
    <n v="5.07"/>
    <n v="5.9214308397326523"/>
    <n v="10"/>
    <n v="8.6190000000000015"/>
    <n v="7.179000000000002"/>
    <n v="2"/>
    <m/>
    <n v="24.417000000000005"/>
    <n v="2040"/>
    <n v="84.412374069999998"/>
    <n v="85.621197599411758"/>
    <n v="1722.0124310279998"/>
    <n v="1746.6724310279999"/>
    <n v="1748.1124310279999"/>
    <n v="1.44"/>
    <n v="20.66"/>
    <n v="4"/>
    <n v="24.66"/>
    <m/>
    <n v="88.040100590000009"/>
    <m/>
    <n v="1.150397727272727"/>
    <n v="1796.0180520360002"/>
    <n v="4.4914772727272716"/>
    <n v="1.1590909090909089"/>
    <n v="1790.367483854182"/>
    <n v="74.005621008000389"/>
    <n v="43.695052826182064"/>
    <n v="69.262450553454798"/>
    <n v="94"/>
    <n v="3.9653943878126333E-2"/>
    <n v="0.15397542037783099"/>
    <n v="0.16299774314735238"/>
    <n v="25.15147727272727"/>
    <m/>
  </r>
  <r>
    <x v="5"/>
    <x v="0"/>
    <s v="Cristian"/>
    <d v="2025-12-15T00:00:00"/>
    <d v="2025-12-28T00:00:00"/>
    <d v="2022-12-28T00:00:00"/>
    <d v="2029-12-28T00:00:00"/>
    <n v="5.64"/>
    <n v="6.4356826961201916"/>
    <n v="10"/>
    <n v="17.953999999999997"/>
    <n v="7.7839999999999971"/>
    <n v="1"/>
    <m/>
    <n v="25.737999999999992"/>
    <n v="3820"/>
    <n v="87.096076069999995"/>
    <n v="87.636390206125654"/>
    <n v="3327.0701058740001"/>
    <n v="3347.710105874"/>
    <n v="3357.880105874"/>
    <n v="10.17"/>
    <n v="16.64"/>
    <n v="4"/>
    <n v="20.64"/>
    <m/>
    <n v="90.347949020000001"/>
    <m/>
    <n v="14.96"/>
    <n v="3451.2916525640003"/>
    <n v="8.6300000000000008"/>
    <n v="4"/>
    <n v="3438.6616525640002"/>
    <n v="124.2215466900002"/>
    <n v="90.951546690000214"/>
    <n v="131.64954669000022"/>
    <n v="70"/>
    <n v="3.9325252942004653E-2"/>
    <n v="0.20505310462616713"/>
    <n v="0.22277626758729419"/>
    <n v="25.270000000000003"/>
    <m/>
  </r>
  <r>
    <x v="5"/>
    <x v="0"/>
    <s v="Cristian"/>
    <d v="2025-02-19T00:00:00"/>
    <d v="2025-02-28T00:00:00"/>
    <d v="2024-08-28T00:00:00"/>
    <d v="2030-08-28T00:00:00"/>
    <n v="5.36"/>
    <n v="6.8966957379669989"/>
    <n v="11"/>
    <n v="36.18"/>
    <n v="10.850000000000001"/>
    <n v="12"/>
    <m/>
    <n v="445.01"/>
    <n v="8100"/>
    <n v="77.513932639999993"/>
    <n v="77.718377084444441"/>
    <n v="6278.6285438399991"/>
    <n v="6295.1885438399995"/>
    <n v="6320.5185438399994"/>
    <n v="25.33"/>
    <n v="12.56"/>
    <n v="4"/>
    <n v="16.560000000000002"/>
    <m/>
    <n v="86.343850029999999"/>
    <m/>
    <n v="30.15"/>
    <n v="6993.8518524300007"/>
    <n v="17.48"/>
    <n v="4"/>
    <n v="6972.3718524300011"/>
    <n v="715.22330859000158"/>
    <n v="677.18330859000162"/>
    <n v="1152.3433085900017"/>
    <n v="369"/>
    <n v="0.18305143691329129"/>
    <n v="0.18106713949417702"/>
    <n v="0.1808976548423733"/>
    <n v="30.04"/>
    <m/>
  </r>
  <r>
    <x v="5"/>
    <x v="0"/>
    <s v="Cristian"/>
    <d v="2026-01-21T00:00:00"/>
    <d v="2026-02-06T00:00:00"/>
    <d v="2025-11-06T00:00:00"/>
    <d v="2030-11-06T00:00:00"/>
    <n v="7.13"/>
    <n v="8.191695033435515"/>
    <n v="11"/>
    <n v="6.8032083333333331"/>
    <n v="3.4032083333333332"/>
    <n v="0"/>
    <m/>
    <n v="3.4032083333333332"/>
    <n v="1145"/>
    <n v="86.221905809999996"/>
    <n v="87.039373058908282"/>
    <n v="987.24082152449989"/>
    <n v="996.60082152449979"/>
    <n v="1000.0008215244998"/>
    <n v="3.4"/>
    <n v="5.36"/>
    <n v="4"/>
    <n v="9.36"/>
    <m/>
    <n v="92.29010006"/>
    <m/>
    <n v="3.8552665978672169"/>
    <n v="1056.7216456870001"/>
    <n v="2.6421259029927762"/>
    <n v="0.52858273133814926"/>
    <n v="1053.550937052669"/>
    <n v="69.480824162500198"/>
    <n v="56.950115528169249"/>
    <n v="64.208590459369802"/>
    <n v="33"/>
    <n v="6.4427591341084736E-2"/>
    <n v="0.71260820725745233"/>
    <n v="0.99489829858984669"/>
    <n v="8.0021259029927769"/>
    <m/>
  </r>
  <r>
    <x v="5"/>
    <x v="0"/>
    <s v="Cristian"/>
    <d v="2025-12-02T00:00:00"/>
    <d v="2025-12-06T00:00:00"/>
    <d v="2025-11-06T00:00:00"/>
    <d v="2030-11-06T00:00:00"/>
    <n v="7.13"/>
    <n v="8.0089627016022824"/>
    <n v="10.25"/>
    <n v="68.923333333333332"/>
    <n v="9.1933333333333351"/>
    <n v="2"/>
    <m/>
    <n v="147.04"/>
    <n v="11600"/>
    <n v="88.45034785"/>
    <n v="89.025261643103462"/>
    <n v="10260.240350600001"/>
    <n v="10326.930350600001"/>
    <n v="10386.660350600001"/>
    <n v="59.73"/>
    <n v="61.56"/>
    <n v="5.13"/>
    <n v="66.69"/>
    <m/>
    <n v="92.29010006"/>
    <m/>
    <n v="39.057722738218089"/>
    <n v="10705.65160696"/>
    <n v="26.76738906088751"/>
    <n v="5.3550739594083243"/>
    <n v="10673.529143939704"/>
    <n v="445.41125635999924"/>
    <n v="346.59879333970275"/>
    <n v="532.69651607792082"/>
    <n v="83"/>
    <n v="5.1583238967712296E-2"/>
    <n v="0.22684195449656613"/>
    <n v="0.247554273305848"/>
    <n v="88.327389060887512"/>
    <m/>
  </r>
  <r>
    <x v="5"/>
    <x v="0"/>
    <s v="Cristian"/>
    <d v="2025-12-02T00:00:00"/>
    <d v="2025-12-06T00:00:00"/>
    <d v="2025-11-06T00:00:00"/>
    <d v="2030-11-06T00:00:00"/>
    <n v="7.13"/>
    <n v="7.9561942009378797"/>
    <n v="10.25"/>
    <n v="10.635583333333333"/>
    <n v="1.4155833333333323"/>
    <n v="2"/>
    <m/>
    <n v="22.686749999999996"/>
    <n v="1790"/>
    <n v="88.45034785"/>
    <n v="89.615710978491606"/>
    <n v="1583.2612265149999"/>
    <n v="1604.1212265149998"/>
    <n v="1613.3412265149998"/>
    <n v="9.2200000000000006"/>
    <n v="16.86"/>
    <n v="4"/>
    <n v="20.86"/>
    <m/>
    <n v="92.29010006"/>
    <m/>
    <n v="6.0270106639146874"/>
    <n v="1651.992791074"/>
    <n v="4.1304850361197101"/>
    <n v="0.82634330925352595"/>
    <n v="1647.0359627286266"/>
    <n v="68.731564559000162"/>
    <n v="42.914736213626838"/>
    <n v="71.628496877541522"/>
    <n v="83"/>
    <n v="4.4652795370806561E-2"/>
    <n v="0.19636470253426982"/>
    <n v="0.21180002074516313"/>
    <n v="20.990485036119708"/>
    <m/>
  </r>
  <r>
    <x v="5"/>
    <x v="0"/>
    <s v="Cristian"/>
    <d v="2025-05-19T00:00:00"/>
    <d v="2025-05-25T00:00:00"/>
    <d v="2024-07-25T00:00:00"/>
    <d v="2031-07-25T00:00:00"/>
    <n v="5.64"/>
    <n v="7.0867606176273146"/>
    <n v="10.5"/>
    <n v="55.835999999999991"/>
    <n v="9.3059999999999903"/>
    <n v="9"/>
    <m/>
    <n v="511.82999999999993"/>
    <n v="11880"/>
    <n v="79.307412619999994"/>
    <n v="79.585022047609414"/>
    <n v="9421.7206192559988"/>
    <n v="9454.7006192559984"/>
    <n v="9501.230619255999"/>
    <n v="46.53"/>
    <n v="28.27"/>
    <n v="4.71"/>
    <n v="32.979999999999997"/>
    <m/>
    <n v="84.899334979999992"/>
    <m/>
    <n v="52.11"/>
    <n v="10086.040995623998"/>
    <n v="25.22"/>
    <n v="5.04"/>
    <n v="10055.780995623998"/>
    <n v="664.32037636799942"/>
    <n v="601.08037636799963"/>
    <n v="1165.0203763679995"/>
    <n v="280"/>
    <n v="0.12322128677403603"/>
    <n v="0.16062774883043981"/>
    <n v="0.16355028357035439"/>
    <n v="53.489999999999995"/>
    <m/>
  </r>
  <r>
    <x v="5"/>
    <x v="0"/>
    <s v="Cristian"/>
    <d v="2025-12-23T00:00:00"/>
    <d v="2025-12-28T00:00:00"/>
    <d v="2024-08-28T00:00:00"/>
    <d v="2031-08-28T00:00:00"/>
    <n v="5.64"/>
    <n v="7.1033269154054306"/>
    <n v="11"/>
    <n v="31.49"/>
    <n v="5.25"/>
    <n v="1"/>
    <m/>
    <n v="36.739999999999995"/>
    <n v="6700"/>
    <n v="78.945832679999995"/>
    <n v="79.399414769552237"/>
    <n v="5289.3707895599991"/>
    <n v="5319.7607895600004"/>
    <n v="5346.0007895600002"/>
    <n v="26.24"/>
    <n v="26.39"/>
    <n v="4"/>
    <n v="30.39"/>
    <m/>
    <n v="84.678693240000001"/>
    <m/>
    <n v="26.24"/>
    <n v="5673.4724470800002"/>
    <n v="14.18"/>
    <n v="4"/>
    <n v="5655.2924470799999"/>
    <n v="384.10165752000103"/>
    <n v="335.5316575199995"/>
    <n v="398.51165751999952"/>
    <n v="62"/>
    <n v="7.4911574652393453E-2"/>
    <n v="0.44101168948586472"/>
    <n v="0.53001029438053693"/>
    <n v="40.57"/>
    <m/>
  </r>
  <r>
    <x v="5"/>
    <x v="0"/>
    <s v="Jhon"/>
    <d v="2025-07-10T00:00:00"/>
    <d v="2025-07-28T00:00:00"/>
    <d v="2024-08-28T00:00:00"/>
    <d v="2030-08-28T00:00:00"/>
    <n v="5.36"/>
    <n v="6.6257184317530537"/>
    <n v="10.5"/>
    <n v="31.266666666666666"/>
    <n v="18.756666666666668"/>
    <n v="7"/>
    <m/>
    <n v="237.62333333333333"/>
    <n v="7000"/>
    <n v="80.437601999999998"/>
    <n v="80.896887714285711"/>
    <n v="5630.6321400000006"/>
    <n v="5662.7821399999993"/>
    <n v="5675.2921399999996"/>
    <n v="12.51"/>
    <n v="28.15"/>
    <n v="4"/>
    <n v="32.15"/>
    <m/>
    <n v="86.343850000000003"/>
    <m/>
    <n v="26.02"/>
    <n v="6044.0695000000005"/>
    <n v="15.11"/>
    <n v="4"/>
    <n v="6024.9595000000008"/>
    <n v="413.4373599999999"/>
    <n v="362.1773600000015"/>
    <n v="625.82069333333482"/>
    <n v="228"/>
    <n v="0.11051470423217356"/>
    <n v="0.17692046949448836"/>
    <n v="0.18271154181990146"/>
    <n v="43.26"/>
    <m/>
  </r>
  <r>
    <x v="5"/>
    <x v="0"/>
    <s v="Jhon"/>
    <d v="2022-12-13T00:00:00"/>
    <d v="2022-11-28T00:00:00"/>
    <d v="2022-09-28T00:00:00"/>
    <d v="2030-09-28T00:00:00"/>
    <n v="5.93"/>
    <n v="7.7597838832578994"/>
    <n v="11"/>
    <n v="33.989623416666667"/>
    <n v="16.999623416666669"/>
    <n v="39"/>
    <m/>
    <n v="1342.5949366666669"/>
    <n v="6878.17"/>
    <n v="75.906000000000006"/>
    <n v="76.4196540678698"/>
    <n v="5220.9437202000008"/>
    <n v="5256.2737201999998"/>
    <n v="5273.2637201999996"/>
    <n v="16.989999999999998"/>
    <n v="31.33"/>
    <n v="4"/>
    <n v="35.33"/>
    <m/>
    <n v="89.946522180000002"/>
    <m/>
    <n v="28.32"/>
    <n v="6186.6747046281062"/>
    <n v="15.47"/>
    <n v="4"/>
    <n v="6167.2047046281059"/>
    <n v="965.73098442810533"/>
    <n v="910.93098442810606"/>
    <n v="2281.8459210947731"/>
    <n v="1168"/>
    <n v="0.43411854910172931"/>
    <n v="0.1356620465942904"/>
    <n v="0.11926475703784822"/>
    <n v="46.8"/>
    <m/>
  </r>
  <r>
    <x v="5"/>
    <x v="0"/>
    <s v="Jhon"/>
    <d v="2025-04-28T00:00:00"/>
    <d v="2025-04-18T00:00:00"/>
    <d v="2024-11-18T00:00:00"/>
    <d v="2030-11-18T00:00:00"/>
    <n v="5.36"/>
    <n v="6.6704590191575219"/>
    <n v="10.25"/>
    <n v="39.206166666666668"/>
    <n v="24.826166666666666"/>
    <n v="10"/>
    <m/>
    <n v="416.88783333333333"/>
    <n v="8777.5"/>
    <n v="80.068559669999999"/>
    <n v="80.3542902310937"/>
    <n v="7028.0178250342506"/>
    <n v="7053.0978250342487"/>
    <n v="7067.4778250342488"/>
    <n v="14.38"/>
    <n v="21.08"/>
    <n v="4"/>
    <n v="25.08"/>
    <m/>
    <n v="85.768299999999996"/>
    <m/>
    <n v="6.53"/>
    <n v="7528.3125324999992"/>
    <n v="18.82"/>
    <n v="4"/>
    <n v="7505.4925324999995"/>
    <n v="500.29470746574862"/>
    <n v="452.3947074657508"/>
    <n v="875.8125407990841"/>
    <n v="301"/>
    <n v="0.12417416609344013"/>
    <n v="0.15057664659171313"/>
    <n v="0.15250302536612237"/>
    <n v="39.9"/>
    <m/>
  </r>
  <r>
    <x v="5"/>
    <x v="0"/>
    <s v="Jhon"/>
    <d v="2025-03-05T00:00:00"/>
    <d v="2025-03-27T00:00:00"/>
    <d v="2024-06-27T00:00:00"/>
    <d v="2031-06-27T00:00:00"/>
    <n v="5.64"/>
    <n v="7.2856806056515149"/>
    <n v="11"/>
    <n v="23.105199999999996"/>
    <n v="16.945199999999996"/>
    <n v="11"/>
    <m/>
    <n v="271.10239999999993"/>
    <n v="4916"/>
    <n v="77.099469999999997"/>
    <n v="77.412122563059398"/>
    <n v="3790.2099452000002"/>
    <n v="3805.5799452000001"/>
    <n v="3811.7399452"/>
    <n v="6.16"/>
    <n v="11.37"/>
    <n v="4"/>
    <n v="15.37"/>
    <m/>
    <n v="85.087832370000001"/>
    <m/>
    <n v="20.02"/>
    <n v="4182.9178393091997"/>
    <n v="10.46"/>
    <n v="4"/>
    <n v="4168.4578393091997"/>
    <n v="392.70789410919951"/>
    <n v="362.87789410919959"/>
    <n v="654.00029410919956"/>
    <n v="355"/>
    <n v="0.17185299048416888"/>
    <n v="0.17669391979358209"/>
    <n v="0.17709962377462873"/>
    <n v="21.83"/>
    <m/>
  </r>
  <r>
    <x v="5"/>
    <x v="0"/>
    <s v="Jhon"/>
    <d v="2025-02-26T00:00:00"/>
    <d v="2025-03-02T00:00:00"/>
    <d v="2024-12-02T00:00:00"/>
    <d v="2031-12-02T00:00:00"/>
    <n v="5.64"/>
    <n v="7.4097600926261427"/>
    <n v="11"/>
    <n v="152.797"/>
    <n v="25.466999999999999"/>
    <n v="11"/>
    <m/>
    <n v="1706.2340000000002"/>
    <n v="32510"/>
    <n v="75.850337120000006"/>
    <n v="76.115824662294685"/>
    <n v="24658.944597712001"/>
    <n v="24745.254597712003"/>
    <n v="24872.584597712004"/>
    <n v="127.33"/>
    <n v="73.98"/>
    <n v="12.33"/>
    <n v="86.31"/>
    <m/>
    <n v="84.060854449999994"/>
    <m/>
    <n v="106.96"/>
    <n v="27328.183781694999"/>
    <n v="68.319999999999993"/>
    <n v="13.66"/>
    <n v="27246.203781695"/>
    <n v="2669.2391839829979"/>
    <n v="2500.9491839829971"/>
    <n v="4314.1431839829975"/>
    <n v="362"/>
    <n v="0.17434224274992474"/>
    <n v="0.17578706796608434"/>
    <n v="0.17590731587544162"/>
    <n v="142.30000000000001"/>
    <m/>
  </r>
  <r>
    <x v="5"/>
    <x v="0"/>
    <s v="Jhon"/>
    <d v="2025-06-11T00:00:00"/>
    <d v="2025-07-04T00:00:00"/>
    <d v="2024-12-04T00:00:00"/>
    <d v="2031-12-04T00:00:00"/>
    <n v="5.64"/>
    <n v="7.0634950046632019"/>
    <n v="10.25"/>
    <n v="43.945"/>
    <n v="33.695"/>
    <n v="7"/>
    <m/>
    <n v="341.31"/>
    <n v="9350"/>
    <n v="79.483521400000001"/>
    <n v="79.847157763636361"/>
    <n v="7431.7092509000004"/>
    <n v="7465.7092508999995"/>
    <n v="7475.9592508999995"/>
    <n v="10.25"/>
    <n v="30"/>
    <n v="4"/>
    <n v="34"/>
    <m/>
    <n v="84.047799999999995"/>
    <m/>
    <n v="27.829654359780051"/>
    <n v="7858.4692999999997"/>
    <n v="19.6474862529458"/>
    <n v="3.9294972505891601"/>
    <n v="7834.8923164964644"/>
    <n v="426.76004909999938"/>
    <n v="369.18306559646498"/>
    <n v="738.32271995624501"/>
    <n v="257"/>
    <n v="9.8895188004708243E-2"/>
    <n v="0.14045425533742611"/>
    <n v="0.14331912300052707"/>
    <n v="49.647486252945797"/>
    <m/>
  </r>
  <r>
    <x v="5"/>
    <x v="0"/>
    <s v="Jhon"/>
    <d v="2025-06-16T00:00:00"/>
    <d v="2025-07-04T00:00:00"/>
    <d v="2024-12-04T00:00:00"/>
    <d v="2031-12-04T00:00:00"/>
    <n v="5.64"/>
    <n v="7.0548745789121154"/>
    <n v="10.25"/>
    <n v="15.886000000000001"/>
    <n v="9.5360000000000014"/>
    <n v="7"/>
    <m/>
    <n v="120.73800000000001"/>
    <n v="3380"/>
    <n v="79.518096630000002"/>
    <n v="79.944723848934913"/>
    <n v="2687.7116660940001"/>
    <n v="2702.1316660940001"/>
    <n v="2708.481666094"/>
    <n v="6.35"/>
    <n v="10.42"/>
    <n v="4"/>
    <n v="14.42"/>
    <m/>
    <n v="84.047799999999995"/>
    <m/>
    <n v="10.06034564021995"/>
    <n v="2840.8156399999993"/>
    <n v="7.1025137470542026"/>
    <n v="1.42050274941084"/>
    <n v="2832.2926235035343"/>
    <n v="153.10397390599928"/>
    <n v="130.16095740953415"/>
    <n v="260.95930304975411"/>
    <n v="252"/>
    <n v="9.6575346910085028E-2"/>
    <n v="0.13988095881817872"/>
    <n v="0.14285791344863741"/>
    <n v="17.522513747054202"/>
    <m/>
  </r>
  <r>
    <x v="5"/>
    <x v="0"/>
    <s v="Jhon"/>
    <d v="2025-12-30T00:00:00"/>
    <d v="2026-01-08T00:00:00"/>
    <d v="2025-12-08T00:00:00"/>
    <d v="2031-12-08T00:00:00"/>
    <n v="7.35"/>
    <n v="8.6585201873284436"/>
    <n v="11"/>
    <n v="64.924999999999997"/>
    <n v="17.314999999999998"/>
    <n v="1"/>
    <m/>
    <n v="82.24"/>
    <n v="10600"/>
    <n v="84.622107349999993"/>
    <n v="84.887484708490547"/>
    <n v="8969.9433790999992"/>
    <n v="8998.0733790999984"/>
    <n v="9045.683379099999"/>
    <n v="47.61"/>
    <n v="23.65"/>
    <n v="4.4800000000000004"/>
    <n v="28.13"/>
    <m/>
    <n v="90.767629999999997"/>
    <m/>
    <n v="32.46"/>
    <n v="9621.3687799999989"/>
    <n v="24.05"/>
    <n v="4.8099999999999996"/>
    <n v="9592.5087800000001"/>
    <n v="651.42540089999966"/>
    <n v="594.4354009000017"/>
    <n v="709.13540090000174"/>
    <n v="55"/>
    <n v="7.8809693033524766E-2"/>
    <n v="0.52300978104066431"/>
    <n v="0.65437491965803618"/>
    <n v="47.7"/>
    <m/>
  </r>
  <r>
    <x v="6"/>
    <x v="0"/>
    <s v="Cristian"/>
    <d v="2025-08-06T00:00:00"/>
    <d v="2025-08-18T00:00:00"/>
    <d v="2023-10-18T00:00:00"/>
    <d v="2027-10-18T00:00:00"/>
    <n v="4.71"/>
    <n v="5.029943328994392"/>
    <n v="8.5"/>
    <n v="125.60000000000001"/>
    <n v="50.240000000000009"/>
    <n v="5"/>
    <m/>
    <n v="678.24"/>
    <n v="32000"/>
    <n v="93.219725969999999"/>
    <n v="93.639225970000012"/>
    <n v="29830.312310400001"/>
    <n v="29964.552310400006"/>
    <n v="30039.912310400006"/>
    <n v="75.36"/>
    <n v="119.32"/>
    <n v="14.92"/>
    <n v="134.23999999999998"/>
    <m/>
    <n v="95.565690050000001"/>
    <m/>
    <m/>
    <n v="30581.020816"/>
    <n v="91.13"/>
    <n v="15.29"/>
    <n v="30474.600815999998"/>
    <n v="750.70850559999963"/>
    <n v="510.0485055999925"/>
    <n v="1188.2885055999925"/>
    <n v="190"/>
    <n v="3.9656474533329336E-2"/>
    <n v="7.6182174761395827E-2"/>
    <n v="7.7572041728130037E-2"/>
    <n v="210.45"/>
    <m/>
  </r>
  <r>
    <x v="7"/>
    <x v="0"/>
    <s v="Jhon"/>
    <d v="2025-08-06T00:00:00"/>
    <d v="2025-08-18T00:00:00"/>
    <d v="2023-10-18T00:00:00"/>
    <d v="2027-10-18T00:00:00"/>
    <n v="4.71"/>
    <n v="5.0299444746008"/>
    <n v="8.5"/>
    <n v="82.817499999999995"/>
    <n v="33.127499999999998"/>
    <n v="5"/>
    <m/>
    <n v="447.21499999999997"/>
    <n v="21100"/>
    <n v="93.219725969999999"/>
    <n v="93.639204642985788"/>
    <n v="19669.362179670003"/>
    <n v="19757.872179670001"/>
    <n v="19807.56217967"/>
    <n v="49.69"/>
    <n v="78.680000000000007"/>
    <n v="9.83"/>
    <n v="88.51"/>
    <m/>
    <n v="94.167547999999996"/>
    <n v="94.117599999999996"/>
    <n v="41.41096638655462"/>
    <n v="19869.352628000001"/>
    <n v="42.004957983193279"/>
    <n v="9.9382773109243701"/>
    <n v="19817.409392705882"/>
    <n v="199.99044832999789"/>
    <n v="59.537213035880995"/>
    <n v="548.16317942243563"/>
    <n v="181"/>
    <n v="2.7744039157540049E-2"/>
    <n v="5.5947924267967505E-2"/>
    <n v="5.6737018801689576E-2"/>
    <n v="120.68495798319329"/>
    <m/>
  </r>
  <r>
    <x v="7"/>
    <x v="0"/>
    <s v="Jhon"/>
    <d v="2024-05-07T00:00:00"/>
    <d v="2024-05-18T00:00:00"/>
    <d v="2023-10-18T00:00:00"/>
    <d v="2027-10-18T00:00:00"/>
    <n v="4.71"/>
    <n v="5.7620048929969228"/>
    <n v="11.75"/>
    <n v="10.5975"/>
    <n v="3.8875000000000002"/>
    <n v="20"/>
    <m/>
    <n v="215.83749999999998"/>
    <n v="2700"/>
    <n v="81.328677420000005"/>
    <n v="81.742381123703694"/>
    <n v="2195.8742903399998"/>
    <n v="2207.0442903399999"/>
    <n v="2213.7542903399999"/>
    <n v="6.71"/>
    <n v="7.17"/>
    <n v="4"/>
    <n v="11.17"/>
    <m/>
    <n v="94.167547999999996"/>
    <n v="94.117599999999996"/>
    <n v="5.2990336134453777"/>
    <n v="2542.5237959999999"/>
    <n v="5.3750420168067219"/>
    <n v="1.2717226890756299"/>
    <n v="2535.8770312941178"/>
    <n v="346.64950566000016"/>
    <n v="328.83274095411798"/>
    <n v="549.96927456756339"/>
    <n v="637"/>
    <n v="0.24918814587216076"/>
    <n v="0.14278441639456621"/>
    <n v="0.13597195305347354"/>
    <n v="12.545042016806722"/>
    <m/>
  </r>
  <r>
    <x v="8"/>
    <x v="0"/>
    <s v="Jhon"/>
    <d v="2023-03-23T00:00:00"/>
    <d v="2023-03-28T00:00:00"/>
    <d v="2022-12-28T00:00:00"/>
    <d v="2028-12-28T00:00:00"/>
    <n v="5.36"/>
    <n v="6.341326638659142"/>
    <n v="9"/>
    <n v="44.666666666666664"/>
    <n v="7.4466666666666654"/>
    <n v="26"/>
    <m/>
    <n v="1168.78"/>
    <n v="10000"/>
    <n v="84.230099999999993"/>
    <n v="84.524899999999974"/>
    <n v="8423.0099999999984"/>
    <n v="8452.489999999998"/>
    <n v="8489.7099999999973"/>
    <n v="37.22"/>
    <n v="25.27"/>
    <n v="4.21"/>
    <n v="29.48"/>
    <m/>
    <n v="91.515747849999997"/>
    <m/>
    <m/>
    <n v="9151.5747849999989"/>
    <n v="27.45"/>
    <n v="4.58"/>
    <n v="9119.5447849999982"/>
    <n v="728.56478500000048"/>
    <n v="667.05478500000027"/>
    <n v="1835.8347850000002"/>
    <n v="797"/>
    <n v="0.21719455272943247"/>
    <n v="9.9468019756891915E-2"/>
    <n v="9.4188372533719589E-2"/>
    <n v="52.72"/>
    <m/>
  </r>
  <r>
    <x v="8"/>
    <x v="0"/>
    <s v="Jhon"/>
    <d v="2025-02-26T00:00:00"/>
    <d v="2025-03-02T00:00:00"/>
    <d v="2024-12-02T00:00:00"/>
    <d v="2031-12-02T00:00:00"/>
    <n v="5.64"/>
    <n v="7.4097610761020265"/>
    <n v="11"/>
    <n v="71.158000000000001"/>
    <n v="11.859401888772304"/>
    <n v="2"/>
    <m/>
    <n v="154.17540188877231"/>
    <n v="15140"/>
    <n v="75.850337120000006"/>
    <n v="76.11581455966423"/>
    <n v="11483.741039968001"/>
    <n v="11523.934324333164"/>
    <n v="11583.232922444391"/>
    <n v="59.298598111227697"/>
    <n v="34.451840503672607"/>
    <n v="5.7414438614900316"/>
    <n v="40.19328436516264"/>
    <m/>
    <n v="78.43812702000001"/>
    <m/>
    <n v="61.67"/>
    <n v="11875.532430828001"/>
    <n v="35.630000000000003"/>
    <n v="5.94"/>
    <n v="11833.962430828002"/>
    <n v="391.79139086000032"/>
    <n v="310.02810649483763"/>
    <n v="525.87350838360987"/>
    <n v="91"/>
    <n v="4.5633157356095889E-2"/>
    <n v="0.18303409269203297"/>
    <n v="0.19599770276001549"/>
    <n v="70.081840503672609"/>
    <m/>
  </r>
  <r>
    <x v="9"/>
    <x v="0"/>
    <s v="Jhon"/>
    <d v="2022-12-30T00:00:00"/>
    <d v="2023-01-28T00:00:00"/>
    <d v="2022-12-28T00:00:00"/>
    <d v="2030-12-28T00:00:00"/>
    <n v="5.93"/>
    <n v="7.2174787033628922"/>
    <n v="9.5"/>
    <n v="50.583888333333334"/>
    <n v="47.210949541278211"/>
    <n v="27"/>
    <m/>
    <n v="1412.9759345412783"/>
    <n v="10236.200000000001"/>
    <n v="81.865555509999993"/>
    <n v="82.161655665668846"/>
    <n v="8379.9219931146199"/>
    <n v="8410.2313972491938"/>
    <n v="8413.6043360412496"/>
    <n v="3.3729387920551268"/>
    <n v="26.12"/>
    <n v="4.1894041345764066"/>
    <n v="30.309404134576408"/>
    <m/>
    <n v="85.069828999999999"/>
    <m/>
    <n v="25"/>
    <n v="8707.9178360980004"/>
    <n v="20"/>
    <n v="2"/>
    <n v="8685.9178360980004"/>
    <n v="327.9958429833805"/>
    <n v="275.68643884880657"/>
    <n v="1713.6623733900849"/>
    <n v="866"/>
    <n v="0.20375924186230918"/>
    <n v="8.5880049976608377E-2"/>
    <n v="8.1298719979468803E-2"/>
    <n v="46.120000000000005"/>
    <m/>
  </r>
  <r>
    <x v="9"/>
    <x v="0"/>
    <s v="Cristian"/>
    <d v="2023-02-07T00:00:00"/>
    <d v="2023-02-28T00:00:00"/>
    <d v="2022-12-28T00:00:00"/>
    <d v="2029-12-28T00:00:00"/>
    <n v="5.64"/>
    <n v="6.7116271647248009"/>
    <n v="9"/>
    <n v="70.5"/>
    <n v="47"/>
    <n v="26"/>
    <m/>
    <n v="1880"/>
    <n v="15000"/>
    <n v="83.740206659999998"/>
    <n v="84.033273326666674"/>
    <n v="12561.030999000001"/>
    <n v="12604.990999"/>
    <n v="12628.490999"/>
    <n v="23.5"/>
    <n v="37.68"/>
    <n v="6.28"/>
    <n v="43.96"/>
    <m/>
    <n v="86.906742999999992"/>
    <m/>
    <n v="20"/>
    <n v="13036.011449999998"/>
    <n v="25"/>
    <n v="2.5"/>
    <n v="13008.511449999998"/>
    <n v="474.98045099999763"/>
    <n v="403.5204509999985"/>
    <n v="2303.5204509999985"/>
    <n v="827"/>
    <n v="0.18274669543062311"/>
    <n v="8.0656038491145637E-2"/>
    <n v="7.6889354517904573E-2"/>
    <n v="62.68"/>
    <m/>
  </r>
  <r>
    <x v="9"/>
    <x v="0"/>
    <s v="Cristian"/>
    <d v="2025-02-25T00:00:00"/>
    <d v="2025-02-28T00:00:00"/>
    <d v="2022-12-28T00:00:00"/>
    <d v="2030-12-28T00:00:00"/>
    <n v="5.93"/>
    <n v="7.1361689397646462"/>
    <n v="10.5"/>
    <n v="58.805833333333332"/>
    <n v="5.8758333333333326"/>
    <n v="2"/>
    <m/>
    <n v="123.4875"/>
    <n v="11900"/>
    <n v="82.807976569999994"/>
    <n v="83.097808502773105"/>
    <n v="9854.1492118299993"/>
    <n v="9888.6392118299991"/>
    <n v="9941.5692118299994"/>
    <n v="52.93"/>
    <n v="29.56"/>
    <n v="4.93"/>
    <n v="34.489999999999995"/>
    <m/>
    <n v="85.069828999999999"/>
    <m/>
    <n v="30"/>
    <n v="10123.309651"/>
    <n v="20"/>
    <n v="2"/>
    <n v="10101.309651"/>
    <n v="269.16043917000025"/>
    <n v="212.67043917000046"/>
    <n v="366.15793917000047"/>
    <n v="78"/>
    <n v="3.7028142227290242E-2"/>
    <n v="0.17327271683283255"/>
    <n v="0.18547292508147084"/>
    <n v="49.56"/>
    <m/>
  </r>
  <r>
    <x v="9"/>
    <x v="0"/>
    <s v="Cristian"/>
    <d v="2022-12-30T00:00:00"/>
    <d v="2023-01-28T00:00:00"/>
    <d v="2022-12-28T00:00:00"/>
    <d v="2030-12-28T00:00:00"/>
    <n v="5.93"/>
    <n v="7.2121733771431025"/>
    <n v="9.5"/>
    <n v="35.648195000000001"/>
    <n v="33.268194999999999"/>
    <n v="27"/>
    <m/>
    <n v="995.76945999999998"/>
    <n v="7213.8"/>
    <n v="81.865555509999993"/>
    <n v="82.222094366081393"/>
    <n v="5905.617443380379"/>
    <n v="5931.3374433803792"/>
    <n v="5933.7174433803793"/>
    <n v="2.38"/>
    <n v="21.72"/>
    <n v="4"/>
    <n v="25.72"/>
    <m/>
    <n v="85.069828999999999"/>
    <m/>
    <n v="20"/>
    <n v="6136.7673244020007"/>
    <n v="15"/>
    <n v="1.5"/>
    <n v="6120.2673244020007"/>
    <n v="231.1498810216217"/>
    <n v="188.92988102162144"/>
    <n v="1204.6993410216214"/>
    <n v="866"/>
    <n v="0.20310753730022835"/>
    <n v="8.5605370802059294E-2"/>
    <n v="8.1051945744589737E-2"/>
    <n v="36.72"/>
    <m/>
  </r>
  <r>
    <x v="9"/>
    <x v="0"/>
    <s v="Cristian"/>
    <d v="2023-03-15T00:00:00"/>
    <d v="2023-03-28T00:00:00"/>
    <d v="2022-12-28T00:00:00"/>
    <d v="2030-12-28T00:00:00"/>
    <n v="5.93"/>
    <n v="7.0882603151031596"/>
    <n v="9.25"/>
    <n v="64.735833333333332"/>
    <n v="28.055833333333332"/>
    <n v="25"/>
    <m/>
    <n v="1646.4516666666666"/>
    <n v="13100"/>
    <n v="83.367699999999999"/>
    <n v="83.659455725190824"/>
    <n v="10921.168699999998"/>
    <n v="10959.3887"/>
    <n v="10996.0687"/>
    <n v="36.68"/>
    <n v="32.76"/>
    <n v="5.46"/>
    <n v="38.22"/>
    <m/>
    <n v="85.069828999999999"/>
    <m/>
    <n v="36"/>
    <n v="11144.147599"/>
    <n v="20"/>
    <n v="2"/>
    <n v="11122.147599"/>
    <n v="222.97889900000155"/>
    <n v="162.75889900000038"/>
    <n v="1845.210565666667"/>
    <n v="791"/>
    <n v="0.168368019072694"/>
    <n v="7.7691943061356905E-2"/>
    <n v="7.444463262828771E-2"/>
    <n v="52.76"/>
    <m/>
  </r>
  <r>
    <x v="10"/>
    <x v="0"/>
    <s v="Jhon"/>
    <d v="2023-03-07T00:00:00"/>
    <d v="2023-03-27T00:00:00"/>
    <d v="2022-12-27T00:00:00"/>
    <d v="2030-12-27T00:00:00"/>
    <n v="5.93"/>
    <n v="6.9958823628203852"/>
    <n v="9"/>
    <n v="262.40249999999997"/>
    <n v="174.93249999999998"/>
    <n v="25"/>
    <m/>
    <n v="6734.994999999999"/>
    <n v="53100"/>
    <n v="84.468497139999997"/>
    <n v="84.764146857514106"/>
    <n v="44852.771981339996"/>
    <n v="45009.761981339994"/>
    <n v="45097.231981339995"/>
    <n v="87.47"/>
    <n v="134.56"/>
    <n v="22.43"/>
    <n v="156.99"/>
    <m/>
    <n v="84.942212979999994"/>
    <m/>
    <n v="244.91"/>
    <n v="45104.315092379999"/>
    <n v="126.68"/>
    <n v="22.55"/>
    <n v="44955.085092379995"/>
    <n v="251.54311104000226"/>
    <n v="-54.676888959998905"/>
    <n v="6925.2281110399999"/>
    <n v="779"/>
    <n v="0.15386058059829419"/>
    <n v="7.2091286159662871E-2"/>
    <n v="6.9355013870578075E-2"/>
    <n v="261.24"/>
    <m/>
  </r>
  <r>
    <x v="11"/>
    <x v="0"/>
    <s v="Jhon"/>
    <d v="2022-12-30T00:00:00"/>
    <d v="2023-01-28T00:00:00"/>
    <d v="2022-12-28T00:00:00"/>
    <d v="2030-12-28T00:00:00"/>
    <n v="5.93"/>
    <n v="7.2183190553416541"/>
    <n v="9.5"/>
    <n v="176.17041666666668"/>
    <n v="164.4233554587218"/>
    <n v="25"/>
    <m/>
    <n v="4568.6837721253887"/>
    <n v="35650"/>
    <n v="81.865555509999993"/>
    <n v="82.152090459505516"/>
    <n v="29185.070539314998"/>
    <n v="29287.220248813719"/>
    <n v="29298.967310021664"/>
    <n v="11.747061207944871"/>
    <n v="87.55911363329281"/>
    <n v="14.590595865423589"/>
    <n v="102.1497094987164"/>
    <m/>
    <n v="84.952536999999992"/>
    <m/>
    <n v="164.43"/>
    <n v="30285.579440499994"/>
    <n v="90.86"/>
    <n v="15.14"/>
    <n v="30179.579440499994"/>
    <n v="1100.5089011849959"/>
    <n v="892.35919168627515"/>
    <n v="5625.4729638116642"/>
    <n v="788"/>
    <n v="0.19207944338928937"/>
    <n v="8.8970808168896715E-2"/>
    <n v="8.4786853136563423E-2"/>
    <n v="178.4191136332928"/>
    <m/>
  </r>
  <r>
    <x v="12"/>
    <x v="0"/>
    <s v="Jhon"/>
    <d v="2023-07-03T00:00:00"/>
    <d v="2023-07-17T00:00:00"/>
    <d v="2023-05-17T00:00:00"/>
    <d v="2031-05-17T00:00:00"/>
    <n v="5.93"/>
    <n v="7.7723835905781931"/>
    <n v="11"/>
    <n v="29.155833333333334"/>
    <n v="12.635833333333334"/>
    <n v="19"/>
    <m/>
    <n v="566.59666666666669"/>
    <n v="5900"/>
    <n v="75.719499999999996"/>
    <n v="76.295771186440675"/>
    <n v="4467.4504999999999"/>
    <n v="4501.4504999999999"/>
    <n v="4517.9705000000004"/>
    <n v="16.52"/>
    <n v="30"/>
    <n v="4"/>
    <n v="34"/>
    <m/>
    <n v="79.951835840000001"/>
    <m/>
    <n v="0"/>
    <n v="4717.1583145599998"/>
    <n v="14.15"/>
    <n v="4"/>
    <n v="4699.0083145600001"/>
    <n v="249.70781455999986"/>
    <n v="197.55781456000022"/>
    <n v="764.15448122666692"/>
    <n v="595"/>
    <n v="0.16975738847437441"/>
    <n v="0.10413688536663304"/>
    <n v="0.1009638315599104"/>
    <n v="44.15"/>
    <m/>
  </r>
  <r>
    <x v="13"/>
    <x v="0"/>
    <s v="Cristian"/>
    <d v="2022-12-13T00:00:00"/>
    <d v="2022-11-28T00:00:00"/>
    <d v="2022-09-28T00:00:00"/>
    <d v="2030-09-28T00:00:00"/>
    <n v="5.93"/>
    <n v="7.7850460796964587"/>
    <n v="11"/>
    <n v="76.410520833333337"/>
    <n v="38.200520833333336"/>
    <n v="26"/>
    <m/>
    <n v="2024.8740625"/>
    <n v="15462.5"/>
    <n v="75.906000000000006"/>
    <n v="76.171675020210188"/>
    <n v="11736.965250000001"/>
    <n v="11778.045250000001"/>
    <n v="11816.25525"/>
    <n v="38.21"/>
    <n v="35.21"/>
    <n v="5.87"/>
    <n v="41.08"/>
    <m/>
    <n v="81.795956770000004"/>
    <m/>
    <n v="37.900498274878743"/>
    <n v="12647.699815561249"/>
    <n v="37.639115528155443"/>
    <n v="6.2731859213592394"/>
    <n v="12603.787514111733"/>
    <n v="910.73456556124802"/>
    <n v="825.74226411173186"/>
    <n v="2888.5168248866107"/>
    <n v="793"/>
    <n v="0.24524585901778653"/>
    <n v="0.11288113309141498"/>
    <n v="0.10622577995049598"/>
    <n v="72.849115528155437"/>
    <m/>
  </r>
  <r>
    <x v="13"/>
    <x v="0"/>
    <s v="Cristian"/>
    <d v="2022-12-30T00:00:00"/>
    <d v="2023-01-28T00:00:00"/>
    <d v="2022-09-28T00:00:00"/>
    <d v="2030-09-28T00:00:00"/>
    <n v="5.93"/>
    <n v="7.158811879256616"/>
    <n v="9.5"/>
    <n v="7.6927913333333331"/>
    <n v="7.1827913333333333"/>
    <n v="24"/>
    <m/>
    <n v="191.80978333333334"/>
    <n v="1556.72"/>
    <n v="82.33103097"/>
    <n v="82.834974574241528"/>
    <n v="1281.6636253161842"/>
    <n v="1289.5086161921326"/>
    <n v="1290.0186161921326"/>
    <n v="0.51"/>
    <n v="3.844990875948552"/>
    <n v="4"/>
    <n v="7.844990875948552"/>
    <m/>
    <n v="81.795956770000004"/>
    <m/>
    <n v="4.1495017251212536"/>
    <n v="1273.3340182299441"/>
    <n v="4.1208844718445556"/>
    <n v="0.68681407864075938"/>
    <n v="1268.5263196794588"/>
    <n v="-8.3296070862400029"/>
    <n v="-20.982296512673884"/>
    <n v="174.9769885457807"/>
    <n v="776"/>
    <n v="0.13569276416506681"/>
    <n v="6.38245604642389E-2"/>
    <n v="6.167732790871594E-2"/>
    <n v="7.9658753477931077"/>
    <m/>
  </r>
  <r>
    <x v="13"/>
    <x v="0"/>
    <s v="Cristian"/>
    <d v="2023-02-22T00:00:00"/>
    <d v="2023-02-27T00:00:00"/>
    <d v="2022-12-27T00:00:00"/>
    <d v="2031-12-27T00:00:00"/>
    <n v="6.21"/>
    <n v="8.1173219901419813"/>
    <n v="11"/>
    <n v="198.72"/>
    <n v="26.5"/>
    <n v="23"/>
    <m/>
    <n v="4597.0600000000004"/>
    <n v="38400"/>
    <n v="76.084599999999995"/>
    <n v="76.503063541666663"/>
    <n v="29216.486399999998"/>
    <n v="29377.176399999997"/>
    <n v="29549.396399999998"/>
    <n v="172.22"/>
    <n v="146.08000000000001"/>
    <n v="14.61"/>
    <n v="160.69"/>
    <m/>
    <n v="80.816188220000001"/>
    <m/>
    <n v="105.98"/>
    <n v="31033.416276480002"/>
    <n v="93.1"/>
    <n v="15.52"/>
    <n v="30924.796276480003"/>
    <n v="1816.9298764800042"/>
    <n v="1547.6198764800065"/>
    <n v="6250.6598764800065"/>
    <n v="722"/>
    <n v="0.21277265695555436"/>
    <n v="0.10756512436118745"/>
    <n v="0.10243717667691898"/>
    <n v="239.18"/>
    <m/>
  </r>
  <r>
    <x v="13"/>
    <x v="0"/>
    <s v="Cristian"/>
    <d v="2023-05-31T00:00:00"/>
    <d v="2023-06-17T00:00:00"/>
    <d v="2023-05-17T00:00:00"/>
    <d v="2029-05-17T00:00:00"/>
    <n v="5.36"/>
    <n v="7.012208260738408"/>
    <n v="11"/>
    <n v="60.74666666666667"/>
    <n v="32.396666666666668"/>
    <n v="20"/>
    <m/>
    <n v="1247.3300000000002"/>
    <n v="13600"/>
    <n v="76.171499999999995"/>
    <n v="76.438117647058817"/>
    <n v="10359.323999999999"/>
    <n v="10395.583999999999"/>
    <n v="10423.933999999999"/>
    <n v="28.35"/>
    <n v="31.08"/>
    <n v="5.18"/>
    <n v="36.26"/>
    <m/>
    <n v="81.786947710000007"/>
    <m/>
    <n v="52.65"/>
    <n v="11123.024888560001"/>
    <n v="33.369999999999997"/>
    <n v="5.56"/>
    <n v="11084.094888560001"/>
    <n v="763.70088856000257"/>
    <n v="688.51088856000206"/>
    <n v="1988.4908885600023"/>
    <n v="624"/>
    <n v="0.19128226837087772"/>
    <n v="0.11188786531309354"/>
    <n v="0.10780600164362708"/>
    <n v="64.449999999999989"/>
    <m/>
  </r>
  <r>
    <x v="13"/>
    <x v="0"/>
    <s v="Cristian"/>
    <d v="2024-01-11T00:00:00"/>
    <d v="2024-01-18T00:00:00"/>
    <d v="2023-10-18T00:00:00"/>
    <d v="2026-10-18T00:00:00"/>
    <n v="4.3"/>
    <n v="5.1094359464330195"/>
    <n v="11.75"/>
    <n v="21.965833333333332"/>
    <n v="5.1258333333333326"/>
    <n v="13"/>
    <m/>
    <n v="290.68166666666667"/>
    <n v="6130"/>
    <n v="83.841214930000007"/>
    <n v="84.158017540114187"/>
    <n v="5139.4664752090002"/>
    <n v="5158.8864752089994"/>
    <n v="5175.7264752089995"/>
    <n v="16.84"/>
    <n v="15.42"/>
    <n v="4"/>
    <n v="19.420000000000002"/>
    <m/>
    <n v="91.187966490000008"/>
    <m/>
    <n v="18.7"/>
    <n v="5589.8223458370012"/>
    <n v="16.77"/>
    <n v="4.4000000000000004"/>
    <n v="5568.6523458370011"/>
    <n v="450.35587062800096"/>
    <n v="409.76587062800172"/>
    <n v="719.14753729466838"/>
    <n v="399"/>
    <n v="0.13939976015183275"/>
    <n v="0.12752108384816782"/>
    <n v="0.12679932803899718"/>
    <n v="32.19"/>
    <m/>
  </r>
  <r>
    <x v="14"/>
    <x v="0"/>
    <s v="Jhon"/>
    <d v="2023-05-16T00:00:00"/>
    <d v="2023-05-26T00:00:00"/>
    <d v="2023-04-26T00:00:00"/>
    <d v="2026-04-26T00:00:00"/>
    <n v="4.3"/>
    <n v="4.9474265506522261"/>
    <n v="10"/>
    <n v="51.958333333333336"/>
    <n v="15.588333333333338"/>
    <n v="17"/>
    <m/>
    <n v="898.88000000000011"/>
    <n v="14500"/>
    <n v="86.610699999999994"/>
    <n v="86.913872413793086"/>
    <n v="12558.5515"/>
    <n v="12602.511499999997"/>
    <n v="12638.881499999998"/>
    <n v="36.369999999999997"/>
    <n v="37.68"/>
    <n v="6.28"/>
    <n v="43.96"/>
    <m/>
    <n v="92.769223570000008"/>
    <m/>
    <n v="50.23"/>
    <n v="13451.537417650001"/>
    <n v="40.35"/>
    <n v="6.73"/>
    <n v="13404.457417650001"/>
    <n v="892.98591765000128"/>
    <n v="801.94591765000405"/>
    <n v="1751.0559176500042"/>
    <n v="528"/>
    <n v="0.13894499661039822"/>
    <n v="9.6050991974991201E-2"/>
    <n v="9.4106673300638155E-2"/>
    <n v="78.03"/>
    <m/>
  </r>
  <r>
    <x v="15"/>
    <x v="0"/>
    <s v="Jhon"/>
    <d v="2024-09-10T00:00:00"/>
    <d v="2024-09-15T00:00:00"/>
    <d v="2024-07-15T00:00:00"/>
    <d v="2028-07-15T00:00:00"/>
    <n v="4.71"/>
    <n v="6.3507422593875678"/>
    <n v="14"/>
    <n v="27.867500000000003"/>
    <n v="4.6475000000000044"/>
    <n v="0"/>
    <m/>
    <n v="4.6475000000000044"/>
    <n v="7100"/>
    <n v="73.886530989999997"/>
    <n v="74.164559159014075"/>
    <n v="5245.9437002899995"/>
    <n v="5265.6837002900002"/>
    <n v="5288.9037002900004"/>
    <n v="23.22"/>
    <n v="15.74"/>
    <n v="4"/>
    <n v="19.740000000000002"/>
    <m/>
    <n v="79.18690221"/>
    <m/>
    <n v="22.29"/>
    <n v="5622.2700569100007"/>
    <n v="16.87"/>
    <n v="4"/>
    <n v="5601.4000569100008"/>
    <n v="376.32635662000121"/>
    <n v="335.71635662000062"/>
    <n v="362.65385662000062"/>
    <n v="29"/>
    <n v="6.8871181267501497E-2"/>
    <n v="0.86682693664269117"/>
    <n v="1.312387772987893"/>
    <n v="32.61"/>
    <m/>
  </r>
  <r>
    <x v="16"/>
    <x v="0"/>
    <s v="Jhon"/>
    <d v="2024-03-01T00:00:00"/>
    <d v="2024-03-28T00:00:00"/>
    <d v="2022-12-28T00:00:00"/>
    <d v="2029-12-28T00:00:00"/>
    <n v="5.64"/>
    <n v="7.9013385859350649"/>
    <n v="13.25"/>
    <n v="68.885220999999987"/>
    <n v="55.105220999999986"/>
    <n v="6"/>
    <m/>
    <n v="468.41654699999987"/>
    <n v="14656.43"/>
    <n v="71.131341070000005"/>
    <n v="71.380310293746845"/>
    <n v="10425.315211985802"/>
    <n v="10461.8052119858"/>
    <n v="10475.585211985801"/>
    <n v="13.78"/>
    <n v="31.28"/>
    <n v="5.21"/>
    <n v="36.49"/>
    <m/>
    <n v="75.60051842"/>
    <m/>
    <n v="4.59"/>
    <n v="11080.337061864406"/>
    <n v="33.24"/>
    <n v="5.54"/>
    <n v="11041.557061864405"/>
    <n v="655.02184987860346"/>
    <n v="579.75184987860484"/>
    <n v="1052.7583968786046"/>
    <n v="213"/>
    <n v="0.1006287514962034"/>
    <n v="0.17243894035734386"/>
    <n v="0.17857274148163915"/>
    <n v="64.52000000000001"/>
    <m/>
  </r>
  <r>
    <x v="16"/>
    <x v="0"/>
    <s v="Jhon"/>
    <d v="2024-06-19T00:00:00"/>
    <d v="2024-06-24T00:00:00"/>
    <d v="2023-05-24T00:00:00"/>
    <d v="2029-05-24T00:00:00"/>
    <n v="5.36"/>
    <n v="7.8790293788781716"/>
    <n v="15"/>
    <n v="55.833333333333336"/>
    <n v="7.4433333333333351"/>
    <n v="3"/>
    <m/>
    <n v="174.94333333333333"/>
    <n v="12500"/>
    <n v="67.754844019999993"/>
    <n v="68.02868402"/>
    <n v="8469.3555025000005"/>
    <n v="8503.5855025000001"/>
    <n v="8551.9755024999995"/>
    <n v="48.39"/>
    <n v="30"/>
    <n v="4.2300000000000004"/>
    <n v="34.230000000000004"/>
    <m/>
    <n v="75.944861779999997"/>
    <m/>
    <n v="11.17"/>
    <n v="9493.107722499999"/>
    <n v="28.48"/>
    <n v="4.75"/>
    <n v="9459.8777224999994"/>
    <n v="1023.7522199999985"/>
    <n v="956.29221999999936"/>
    <n v="1142.4055533333328"/>
    <n v="103"/>
    <n v="0.13434398384040153"/>
    <n v="0.47607334079365587"/>
    <n v="0.5631421142996913"/>
    <n v="58.480000000000004"/>
    <m/>
  </r>
  <r>
    <x v="16"/>
    <x v="0"/>
    <s v="Jhon"/>
    <d v="2024-02-28T00:00:00"/>
    <d v="2024-03-18T00:00:00"/>
    <d v="2023-10-18T00:00:00"/>
    <d v="2029-10-18T00:00:00"/>
    <n v="5.36"/>
    <n v="7.6588381951471103"/>
    <n v="13.25"/>
    <n v="112.82800000000002"/>
    <n v="75.218000000000018"/>
    <n v="6"/>
    <m/>
    <n v="752.18600000000015"/>
    <n v="25260"/>
    <n v="69.740839129999998"/>
    <n v="69.984505004901024"/>
    <n v="17616.535964237999"/>
    <n v="17678.085964237998"/>
    <n v="17715.695964237999"/>
    <n v="37.61"/>
    <n v="52.74"/>
    <n v="8.81"/>
    <n v="61.550000000000004"/>
    <m/>
    <n v="74.340201460000003"/>
    <m/>
    <n v="45.13"/>
    <n v="18778.334888796002"/>
    <n v="56.33"/>
    <n v="9.39"/>
    <n v="18712.614888796001"/>
    <n v="1161.7989245580029"/>
    <n v="1034.5289245580025"/>
    <n v="1831.8449245580027"/>
    <n v="215"/>
    <n v="0.10362235641707737"/>
    <n v="0.17591702368480577"/>
    <n v="0.1822116906192901"/>
    <n v="109.07"/>
    <m/>
  </r>
  <r>
    <x v="16"/>
    <x v="0"/>
    <s v="Jhon"/>
    <d v="2024-01-18T00:00:00"/>
    <d v="2024-02-18T00:00:00"/>
    <d v="2023-10-18T00:00:00"/>
    <d v="2026-10-18T00:00:00"/>
    <n v="4.3"/>
    <n v="5.1042876750002844"/>
    <n v="11.75"/>
    <n v="65.073333333333338"/>
    <n v="65.073333333333338"/>
    <n v="7"/>
    <m/>
    <n v="520.5866666666667"/>
    <n v="18160"/>
    <n v="83.949068150000002"/>
    <n v="84.242900749118945"/>
    <n v="15245.15077604"/>
    <n v="15298.510776040001"/>
    <n v="15298.510776040001"/>
    <n v="0"/>
    <n v="45.74"/>
    <n v="7.62"/>
    <n v="53.36"/>
    <m/>
    <n v="89.887737000000001"/>
    <m/>
    <n v="26.02720562390158"/>
    <n v="16323.613039200001"/>
    <n v="48.974551845342702"/>
    <n v="8.1624253075571165"/>
    <n v="16266.476062047102"/>
    <n v="1078.4622631600014"/>
    <n v="967.96528600710189"/>
    <n v="1514.5791582976701"/>
    <n v="256"/>
    <n v="9.900173817374118E-2"/>
    <n v="0.14115482200552942"/>
    <n v="0.14407559235853773"/>
    <n v="94.714551845342697"/>
    <m/>
  </r>
  <r>
    <x v="16"/>
    <x v="0"/>
    <s v="Jhon"/>
    <d v="2024-05-31T00:00:00"/>
    <d v="2024-06-18T00:00:00"/>
    <d v="2023-10-18T00:00:00"/>
    <d v="2026-10-18T00:00:00"/>
    <n v="4.3"/>
    <n v="4.9531648935973216"/>
    <n v="11.5"/>
    <n v="16.483333333333334"/>
    <n v="9.8933333333333344"/>
    <n v="3"/>
    <m/>
    <n v="59.343333333333334"/>
    <n v="4600"/>
    <n v="86.456007"/>
    <n v="86.813180913043482"/>
    <n v="3976.976322"/>
    <n v="3993.4063219999998"/>
    <n v="3999.996322"/>
    <n v="6.59"/>
    <n v="12.43"/>
    <n v="4"/>
    <n v="16.43"/>
    <m/>
    <n v="89.887737000000001"/>
    <m/>
    <n v="6.5927943760984169"/>
    <n v="4134.8359020000007"/>
    <n v="12.405448154657289"/>
    <n v="2.0675746924428822"/>
    <n v="4120.3628791529009"/>
    <n v="157.85958000000073"/>
    <n v="126.95655715290104"/>
    <n v="192.8926848623328"/>
    <n v="122"/>
    <n v="4.8302794483914981E-2"/>
    <n v="0.14451245890679482"/>
    <n v="0.15157520776803723"/>
    <n v="24.835448154657289"/>
    <m/>
  </r>
  <r>
    <x v="16"/>
    <x v="0"/>
    <s v="Isabel"/>
    <d v="2024-07-19T00:00:00"/>
    <d v="2024-07-27T00:00:00"/>
    <d v="2022-06-27T00:00:00"/>
    <d v="2029-06-27T00:00:00"/>
    <n v="5.64"/>
    <n v="7.6737585416208969"/>
    <n v="13.75"/>
    <n v="82.72"/>
    <n v="22.060000000000002"/>
    <n v="2"/>
    <m/>
    <n v="187.5"/>
    <n v="17600"/>
    <n v="73.240866819999994"/>
    <n v="73.497230456363638"/>
    <n v="12890.392560319999"/>
    <n v="12935.512560320001"/>
    <n v="12996.172560320001"/>
    <n v="60.66"/>
    <n v="38.67"/>
    <n v="6.45"/>
    <n v="45.120000000000005"/>
    <m/>
    <n v="77.567003799999995"/>
    <m/>
    <n v="8.27"/>
    <n v="13651.792668800001"/>
    <n v="40.96"/>
    <n v="6.83"/>
    <n v="13604.002668800002"/>
    <n v="761.40010848000202"/>
    <n v="668.49010848000034"/>
    <n v="864.26010848000033"/>
    <n v="73"/>
    <n v="6.6812977410043967E-2"/>
    <n v="0.33406488705021981"/>
    <n v="0.38178810716482547"/>
    <n v="79.63"/>
    <m/>
  </r>
  <r>
    <x v="16"/>
    <x v="0"/>
    <s v="Cristian"/>
    <d v="2023-12-18T00:00:00"/>
    <d v="2024-01-18T00:00:00"/>
    <d v="2023-10-18T00:00:00"/>
    <d v="2029-10-18T00:00:00"/>
    <n v="5.36"/>
    <n v="7.4892877848131976"/>
    <n v="13"/>
    <n v="2.0278666666666667"/>
    <n v="1.9578666666666666"/>
    <n v="8"/>
    <m/>
    <n v="18.180800000000001"/>
    <n v="454"/>
    <n v="69.806773640000003"/>
    <n v="71.568888177444933"/>
    <n v="316.92275232560002"/>
    <n v="324.92275232560002"/>
    <n v="324.99275232560001"/>
    <n v="7.0000000000000007E-2"/>
    <n v="4"/>
    <n v="4"/>
    <n v="8"/>
    <m/>
    <n v="74.340201460000003"/>
    <m/>
    <n v="0.81111368216764956"/>
    <n v="337.50451462839999"/>
    <n v="1.0125789355825929"/>
    <n v="0.1687631559304322"/>
    <n v="336.32317253688694"/>
    <n v="20.581762302799973"/>
    <n v="11.400420211286928"/>
    <n v="30.39233389345458"/>
    <n v="287"/>
    <n v="9.3537105899555162E-2"/>
    <n v="0.11895834025553183"/>
    <n v="0.12043736350314194"/>
    <n v="5.0125789355825932"/>
    <m/>
  </r>
  <r>
    <x v="16"/>
    <x v="0"/>
    <s v="Cristian"/>
    <d v="2024-02-28T00:00:00"/>
    <d v="2024-03-18T00:00:00"/>
    <d v="2023-10-18T00:00:00"/>
    <d v="2029-10-18T00:00:00"/>
    <n v="5.36"/>
    <n v="7.6588366986934764"/>
    <n v="13.25"/>
    <n v="110.952"/>
    <n v="73.972000000000008"/>
    <n v="6"/>
    <m/>
    <n v="739.68399999999997"/>
    <n v="24840"/>
    <n v="69.740839129999998"/>
    <n v="69.984518679114331"/>
    <n v="17323.624439891999"/>
    <n v="17384.154439892001"/>
    <n v="17421.134439892001"/>
    <n v="36.979999999999997"/>
    <n v="51.87"/>
    <n v="8.66"/>
    <n v="60.53"/>
    <m/>
    <n v="74.340201460000003"/>
    <m/>
    <n v="44.378995297454658"/>
    <n v="18466.106042664"/>
    <n v="55.401895946853777"/>
    <n v="9.2336493244756319"/>
    <n v="18401.470497392671"/>
    <n v="1142.4816027720008"/>
    <n v="1017.3160575006696"/>
    <n v="1801.3790527981241"/>
    <n v="215"/>
    <n v="0.10362189653955439"/>
    <n v="0.17591624296249933"/>
    <n v="0.18221085430159656"/>
    <n v="107.27189594685377"/>
    <m/>
  </r>
  <r>
    <x v="16"/>
    <x v="0"/>
    <s v="Cristian"/>
    <d v="2023-12-05T00:00:00"/>
    <d v="2023-12-18T00:00:00"/>
    <d v="2023-10-18T00:00:00"/>
    <d v="2029-10-18T00:00:00"/>
    <n v="5.36"/>
    <n v="7.6420483560114727"/>
    <n v="13"/>
    <n v="6.7"/>
    <n v="2.9000000000000004"/>
    <n v="9"/>
    <m/>
    <n v="63.2"/>
    <n v="1500"/>
    <n v="69.662930000000003"/>
    <n v="70.138263333333356"/>
    <n v="1044.9439500000001"/>
    <n v="1052.0739500000004"/>
    <n v="1055.8739500000004"/>
    <n v="3.8"/>
    <n v="3.13"/>
    <n v="4"/>
    <n v="7.13"/>
    <m/>
    <n v="74.340201460000003"/>
    <m/>
    <n v="2.679891020377696"/>
    <n v="1115.1030218999999"/>
    <n v="3.3455251175636338"/>
    <n v="0.55758751959393904"/>
    <n v="1111.1999092628423"/>
    <n v="70.159071899999844"/>
    <n v="59.125959262841889"/>
    <n v="125.00585028321959"/>
    <n v="300"/>
    <n v="0.11881850157322071"/>
    <n v="0.14456251024741854"/>
    <n v="0.1463684581719058"/>
    <n v="6.4755251175636337"/>
    <m/>
  </r>
  <r>
    <x v="16"/>
    <x v="0"/>
    <s v="Cristian"/>
    <d v="2023-12-18T00:00:00"/>
    <d v="2024-03-18T00:00:00"/>
    <d v="2023-10-18T00:00:00"/>
    <d v="2029-10-18T00:00:00"/>
    <n v="5.36"/>
    <n v="7.6549588514761249"/>
    <n v="13.25"/>
    <n v="119.67986666666667"/>
    <n v="78.829866666666675"/>
    <n v="6"/>
    <m/>
    <n v="796.90906666666672"/>
    <n v="26794"/>
    <n v="69.740839129999998"/>
    <n v="70.019971419786515"/>
    <n v="18686.360436492199"/>
    <n v="18761.151142217597"/>
    <n v="18802.001142217596"/>
    <n v="40.849999999999987"/>
    <n v="59"/>
    <n v="16.66"/>
    <n v="75.66"/>
    <m/>
    <n v="74.340201460000003"/>
    <m/>
    <n v="47.87"/>
    <n v="19918.713579192401"/>
    <n v="59.76"/>
    <n v="9.9600000000000009"/>
    <n v="19848.993579192404"/>
    <n v="1232.3531427002017"/>
    <n v="1087.8424369748063"/>
    <n v="1932.6215036414728"/>
    <n v="287"/>
    <n v="0.10301188285256967"/>
    <n v="0.1310081436975189"/>
    <n v="0.13279808957352102"/>
    <n v="118.75999999999999"/>
    <m/>
  </r>
  <r>
    <x v="17"/>
    <x v="0"/>
    <s v="Jhon"/>
    <d v="2024-02-15T00:00:00"/>
    <d v="2024-03-12T00:00:00"/>
    <d v="2021-05-12T00:00:00"/>
    <d v="2025-05-12T00:00:00"/>
    <n v="4.71"/>
    <n v="5.0963106828659743"/>
    <n v="13.34"/>
    <n v="24.6048045"/>
    <n v="21.324804499999999"/>
    <n v="4"/>
    <m/>
    <n v="119.7440225"/>
    <n v="6268.74"/>
    <n v="92.079696999999996"/>
    <n v="92.419797243430082"/>
    <n v="5772.2367977177992"/>
    <n v="5793.5567977177989"/>
    <n v="5796.8367977177986"/>
    <n v="3.28"/>
    <n v="17.32"/>
    <n v="4"/>
    <n v="21.32"/>
    <m/>
    <n v="97.393225000000001"/>
    <m/>
    <n v="5.7399938956431473"/>
    <n v="6105.3280528650002"/>
    <n v="18.31331385752814"/>
    <n v="2.666663830728524"/>
    <n v="6084.3480751767429"/>
    <n v="333.09125514720108"/>
    <n v="290.79127745894402"/>
    <n v="416.27529385458718"/>
    <n v="155"/>
    <n v="7.1851421913834798E-2"/>
    <n v="0.16919850966806257"/>
    <n v="0.17750319801146386"/>
    <n v="35.633313857528137"/>
    <m/>
  </r>
  <r>
    <x v="17"/>
    <x v="0"/>
    <s v="Jhon"/>
    <d v="2024-02-28T00:00:00"/>
    <d v="2024-03-12T00:00:00"/>
    <d v="2021-05-12T00:00:00"/>
    <d v="2025-05-12T00:00:00"/>
    <n v="4.71"/>
    <n v="5.0789625709419246"/>
    <n v="13.34"/>
    <n v="12.3024415"/>
    <n v="5.7424415000000009"/>
    <n v="4"/>
    <m/>
    <n v="54.9522075"/>
    <n v="3134.38"/>
    <n v="92.330928"/>
    <n v="92.735473715580113"/>
    <n v="2894.0021410464001"/>
    <n v="2906.6821410463999"/>
    <n v="2913.2421410463999"/>
    <n v="6.56"/>
    <n v="8.68"/>
    <n v="4"/>
    <n v="12.68"/>
    <m/>
    <n v="97.393225000000001"/>
    <m/>
    <n v="2.8700061043568521"/>
    <n v="3052.6737657550002"/>
    <n v="9.1566861424718624"/>
    <n v="1.333336169271476"/>
    <n v="3042.1837434432568"/>
    <n v="158.67162470860012"/>
    <n v="135.50160239685692"/>
    <n v="193.32381600121377"/>
    <n v="142"/>
    <n v="6.6510133072760949E-2"/>
    <n v="0.17095914487012498"/>
    <n v="0.17999951953730098"/>
    <n v="17.836686142471862"/>
    <m/>
  </r>
  <r>
    <x v="18"/>
    <x v="0"/>
    <s v="Isabel"/>
    <d v="2024-01-17T00:00:00"/>
    <d v="2024-01-24T00:00:00"/>
    <d v="2023-05-24T00:00:00"/>
    <d v="2025-05-24T00:00:00"/>
    <n v="3.82"/>
    <n v="4.1329711058936107"/>
    <n v="11.5"/>
    <n v="75.596208333333337"/>
    <n v="17.636208333333336"/>
    <n v="5"/>
    <m/>
    <n v="395.61725000000001"/>
    <n v="23747.5"/>
    <n v="92.105062950000004"/>
    <n v="92.427454780719032"/>
    <n v="21872.649824051252"/>
    <n v="21949.209824051253"/>
    <n v="22007.169824051252"/>
    <n v="57.96"/>
    <n v="65.62"/>
    <n v="10.94"/>
    <n v="76.56"/>
    <m/>
    <n v="96.715592000000001"/>
    <m/>
    <n v="60.48"/>
    <n v="22967.5352102"/>
    <n v="68.900000000000006"/>
    <n v="9.76"/>
    <n v="22888.8752102"/>
    <n v="1094.8853861487478"/>
    <n v="939.66538614874662"/>
    <n v="1395.7626361487467"/>
    <n v="183"/>
    <n v="6.3590564186019757E-2"/>
    <n v="0.12683363895025798"/>
    <n v="0.13084385629208173"/>
    <n v="134.52000000000001"/>
    <m/>
  </r>
  <r>
    <x v="18"/>
    <x v="0"/>
    <s v="Cristian"/>
    <d v="2024-01-11T00:00:00"/>
    <d v="2024-01-18T00:00:00"/>
    <d v="2022-11-18T00:00:00"/>
    <d v="2025-11-18T00:00:00"/>
    <n v="4.3"/>
    <n v="4.7861715282830222"/>
    <n v="11.5"/>
    <n v="48.563125000000007"/>
    <n v="11.33312500000001"/>
    <n v="6"/>
    <m/>
    <n v="302.71187500000002"/>
    <n v="13552.5"/>
    <n v="89.527829310000001"/>
    <n v="89.842162458865531"/>
    <n v="12133.25906723775"/>
    <n v="12175.859067237752"/>
    <n v="12213.089067237752"/>
    <n v="37.229999999999997"/>
    <n v="36.53"/>
    <n v="6.07"/>
    <n v="42.6"/>
    <m/>
    <n v="94.680695999999998"/>
    <m/>
    <n v="6.42"/>
    <n v="12831.601325399999"/>
    <n v="38.49"/>
    <n v="6.42"/>
    <n v="12786.691325399999"/>
    <n v="698.34225816224898"/>
    <n v="610.83225816224694"/>
    <n v="919.96413316224687"/>
    <n v="189"/>
    <n v="7.5556404528173665E-2"/>
    <n v="0.14591580768668461"/>
    <n v="0.15104036383309549"/>
    <n v="75.02000000000001"/>
    <m/>
  </r>
  <r>
    <x v="19"/>
    <x v="0"/>
    <s v="Jhon"/>
    <d v="2023-09-04T00:00:00"/>
    <d v="2023-09-21T00:00:00"/>
    <d v="2023-04-21T00:00:00"/>
    <d v="2029-04-21T00:00:00"/>
    <n v="5.36"/>
    <n v="7.359450372932681"/>
    <n v="12.5"/>
    <n v="13.609933333333332"/>
    <n v="7.2599333333333327"/>
    <n v="0"/>
    <m/>
    <n v="7.2599333333333327"/>
    <n v="3047"/>
    <n v="72.159061120000004"/>
    <n v="72.831525839396122"/>
    <n v="2198.6865923263999"/>
    <n v="2219.1765923263997"/>
    <n v="2225.5265923263996"/>
    <n v="6.35"/>
    <n v="16.489999999999998"/>
    <n v="4"/>
    <n v="20.49"/>
    <m/>
    <n v="76.594774000000001"/>
    <m/>
    <n v="6.35"/>
    <n v="2333.84276378"/>
    <n v="7"/>
    <n v="4"/>
    <n v="2322.84276378"/>
    <n v="135.15617145360011"/>
    <n v="103.66617145360033"/>
    <n v="117.27610478693366"/>
    <n v="30"/>
    <n v="5.2846675290491939E-2"/>
    <n v="0.64296788270098526"/>
    <n v="0.87115206049915361"/>
    <n v="23.49"/>
    <m/>
  </r>
  <r>
    <x v="19"/>
    <x v="0"/>
    <s v="Jhon"/>
    <d v="2023-09-04T00:00:00"/>
    <d v="2023-09-26T00:00:00"/>
    <d v="2023-04-26T00:00:00"/>
    <d v="2028-04-26T00:00:00"/>
    <n v="5.07"/>
    <n v="6.579605025140137"/>
    <n v="12"/>
    <n v="41.827500000000001"/>
    <n v="29.2775"/>
    <n v="0"/>
    <m/>
    <n v="29.2775"/>
    <n v="9900"/>
    <n v="76.448216349999996"/>
    <n v="77.056297158080795"/>
    <n v="7568.3734186499996"/>
    <n v="7628.5734186499985"/>
    <n v="7641.1234186499987"/>
    <n v="12.55"/>
    <n v="56.2"/>
    <n v="4"/>
    <n v="60.2"/>
    <m/>
    <n v="78.988888000000003"/>
    <m/>
    <n v="12.55"/>
    <n v="7819.8999120000008"/>
    <n v="23.46"/>
    <n v="4"/>
    <n v="7792.4399120000007"/>
    <n v="251.52649335000115"/>
    <n v="163.8664933500022"/>
    <n v="205.69399335000222"/>
    <n v="30"/>
    <n v="2.6963625053031626E-2"/>
    <n v="0.32805743814521809"/>
    <n v="0.3822499343204413"/>
    <n v="79.66"/>
    <m/>
  </r>
  <r>
    <x v="19"/>
    <x v="0"/>
    <s v="Jhon"/>
    <d v="2023-09-04T00:00:00"/>
    <d v="2023-10-03T00:00:00"/>
    <d v="2023-07-03T00:00:00"/>
    <d v="2028-07-03T00:00:00"/>
    <n v="5.07"/>
    <n v="6.6414636162968694"/>
    <n v="12"/>
    <n v="22.867812499999999"/>
    <n v="21.3478125"/>
    <n v="0"/>
    <m/>
    <n v="21.3478125"/>
    <n v="5412.5"/>
    <n v="75.696932000000004"/>
    <n v="76.33859481755195"/>
    <n v="4097.0964445"/>
    <n v="4131.8264444999986"/>
    <n v="4133.3464444999991"/>
    <n v="1.52"/>
    <n v="30.73"/>
    <n v="4"/>
    <n v="34.730000000000004"/>
    <m/>
    <n v="78.289547999999996"/>
    <m/>
    <n v="1.52"/>
    <n v="4237.4217854999997"/>
    <n v="12.71"/>
    <n v="4"/>
    <n v="4220.7117854999997"/>
    <n v="140.32534099999975"/>
    <n v="88.885341000001063"/>
    <n v="111.75315350000106"/>
    <n v="30"/>
    <n v="2.7046913756205593E-2"/>
    <n v="0.32907078403383472"/>
    <n v="0.3836144731321689"/>
    <n v="43.44"/>
    <m/>
  </r>
  <r>
    <x v="19"/>
    <x v="0"/>
    <s v="Jhon"/>
    <d v="2023-08-01T00:00:00"/>
    <d v="2023-08-20T00:00:00"/>
    <d v="2019-09-20T00:00:00"/>
    <d v="2026-09-20T00:00:00"/>
    <n v="5.64"/>
    <n v="6.6837475228745236"/>
    <n v="13"/>
    <n v="17.671999999999997"/>
    <n v="10.601999999999997"/>
    <n v="1"/>
    <m/>
    <n v="28.273999999999994"/>
    <n v="3760"/>
    <n v="83.745500000000007"/>
    <n v="84.383797872340423"/>
    <n v="3148.8308000000002"/>
    <n v="3172.8308000000002"/>
    <n v="3179.9008000000003"/>
    <n v="7.07"/>
    <n v="20"/>
    <n v="4"/>
    <n v="24"/>
    <m/>
    <n v="88.059096999999994"/>
    <m/>
    <n v="8.84"/>
    <n v="3311.0220471999996"/>
    <n v="9.93"/>
    <n v="4"/>
    <n v="3297.0920471999998"/>
    <n v="162.19124719999945"/>
    <n v="124.26124719999962"/>
    <n v="161.37524719999962"/>
    <n v="64"/>
    <n v="5.0861598796884983E-2"/>
    <n v="0.29007005563848465"/>
    <n v="0.32701797508479369"/>
    <n v="29.93"/>
    <m/>
  </r>
  <r>
    <x v="19"/>
    <x v="0"/>
    <s v="CRISTIAN REAL"/>
    <d v="2023-08-29T00:00:00"/>
    <d v="2023-09-21T00:00:00"/>
    <d v="2023-04-21T00:00:00"/>
    <d v="2029-04-21T00:00:00"/>
    <n v="5.36"/>
    <n v="7.3936015502011774"/>
    <n v="12.5"/>
    <n v="64.766666666666666"/>
    <n v="47.49666666666667"/>
    <n v="0"/>
    <m/>
    <n v="47.49666666666667"/>
    <n v="14500"/>
    <n v="72.098563999999996"/>
    <n v="72.495115724137932"/>
    <n v="10454.29178"/>
    <n v="10511.791780000001"/>
    <n v="10529.061780000002"/>
    <n v="17.27"/>
    <n v="52.27"/>
    <n v="5.23"/>
    <n v="57.5"/>
    <m/>
    <n v="76.594774000000001"/>
    <m/>
    <n v="30.22"/>
    <n v="11106.24223"/>
    <n v="33.32"/>
    <n v="5.55"/>
    <n v="11067.372230000001"/>
    <n v="651.95045000000027"/>
    <n v="555.58044999999947"/>
    <n v="633.29711666666617"/>
    <n v="36"/>
    <n v="6.0246352850290771E-2"/>
    <n v="0.61083107750989252"/>
    <n v="0.80965835587237422"/>
    <n v="85.59"/>
    <m/>
  </r>
  <r>
    <x v="20"/>
    <x v="0"/>
    <s v="Cristian"/>
    <d v="2021-10-22T00:00:00"/>
    <d v="2021-10-28T00:00:00"/>
    <d v="2021-09-28T00:00:00"/>
    <d v="2028-09-28T00:00:00"/>
    <n v="5.64"/>
    <n v="6.4641759722911489"/>
    <n v="8.1999999999999993"/>
    <n v="4.798559"/>
    <n v="-23.011440999999998"/>
    <n v="17"/>
    <m/>
    <n v="58.564062"/>
    <n v="1020.97"/>
    <n v="87.250100000000003"/>
    <n v="87.250100000000003"/>
    <n v="890.79734597000004"/>
    <n v="890.79734597000004"/>
    <n v="918.60734596999998"/>
    <n v="27.81"/>
    <n v="6.6809800947750002"/>
    <n v="4"/>
    <n v="10.680980094775"/>
    <m/>
    <n v="89.988799999999998"/>
    <m/>
    <n v="2.08"/>
    <n v="918.75865135999993"/>
    <n v="30"/>
    <n v="4"/>
    <n v="884.75865135999993"/>
    <n v="27.961305389999893"/>
    <n v="-6.0386946100001069"/>
    <n v="54.605367389999891"/>
    <n v="535"/>
    <n v="6.1299427571306291E-2"/>
    <n v="4.1821104791638877E-2"/>
    <n v="4.142439493240313E-2"/>
    <n v="36.680980094775002"/>
    <m/>
  </r>
  <r>
    <x v="21"/>
    <x v="0"/>
    <s v="Cristian"/>
    <d v="2022-12-21T00:00:00"/>
    <d v="2023-01-08T00:00:00"/>
    <d v="2022-08-08T00:00:00"/>
    <d v="2028-08-08T00:00:00"/>
    <n v="5.36"/>
    <n v="6.4649518480052679"/>
    <n v="9.5"/>
    <n v="58.513333333333328"/>
    <n v="33.153333333333329"/>
    <n v="2"/>
    <m/>
    <n v="150.17999999999998"/>
    <n v="13100"/>
    <n v="82.619427490000007"/>
    <n v="82.908583482393666"/>
    <n v="10823.14500119"/>
    <n v="10861.024436193569"/>
    <n v="10886.38443619357"/>
    <n v="25.36"/>
    <n v="32.469435003569998"/>
    <n v="5.41"/>
    <n v="37.879435003569995"/>
    <m/>
    <n v="88.958600000000004"/>
    <m/>
    <n v="39.01"/>
    <n v="11653.576600000002"/>
    <n v="262"/>
    <n v="5.83"/>
    <n v="11385.746600000002"/>
    <n v="830.43159881000247"/>
    <n v="524.72216380643295"/>
    <n v="713.91216380643289"/>
    <n v="93"/>
    <n v="6.5731567772499694E-2"/>
    <n v="0.25797873373077834"/>
    <n v="0.28383822114968771"/>
    <n v="294.46943500356997"/>
    <m/>
  </r>
  <r>
    <x v="22"/>
    <x v="0"/>
    <s v="Jhon"/>
    <d v="2022-08-31T00:00:00"/>
    <d v="2022-09-10T00:00:00"/>
    <d v="2022-08-10T00:00:00"/>
    <d v="2028-08-10T00:00:00"/>
    <n v="5.36"/>
    <n v="6.6116027612547352"/>
    <n v="9.85"/>
    <n v="26.889333333333337"/>
    <n v="8.0693333333333364"/>
    <n v="6"/>
    <m/>
    <n v="169.40533333333335"/>
    <n v="6020"/>
    <n v="80.817441860000002"/>
    <n v="81.069601328903659"/>
    <n v="4865.2099999720003"/>
    <n v="4880.3900000000003"/>
    <n v="4899.21"/>
    <n v="18.82"/>
    <n v="30"/>
    <n v="4"/>
    <n v="34"/>
    <m/>
    <n v="88.919700000000006"/>
    <m/>
    <n v="10.76"/>
    <n v="5352.96594"/>
    <n v="120.4"/>
    <n v="4"/>
    <n v="5228.5659400000004"/>
    <n v="487.75594002799971"/>
    <n v="348.17594000000008"/>
    <n v="528.34127333333345"/>
    <n v="201"/>
    <n v="0.10825800260498308"/>
    <n v="0.19658791517820309"/>
    <n v="0.20521430355814707"/>
    <n v="150.4"/>
    <m/>
  </r>
  <r>
    <x v="23"/>
    <x v="0"/>
    <s v="Cristian"/>
    <d v="2022-12-22T00:00:00"/>
    <d v="2022-12-28T00:00:00"/>
    <d v="2022-09-28T00:00:00"/>
    <d v="2028-09-28T00:00:00"/>
    <n v="5.36"/>
    <n v="6.5397424909382762"/>
    <n v="9.67"/>
    <n v="25.253416666666666"/>
    <n v="5.0534166666666671"/>
    <n v="2"/>
    <m/>
    <n v="55.560249999999996"/>
    <n v="5653.75"/>
    <n v="81.644729999999996"/>
    <n v="81.960413692542573"/>
    <n v="4615.9889223749997"/>
    <n v="4633.836889142126"/>
    <n v="4654.0368891421258"/>
    <n v="20.2"/>
    <n v="13.847966767125"/>
    <n v="4"/>
    <n v="17.847966767125001"/>
    <m/>
    <n v="88.654296790000004"/>
    <m/>
    <n v="14.31"/>
    <n v="5012.2923047646254"/>
    <n v="113.08"/>
    <n v="4"/>
    <n v="4895.2123047646255"/>
    <n v="396.30338238962577"/>
    <n v="261.37541562249953"/>
    <n v="331.24566562249953"/>
    <n v="82"/>
    <n v="7.148410130677342E-2"/>
    <n v="0.31819142654844268"/>
    <n v="0.35979384960542315"/>
    <n v="126.927966767125"/>
    <m/>
  </r>
  <r>
    <x v="23"/>
    <x v="0"/>
    <s v="Jhon"/>
    <d v="2023-01-04T00:00:00"/>
    <d v="2023-01-28T00:00:00"/>
    <d v="2022-09-28T00:00:00"/>
    <d v="2025-09-28T00:00:00"/>
    <n v="4.3"/>
    <n v="4.9513817016898294"/>
    <n v="10.5"/>
    <n v="24.841458333333335"/>
    <n v="19.041458333333335"/>
    <n v="1"/>
    <m/>
    <n v="43.882916666666674"/>
    <n v="6932.5"/>
    <n v="86.527100000000004"/>
    <n v="86.844445834835923"/>
    <n v="5998.4912075000002"/>
    <n v="6020.4912075000002"/>
    <n v="6026.2912075000004"/>
    <n v="5.8"/>
    <n v="18"/>
    <n v="4"/>
    <n v="22"/>
    <m/>
    <n v="93.302435029999998"/>
    <m/>
    <n v="14.08"/>
    <n v="6468.1913084547505"/>
    <n v="138.65"/>
    <n v="4"/>
    <n v="6325.5413084547508"/>
    <n v="469.70010095475027"/>
    <n v="305.05010095475063"/>
    <n v="363.0130176214173"/>
    <n v="69"/>
    <n v="6.0296245789578672E-2"/>
    <n v="0.31895840164052486"/>
    <n v="0.3630328672526324"/>
    <n v="156.65"/>
    <m/>
  </r>
  <r>
    <x v="24"/>
    <x v="0"/>
    <s v="Jhon"/>
    <d v="2022-12-07T00:00:00"/>
    <d v="2023-01-01T00:00:00"/>
    <d v="2022-11-01T00:00:00"/>
    <d v="2030-11-01T00:00:00"/>
    <n v="5.93"/>
    <n v="7.2029779954845798"/>
    <n v="9.5"/>
    <n v="229.04624999999999"/>
    <n v="183.23624999999998"/>
    <n v="2"/>
    <m/>
    <n v="641.3287499999999"/>
    <n v="46350"/>
    <n v="82.039918459999996"/>
    <n v="82.327059776073341"/>
    <n v="38025.502206209996"/>
    <n v="38158.592206209993"/>
    <n v="38204.40220620999"/>
    <n v="45.81"/>
    <n v="114.08"/>
    <n v="19.010000000000002"/>
    <n v="133.09"/>
    <m/>
    <n v="88.429304999999999"/>
    <m/>
    <n v="45.81"/>
    <n v="40986.982867500003"/>
    <n v="927"/>
    <n v="20.49"/>
    <n v="40039.492867500005"/>
    <n v="2961.4806612900065"/>
    <n v="1880.9006612900121"/>
    <n v="2568.0394112900117"/>
    <n v="89"/>
    <n v="6.7299113065080129E-2"/>
    <n v="0.27600198054780056"/>
    <n v="0.30618589941119034"/>
    <n v="1041.08"/>
    <m/>
  </r>
  <r>
    <x v="25"/>
    <x v="0"/>
    <s v="Cristian"/>
    <d v="2022-12-21T00:00:00"/>
    <d v="2023-01-18T00:00:00"/>
    <d v="2022-11-18T00:00:00"/>
    <d v="2024-11-18T00:00:00"/>
    <n v="3.82"/>
    <n v="4.1660081344438478"/>
    <n v="9.5"/>
    <n v="9.4067500000000006"/>
    <n v="8.4667500000000011"/>
    <n v="1"/>
    <m/>
    <n v="17.8735"/>
    <n v="2955"/>
    <n v="91.331040329999993"/>
    <n v="91.694492106649733"/>
    <n v="2698.8322417514996"/>
    <n v="2709.5722417514999"/>
    <n v="2710.5122417514999"/>
    <n v="0.94"/>
    <n v="9.39"/>
    <n v="1.35"/>
    <n v="10.74"/>
    <m/>
    <n v="95.25649507"/>
    <m/>
    <n v="1.57"/>
    <n v="2814.8294293184999"/>
    <n v="59.1"/>
    <n v="4"/>
    <n v="2751.7294293185"/>
    <n v="115.99718756700031"/>
    <n v="42.157187567000165"/>
    <n v="61.600687567000165"/>
    <n v="63"/>
    <n v="2.2734469529102033E-2"/>
    <n v="0.13171557743051179"/>
    <n v="0.13910247328491421"/>
    <n v="68.490000000000009"/>
    <m/>
  </r>
  <r>
    <x v="26"/>
    <x v="0"/>
    <s v="Isabel"/>
    <d v="2022-10-19T00:00:00"/>
    <d v="2022-11-08T00:00:00"/>
    <d v="2022-08-08T00:00:00"/>
    <d v="2029-08-08T00:00:00"/>
    <n v="5.64"/>
    <n v="7.3795426903518226"/>
    <n v="11"/>
    <n v="23.5"/>
    <n v="14.88"/>
    <n v="3"/>
    <m/>
    <n v="85.38"/>
    <n v="5000"/>
    <n v="75.745700139999997"/>
    <n v="76.427500140000006"/>
    <n v="3787.285007"/>
    <n v="3821.3750070000006"/>
    <n v="3829.9950070000004"/>
    <n v="8.6199999999999992"/>
    <n v="30.09"/>
    <n v="4"/>
    <n v="34.090000000000003"/>
    <m/>
    <n v="88.388979000000006"/>
    <m/>
    <n v="6.27"/>
    <n v="4419.44895"/>
    <n v="100"/>
    <n v="4"/>
    <n v="4315.44895"/>
    <n v="632.16394300000002"/>
    <n v="494.07394299999942"/>
    <n v="585.72394299999939"/>
    <n v="119"/>
    <n v="0.15327570362162032"/>
    <n v="0.47013135984782706"/>
    <n v="0.54868467490453687"/>
    <n v="130.09"/>
    <m/>
  </r>
  <r>
    <x v="26"/>
    <x v="0"/>
    <s v="Jhon"/>
    <d v="2022-09-22T00:00:00"/>
    <d v="2022-10-08T00:00:00"/>
    <d v="2022-08-08T00:00:00"/>
    <d v="2029-08-08T00:00:00"/>
    <n v="5.64"/>
    <n v="7.2513717521039149"/>
    <n v="10.5"/>
    <n v="19.413350000000001"/>
    <n v="10.353539973469019"/>
    <n v="4"/>
    <m/>
    <n v="88.006939973469031"/>
    <n v="4130.5"/>
    <n v="77.508052000000006"/>
    <n v="77.778387218440557"/>
    <n v="3201.4700878600001"/>
    <n v="3212.6362840576871"/>
    <n v="3221.6960940842182"/>
    <n v="9.0598100265309824"/>
    <n v="9.570801977212497"/>
    <n v="1.5953942204745739"/>
    <n v="11.166196197687071"/>
    <m/>
    <n v="88.388979000000006"/>
    <m/>
    <n v="5.18"/>
    <n v="3650.9067775950007"/>
    <n v="82.61"/>
    <n v="4"/>
    <n v="3564.2967775950005"/>
    <n v="449.43668973500053"/>
    <n v="351.66049353731341"/>
    <n v="444.84743351078242"/>
    <n v="146"/>
    <n v="0.13846803502727126"/>
    <n v="0.34617008756817813"/>
    <n v="0.38293606767688182"/>
    <n v="92.180801977212496"/>
    <m/>
  </r>
  <r>
    <x v="26"/>
    <x v="0"/>
    <s v="Cristian"/>
    <d v="2023-02-07T00:00:00"/>
    <d v="2023-02-18T00:00:00"/>
    <d v="2022-11-18T00:00:00"/>
    <d v="2029-11-18T00:00:00"/>
    <n v="5.64"/>
    <n v="6.6947546532546847"/>
    <n v="9"/>
    <n v="87.89"/>
    <n v="29.299999999999997"/>
    <n v="0"/>
    <m/>
    <n v="29.299999999999997"/>
    <n v="18700"/>
    <n v="83.951208620000003"/>
    <n v="84.245058887379685"/>
    <n v="15698.876011940001"/>
    <n v="15753.82601194"/>
    <n v="15812.41601194"/>
    <n v="58.59"/>
    <n v="47.1"/>
    <n v="7.85"/>
    <n v="54.95"/>
    <m/>
    <n v="87.974500000000006"/>
    <m/>
    <n v="84.96"/>
    <n v="16451.231500000002"/>
    <n v="374"/>
    <n v="8.23"/>
    <n v="16069.001500000002"/>
    <n v="752.35548806000043"/>
    <n v="315.17548806000195"/>
    <n v="429.43548806000194"/>
    <n v="8"/>
    <n v="2.7259123449410193E-2"/>
    <n v="1.2436975073793402"/>
    <n v="2.411146115627202"/>
    <n v="421.1"/>
    <m/>
  </r>
  <r>
    <x v="27"/>
    <x v="0"/>
    <s v="Cristian"/>
    <d v="2022-08-17T00:00:00"/>
    <d v="2022-09-09T00:00:00"/>
    <d v="2022-08-09T00:00:00"/>
    <d v="2029-08-09T00:00:00"/>
    <n v="5.64"/>
    <n v="6.8316064355273847"/>
    <n v="9.3000000000000007"/>
    <n v="88.324749999999995"/>
    <n v="61.824749999999995"/>
    <n v="5"/>
    <m/>
    <n v="503.44849999999997"/>
    <n v="18792.5"/>
    <n v="82.269514999999998"/>
    <n v="82.557449016229882"/>
    <n v="15460.498606375"/>
    <n v="15514.608606374999"/>
    <n v="15541.108606374999"/>
    <n v="26.5"/>
    <n v="46.38"/>
    <n v="7.73"/>
    <n v="54.11"/>
    <m/>
    <n v="88.351199999999992"/>
    <m/>
    <n v="85.38"/>
    <n v="16603.399259999998"/>
    <n v="375.85"/>
    <n v="8.3000000000000007"/>
    <n v="16219.249259999999"/>
    <n v="1142.9006536249981"/>
    <n v="704.64065362499969"/>
    <n v="1293.4691536249998"/>
    <n v="174"/>
    <n v="8.3371046375833771E-2"/>
    <n v="0.17488753981137545"/>
    <n v="0.1829114189484109"/>
    <n v="422.23"/>
    <m/>
  </r>
  <r>
    <x v="28"/>
    <x v="0"/>
    <s v="Cristian"/>
    <d v="2022-08-17T00:00:00"/>
    <d v="2022-08-27T00:00:00"/>
    <d v="2022-06-27T00:00:00"/>
    <d v="2027-06-27T00:00:00"/>
    <n v="5.07"/>
    <n v="5.9514983871498073"/>
    <n v="9.1"/>
    <n v="33.800000000000004"/>
    <n v="10.140000000000004"/>
    <n v="5"/>
    <m/>
    <n v="179.14000000000004"/>
    <n v="8000"/>
    <n v="84.884005999999999"/>
    <n v="85.188631000000001"/>
    <n v="6790.72048"/>
    <n v="6815.0904799999998"/>
    <n v="6838.7504799999997"/>
    <n v="23.66"/>
    <n v="20.37"/>
    <n v="4"/>
    <n v="24.37"/>
    <m/>
    <n v="90.002171880000006"/>
    <m/>
    <n v="3.38"/>
    <n v="7200.1737504000012"/>
    <n v="120"/>
    <n v="4"/>
    <n v="7076.1737504000012"/>
    <n v="409.4532704000012"/>
    <n v="261.08327040000131"/>
    <n v="443.60327040000135"/>
    <n v="163"/>
    <n v="6.5091325155818239E-2"/>
    <n v="0.14575664835505311"/>
    <n v="0.15166555110434499"/>
    <n v="140.37"/>
    <m/>
  </r>
  <r>
    <x v="28"/>
    <x v="0"/>
    <s v="Cristian"/>
    <d v="2022-12-30T00:00:00"/>
    <d v="2023-01-08T00:00:00"/>
    <d v="2022-08-08T00:00:00"/>
    <d v="2027-08-08T00:00:00"/>
    <n v="5.07"/>
    <n v="5.9276948635685116"/>
    <n v="9.1999999999999993"/>
    <n v="55.347499999999997"/>
    <n v="14.757499999999993"/>
    <n v="0"/>
    <m/>
    <n v="14.757499999999993"/>
    <n v="13100"/>
    <n v="85.232425680000006"/>
    <n v="85.530718376887336"/>
    <n v="11165.447764080001"/>
    <n v="11204.524107372241"/>
    <n v="11245.114107372241"/>
    <n v="40.590000000000003"/>
    <n v="33.496343292240013"/>
    <n v="5.58"/>
    <n v="39.076343292240011"/>
    <m/>
    <n v="89.771468150000004"/>
    <m/>
    <n v="40.590000000000003"/>
    <n v="11760.062327650001"/>
    <n v="196.5"/>
    <n v="5.88"/>
    <n v="11557.682327650002"/>
    <n v="594.61456356999952"/>
    <n v="353.15822027776085"/>
    <n v="408.50572027776082"/>
    <n v="28"/>
    <n v="3.64589978443597E-2"/>
    <n v="0.47526907904254612"/>
    <n v="0.5948985859655771"/>
    <n v="229.99634329224"/>
    <m/>
  </r>
  <r>
    <x v="29"/>
    <x v="0"/>
    <s v="Cristian"/>
    <d v="2022-12-21T00:00:00"/>
    <d v="2023-01-18T00:00:00"/>
    <d v="2022-11-18T00:00:00"/>
    <d v="2024-11-18T00:00:00"/>
    <n v="3.82"/>
    <n v="4.1660080611512873"/>
    <n v="9.5"/>
    <n v="20.643916666666666"/>
    <n v="18.576135946327682"/>
    <n v="0"/>
    <m/>
    <n v="18.576135946327682"/>
    <n v="6485"/>
    <n v="91.331040329999993"/>
    <n v="91.694493719830504"/>
    <n v="5922.8179654004998"/>
    <n v="5946.3879177310082"/>
    <n v="5948.4556984513474"/>
    <n v="2.0677807203389831"/>
    <n v="20.60911016949153"/>
    <n v="2.9608421610169491"/>
    <n v="23.569952330508478"/>
    <m/>
    <n v="94.812799999999996"/>
    <m/>
    <n v="8.26"/>
    <n v="6148.6100799999995"/>
    <n v="129.69999999999999"/>
    <n v="4"/>
    <n v="6014.9100799999997"/>
    <n v="225.79211459949966"/>
    <n v="68.522162268991451"/>
    <n v="95.358298215319138"/>
    <n v="9"/>
    <n v="1.6036339965473604E-2"/>
    <n v="0.65036267637754053"/>
    <n v="0.90637407133255787"/>
    <n v="150.30911016949153"/>
    <m/>
  </r>
  <r>
    <x v="30"/>
    <x v="0"/>
    <s v="Jhon"/>
    <d v="2022-08-17T00:00:00"/>
    <d v="2022-08-23T00:00:00"/>
    <d v="2022-06-23T00:00:00"/>
    <d v="2027-06-23T00:00:00"/>
    <n v="5.07"/>
    <n v="5.9499548044014894"/>
    <n v="9.1"/>
    <n v="118.3"/>
    <n v="19.72"/>
    <n v="4"/>
    <m/>
    <n v="492.91999999999996"/>
    <n v="28000"/>
    <n v="84.913516999999999"/>
    <n v="85.210731285714274"/>
    <n v="23775.784759999999"/>
    <n v="23859.004759999996"/>
    <n v="23957.584759999998"/>
    <n v="98.58"/>
    <n v="71.33"/>
    <n v="11.89"/>
    <n v="83.22"/>
    <m/>
    <n v="89.855601969999995"/>
    <m/>
    <n v="27.6"/>
    <n v="25159.568551599998"/>
    <n v="490"/>
    <n v="12.58"/>
    <n v="24656.988551599996"/>
    <n v="1383.7837915999989"/>
    <n v="797.98379159999968"/>
    <n v="1318.5037915999997"/>
    <n v="134"/>
    <n v="5.5262313112510557E-2"/>
    <n v="0.15052794243333098"/>
    <n v="0.15779326118528791"/>
    <n v="561.33000000000004"/>
    <m/>
  </r>
  <r>
    <x v="31"/>
    <x v="0"/>
    <s v="Jhon"/>
    <d v="2022-08-17T00:00:00"/>
    <d v="2022-08-27T00:00:00"/>
    <d v="2022-06-27T00:00:00"/>
    <d v="2029-06-27T00:00:00"/>
    <n v="5.64"/>
    <n v="6.8121448512740281"/>
    <n v="9.3000000000000007"/>
    <n v="70.5"/>
    <n v="21.15"/>
    <n v="4"/>
    <m/>
    <n v="303.14999999999998"/>
    <n v="15000"/>
    <n v="82.504507000000004"/>
    <n v="82.793306999999999"/>
    <n v="12375.67605"/>
    <n v="12418.99605"/>
    <n v="12468.34605"/>
    <n v="49.35"/>
    <n v="37.130000000000003"/>
    <n v="6.19"/>
    <n v="43.32"/>
    <m/>
    <n v="88.359499999999997"/>
    <m/>
    <n v="4.7"/>
    <n v="13253.924999999999"/>
    <n v="225"/>
    <n v="6.63"/>
    <n v="13022.295"/>
    <n v="878.24894999999924"/>
    <n v="603.29895000000033"/>
    <n v="911.14895000000035"/>
    <n v="133"/>
    <n v="7.3367359674778254E-2"/>
    <n v="0.20134651339318843"/>
    <n v="0.2144640524472099"/>
    <n v="262.13"/>
    <m/>
  </r>
  <r>
    <x v="32"/>
    <x v="0"/>
    <s v="Cristian"/>
    <d v="2022-08-17T00:00:00"/>
    <d v="2022-08-27T00:00:00"/>
    <d v="2022-06-27T00:00:00"/>
    <d v="2028-06-27T00:00:00"/>
    <n v="5.36"/>
    <n v="6.417425280251936"/>
    <n v="9.1999999999999993"/>
    <n v="36.972743999999999"/>
    <n v="11.09530652491695"/>
    <n v="4"/>
    <m/>
    <n v="158.98628252491693"/>
    <n v="8277.48"/>
    <n v="83.231200000000001"/>
    <n v="83.522593032662101"/>
    <n v="6889.4459337599992"/>
    <n v="6913.5659337599982"/>
    <n v="6939.443371235081"/>
    <n v="25.877437475083049"/>
    <n v="20.67"/>
    <n v="3.45"/>
    <n v="24.12"/>
    <m/>
    <n v="88.721864159999996"/>
    <m/>
    <n v="1.23"/>
    <n v="7343.9345614711674"/>
    <n v="165.5496"/>
    <n v="4"/>
    <n v="7174.3849614711671"/>
    <n v="454.48862771116819"/>
    <n v="260.81902771116893"/>
    <n v="421.03531023608588"/>
    <n v="132"/>
    <n v="6.0899876311312252E-2"/>
    <n v="0.16839738525476494"/>
    <n v="0.17758862706651546"/>
    <n v="186.21960000000001"/>
    <m/>
  </r>
  <r>
    <x v="33"/>
    <x v="0"/>
    <s v="Cristian"/>
    <d v="2022-08-17T00:00:00"/>
    <d v="2022-08-27T00:00:00"/>
    <d v="2022-06-27T00:00:00"/>
    <d v="2028-06-27T00:00:00"/>
    <n v="5.36"/>
    <n v="6.4174303708805818"/>
    <n v="9.1999999999999993"/>
    <n v="68.083166666666671"/>
    <n v="20.424391021449267"/>
    <n v="3"/>
    <m/>
    <n v="224.67389102144926"/>
    <n v="15242.5"/>
    <n v="83.231200000000001"/>
    <n v="83.522526778339099"/>
    <n v="12686.515660000001"/>
    <n v="12730.921144188338"/>
    <n v="12778.579919833555"/>
    <n v="47.658775645217403"/>
    <n v="38.060917781392668"/>
    <n v="6.3445664069442227"/>
    <n v="44.405484188336892"/>
    <m/>
    <n v="87.810418339999998"/>
    <m/>
    <n v="36.31"/>
    <n v="13384.5030154745"/>
    <n v="381.06"/>
    <n v="6.69"/>
    <n v="12996.7530154745"/>
    <n v="697.98735547449905"/>
    <n v="265.83187128616191"/>
    <n v="526.81576230761118"/>
    <n v="118"/>
    <n v="4.1380804761963548E-2"/>
    <n v="0.12799994693319233"/>
    <n v="0.13362724451362062"/>
    <n v="419.12091778139268"/>
    <m/>
  </r>
  <r>
    <x v="34"/>
    <x v="0"/>
    <s v="Jhon"/>
    <d v="2022-09-26T00:00:00"/>
    <d v="2022-10-27T00:00:00"/>
    <d v="2022-07-27T00:00:00"/>
    <d v="2029-07-27T00:00:00"/>
    <n v="5.64"/>
    <n v="7.1300861977854844"/>
    <n v="10.199999999999999"/>
    <n v="32.9"/>
    <n v="32.9"/>
    <n v="1"/>
    <m/>
    <n v="65.8"/>
    <n v="7000"/>
    <n v="78.820539109999999"/>
    <n v="79.10142799888888"/>
    <n v="5517.4377377000001"/>
    <n v="5537.0999599222223"/>
    <n v="5537.0999599222223"/>
    <n v="0"/>
    <n v="16.551111111111108"/>
    <n v="3.1111111111111112"/>
    <n v="19.662222222222219"/>
    <m/>
    <n v="88.171413999999999"/>
    <m/>
    <n v="17.55"/>
    <n v="6171.9989800000003"/>
    <n v="140"/>
    <n v="4"/>
    <n v="6027.9989800000003"/>
    <n v="654.56124230000023"/>
    <n v="490.899020077778"/>
    <n v="574.24902007777791"/>
    <n v="77"/>
    <n v="0.10370934681226961"/>
    <n v="0.4916092413828364"/>
    <n v="0.59640289187066653"/>
    <n v="156.55111111111111"/>
    <m/>
  </r>
  <r>
    <x v="35"/>
    <x v="0"/>
    <s v="Jhon"/>
    <d v="2025-08-08T00:00:00"/>
    <d v="2025-09-06T00:00:00"/>
    <d v="2025-08-06T00:00:00"/>
    <d v="2033-08-06T00:00:00"/>
    <n v="7.72"/>
    <n v="8.569430193227074"/>
    <n v="9.75"/>
    <n v="141.70703333333333"/>
    <n v="132.25703333333334"/>
    <n v="7"/>
    <m/>
    <n v="1124.2062666666666"/>
    <n v="22027"/>
    <n v="89.768970300000007"/>
    <n v="90.087670077545752"/>
    <n v="19773.411087981003"/>
    <n v="19843.611087981004"/>
    <n v="19853.061087981005"/>
    <n v="9.4499999999999993"/>
    <n v="60.31"/>
    <n v="9.89"/>
    <n v="70.2"/>
    <m/>
    <n v="94.813910859999993"/>
    <n v="94.614099999999993"/>
    <n v="70.849999999999994"/>
    <n v="20884.660145132199"/>
    <n v="104.42"/>
    <n v="10.44"/>
    <n v="20769.800145132202"/>
    <n v="1111.2490571511953"/>
    <n v="926.18905715119763"/>
    <n v="2121.2453238178641"/>
    <n v="255"/>
    <n v="0.10689815046328299"/>
    <n v="0.15301107811411097"/>
    <n v="0.15647033299840141"/>
    <n v="164.73000000000002"/>
    <m/>
  </r>
  <r>
    <x v="35"/>
    <x v="0"/>
    <s v="Cristian"/>
    <d v="2026-04-10T00:00:00"/>
    <d v="2026-04-18T00:00:00"/>
    <d v="2024-11-18T00:00:00"/>
    <d v="2033-11-18T00:00:00"/>
    <n v="6.21"/>
    <n v="7.2688995726817129"/>
    <n v="9.4499999999999993"/>
    <n v="441.94241250000005"/>
    <n v="73.652412500000025"/>
    <n v="0"/>
    <m/>
    <n v="73.652412500000025"/>
    <n v="85399.5"/>
    <n v="85.134499579999996"/>
    <n v="85.432463853795511"/>
    <n v="72704.43696882209"/>
    <n v="72958.896968822097"/>
    <n v="73327.18696882209"/>
    <n v="368.29"/>
    <n v="218.11"/>
    <n v="36.35"/>
    <n v="254.46"/>
    <m/>
    <n v="87.929015640000003"/>
    <n v="87.497200000000007"/>
    <n v="44.19388041349584"/>
    <n v="75090.939711481798"/>
    <n v="375.45324635374283"/>
    <n v="37.542269934810022"/>
    <n v="74677.944195193239"/>
    <n v="2386.502742659708"/>
    <n v="1719.0472263711417"/>
    <n v="1836.8935192846377"/>
    <n v="10"/>
    <n v="2.5177101019901754E-2"/>
    <n v="0.91896418722641404"/>
    <n v="1.4783334514639295"/>
    <n v="593.5632463537429"/>
    <m/>
  </r>
  <r>
    <x v="35"/>
    <x v="0"/>
    <s v="Cristian"/>
    <d v="2026-03-03T00:00:00"/>
    <d v="2026-03-18T00:00:00"/>
    <d v="2024-11-18T00:00:00"/>
    <d v="2033-11-18T00:00:00"/>
    <n v="6.21"/>
    <n v="7.7770988687746216"/>
    <n v="10.75"/>
    <n v="96.513750000000002"/>
    <n v="48.253750000000004"/>
    <n v="1"/>
    <m/>
    <n v="144.76750000000001"/>
    <n v="18650"/>
    <n v="79.654331119999995"/>
    <n v="79.849827098552268"/>
    <n v="14855.532753879997"/>
    <n v="14891.992753879998"/>
    <n v="14940.252753879999"/>
    <n v="48.26"/>
    <n v="29.03"/>
    <n v="7.43"/>
    <n v="36.46"/>
    <m/>
    <n v="87.929015640000003"/>
    <n v="87.497200000000007"/>
    <n v="9.651296198592469"/>
    <n v="16398.761416860001"/>
    <n v="81.993489944288953"/>
    <n v="8.1986818925661957"/>
    <n v="16308.569245023145"/>
    <n v="1543.2286629800037"/>
    <n v="1416.576491143147"/>
    <n v="1570.9952873417394"/>
    <n v="48"/>
    <n v="0.10549261695903177"/>
    <n v="0.80218344145930409"/>
    <n v="1.1439068701879052"/>
    <n v="111.02348994428895"/>
    <m/>
  </r>
  <r>
    <x v="35"/>
    <x v="0"/>
    <s v="Cristian"/>
    <d v="2026-03-02T00:00:00"/>
    <d v="2026-03-18T00:00:00"/>
    <d v="2024-11-18T00:00:00"/>
    <d v="2033-11-18T00:00:00"/>
    <n v="6.21"/>
    <n v="7.7723687092540921"/>
    <n v="10.75"/>
    <n v="40.248562499999998"/>
    <n v="21.468562499999997"/>
    <n v="1"/>
    <m/>
    <n v="61.717124999999996"/>
    <n v="7777.5"/>
    <n v="79.647827969999994"/>
    <n v="79.898422634095141"/>
    <n v="6194.6098203667498"/>
    <n v="6214.0998203667496"/>
    <n v="6232.8798203667493"/>
    <n v="18.78"/>
    <n v="15.49"/>
    <n v="4"/>
    <n v="19.490000000000002"/>
    <m/>
    <n v="87.929015640000003"/>
    <n v="87.497200000000007"/>
    <n v="4.0248233879116846"/>
    <n v="6838.679191401"/>
    <n v="34.19326370196822"/>
    <n v="3.4190481726237851"/>
    <n v="6801.0668795264082"/>
    <n v="644.06937103425025"/>
    <n v="586.96705915965867"/>
    <n v="652.70900754757042"/>
    <n v="49"/>
    <n v="0.10503677546477652"/>
    <n v="0.78241679682945775"/>
    <n v="1.1043229314406111"/>
    <n v="49.683263701968222"/>
    <m/>
  </r>
  <r>
    <x v="35"/>
    <x v="0"/>
    <s v="Jhon"/>
    <d v="2025-05-07T00:00:00"/>
    <d v="2025-05-18T00:00:00"/>
    <d v="2024-11-18T00:00:00"/>
    <d v="2033-11-18T00:00:00"/>
    <n v="6.21"/>
    <n v="8.134763338031771"/>
    <n v="11.25"/>
    <n v="29.756249999999998"/>
    <n v="10.906249999999996"/>
    <n v="11"/>
    <m/>
    <n v="338.22499999999997"/>
    <n v="5750"/>
    <n v="75.747732720000002"/>
    <n v="76.339037067826084"/>
    <n v="4355.4946313999999"/>
    <n v="4389.4946313999999"/>
    <n v="4408.3446314000003"/>
    <n v="18.850000000000001"/>
    <n v="30"/>
    <n v="4"/>
    <n v="34"/>
    <m/>
    <n v="87.929015640000003"/>
    <n v="87.497200000000007"/>
    <n v="2.975750827379295"/>
    <n v="5055.9183993000006"/>
    <n v="25.279298506077762"/>
    <n v="2.5282855463796361"/>
    <n v="5028.1108152475435"/>
    <n v="700.42376790000071"/>
    <n v="638.61618384754365"/>
    <n v="979.81693467492289"/>
    <n v="348"/>
    <n v="0.22321862012675861"/>
    <n v="0.23412297800651408"/>
    <n v="0.23531782511904109"/>
    <n v="55.279298506077765"/>
    <m/>
  </r>
  <r>
    <x v="35"/>
    <x v="0"/>
    <s v="Jhon"/>
    <d v="2026-03-03T00:00:00"/>
    <d v="2026-03-18T00:00:00"/>
    <d v="2024-11-18T00:00:00"/>
    <d v="2033-11-18T00:00:00"/>
    <n v="6.21"/>
    <n v="7.7728646023083838"/>
    <n v="10.75"/>
    <n v="146.11612500000001"/>
    <n v="73.056125000000009"/>
    <n v="1"/>
    <m/>
    <n v="219.17225000000002"/>
    <n v="28235"/>
    <n v="79.654331119999995"/>
    <n v="79.893325276189117"/>
    <n v="22490.400391731997"/>
    <n v="22557.880391731996"/>
    <n v="22630.940391731998"/>
    <n v="73.06"/>
    <n v="56.23"/>
    <n v="11.25"/>
    <n v="67.47999999999999"/>
    <m/>
    <n v="87.929015640000003"/>
    <n v="87.497200000000007"/>
    <n v="14.612230367139899"/>
    <n v="24826.757565954002"/>
    <n v="124.1323466641923"/>
    <n v="12.41498128730939"/>
    <n v="24690.210238002499"/>
    <n v="2336.3571742220047"/>
    <n v="2132.3298462705025"/>
    <n v="2366.1143266376425"/>
    <n v="48"/>
    <n v="0.10489080913403903"/>
    <n v="0.79760719445675521"/>
    <n v="1.1350479877795374"/>
    <n v="180.3623466641923"/>
    <m/>
  </r>
  <r>
    <x v="35"/>
    <x v="0"/>
    <s v="Jhon"/>
    <d v="2026-04-10T00:00:00"/>
    <d v="2026-04-18T00:00:00"/>
    <d v="2024-11-18T00:00:00"/>
    <d v="2033-11-18T00:00:00"/>
    <n v="6.21"/>
    <n v="7.2953080592769792"/>
    <n v="9.5"/>
    <n v="235.86356250000003"/>
    <n v="62.89356250000003"/>
    <n v="0"/>
    <m/>
    <n v="62.89356250000003"/>
    <n v="45577.5"/>
    <n v="84.910906789999999"/>
    <n v="85.123204524627823"/>
    <n v="38700.268542212245"/>
    <n v="38797.028542212247"/>
    <n v="38969.998542212248"/>
    <n v="172.97"/>
    <n v="77.41"/>
    <n v="19.350000000000001"/>
    <n v="96.759999999999991"/>
    <m/>
    <n v="87.929015640000003"/>
    <n v="87.497200000000007"/>
    <n v="23.587353623457361"/>
    <n v="40075.847103321001"/>
    <n v="200.37690915839289"/>
    <n v="20.04051034610745"/>
    <n v="39855.429683816496"/>
    <n v="1375.5785611087558"/>
    <n v="1058.4011416042486"/>
    <n v="1144.8820577277058"/>
    <n v="10"/>
    <n v="2.9509529485796632E-2"/>
    <n v="1.0770978262315771"/>
    <n v="1.8907367228665244"/>
    <n v="277.78690915839286"/>
    <m/>
  </r>
  <r>
    <x v="35"/>
    <x v="0"/>
    <s v="Jhon"/>
    <d v="2026-01-15T00:00:00"/>
    <d v="2026-01-18T00:00:00"/>
    <d v="2024-11-18T00:00:00"/>
    <d v="2033-11-18T00:00:00"/>
    <n v="6.21"/>
    <n v="7.8298775121437219"/>
    <n v="11"/>
    <n v="6.5463750000000003"/>
    <n v="0.6563750000000006"/>
    <n v="3"/>
    <m/>
    <n v="20.295500000000001"/>
    <n v="1265"/>
    <n v="78.362968929999994"/>
    <n v="79.311585530790509"/>
    <n v="991.29155696449993"/>
    <n v="1003.2915569644999"/>
    <n v="1009.1815569644999"/>
    <n v="5.89"/>
    <n v="8"/>
    <n v="4"/>
    <n v="12"/>
    <m/>
    <n v="87.929015640000003"/>
    <n v="87.497200000000007"/>
    <n v="0.65466518202344492"/>
    <n v="1112.3020478460001"/>
    <n v="5.5614456713371068"/>
    <n v="0.55622282020351987"/>
    <n v="1106.1843793544592"/>
    <n v="121.01049088150012"/>
    <n v="102.89282238995929"/>
    <n v="123.84298757198275"/>
    <n v="95"/>
    <n v="0.12343668867968433"/>
    <n v="0.47425675124299765"/>
    <n v="0.56391466724163508"/>
    <n v="13.561445671337108"/>
    <m/>
  </r>
  <r>
    <x v="36"/>
    <x v="0"/>
    <s v="Cristian"/>
    <d v="2025-05-16T00:00:00"/>
    <d v="2025-06-08T00:00:00"/>
    <d v="2025-05-08T00:00:00"/>
    <d v="2034-05-08T00:00:00"/>
    <n v="9.8662276268283957"/>
    <n v="12.275214071171739"/>
    <n v="86.569166666666661"/>
    <n v="88.302737260114142"/>
    <n v="69.372462450953833"/>
    <n v="10"/>
    <m/>
    <n v="952.39983505209534"/>
    <n v="10740"/>
    <n v="80.094816420000001"/>
    <n v="80.375198099389294"/>
    <n v="8602.1832835080004"/>
    <n v="8632.2962758744106"/>
    <n v="8651.2265506835702"/>
    <n v="18.930274809160309"/>
    <n v="25.808793893129771"/>
    <n v="4.304198473282443"/>
    <n v="30.112992366412215"/>
    <m/>
    <n v="92.387381959999999"/>
    <m/>
    <m/>
    <n v="9922.4048225040005"/>
    <n v="99.22"/>
    <n v="4.96"/>
    <n v="9818.2248225040021"/>
    <n v="1320.2215389960002"/>
    <n v="1185.9285466295914"/>
    <n v="2138.3283816816866"/>
    <n v="327"/>
    <n v="0.24771257998383334"/>
    <n v="0.27649875135810148"/>
    <n v="0.28021770550200009"/>
    <n v="125.02879389312977"/>
    <m/>
  </r>
  <r>
    <x v="36"/>
    <x v="0"/>
    <s v="Cristian"/>
    <d v="2025-05-16T00:00:00"/>
    <d v="2025-06-08T00:00:00"/>
    <d v="2025-05-08T00:00:00"/>
    <d v="2034-05-08T00:00:00"/>
    <n v="9.8662276268283957"/>
    <n v="12.275214071171741"/>
    <n v="86.569166666666661"/>
    <n v="19.403580999429177"/>
    <n v="15.243855808589483"/>
    <n v="10"/>
    <m/>
    <n v="209.27966580288125"/>
    <n v="2360"/>
    <n v="80.094816420000001"/>
    <n v="80.375198099389294"/>
    <n v="1890.2376675119999"/>
    <n v="1896.8546751455872"/>
    <n v="1901.0144003364269"/>
    <n v="4.1597251908396951"/>
    <n v="5.6712061068702289"/>
    <n v="0.94580152671755724"/>
    <n v="6.6170076335877859"/>
    <m/>
    <n v="92.387381959999999"/>
    <m/>
    <m/>
    <n v="2180.3422142559998"/>
    <n v="21.8"/>
    <n v="4"/>
    <n v="2154.5422142559996"/>
    <n v="290.10454674399989"/>
    <n v="257.68753911041244"/>
    <n v="466.9672049132937"/>
    <n v="327"/>
    <n v="0.24617974746929577"/>
    <n v="0.27478779151771543"/>
    <n v="0.27846229748147633"/>
    <n v="27.47120610687023"/>
    <m/>
  </r>
  <r>
    <x v="35"/>
    <x v="0"/>
    <s v="Jhon"/>
    <d v="2026-04-09T00:00:00"/>
    <d v="2026-05-05T00:00:00"/>
    <d v="2025-09-05T00:00:00"/>
    <d v="2033-09-05T00:00:00"/>
    <n v="7.72"/>
    <n v="8.6164285030133954"/>
    <n v="10"/>
    <n v="341.60999999999996"/>
    <n v="307.44999999999993"/>
    <n v="0"/>
    <m/>
    <n v="307.44999999999993"/>
    <n v="53100"/>
    <n v="89.283800999999997"/>
    <n v="89.596286875706198"/>
    <n v="47409.698330999992"/>
    <n v="47575.628330999993"/>
    <n v="47609.788330999996"/>
    <n v="34.159999999999997"/>
    <n v="142.22999999999999"/>
    <n v="23.7"/>
    <n v="165.92999999999998"/>
    <m/>
    <n v="94.764032549999996"/>
    <n v="94.585899999999995"/>
    <n v="182.19"/>
    <n v="50319.701284050003"/>
    <n v="251.6"/>
    <n v="25.16"/>
    <n v="50042.941284050001"/>
    <n v="2910.0029530500105"/>
    <n v="2467.3129530500082"/>
    <n v="2956.9529530500081"/>
    <n v="11"/>
    <n v="6.2152683144350095E-2"/>
    <n v="2.0623390316079804"/>
    <n v="6.3948714927210935"/>
    <n v="393.83"/>
    <m/>
  </r>
  <r>
    <x v="36"/>
    <x v="0"/>
    <s v="Jhon"/>
    <d v="2026-02-04T00:00:00"/>
    <d v="2026-02-06T00:00:00"/>
    <d v="2025-08-06T00:00:00"/>
    <d v="2034-08-06T00:00:00"/>
    <n v="7.93"/>
    <n v="9.4099311865975057"/>
    <n v="11.25"/>
    <n v="28.415833333333335"/>
    <n v="1.8958333333333357"/>
    <n v="2"/>
    <m/>
    <n v="58.727500000000006"/>
    <n v="4300"/>
    <n v="84.06242263"/>
    <n v="84.272667278318039"/>
    <n v="3614.6841730899996"/>
    <n v="3623.7246929676753"/>
    <n v="3650.2446929676753"/>
    <n v="26.52"/>
    <n v="7.23"/>
    <n v="1.81"/>
    <n v="9.0400000000000009"/>
    <m/>
    <n v="92.183405489999998"/>
    <n v="91.212599999999995"/>
    <n v="1.89"/>
    <n v="3963.8864360699999"/>
    <n v="39.64"/>
    <n v="4"/>
    <n v="3920.2464360700001"/>
    <n v="349.20226298000034"/>
    <n v="296.52174310232476"/>
    <n v="357.13924310232477"/>
    <n v="63"/>
    <n v="9.8555843327557818E-2"/>
    <n v="0.57099813991362858"/>
    <n v="0.72388866873014335"/>
    <n v="46.870000000000005"/>
    <m/>
  </r>
  <r>
    <x v="3"/>
    <x v="0"/>
    <s v="Jhon"/>
    <d v="2025-08-19T00:00:00"/>
    <d v="2025-08-25T00:00:00"/>
    <d v="2024-07-25T00:00:00"/>
    <d v="2033-07-25T00:00:00"/>
    <n v="6.21"/>
    <n v="7.433750425188677"/>
    <n v="12.25"/>
    <n v="65.396474999999995"/>
    <n v="13.078340699267038"/>
    <n v="7"/>
    <m/>
    <n v="470.85366569926697"/>
    <n v="12637"/>
    <n v="83.246360999999993"/>
    <n v="83.537913500000002"/>
    <n v="10519.842639569999"/>
    <n v="10556.686128994999"/>
    <n v="10609.004263295732"/>
    <n v="52.318134300732957"/>
    <n v="31.585483082845929"/>
    <n v="5.2580099207818174"/>
    <n v="36.843493003627749"/>
    <m/>
    <n v="86.089360769999999"/>
    <n v="85.392399999999995"/>
    <n v="26.16"/>
    <n v="10879.112520504899"/>
    <n v="108.79"/>
    <n v="54.4"/>
    <n v="10715.922520504899"/>
    <n v="359.26988093490036"/>
    <n v="159.23639150989948"/>
    <n v="656.25005720916636"/>
    <n v="231"/>
    <n v="6.2164399811670976E-2"/>
    <n v="9.8225133901558043E-2"/>
    <n v="9.998108912264847E-2"/>
    <n v="140.37548308284593"/>
    <m/>
  </r>
  <r>
    <x v="37"/>
    <x v="1"/>
    <s v="Jhon"/>
    <d v="2026-04-15T00:00:00"/>
    <m/>
    <m/>
    <m/>
    <m/>
    <n v="0"/>
    <m/>
    <n v="0"/>
    <n v="0"/>
    <n v="0"/>
    <m/>
    <n v="0"/>
    <n v="39002.030000000013"/>
    <m/>
    <m/>
    <n v="0"/>
    <n v="37658.860782480609"/>
    <n v="37658.860782480609"/>
    <m/>
    <n v="144.01"/>
    <n v="6.4056499999999987"/>
    <n v="150.41565"/>
    <s v="58 NCs"/>
    <n v="98.15"/>
    <n v="98.002200000000002"/>
    <n v="0"/>
    <n v="38280.492445000011"/>
    <n v="50.002516999999997"/>
    <n v="7.66"/>
    <n v="38222.829928000006"/>
    <n v="38280.492445000011"/>
    <n v="563.96914551939699"/>
    <n v="563.96914551939699"/>
    <n v="20"/>
    <n v="1.4975735691446161E-2"/>
    <n v="0.27330717636889246"/>
    <n v="0.31164345057583898"/>
    <n v="194.012517"/>
    <n v="3668365"/>
  </r>
  <r>
    <x v="38"/>
    <x v="2"/>
    <s v="Jhon"/>
    <d v="2026-03-12T00:00:00"/>
    <m/>
    <m/>
    <m/>
    <m/>
    <n v="0"/>
    <m/>
    <n v="0"/>
    <n v="0"/>
    <n v="0"/>
    <m/>
    <n v="0"/>
    <m/>
    <m/>
    <m/>
    <n v="0"/>
    <n v="6210"/>
    <n v="6210"/>
    <m/>
    <m/>
    <m/>
    <n v="0"/>
    <m/>
    <m/>
    <m/>
    <m/>
    <n v="0"/>
    <m/>
    <m/>
    <n v="0"/>
    <n v="0"/>
    <n v="261.04000000000002"/>
    <n v="261.04000000000002"/>
    <n v="57"/>
    <n v="4.2035426731078906E-2"/>
    <n v="0.26917422380427719"/>
    <n v="0.30169921940260847"/>
    <n v="0"/>
    <s v="no aplica"/>
  </r>
  <r>
    <x v="39"/>
    <x v="0"/>
    <s v="Cristian"/>
    <d v="2026-04-13T00:00:00"/>
    <d v="2026-05-12T00:00:00"/>
    <d v="2024-06-12T00:00:00"/>
    <d v="2029-06-12T00:00:00"/>
    <n v="5.07"/>
    <n v="5.580983706169464"/>
    <n v="8.6999999999999993"/>
    <n v="67.600000000000009"/>
    <n v="65.350000000000009"/>
    <n v="0"/>
    <m/>
    <n v="65.350000000000009"/>
    <n v="16000"/>
    <n v="90.694040220000005"/>
    <n v="90.844200000000001"/>
    <n v="14511.046435200002"/>
    <n v="14535.072"/>
    <n v="14537.322"/>
    <n v="2.25"/>
    <n v="14.51"/>
    <n v="7.26"/>
    <n v="21.77"/>
    <n v="365442"/>
    <n v="91.996437999999998"/>
    <n v="91.766437499999995"/>
    <m/>
    <n v="14719.430079999998"/>
    <n v="29.44"/>
    <n v="7.3599999999999959"/>
    <n v="14682.630079999997"/>
    <n v="208.38364479999655"/>
    <n v="147.55807999999706"/>
    <n v="212.90807999999708"/>
    <n v="29"/>
    <n v="1.4647886161141623E-2"/>
    <n v="0.18436132582126527"/>
    <n v="0.20084336768250433"/>
    <n v="43.95"/>
    <s v="13031 - VRF59"/>
  </r>
  <r>
    <x v="40"/>
    <x v="3"/>
    <s v="Jhon"/>
    <d v="2026-04-27T00:00:00"/>
    <m/>
    <d v="2026-04-24T00:00:00"/>
    <d v="2027-04-09T00:00:00"/>
    <m/>
    <n v="0"/>
    <n v="9.0142344199999993"/>
    <n v="0"/>
    <n v="0"/>
    <n v="0"/>
    <n v="2108.7465933333328"/>
    <n v="2108.7465933333328"/>
    <n v="26900"/>
    <n v="92.017483319999997"/>
    <n v="92.160799999999995"/>
    <n v="24752.703013080001"/>
    <n v="24791.2552"/>
    <n v="24791.2552"/>
    <m/>
    <n v="23.858506666666671"/>
    <n v="14.69280510666667"/>
    <n v="38.551311773333339"/>
    <n v="366433"/>
    <n v="92.574734809999995"/>
    <n v="92.4285"/>
    <m/>
    <n v="24902.603663889997"/>
    <n v="22.83"/>
    <n v="16.5"/>
    <n v="24863.273663889995"/>
    <n v="149.90065080999557"/>
    <n v="72.018463889995473"/>
    <n v="2180.7650572233283"/>
    <n v="17"/>
    <n v="8.7965092514691562E-2"/>
    <n v="1.8886622804624953"/>
    <n v="5.1114569252754549"/>
    <n v="46.688506666666669"/>
    <n v="367383"/>
  </r>
  <r>
    <x v="41"/>
    <x v="1"/>
    <s v="Isabel"/>
    <d v="2026-05-06T00:00:00"/>
    <m/>
    <m/>
    <m/>
    <m/>
    <n v="0"/>
    <m/>
    <n v="0"/>
    <n v="0"/>
    <n v="0"/>
    <m/>
    <n v="0"/>
    <n v="33341.44000000001"/>
    <m/>
    <m/>
    <n v="0"/>
    <n v="32350.706353394278"/>
    <n v="32350.706353394278"/>
    <m/>
    <n v="96.560000000000016"/>
    <n v="6.4099999999999984"/>
    <n v="102.97000000000001"/>
    <s v="37 NCs"/>
    <n v="97.75"/>
    <n v="97.632800000000003"/>
    <n v="0"/>
    <n v="32591.257600000008"/>
    <n v="32.56"/>
    <n v="6.52"/>
    <n v="32552.177600000006"/>
    <n v="32591.257600000008"/>
    <n v="201.47124660572808"/>
    <n v="201.47124660572808"/>
    <n v="13"/>
    <n v="6.2277232652940039E-3"/>
    <n v="0.17485530706402397"/>
    <n v="0.1904282089928564"/>
    <n v="129.12"/>
    <n v="3676471"/>
  </r>
  <r>
    <x v="41"/>
    <x v="3"/>
    <s v="Jhon"/>
    <d v="2026-04-27T00:00:00"/>
    <m/>
    <d v="2026-04-24T00:00:00"/>
    <d v="2027-04-09T00:00:00"/>
    <m/>
    <n v="0"/>
    <m/>
    <n v="0"/>
    <n v="0"/>
    <n v="0"/>
    <n v="839.97099433333324"/>
    <n v="839.97099433333324"/>
    <n v="10715"/>
    <n v="92.017483319999997"/>
    <n v="92.160799999999995"/>
    <n v="9859.6733377379987"/>
    <n v="9875.0297199999986"/>
    <n v="9875.0297199999986"/>
    <m/>
    <n v="9.556932361476342"/>
    <n v="5.8854540464994543"/>
    <n v="15.442386407975796"/>
    <n v="366433"/>
    <n v="92.679002409999995"/>
    <n v="92.558000000000007"/>
    <m/>
    <n v="9930.5551082314996"/>
    <n v="8.9700000000000006"/>
    <n v="4"/>
    <n v="9917.5851082315003"/>
    <n v="70.881770493500881"/>
    <n v="42.555388231501638"/>
    <n v="882.52638256483488"/>
    <n v="22"/>
    <n v="8.9369491291499126E-2"/>
    <n v="1.4827211055180536"/>
    <n v="3.1378095894696951"/>
    <n v="18.526932361476341"/>
    <n v="367634"/>
  </r>
  <r>
    <x v="41"/>
    <x v="3"/>
    <s v="Jhon"/>
    <d v="2026-04-27T00:00:00"/>
    <m/>
    <d v="2026-04-24T00:00:00"/>
    <d v="2027-04-09T00:00:00"/>
    <m/>
    <n v="0"/>
    <m/>
    <n v="0"/>
    <n v="0"/>
    <n v="0"/>
    <n v="3370.858866666666"/>
    <n v="3370.858866666666"/>
    <n v="43000"/>
    <n v="92.017483319999997"/>
    <n v="92.160799999999995"/>
    <n v="39567.517827600001"/>
    <n v="39629.144"/>
    <n v="39629.144"/>
    <m/>
    <n v="38.352578481131417"/>
    <n v="23.618702076969971"/>
    <n v="61.971280558101384"/>
    <n v="366433"/>
    <n v="92.679002409999995"/>
    <n v="92.548500000000004"/>
    <m/>
    <n v="39851.971036299998"/>
    <n v="39.85"/>
    <n v="16.25"/>
    <n v="39795.871036299999"/>
    <n v="284.45320869999705"/>
    <n v="166.72703629999887"/>
    <n v="3537.5859029666649"/>
    <n v="22"/>
    <n v="8.926728023614805E-2"/>
    <n v="1.4810253311906381"/>
    <n v="3.1313731494173798"/>
    <n v="78.202578481131411"/>
    <n v="367638"/>
  </r>
  <r>
    <x v="42"/>
    <x v="3"/>
    <s v="Jhon"/>
    <d v="2026-04-27T00:00:00"/>
    <m/>
    <d v="2026-04-24T00:00:00"/>
    <d v="2027-04-09T00:00:00"/>
    <m/>
    <n v="0"/>
    <m/>
    <n v="0"/>
    <n v="0"/>
    <n v="0"/>
    <n v="1998.6871499999979"/>
    <n v="1998.6871499999979"/>
    <n v="26850"/>
    <n v="92.017483319999997"/>
    <n v="92.160799999999995"/>
    <n v="24706.694271419998"/>
    <n v="24745.174800000001"/>
    <n v="24745.174800000001"/>
    <n v="0"/>
    <n v="23.814160000000001"/>
    <n v="14.66549506"/>
    <n v="38.479655059999999"/>
    <n v="366433"/>
    <n v="92.699884130000001"/>
    <n v="92.556100000000001"/>
    <m/>
    <n v="24889.918888905002"/>
    <n v="22.4"/>
    <n v="16.2"/>
    <n v="24851.318888905"/>
    <n v="183.22461748500427"/>
    <n v="106.14408890499908"/>
    <n v="2104.831238904997"/>
    <n v="23"/>
    <n v="8.5060269564351462E-2"/>
    <n v="1.34986949526036"/>
    <n v="2.6528965269322189"/>
    <n v="46.21416"/>
    <n v="367684"/>
  </r>
  <r>
    <x v="43"/>
    <x v="1"/>
    <s v="Isabel"/>
    <d v="2026-05-19T00:00:00"/>
    <m/>
    <m/>
    <m/>
    <m/>
    <n v="0"/>
    <m/>
    <n v="0"/>
    <n v="0"/>
    <n v="0"/>
    <m/>
    <n v="0"/>
    <n v="28905.75"/>
    <m/>
    <m/>
    <n v="0"/>
    <n v="28047.469443193499"/>
    <n v="28047.469443193499"/>
    <m/>
    <n v="67.11999999999999"/>
    <n v="5.29"/>
    <n v="72.41"/>
    <s v="39 NCs"/>
    <n v="98"/>
    <n v="97.882400000000004"/>
    <n v="0"/>
    <n v="28327.634999999998"/>
    <n v="28.33"/>
    <n v="5.6700000000000017"/>
    <n v="28293.634999999998"/>
    <n v="28327.634999999998"/>
    <n v="246.16555680649981"/>
    <n v="246.16555680649981"/>
    <n v="8"/>
    <n v="8.7767474818031665E-3"/>
    <n v="0.4004391038572695"/>
    <n v="0.48987472957564826"/>
    <n v="95.449999999999989"/>
    <n v="368144"/>
  </r>
  <r>
    <x v="44"/>
    <x v="1"/>
    <s v="Isabel"/>
    <d v="2026-05-27T00:00:00"/>
    <m/>
    <m/>
    <m/>
    <m/>
    <n v="0"/>
    <m/>
    <n v="0"/>
    <n v="0"/>
    <n v="0"/>
    <m/>
    <n v="0"/>
    <n v="40942.449999999997"/>
    <m/>
    <m/>
    <n v="0"/>
    <n v="39823"/>
    <n v="39823"/>
    <m/>
    <n v="80.48"/>
    <n v="7.88"/>
    <n v="88.36"/>
    <m/>
    <n v="98"/>
    <n v="97.882400000000004"/>
    <m/>
    <n v="40123.600999999995"/>
    <n v="40.119999999999997"/>
    <n v="8.02"/>
    <n v="40075.460999999996"/>
    <n v="40123.600999999995"/>
    <n v="252.46099999999569"/>
    <n v="252.46099999999569"/>
    <n v="5"/>
    <n v="6.3395776310171429E-3"/>
    <n v="0.46278916706425138"/>
    <n v="0.58617965713401099"/>
    <n v="120.6"/>
    <n v="3683381"/>
  </r>
  <r>
    <x v="45"/>
    <x v="1"/>
    <s v="Isabel"/>
    <d v="2026-06-01T00:00:00"/>
    <m/>
    <m/>
    <m/>
    <m/>
    <n v="0"/>
    <m/>
    <n v="0"/>
    <n v="0"/>
    <n v="0"/>
    <m/>
    <n v="0"/>
    <n v="39319.870000000003"/>
    <m/>
    <m/>
    <n v="0"/>
    <n v="38309.783640044647"/>
    <n v="38309.783640044647"/>
    <m/>
    <n v="60.709999999999987"/>
    <n v="7.61"/>
    <n v="68.319999999999993"/>
    <s v="21 NCs"/>
    <n v="98.06"/>
    <n v="97.942400000000006"/>
    <m/>
    <n v="38557.064522000001"/>
    <n v="38.53"/>
    <n v="7.71"/>
    <n v="38510.824522000003"/>
    <n v="38557.064522000001"/>
    <n v="201.04088195535587"/>
    <n v="201.04088195535587"/>
    <n v="4"/>
    <n v="5.2477686599412387E-3"/>
    <n v="0.47885889021963801"/>
    <n v="0.61221143466960615"/>
    <n v="99.239999999999981"/>
    <n v="3686693"/>
  </r>
  <r>
    <x v="46"/>
    <x v="1"/>
    <s v="Isabel"/>
    <d v="2026-06-05T00:00:00"/>
    <m/>
    <m/>
    <m/>
    <m/>
    <n v="0"/>
    <m/>
    <n v="0"/>
    <n v="0"/>
    <n v="0"/>
    <m/>
    <n v="0"/>
    <n v="44276.13"/>
    <m/>
    <m/>
    <n v="0"/>
    <n v="43143.142647064851"/>
    <n v="43143.142647064851"/>
    <m/>
    <n v="65.240000000000009"/>
    <n v="8.6000000000000014"/>
    <n v="73.84"/>
    <s v="22 NCs"/>
    <n v="98.11"/>
    <n v="97.99225903"/>
    <m/>
    <n v="43439.311142999999"/>
    <n v="43.44"/>
    <n v="8.6999999999999993"/>
    <n v="43387.171143"/>
    <n v="43439.311142999999"/>
    <n v="244.02849593514838"/>
    <n v="244.02849593514838"/>
    <n v="3"/>
    <n v="5.6562522097993321E-3"/>
    <n v="0.68817735219225196"/>
    <n v="0.98623007600986479"/>
    <n v="108.68"/>
    <s v="15514_01 - VRF59"/>
  </r>
  <r>
    <x v="47"/>
    <x v="1"/>
    <s v="Isabel"/>
    <d v="2026-06-08T00:00:00"/>
    <m/>
    <m/>
    <m/>
    <m/>
    <n v="0"/>
    <m/>
    <n v="0"/>
    <n v="0"/>
    <n v="0"/>
    <m/>
    <n v="0"/>
    <n v="47859.5"/>
    <m/>
    <m/>
    <n v="0"/>
    <n v="46573.815929674318"/>
    <n v="46573.815929674318"/>
    <m/>
    <n v="50.510000000000012"/>
    <n v="9.09"/>
    <n v="59.600000000000009"/>
    <s v="38 NCs"/>
    <n v="98.03"/>
    <n v="97.911799999999999"/>
    <m/>
    <n v="46916.667849999998"/>
    <n v="47.18"/>
    <n v="9.3800000000000008"/>
    <n v="46860.10785"/>
    <n v="46916.667849999998"/>
    <n v="286.29192032568244"/>
    <n v="286.29192032568244"/>
    <n v="7"/>
    <n v="6.147057410068749E-3"/>
    <n v="0.32052513638215618"/>
    <n v="0.37649995348454945"/>
    <n v="97.690000000000012"/>
    <n v="3692061"/>
  </r>
  <r>
    <x v="48"/>
    <x v="0"/>
    <s v="Jhon"/>
    <d v="2026-05-19T00:00:00"/>
    <d v="2026-06-07T00:00:00"/>
    <d v="2026-05-07T00:00:00"/>
    <d v="2031-05-07T00:00:00"/>
    <n v="7.13"/>
    <n v="7.7752737053868843"/>
    <n v="9.7885091800000001"/>
    <n v="77.999229166666666"/>
    <n v="46.799229166666663"/>
    <n v="0"/>
    <m/>
    <n v="46.799229166666663"/>
    <n v="13127.5"/>
    <n v="91.472271640000002"/>
    <n v="91.938599999999994"/>
    <n v="12008.022459541"/>
    <n v="12038.042459541"/>
    <n v="12069.242459541001"/>
    <n v="31.2"/>
    <n v="24.02"/>
    <n v="6"/>
    <n v="30.02"/>
    <n v="367635"/>
    <n v="93.481277000000006"/>
    <n v="93.558864979999996"/>
    <n v="28.6"/>
    <n v="12271.754638175"/>
    <n v="12.27"/>
    <n v="6.14"/>
    <n v="12253.344638175"/>
    <n v="263.73217863399987"/>
    <n v="215.30217863399957"/>
    <n v="290.70140780066629"/>
    <n v="29"/>
    <n v="2.4148561427465715E-2"/>
    <n v="0.30393879038017191"/>
    <n v="0.35030025559305744"/>
    <n v="36.29"/>
    <s v="16322 - VRF26"/>
  </r>
  <r>
    <x v="49"/>
    <x v="1"/>
    <s v="Isabel"/>
    <d v="2026-06-15T00:00:00"/>
    <m/>
    <m/>
    <m/>
    <m/>
    <n v="0"/>
    <m/>
    <n v="0"/>
    <n v="0"/>
    <n v="0"/>
    <m/>
    <n v="0"/>
    <n v="27867.41"/>
    <m/>
    <m/>
    <n v="0"/>
    <n v="27131.186767521409"/>
    <n v="27131.186767521409"/>
    <m/>
    <n v="30.64"/>
    <n v="5.4400000000000013"/>
    <n v="36.08"/>
    <s v="26 NCs"/>
    <n v="98"/>
    <n v="97.881399999999999"/>
    <m/>
    <n v="27310.061800000003"/>
    <n v="27.6"/>
    <n v="5.46"/>
    <n v="27277.001800000005"/>
    <n v="27310.061800000003"/>
    <n v="145.81503247859655"/>
    <n v="145.81503247859655"/>
    <n v="4"/>
    <n v="5.3744435777188671E-3"/>
    <n v="0.49041797646684665"/>
    <n v="0.63085565286369127"/>
    <n v="58.24"/>
    <n v="3695169"/>
  </r>
  <r>
    <x v="50"/>
    <x v="0"/>
    <s v="Jhon"/>
    <d v="2026-05-27T00:00:00"/>
    <d v="2026-06-08T00:00:00"/>
    <d v="2025-12-08T00:00:00"/>
    <d v="2028-12-08T00:00:00"/>
    <n v="6.31"/>
    <n v="6.5923253332158094"/>
    <n v="8.5"/>
    <n v="139.60875000000001"/>
    <n v="51.188750000000013"/>
    <n v="0"/>
    <m/>
    <n v="51.188750000000013"/>
    <n v="26550"/>
    <n v="95.478678939999995"/>
    <n v="96.050399999999996"/>
    <n v="25349.589258570002"/>
    <n v="25412.959999999999"/>
    <n v="25501.379999999997"/>
    <n v="88.42"/>
    <n v="50.7"/>
    <n v="12.67"/>
    <n v="63.370000000000005"/>
    <n v="368093"/>
    <n v="96.600321620000003"/>
    <n v="96.753399999999999"/>
    <m/>
    <n v="25647.385390110001"/>
    <n v="25.65"/>
    <n v="12.82"/>
    <n v="25608.91539011"/>
    <n v="297.7961315399989"/>
    <n v="195.95539011000074"/>
    <n v="247.14414011000076"/>
    <n v="29"/>
    <n v="9.7251221467314613E-3"/>
    <n v="0.12240239943299942"/>
    <n v="0.1295406449910228"/>
    <n v="76.349999999999994"/>
    <n v="369780"/>
  </r>
  <r>
    <x v="51"/>
    <x v="1"/>
    <s v="Jhon"/>
    <d v="2026-06-22T00:00:00"/>
    <m/>
    <m/>
    <m/>
    <m/>
    <n v="0"/>
    <m/>
    <n v="0"/>
    <n v="0"/>
    <n v="0"/>
    <m/>
    <n v="0"/>
    <n v="45203.94"/>
    <m/>
    <m/>
    <n v="0"/>
    <n v="44144.529474069997"/>
    <n v="44144.529474069997"/>
    <m/>
    <n v="36.82"/>
    <n v="8.8000000000000007"/>
    <n v="45.620000000000005"/>
    <s v="19 NCs"/>
    <n v="98.2"/>
    <n v="98.133038850000005"/>
    <m/>
    <n v="44390.269080000005"/>
    <n v="21.39"/>
    <n v="8.8800000000000008"/>
    <n v="44359.999080000009"/>
    <n v="44390.269080000005"/>
    <n v="215.46960593001131"/>
    <n v="215.46960593001131"/>
    <n v="9"/>
    <n v="4.8810035693454554E-3"/>
    <n v="0.19795181142345458"/>
    <n v="0.21831685112805888"/>
    <n v="58.21"/>
    <n v="3692061"/>
  </r>
  <r>
    <x v="52"/>
    <x v="1"/>
    <s v="Jhon"/>
    <d v="2026-07-02T00:00:00"/>
    <m/>
    <m/>
    <m/>
    <m/>
    <n v="0"/>
    <m/>
    <n v="0"/>
    <n v="0"/>
    <n v="0"/>
    <m/>
    <n v="0"/>
    <n v="9073.66"/>
    <m/>
    <m/>
    <n v="0"/>
    <n v="8875.1822412500005"/>
    <n v="8875.1822412500005"/>
    <m/>
    <n v="9.7099999999999991"/>
    <n v="1.77"/>
    <n v="11.479999999999999"/>
    <s v="8 NCs"/>
    <n v="98.35"/>
    <n v="98.231999999999999"/>
    <m/>
    <n v="8923.9446099999986"/>
    <n v="8.91"/>
    <n v="1.79"/>
    <n v="8913.2446099999979"/>
    <n v="8923.9446099999986"/>
    <n v="38.062368749997404"/>
    <n v="38.062368749997404"/>
    <n v="8"/>
    <n v="4.2886295419480441E-3"/>
    <n v="0.19566872285137951"/>
    <n v="0.21561526950893195"/>
    <n v="18.619999999999997"/>
    <n v="3706812"/>
  </r>
  <r>
    <x v="53"/>
    <x v="1"/>
    <s v="Jhon"/>
    <d v="2026-07-10T00:00:00"/>
    <m/>
    <m/>
    <m/>
    <m/>
    <n v="0"/>
    <m/>
    <n v="0"/>
    <n v="0"/>
    <n v="0"/>
    <m/>
    <n v="0"/>
    <n v="9515.15"/>
    <m/>
    <m/>
    <n v="0"/>
    <n v="9270.419510170901"/>
    <n v="9270.419510170901"/>
    <m/>
    <n v="12.07"/>
    <n v="1.77"/>
    <n v="13.84"/>
    <s v="10 NCs"/>
    <n v="98.05"/>
    <n v="97.932500000000005"/>
    <m/>
    <n v="9329.6045749999994"/>
    <n v="9.31"/>
    <n v="1.88"/>
    <n v="9318.4145750000007"/>
    <n v="9329.6045749999994"/>
    <n v="47.995064829099647"/>
    <n v="47.995064829099647"/>
    <n v="10"/>
    <n v="5.1772268532661965E-3"/>
    <n v="0.18896878014421617"/>
    <n v="0.20741449790221234"/>
    <n v="21.380000000000003"/>
    <n v="3712421"/>
  </r>
  <r>
    <x v="54"/>
    <x v="1"/>
    <s v="Jhon"/>
    <d v="2026-07-20T00:00:00"/>
    <m/>
    <m/>
    <m/>
    <m/>
    <n v="0"/>
    <m/>
    <n v="0"/>
    <n v="0"/>
    <n v="0"/>
    <m/>
    <n v="0"/>
    <n v="7241.3600000000006"/>
    <m/>
    <m/>
    <n v="0"/>
    <n v="7049.7489330226381"/>
    <n v="7049.7489330226381"/>
    <m/>
    <n v="7.34"/>
    <n v="1.42"/>
    <n v="8.76"/>
    <s v="10 NCs"/>
    <n v="98.32"/>
    <n v="98.202271400000001"/>
    <m/>
    <n v="7119.7051520000005"/>
    <n v="7.11"/>
    <n v="1.42"/>
    <n v="7111.1751520000007"/>
    <n v="7119.7051520000005"/>
    <n v="61.426218977362623"/>
    <n v="61.426218977362623"/>
    <n v="3"/>
    <n v="8.7132491612046132E-3"/>
    <n v="1.0601119812798945"/>
    <n v="1.8734693296980964"/>
    <n v="14.45"/>
    <s v="20060_02 - VRF54"/>
  </r>
  <r>
    <x v="55"/>
    <x v="1"/>
    <s v="Jhon"/>
    <d v="2026-07-23T00:00:00"/>
    <m/>
    <m/>
    <m/>
    <m/>
    <n v="0"/>
    <m/>
    <n v="0"/>
    <n v="0"/>
    <n v="0"/>
    <m/>
    <n v="0"/>
    <n v="8026.18"/>
    <m/>
    <m/>
    <n v="0"/>
    <n v="7837.9224371199998"/>
    <n v="7837.9224371199998"/>
    <m/>
    <n v="10.39"/>
    <n v="1.57"/>
    <n v="11.96"/>
    <s v="7 NCs"/>
    <n v="98.38"/>
    <n v="98.202271400000001"/>
    <m/>
    <n v="7896.1558839999998"/>
    <n v="7.88"/>
    <n v="1.57"/>
    <n v="7886.705884"/>
    <n v="7896.1558839999998"/>
    <n v="48.783446880000156"/>
    <n v="48.783446880000156"/>
    <n v="6"/>
    <n v="6.2240277664606944E-3"/>
    <n v="0.37862835579302562"/>
    <n v="0.45856769817745691"/>
    <n v="18.27"/>
    <s v="20524_01 - VRF35"/>
  </r>
  <r>
    <x v="56"/>
    <x v="3"/>
    <s v="Jhon"/>
    <d v="2026-04-27T00:00:00"/>
    <m/>
    <d v="2026-04-24T00:00:00"/>
    <d v="2027-04-09T00:00:00"/>
    <m/>
    <n v="0"/>
    <m/>
    <n v="0"/>
    <n v="0"/>
    <n v="0"/>
    <n v="2351.7599999999998"/>
    <n v="2351.7599999999998"/>
    <n v="30000"/>
    <n v="92.017483319999997"/>
    <n v="92.160799999999995"/>
    <n v="27605.244995999998"/>
    <n v="27648.240000000002"/>
    <n v="27648.240000000002"/>
    <n v="0"/>
    <n v="26.607999999999972"/>
    <n v="16.386027999999978"/>
    <n v="42.99402799999995"/>
    <n v="366433"/>
    <n v="94.776748100000006"/>
    <n v="94.670100000000005"/>
    <m/>
    <n v="28433.024430000001"/>
    <n v="19.59"/>
    <n v="12.4"/>
    <n v="28401.03443"/>
    <n v="827.77943400000368"/>
    <n v="752.7944299999981"/>
    <n v="3104.5544299999979"/>
    <n v="98"/>
    <n v="0.11228759696819753"/>
    <n v="0.4182140091162459"/>
    <n v="0.48639794674457226"/>
    <n v="46.197999999999972"/>
    <n v="372150"/>
  </r>
  <r>
    <x v="57"/>
    <x v="1"/>
    <s v="Jhon"/>
    <d v="2026-07-29T00:00:00"/>
    <m/>
    <m/>
    <m/>
    <m/>
    <n v="0"/>
    <m/>
    <n v="0"/>
    <n v="0"/>
    <n v="0"/>
    <m/>
    <n v="0"/>
    <n v="8389.66"/>
    <m/>
    <m/>
    <n v="0"/>
    <n v="8188.8693569304323"/>
    <n v="8188.8693569304323"/>
    <m/>
    <n v="16.239999999999998"/>
    <n v="1.54"/>
    <n v="17.779999999999998"/>
    <s v="8 NCs"/>
    <n v="98.25"/>
    <n v="98.202271400000001"/>
    <m/>
    <n v="8242.8409499999998"/>
    <n v="8.23"/>
    <n v="1.65"/>
    <n v="8232.9609500000006"/>
    <n v="8242.8409499999998"/>
    <n v="44.091593069568262"/>
    <n v="44.091593069568262"/>
    <n v="14"/>
    <n v="5.384332213366246E-3"/>
    <n v="0.14037723270562"/>
    <n v="0.15027456377033466"/>
    <n v="24.47"/>
    <n v="3726763"/>
  </r>
  <r>
    <x v="58"/>
    <x v="1"/>
    <s v="Jhon"/>
    <d v="2026-08-12T00:00:00"/>
    <m/>
    <m/>
    <m/>
    <m/>
    <n v="0"/>
    <m/>
    <n v="0"/>
    <n v="0"/>
    <n v="0"/>
    <m/>
    <n v="0"/>
    <n v="7486"/>
    <m/>
    <m/>
    <n v="0"/>
    <n v="7325.4407578375803"/>
    <n v="7325.4407578375803"/>
    <m/>
    <n v="12.88"/>
    <n v="1.29"/>
    <n v="14.170000000000002"/>
    <s v="5 NCs"/>
    <n v="98.25"/>
    <n v="98.132400000000004"/>
    <m/>
    <n v="7354.9949999999999"/>
    <n v="7.34"/>
    <n v="1.47"/>
    <n v="7346.1849999999995"/>
    <n v="7354.9949999999999"/>
    <n v="20.744242162419141"/>
    <n v="20.744242162419141"/>
    <n v="6"/>
    <n v="2.8318080574502792E-3"/>
    <n v="0.17226832349489199"/>
    <n v="0.18770736826291023"/>
    <n v="20.22"/>
    <n v="3730342"/>
  </r>
  <r>
    <x v="59"/>
    <x v="1"/>
    <s v="Jhon"/>
    <d v="2026-08-18T00:00:00"/>
    <m/>
    <m/>
    <m/>
    <m/>
    <n v="0"/>
    <m/>
    <n v="0"/>
    <n v="0"/>
    <n v="0"/>
    <m/>
    <n v="0"/>
    <n v="8870.8100000000013"/>
    <m/>
    <m/>
    <n v="0"/>
    <n v="8668.079600067409"/>
    <n v="8668.079600067409"/>
    <m/>
    <n v="17.309999999999999"/>
    <n v="1.600000000000001"/>
    <n v="18.91"/>
    <s v="5 NCs"/>
    <n v="98.35"/>
    <n v="98.132400000000004"/>
    <m/>
    <n v="8724.441635000001"/>
    <n v="17.45"/>
    <n v="1.74"/>
    <n v="8705.2516350000005"/>
    <n v="8724.441635000001"/>
    <n v="37.172034932591487"/>
    <n v="37.172034932591487"/>
    <n v="2"/>
    <n v="4.2883818155410583E-3"/>
    <n v="0.78262968133624311"/>
    <n v="1.1835595277055271"/>
    <n v="34.76"/>
    <s v="22208_04 - VRF48"/>
  </r>
  <r>
    <x v="60"/>
    <x v="1"/>
    <s v="Jhon"/>
    <d v="2026-08-21T00:00:00"/>
    <m/>
    <m/>
    <m/>
    <m/>
    <n v="0"/>
    <m/>
    <n v="0"/>
    <n v="0"/>
    <n v="0"/>
    <m/>
    <n v="0"/>
    <n v="3753.46"/>
    <m/>
    <m/>
    <n v="0"/>
    <n v="3673.3697338359998"/>
    <n v="3673.3697338359998"/>
    <m/>
    <n v="7.1199999999999992"/>
    <n v="0.68000000000000038"/>
    <n v="7.8"/>
    <s v="6 NCs"/>
    <n v="98.65"/>
    <n v="98.442999999999998"/>
    <m/>
    <n v="3702.7882900000004"/>
    <n v="7.03"/>
    <n v="0.74"/>
    <n v="3695.0182900000004"/>
    <n v="3702.7882900000004"/>
    <n v="21.648556164000638"/>
    <n v="21.648556164000638"/>
    <n v="6"/>
    <n v="5.8933779424903254E-3"/>
    <n v="0.35851382483482813"/>
    <n v="0.42969556280552301"/>
    <n v="14.149999999999999"/>
    <n v="3735843"/>
  </r>
  <r>
    <x v="61"/>
    <x v="1"/>
    <s v="Jhon"/>
    <d v="2026-08-27T00:00:00"/>
    <m/>
    <m/>
    <m/>
    <m/>
    <n v="0"/>
    <m/>
    <n v="0"/>
    <n v="0"/>
    <n v="0"/>
    <m/>
    <n v="0"/>
    <n v="7514.41"/>
    <m/>
    <m/>
    <n v="0"/>
    <n v="7377.2923894892474"/>
    <n v="7377.2923894892474"/>
    <m/>
    <n v="8.2900000000000009"/>
    <n v="1.2499999999999989"/>
    <n v="9.5399999999999991"/>
    <s v="5 NCs"/>
    <n v="98.75"/>
    <n v="98.631600000000006"/>
    <m/>
    <n v="7420.4798749999991"/>
    <n v="7.42"/>
    <n v="1.48"/>
    <n v="7411.5798749999994"/>
    <n v="7420.4798749999991"/>
    <n v="34.287485510752049"/>
    <n v="34.287485510752049"/>
    <n v="6"/>
    <n v="4.6477059198037126E-3"/>
    <n v="0.28273544345472584"/>
    <n v="0.32588536539913027"/>
    <n v="15.71"/>
    <n v="373967"/>
  </r>
  <r>
    <x v="62"/>
    <x v="1"/>
    <s v="Jhon"/>
    <d v="2026-09-03T00:00:00"/>
    <m/>
    <m/>
    <m/>
    <m/>
    <n v="0"/>
    <m/>
    <n v="0"/>
    <n v="0"/>
    <n v="0"/>
    <m/>
    <n v="0"/>
    <n v="5022.9400000000014"/>
    <m/>
    <m/>
    <n v="0"/>
    <n v="4954.3592785599994"/>
    <n v="4954.3592785599994"/>
    <m/>
    <n v="4.95"/>
    <n v="0.99"/>
    <n v="5.94"/>
    <s v="2 NCs"/>
    <n v="98.7"/>
    <n v="98.631600000000006"/>
    <m/>
    <n v="4957.6417800000017"/>
    <n v="2.2799999999999998"/>
    <n v="0.99"/>
    <n v="4954.3717800000022"/>
    <n v="4957.6417800000017"/>
    <n v="1.2501440002779418E-2"/>
    <n v="1.2501440002779418E-2"/>
    <n v="4"/>
    <n v="2.5233212409280504E-6"/>
    <n v="2.3025306323468461E-4"/>
    <n v="2.3027928293051225E-4"/>
    <n v="7.23"/>
    <n v="3741862"/>
  </r>
  <r>
    <x v="63"/>
    <x v="1"/>
    <s v="Jhon"/>
    <d v="2026-09-09T00:00:00"/>
    <m/>
    <m/>
    <m/>
    <m/>
    <n v="0"/>
    <m/>
    <n v="0"/>
    <n v="0"/>
    <n v="0"/>
    <m/>
    <n v="0"/>
    <n v="12016.6"/>
    <m/>
    <m/>
    <n v="0"/>
    <n v="11813.459592250771"/>
    <n v="11813.459592250771"/>
    <m/>
    <n v="16.38"/>
    <n v="0.34"/>
    <n v="16.72"/>
    <s v="10 NCs"/>
    <n v="98.42"/>
    <n v="98.322500000000005"/>
    <m/>
    <n v="11826.737720000001"/>
    <n v="9.36"/>
    <n v="2.36"/>
    <n v="11815.01772"/>
    <n v="11826.737720000001"/>
    <n v="1.5581277492292429"/>
    <n v="1.5581277492292429"/>
    <n v="6"/>
    <n v="1.3189428016931821E-4"/>
    <n v="8.0235687103001902E-3"/>
    <n v="8.055310453475073E-3"/>
    <n v="25.74"/>
    <n v="3748022"/>
  </r>
  <r>
    <x v="64"/>
    <x v="0"/>
    <s v="Jhon"/>
    <d v="2026-07-08T00:00:00"/>
    <d v="2026-08-02T00:00:00"/>
    <d v="2026-07-02T00:00:00"/>
    <d v="2035-07-02T00:00:00"/>
    <n v="7.93"/>
    <n v="8.8490795618176836"/>
    <n v="9.6999999999999993"/>
    <n v="130.91108333333332"/>
    <n v="104.73018733333332"/>
    <n v="1"/>
    <m/>
    <n v="235.64127066666663"/>
    <n v="19810"/>
    <n v="89.413159419999999"/>
    <n v="89.745999999999995"/>
    <n v="17712.746881102001"/>
    <n v="17752.501703999998"/>
    <n v="17778.6826"/>
    <n v="26.180896000000001"/>
    <n v="30.899637999999999"/>
    <n v="8.8550699999999996"/>
    <n v="39.754708000000001"/>
    <n v="370501"/>
    <n v="92.938003350000002"/>
    <n v="92.907600000000002"/>
    <n v="69.819999999999993"/>
    <n v="18411.018463634999"/>
    <n v="66.63"/>
    <n v="9.2100000000000009"/>
    <n v="18335.178463634998"/>
    <n v="698.27158253299785"/>
    <n v="582.67675963500005"/>
    <n v="888.13803030166673"/>
    <n v="72"/>
    <n v="5.0028894243201297E-2"/>
    <n v="0.25361869998289543"/>
    <n v="0.28079186015980251"/>
    <n v="97.529637999999991"/>
    <n v="374997"/>
  </r>
  <r>
    <x v="64"/>
    <x v="0"/>
    <s v="Jhon"/>
    <d v="2026-07-08T00:00:00"/>
    <d v="2026-08-02T00:00:00"/>
    <d v="2026-07-02T00:00:00"/>
    <d v="2035-07-02T00:00:00"/>
    <n v="7.93"/>
    <n v="8.8490790044658141"/>
    <n v="9.6999999999999993"/>
    <n v="199.50558333333333"/>
    <n v="159.60647933333334"/>
    <n v="1"/>
    <m/>
    <n v="359.1120626666667"/>
    <n v="30190"/>
    <n v="89.413159419999999"/>
    <n v="89.745999999999995"/>
    <n v="26993.832828898001"/>
    <n v="27054.42"/>
    <n v="27094.319103999998"/>
    <n v="39.899104000000001"/>
    <n v="47.090361999999992"/>
    <n v="13.49493"/>
    <n v="60.585291999999995"/>
    <n v="370501"/>
    <n v="92.938003350000002"/>
    <n v="93.060599999999994"/>
    <n v="106.4"/>
    <n v="28057.983211365001"/>
    <n v="55.35"/>
    <n v="14.03"/>
    <n v="27988.603211365004"/>
    <n v="1064.1503824669999"/>
    <n v="934.18321136500526"/>
    <n v="1399.6952740316719"/>
    <n v="72"/>
    <n v="5.1736288341486233E-2"/>
    <n v="0.26227423950892326"/>
    <n v="0.29138460108503383"/>
    <n v="102.44036199999999"/>
    <n v="3749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d v="2026-10-08T00:00:00"/>
    <x v="0"/>
    <x v="0"/>
    <d v="2026-04-29T00:00:00"/>
    <d v="2026-05-25T00:00:00"/>
    <d v="2024-07-25T00:00:00"/>
    <d v="2033-07-25T00:00:00"/>
    <n v="6.21"/>
    <n v="7.0434730972763457"/>
    <n v="9.2721727000000005"/>
    <n v="186.8175"/>
    <n v="161.9075"/>
    <n v="4"/>
    <m/>
    <n v="909.17750000000001"/>
    <n v="36100"/>
    <n v="88.034687090000006"/>
    <n v="88.166731301939052"/>
    <n v="31780.522039490002"/>
    <n v="31828.19"/>
    <n v="31853.1"/>
    <n v="24.91"/>
    <n v="15.89021"/>
    <n v="31.78"/>
    <n v="47.670209999999997"/>
    <m/>
  </r>
  <r>
    <d v="2026-10-08T00:00:00"/>
    <x v="0"/>
    <x v="0"/>
    <d v="2026-04-09T00:00:00"/>
    <d v="2026-04-12T00:00:00"/>
    <d v="2024-06-12T00:00:00"/>
    <d v="2028-06-12T00:00:00"/>
    <n v="4.71"/>
    <n v="5.0855387863809778"/>
    <n v="9.5"/>
    <n v="3.5325000000000002"/>
    <n v="0.35250000000000004"/>
    <n v="5"/>
    <m/>
    <n v="18.015000000000001"/>
    <n v="900"/>
    <n v="91.615113800000003"/>
    <n v="92.615555555555545"/>
    <n v="824.53602419999993"/>
    <n v="833.54"/>
    <n v="836.71999999999991"/>
    <n v="3.18"/>
    <n v="5"/>
    <n v="4"/>
    <n v="9"/>
    <m/>
  </r>
  <r>
    <d v="2026-10-08T00:00:00"/>
    <x v="0"/>
    <x v="1"/>
    <d v="2026-03-02T00:00:00"/>
    <d v="2026-03-25T00:00:00"/>
    <d v="2024-07-25T00:00:00"/>
    <d v="2033-07-25T00:00:00"/>
    <n v="6.21"/>
    <n v="7.6973992458779863"/>
    <n v="10.75"/>
    <n v="25.875"/>
    <n v="19.835000000000001"/>
    <n v="6"/>
    <m/>
    <n v="175.08500000000001"/>
    <n v="5000"/>
    <n v="80.395518249999995"/>
    <n v="80.676599999999993"/>
    <n v="4019.7759124999998"/>
    <n v="4033.83"/>
    <n v="4039.87"/>
    <n v="6.04"/>
    <n v="10.050000000000001"/>
    <n v="4"/>
    <n v="14.05"/>
    <m/>
  </r>
  <r>
    <d v="2026-10-08T00:00:00"/>
    <x v="0"/>
    <x v="0"/>
    <d v="2026-02-27T00:00:00"/>
    <d v="2026-03-27T00:00:00"/>
    <d v="2024-06-27T00:00:00"/>
    <d v="2032-06-27T00:00:00"/>
    <n v="5.93"/>
    <n v="7.2810368349249659"/>
    <n v="10.6"/>
    <n v="17.79"/>
    <n v="17.79"/>
    <n v="6"/>
    <m/>
    <n v="124.53"/>
    <n v="3600"/>
    <n v="81.130529519999996"/>
    <n v="81.444444444444443"/>
    <n v="2920.6990627199998"/>
    <n v="2932"/>
    <n v="2932"/>
    <n v="0"/>
    <n v="7.3"/>
    <n v="4"/>
    <n v="11.3"/>
    <m/>
  </r>
  <r>
    <d v="2026-10-08T00:00:00"/>
    <x v="0"/>
    <x v="0"/>
    <d v="2026-02-04T00:00:00"/>
    <d v="2026-02-27T00:00:00"/>
    <d v="2024-06-27T00:00:00"/>
    <d v="2033-06-27T00:00:00"/>
    <n v="6.21"/>
    <n v="7.7793949060459555"/>
    <n v="11"/>
    <n v="15.607799999999999"/>
    <n v="11.967799999999999"/>
    <n v="7"/>
    <m/>
    <n v="121.22239999999999"/>
    <n v="3016"/>
    <n v="79.455339390000006"/>
    <n v="79.826259946949591"/>
    <n v="2396.3730360024001"/>
    <n v="2407.56"/>
    <n v="2411.1999999999998"/>
    <n v="3.64"/>
    <n v="7.19"/>
    <n v="4"/>
    <n v="11.190000000000001"/>
    <m/>
  </r>
  <r>
    <d v="2026-10-08T00:00:00"/>
    <x v="0"/>
    <x v="0"/>
    <d v="2026-02-04T00:00:00"/>
    <d v="2026-02-06T00:00:00"/>
    <d v="2025-11-06T00:00:00"/>
    <d v="2031-11-06T00:00:00"/>
    <n v="7.35"/>
    <n v="8.6060527677185714"/>
    <n v="11"/>
    <n v="20.794374999999999"/>
    <n v="1.3843749999999986"/>
    <n v="8"/>
    <m/>
    <n v="167.739375"/>
    <n v="3395"/>
    <n v="84.983512989999994"/>
    <n v="85.405007363770252"/>
    <n v="2885.1902660104997"/>
    <n v="2899.5"/>
    <n v="2918.91"/>
    <n v="19.41"/>
    <n v="10.31"/>
    <n v="4"/>
    <n v="14.31"/>
    <m/>
  </r>
  <r>
    <d v="2026-10-08T00:00:00"/>
    <x v="0"/>
    <x v="0"/>
    <d v="2026-02-04T00:00:00"/>
    <d v="2026-02-06T00:00:00"/>
    <d v="2025-08-06T00:00:00"/>
    <d v="2034-08-06T00:00:00"/>
    <n v="7.93"/>
    <n v="9.409931424462842"/>
    <n v="11.25"/>
    <n v="58.021166666666659"/>
    <n v="3.8711666666666602"/>
    <n v="8"/>
    <m/>
    <n v="468.04049999999995"/>
    <n v="8780"/>
    <n v="84.06242263"/>
    <n v="84.27266514806378"/>
    <n v="7380.6807069139995"/>
    <n v="7399.14"/>
    <n v="7453.29"/>
    <n v="54.15"/>
    <n v="14.77"/>
    <n v="3.69"/>
    <n v="18.46"/>
    <m/>
  </r>
  <r>
    <d v="2026-10-08T00:00:00"/>
    <x v="0"/>
    <x v="1"/>
    <d v="2025-12-15T00:00:00"/>
    <d v="2025-12-18T00:00:00"/>
    <d v="2024-11-18T00:00:00"/>
    <d v="2032-11-18T00:00:00"/>
    <n v="5.93"/>
    <n v="7.5471904970732364"/>
    <n v="11"/>
    <n v="23.089937500000001"/>
    <n v="2.3099375000000002"/>
    <n v="9"/>
    <m/>
    <n v="210.11937499999999"/>
    <n v="4672.5"/>
    <n v="78.096182159999998"/>
    <n v="78.572284644194752"/>
    <n v="3649.0441114260002"/>
    <n v="3671.29"/>
    <n v="3692.07"/>
    <n v="20.78"/>
    <n v="18.25"/>
    <n v="4"/>
    <n v="22.25"/>
    <m/>
  </r>
  <r>
    <d v="2026-10-08T00:00:00"/>
    <x v="0"/>
    <x v="1"/>
    <d v="2025-12-10T00:00:00"/>
    <d v="2026-01-06T00:00:00"/>
    <d v="2025-11-06T00:00:00"/>
    <d v="2032-11-06T00:00:00"/>
    <n v="7.54"/>
    <n v="8.8446584491386737"/>
    <n v="11"/>
    <n v="7.7913333333333341"/>
    <n v="6.4913333333333343"/>
    <n v="9"/>
    <m/>
    <n v="76.613333333333344"/>
    <n v="1240"/>
    <n v="84.171185390000005"/>
    <n v="85.249193548387098"/>
    <n v="1043.7226988360001"/>
    <n v="1057.0899999999999"/>
    <n v="1058.3899999999999"/>
    <n v="1.3"/>
    <n v="9.3699999999999992"/>
    <n v="4"/>
    <n v="13.37"/>
    <m/>
  </r>
  <r>
    <d v="2026-10-08T00:00:00"/>
    <x v="0"/>
    <x v="1"/>
    <d v="2025-11-26T00:00:00"/>
    <d v="2025-11-28T00:00:00"/>
    <d v="2025-04-28T00:00:00"/>
    <d v="2029-04-28T00:00:00"/>
    <n v="6.82"/>
    <n v="7.5407026563838908"/>
    <n v="11"/>
    <n v="6.82"/>
    <n v="0.45000000000000018"/>
    <n v="10"/>
    <m/>
    <n v="68.650000000000006"/>
    <n v="1200"/>
    <n v="88.858973000000006"/>
    <n v="90.442499999999995"/>
    <n v="1066.3076760000001"/>
    <n v="1085.31"/>
    <n v="1091.6799999999998"/>
    <n v="6.37"/>
    <n v="15"/>
    <n v="4"/>
    <n v="19"/>
    <m/>
  </r>
  <r>
    <d v="2026-10-08T00:00:00"/>
    <x v="0"/>
    <x v="0"/>
    <d v="2025-10-13T00:00:00"/>
    <d v="2025-11-10T00:00:00"/>
    <d v="2025-09-10T00:00:00"/>
    <d v="2032-09-10T00:00:00"/>
    <n v="7.54"/>
    <n v="8.4219810851169736"/>
    <n v="9.85"/>
    <n v="35.249500000000005"/>
    <n v="30.549500000000005"/>
    <n v="11"/>
    <m/>
    <n v="418.2940000000001"/>
    <n v="5610"/>
    <n v="89.073556049999993"/>
    <n v="89.52762923351159"/>
    <n v="4997.0264944049995"/>
    <n v="5022.5"/>
    <n v="5027.2"/>
    <n v="4.7"/>
    <n v="21.47"/>
    <n v="4"/>
    <n v="25.47"/>
    <m/>
  </r>
  <r>
    <d v="2026-10-08T00:00:00"/>
    <x v="0"/>
    <x v="0"/>
    <d v="2025-08-19T00:00:00"/>
    <d v="2025-08-25T00:00:00"/>
    <d v="2024-07-25T00:00:00"/>
    <d v="2033-07-25T00:00:00"/>
    <n v="6.21"/>
    <n v="7.4337488648559411"/>
    <n v="9.75"/>
    <n v="4.5022500000000001"/>
    <n v="0.90225"/>
    <n v="13"/>
    <m/>
    <n v="59.431500000000007"/>
    <n v="870"/>
    <n v="83.246360999999993"/>
    <n v="83.537931034482753"/>
    <n v="724.24334069999998"/>
    <n v="726.78"/>
    <n v="730.38"/>
    <n v="3.6"/>
    <n v="2.1745169171540679"/>
    <n v="0.36199007921818321"/>
    <n v="2.5365069963722511"/>
    <m/>
  </r>
  <r>
    <d v="2026-10-08T00:00:00"/>
    <x v="0"/>
    <x v="0"/>
    <d v="2025-06-24T00:00:00"/>
    <d v="2025-06-25T00:00:00"/>
    <d v="2024-07-25T00:00:00"/>
    <d v="2033-07-25T00:00:00"/>
    <n v="6.21"/>
    <n v="7.9503100080717397"/>
    <n v="11"/>
    <n v="22.407749999999997"/>
    <n v="0.74774999999999636"/>
    <n v="15"/>
    <m/>
    <n v="336.86399999999992"/>
    <n v="4330"/>
    <n v="77.784468820000001"/>
    <n v="78.110161662817561"/>
    <n v="3368.0674999059997"/>
    <n v="3382.17"/>
    <n v="3403.83"/>
    <n v="21.66"/>
    <n v="10.1"/>
    <n v="4"/>
    <n v="14.1"/>
    <m/>
  </r>
  <r>
    <d v="2026-10-08T00:00:00"/>
    <x v="0"/>
    <x v="0"/>
    <d v="2025-03-18T00:00:00"/>
    <d v="2025-04-18T00:00:00"/>
    <d v="2024-11-18T00:00:00"/>
    <d v="2032-11-18T00:00:00"/>
    <n v="5.93"/>
    <n v="8.1067220543806648"/>
    <n v="12"/>
    <n v="8.9444166666666671"/>
    <n v="8.9444166666666671"/>
    <n v="17"/>
    <m/>
    <n v="160.99949999999998"/>
    <n v="1810"/>
    <n v="72.344290740000005"/>
    <n v="73.149171270718227"/>
    <n v="1309.4316623940001"/>
    <n v="1324"/>
    <n v="1324"/>
    <n v="0"/>
    <n v="10.57"/>
    <n v="4"/>
    <n v="14.57"/>
    <m/>
  </r>
  <r>
    <d v="2026-10-08T00:00:00"/>
    <x v="0"/>
    <x v="1"/>
    <d v="2025-02-20T00:00:00"/>
    <d v="2025-03-04T00:00:00"/>
    <d v="2024-12-04T00:00:00"/>
    <d v="2030-12-04T00:00:00"/>
    <n v="5.36"/>
    <n v="7.0678426765329929"/>
    <n v="11.35"/>
    <n v="16.794666666666668"/>
    <n v="7.8346666666666671"/>
    <n v="19"/>
    <m/>
    <n v="326.93333333333339"/>
    <n v="3760"/>
    <n v="75.463999999999999"/>
    <n v="75.836436170212764"/>
    <n v="2837.4464000000003"/>
    <n v="2851.45"/>
    <n v="2860.41"/>
    <n v="8.9600000000000009"/>
    <n v="10"/>
    <n v="4"/>
    <n v="14"/>
    <m/>
  </r>
  <r>
    <d v="2026-10-08T00:00:00"/>
    <x v="0"/>
    <x v="0"/>
    <d v="2024-10-28T00:00:00"/>
    <d v="2024-11-26T00:00:00"/>
    <d v="2023-04-26T00:00:00"/>
    <d v="2028-04-26T00:00:00"/>
    <n v="5.07"/>
    <n v="6.3662364841297521"/>
    <n v="13"/>
    <n v="11.407499999999999"/>
    <n v="10.647499999999999"/>
    <n v="22"/>
    <m/>
    <n v="261.61249999999995"/>
    <n v="2700"/>
    <n v="79.120330190000004"/>
    <n v="79.638888888888886"/>
    <n v="2136.2489151300001"/>
    <n v="2150.25"/>
    <n v="2151.0100000000002"/>
    <n v="0.76"/>
    <n v="10"/>
    <n v="4"/>
    <n v="14"/>
    <m/>
  </r>
  <r>
    <d v="2026-10-08T00:00:00"/>
    <x v="0"/>
    <x v="0"/>
    <d v="2024-10-25T00:00:00"/>
    <d v="2024-11-03T00:00:00"/>
    <d v="2023-07-03T00:00:00"/>
    <d v="2029-07-03T00:00:00"/>
    <n v="5.36"/>
    <n v="7.0382111838526331"/>
    <n v="12.5"/>
    <n v="12.506666666666668"/>
    <n v="3.3366666666666678"/>
    <n v="23"/>
    <m/>
    <n v="290.99"/>
    <n v="2800"/>
    <n v="75.785262380000006"/>
    <n v="76.155714285714296"/>
    <n v="2121.9873466400004"/>
    <n v="2132.36"/>
    <n v="2141.5300000000002"/>
    <n v="9.17"/>
    <n v="6.37"/>
    <n v="4"/>
    <n v="10.370000000000001"/>
    <m/>
  </r>
  <r>
    <d v="2026-10-08T00:00:00"/>
    <x v="0"/>
    <x v="0"/>
    <d v="2024-09-17T00:00:00"/>
    <d v="2024-09-21T00:00:00"/>
    <d v="2023-04-21T00:00:00"/>
    <d v="2029-04-21T00:00:00"/>
    <n v="5.36"/>
    <n v="7.2934100774244479"/>
    <n v="13.75"/>
    <n v="4.4666666666666668"/>
    <n v="0.59666666666666668"/>
    <n v="24"/>
    <m/>
    <n v="107.79666666666667"/>
    <n v="1000"/>
    <n v="72.691412850000006"/>
    <n v="73.491"/>
    <n v="726.91412850000006"/>
    <n v="734.91"/>
    <n v="738.78"/>
    <n v="3.87"/>
    <n v="4"/>
    <n v="4"/>
    <n v="8"/>
    <m/>
  </r>
  <r>
    <d v="2026-10-08T00:00:00"/>
    <x v="0"/>
    <x v="0"/>
    <d v="2024-09-17T00:00:00"/>
    <d v="2024-10-03T00:00:00"/>
    <d v="2023-07-03T00:00:00"/>
    <d v="2029-07-03T00:00:00"/>
    <n v="5.36"/>
    <n v="7.3613372834468018"/>
    <n v="13.5"/>
    <n v="15.633333333333333"/>
    <n v="8.3333333333333321"/>
    <n v="24"/>
    <m/>
    <n v="383.5333333333333"/>
    <n v="3500"/>
    <n v="72.481129999999993"/>
    <n v="72.812857142857141"/>
    <n v="2536.8395499999997"/>
    <n v="2548.4499999999998"/>
    <n v="2555.75"/>
    <n v="7.3"/>
    <n v="7.61"/>
    <n v="4"/>
    <n v="11.61"/>
    <m/>
  </r>
  <r>
    <d v="2026-10-08T00:00:00"/>
    <x v="0"/>
    <x v="0"/>
    <d v="2024-06-04T00:00:00"/>
    <d v="2024-06-24T00:00:00"/>
    <d v="2023-05-24T00:00:00"/>
    <d v="2031-05-24T00:00:00"/>
    <n v="5.93"/>
    <n v="8.4311397678237565"/>
    <n v="13.25"/>
    <n v="29.650000000000002"/>
    <n v="18.78"/>
    <n v="27"/>
    <m/>
    <n v="819.33"/>
    <n v="6000"/>
    <n v="70.05767419"/>
    <n v="70.334500000000006"/>
    <n v="4203.4604514000002"/>
    <n v="4220.07"/>
    <n v="4230.9399999999996"/>
    <n v="10.87"/>
    <n v="12.61"/>
    <n v="4"/>
    <n v="16.61"/>
    <m/>
  </r>
  <r>
    <d v="2026-10-08T00:00:00"/>
    <x v="0"/>
    <x v="1"/>
    <d v="2024-01-11T00:00:00"/>
    <d v="2024-01-17T00:00:00"/>
    <d v="2023-05-17T00:00:00"/>
    <d v="2030-05-17T00:00:00"/>
    <n v="5.64"/>
    <n v="7.9088071651513108"/>
    <n v="12.75"/>
    <n v="7.2850000000000001"/>
    <n v="1.4550000000000001"/>
    <n v="33"/>
    <m/>
    <n v="241.86"/>
    <n v="1550"/>
    <n v="70.842847190000001"/>
    <n v="71.312903225806451"/>
    <n v="1098.0641314449999"/>
    <n v="1105.3499999999999"/>
    <n v="1111.1799999999998"/>
    <n v="5.83"/>
    <n v="3.29"/>
    <n v="4"/>
    <n v="7.29"/>
    <m/>
  </r>
  <r>
    <d v="2026-10-08T00:00:00"/>
    <x v="0"/>
    <x v="1"/>
    <d v="2023-12-19T00:00:00"/>
    <d v="2023-12-21T00:00:00"/>
    <d v="2024-04-21T00:00:00"/>
    <d v="2029-04-21T00:00:00"/>
    <n v="5.36"/>
    <n v="7.3600376633057412"/>
    <n v="13"/>
    <n v="3.1266666666666669"/>
    <n v="0.206666666666667"/>
    <n v="34"/>
    <m/>
    <n v="106.51333333333334"/>
    <n v="700"/>
    <n v="71.682355000000001"/>
    <n v="72.825714285714284"/>
    <n v="501.77648500000004"/>
    <n v="509.78"/>
    <n v="512.69999999999993"/>
    <n v="2.92"/>
    <n v="4"/>
    <n v="4"/>
    <n v="8"/>
    <m/>
  </r>
  <r>
    <d v="2026-10-08T00:00:00"/>
    <x v="0"/>
    <x v="1"/>
    <d v="2023-12-04T00:00:00"/>
    <d v="2023-12-21T00:00:00"/>
    <d v="2023-04-21T00:00:00"/>
    <d v="2029-04-21T00:00:00"/>
    <n v="5.36"/>
    <n v="7.4379156074112736"/>
    <n v="13"/>
    <n v="5.583333333333333"/>
    <n v="2.9733333333333332"/>
    <n v="34"/>
    <m/>
    <n v="192.80666666666664"/>
    <n v="1250"/>
    <n v="71.529168049999996"/>
    <n v="72.063199999999995"/>
    <n v="894.11460062499987"/>
    <n v="900.79"/>
    <n v="903.4"/>
    <n v="2.61"/>
    <n v="2.68"/>
    <n v="4"/>
    <n v="6.68"/>
    <m/>
  </r>
  <r>
    <d v="2026-10-08T00:00:00"/>
    <x v="0"/>
    <x v="1"/>
    <d v="2023-12-04T00:00:00"/>
    <d v="2023-12-17T00:00:00"/>
    <d v="2023-05-17T00:00:00"/>
    <d v="2030-05-17T00:00:00"/>
    <n v="5.64"/>
    <n v="8.055761869393816"/>
    <n v="13"/>
    <n v="14.1"/>
    <n v="5.6399999999999988"/>
    <n v="34"/>
    <m/>
    <n v="485.03999999999996"/>
    <n v="3000"/>
    <n v="69.669799999999995"/>
    <n v="70.012"/>
    <n v="2090.0940000000001"/>
    <n v="2100.36"/>
    <n v="2108.8200000000002"/>
    <n v="8.4600000000000009"/>
    <n v="6.27"/>
    <n v="4"/>
    <n v="10.27"/>
    <m/>
  </r>
  <r>
    <d v="2026-10-08T00:00:00"/>
    <x v="0"/>
    <x v="0"/>
    <d v="2022-09-26T00:00:00"/>
    <d v="2022-10-27T00:00:00"/>
    <d v="2022-07-27T00:00:00"/>
    <d v="2029-07-27T00:00:00"/>
    <n v="5.64"/>
    <n v="7.1300797077173002"/>
    <n v="10.199999999999999"/>
    <n v="9.4"/>
    <n v="9.4"/>
    <n v="48"/>
    <m/>
    <n v="460.6"/>
    <n v="2000"/>
    <n v="78.820539109999999"/>
    <n v="79.101500000000001"/>
    <n v="1576.4107821999999"/>
    <n v="1582.03"/>
    <n v="1582.03"/>
    <n v="0"/>
    <n v="4.7288888888888891"/>
    <n v="0.88888888888888884"/>
    <n v="5.6177777777777784"/>
    <m/>
  </r>
  <r>
    <d v="2026-10-08T00:00:00"/>
    <x v="0"/>
    <x v="1"/>
    <d v="2021-09-23T00:00:00"/>
    <d v="2021-10-17T00:00:00"/>
    <d v="2021-05-17T00:00:00"/>
    <d v="2028-05-17T00:00:00"/>
    <n v="5.64"/>
    <n v="6.3800486095767175"/>
    <n v="8.1999999999999993"/>
    <n v="5.0531579999999998"/>
    <n v="-7.8368420000000008"/>
    <n v="60"/>
    <m/>
    <n v="295.35263800000001"/>
    <n v="1075.1400000000001"/>
    <n v="87.686999999999998"/>
    <n v="88.400580389530646"/>
    <n v="942.75801180000008"/>
    <n v="950.43"/>
    <n v="963.31999999999994"/>
    <n v="12.89"/>
    <n v="7.2"/>
    <n v="0.47"/>
    <n v="7.67"/>
    <m/>
  </r>
  <r>
    <d v="2026-10-08T00:00:00"/>
    <x v="0"/>
    <x v="2"/>
    <d v="2026-05-07T00:00:00"/>
    <d v="2026-05-08T00:00:00"/>
    <d v="2025-05-08T00:00:00"/>
    <d v="2033-05-08T00:00:00"/>
    <n v="7.72"/>
    <n v="8.1592800990467751"/>
    <n v="9"/>
    <n v="67.55"/>
    <n v="2.25"/>
    <n v="5"/>
    <m/>
    <n v="340"/>
    <n v="10500"/>
    <n v="94.102588749999995"/>
    <n v="95.238100000000003"/>
    <n v="9880.7718187499995"/>
    <n v="9934.7000000000007"/>
    <n v="10000"/>
    <n v="65.3"/>
    <n v="48.99"/>
    <n v="4.9399999999999977"/>
    <n v="53.93"/>
    <n v="367011"/>
  </r>
  <r>
    <d v="2026-10-08T00:00:00"/>
    <x v="0"/>
    <x v="0"/>
    <d v="2026-05-07T00:00:00"/>
    <d v="2026-05-08T00:00:00"/>
    <d v="2025-05-08T00:00:00"/>
    <d v="2033-05-08T00:00:00"/>
    <n v="7.72"/>
    <n v="8.1751953949707161"/>
    <n v="9"/>
    <n v="122.45849999999997"/>
    <n v="4.0784999999999769"/>
    <n v="5"/>
    <m/>
    <n v="616.37099999999987"/>
    <n v="19035"/>
    <n v="94.102588749999995"/>
    <n v="95.053899999999999"/>
    <n v="17912.427768562498"/>
    <n v="17975.13"/>
    <n v="18093.510000000002"/>
    <n v="118.38"/>
    <n v="53.74"/>
    <n v="8.9600000000000009"/>
    <n v="62.7"/>
    <n v="367012"/>
  </r>
  <r>
    <d v="2026-10-08T00:00:00"/>
    <x v="0"/>
    <x v="0"/>
    <d v="2026-05-07T00:00:00"/>
    <d v="2026-11-18T00:00:00"/>
    <d v="2024-11-18T00:00:00"/>
    <d v="2033-11-18T00:00:00"/>
    <n v="6.21"/>
    <n v="7.1013604149573917"/>
    <n v="9"/>
    <n v="188.11125000000001"/>
    <n v="68.971250000000012"/>
    <n v="0"/>
    <m/>
    <n v="68.971250000000012"/>
    <n v="36350"/>
    <n v="87.142490370000004"/>
    <n v="87.775800000000004"/>
    <n v="31676.295249495004"/>
    <n v="31787.360000000001"/>
    <n v="31906.5"/>
    <n v="119.14"/>
    <n v="95.22"/>
    <n v="15.84"/>
    <n v="111.06"/>
    <n v="367031"/>
  </r>
  <r>
    <d v="2026-10-08T00:00:00"/>
    <x v="0"/>
    <x v="1"/>
    <d v="2026-05-12T00:00:00"/>
    <d v="2026-11-24T00:00:00"/>
    <d v="2025-11-24T00:00:00"/>
    <d v="2030-11-24T00:00:00"/>
    <n v="9.25"/>
    <n v="9.3024382557521665"/>
    <n v="9.7256250000000009"/>
    <n v="174.77281458333334"/>
    <n v="174.77333333333334"/>
    <n v="0"/>
    <m/>
    <n v="174.77333333333334"/>
    <n v="22673.23"/>
    <n v="99.089471349999997"/>
    <n v="10.375299999999999"/>
    <n v="22466.783744969605"/>
    <n v="22545.42"/>
    <n v="23524.149999999998"/>
    <n v="978.73"/>
    <n v="67.41"/>
    <n v="11.23"/>
    <n v="78.64"/>
    <n v="367248"/>
  </r>
  <r>
    <d v="2026-10-08T00:00:00"/>
    <x v="0"/>
    <x v="0"/>
    <d v="2026-05-15T00:00:00"/>
    <d v="2026-06-07T00:00:00"/>
    <d v="2026-05-07T00:00:00"/>
    <d v="2035-05-07T00:00:00"/>
    <n v="7.93"/>
    <n v="8.7106450450091284"/>
    <n v="9.9247584100000008"/>
    <n v="131.09281250000001"/>
    <n v="96.1328125"/>
    <n v="4"/>
    <m/>
    <n v="620.50406250000003"/>
    <n v="19837.5"/>
    <n v="90.540085669999996"/>
    <n v="91.214299999999994"/>
    <n v="17960.88949478625"/>
    <n v="18059.669999999998"/>
    <n v="18094.629999999997"/>
    <n v="34.96"/>
    <n v="89.8"/>
    <n v="8.980000000000004"/>
    <n v="98.78"/>
    <n v="367517"/>
  </r>
  <r>
    <d v="2026-10-08T00:00:00"/>
    <x v="0"/>
    <x v="0"/>
    <d v="2026-05-20T00:00:00"/>
    <d v="2026-05-26T00:00:00"/>
    <d v="2023-04-26T00:00:00"/>
    <d v="2029-04-26T00:00:00"/>
    <n v="5.36"/>
    <n v="5.8463063956370842"/>
    <n v="9"/>
    <n v="12.774666666666667"/>
    <n v="2.554666666666666"/>
    <n v="4"/>
    <m/>
    <n v="53.653333333333336"/>
    <n v="2860"/>
    <n v="91.358956419999998"/>
    <n v="92.039199999999994"/>
    <n v="2612.8661536119998"/>
    <n v="2622.1"/>
    <n v="2632.3199999999997"/>
    <n v="10.220000000000001"/>
    <n v="5.23"/>
    <n v="4"/>
    <n v="9.23"/>
    <n v="367706"/>
  </r>
  <r>
    <d v="2026-10-08T00:00:00"/>
    <x v="0"/>
    <x v="0"/>
    <d v="2026-06-12T00:00:00"/>
    <d v="2026-06-26T00:00:00"/>
    <d v="2023-04-26T00:00:00"/>
    <d v="2029-04-26T00:00:00"/>
    <n v="5.36"/>
    <n v="5.8313852608557379"/>
    <n v="9"/>
    <n v="17.419999999999998"/>
    <n v="6.3899999999999988"/>
    <n v="3"/>
    <m/>
    <n v="58.649999999999991"/>
    <n v="3900"/>
    <n v="91.557485029999995"/>
    <n v="92.039199999999994"/>
    <n v="3570.74191617"/>
    <n v="3584.74"/>
    <n v="3595.77"/>
    <n v="11.03"/>
    <n v="10"/>
    <n v="4"/>
    <n v="14"/>
    <n v="369184"/>
  </r>
  <r>
    <d v="2026-10-08T00:00:00"/>
    <x v="0"/>
    <x v="3"/>
    <d v="2026-06-15T00:00:00"/>
    <d v="2026-06-17T00:00:00"/>
    <d v="2023-05-17T00:00:00"/>
    <d v="2032-05-17T00:00:00"/>
    <n v="6.21"/>
    <n v="6.8860554897139732"/>
    <n v="8.5"/>
    <n v="51.905250000000002"/>
    <n v="3.4652500000000046"/>
    <n v="3"/>
    <m/>
    <n v="159.18100000000001"/>
    <n v="10030"/>
    <n v="89.957270289999997"/>
    <n v="90.665199999999999"/>
    <n v="9022.7142100869987"/>
    <n v="9045.2800000000007"/>
    <n v="9093.7200000000012"/>
    <n v="48.44"/>
    <n v="18.059999999999999"/>
    <n v="4.51"/>
    <n v="22.57"/>
    <n v="369242"/>
  </r>
  <r>
    <d v="2026-10-08T00:00:00"/>
    <x v="0"/>
    <x v="3"/>
    <d v="2026-06-15T00:00:00"/>
    <d v="2026-07-07T00:00:00"/>
    <d v="2026-05-07T00:00:00"/>
    <d v="2030-05-07T00:00:00"/>
    <n v="6.82"/>
    <n v="7.1868349580502491"/>
    <n v="9"/>
    <n v="78.657333333333341"/>
    <n v="57.677333333333337"/>
    <n v="3"/>
    <m/>
    <n v="293.6493333333334"/>
    <n v="13840"/>
    <n v="94.753583449999994"/>
    <n v="95.047300000000007"/>
    <n v="13113.895949479998"/>
    <n v="13133.57"/>
    <n v="13154.55"/>
    <n v="20.98"/>
    <n v="13.11"/>
    <n v="6.56"/>
    <n v="19.669999999999998"/>
    <n v="369237"/>
  </r>
  <r>
    <d v="2026-10-08T00:00:00"/>
    <x v="0"/>
    <x v="0"/>
    <d v="2026-07-08T00:00:00"/>
    <d v="2026-08-02T00:00:00"/>
    <d v="2026-07-02T00:00:00"/>
    <d v="2034-07-02T00:00:00"/>
    <n v="7.72"/>
    <n v="8.4239624631724439"/>
    <n v="9.25"/>
    <n v="15.44"/>
    <n v="12.35"/>
    <n v="2"/>
    <m/>
    <n v="43.23"/>
    <n v="2400"/>
    <n v="91.385374780000006"/>
    <n v="91.772099999999995"/>
    <n v="2193.2489947200002"/>
    <n v="2199.44"/>
    <n v="2202.5300000000002"/>
    <n v="3.09"/>
    <n v="2.19"/>
    <n v="4"/>
    <n v="6.1899999999999995"/>
    <n v="370488"/>
  </r>
  <r>
    <d v="2026-10-08T00:00:00"/>
    <x v="0"/>
    <x v="2"/>
    <d v="2026-07-15T00:00:00"/>
    <d v="2026-08-02T00:00:00"/>
    <d v="2026-07-02T00:00:00"/>
    <d v="2033-07-02T00:00:00"/>
    <n v="7.54"/>
    <n v="8.2232616756743653"/>
    <n v="9.25"/>
    <n v="19.7925"/>
    <n v="10.5525"/>
    <n v="2"/>
    <m/>
    <n v="50.137500000000003"/>
    <n v="3150"/>
    <n v="91.246731530000005"/>
    <n v="91.691111111111113"/>
    <n v="2874.2720431950002"/>
    <n v="2888.27"/>
    <n v="2897.5099999999998"/>
    <n v="9.24"/>
    <n v="10"/>
    <n v="4"/>
    <n v="14"/>
    <n v="371008"/>
  </r>
  <r>
    <d v="2026-10-08T00:00:00"/>
    <x v="0"/>
    <x v="2"/>
    <d v="2026-10-05T00:00:00"/>
    <d v="2026-10-15T00:00:00"/>
    <d v="2024-07-15T00:00:00"/>
    <d v="2028-07-15T00:00:00"/>
    <n v="4.91"/>
    <n v="5.121704139750924"/>
    <n v="8"/>
    <n v="17.872400000000003"/>
    <n v="5.8724000000000025"/>
    <n v="0"/>
    <m/>
    <n v="5.8724000000000025"/>
    <n v="4368"/>
    <n v="95.298428860000001"/>
    <n v="95.866529304029299"/>
    <n v="4162.6353726048001"/>
    <n v="4187.45"/>
    <n v="4199.45"/>
    <n v="12"/>
    <n v="20.81"/>
    <n v="4"/>
    <n v="24.81"/>
    <n v="37585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s v="Santa Fe Argentina"/>
    <n v="0"/>
    <s v="Vistas de OperacionesReales"/>
  </r>
  <r>
    <s v="Santa Fe Cristian"/>
    <n v="2.4333078714136036E-3"/>
    <s v="Vistas de OperacionesReales"/>
  </r>
  <r>
    <s v="Santa Fe Isabel"/>
    <n v="9.6485420753822382E-4"/>
    <s v="Vistas de OperacionesReales"/>
  </r>
  <r>
    <s v="Santa Fe Jhon"/>
    <n v="2793.880000000001"/>
    <s v="Vistas de OperacionesReales"/>
  </r>
  <r>
    <s v="Pichincha Jhon"/>
    <n v="340.69"/>
    <s v="Manual"/>
  </r>
  <r>
    <s v="Pacífico Jhon"/>
    <n v="1384.67"/>
    <s v="Manual"/>
  </r>
  <r>
    <s v="Pacífico Cristian"/>
    <n v="10"/>
    <s v="Manual"/>
  </r>
  <r>
    <s v="Pacífico Argentina"/>
    <n v="30"/>
    <s v="Manual"/>
  </r>
  <r>
    <s v="Produbanco Jhon"/>
    <n v="10"/>
    <s v="Manual"/>
  </r>
  <r>
    <s v="Bolivariano Jhon"/>
    <n v="4.59"/>
    <s v="Manual"/>
  </r>
  <r>
    <s v="Guayaquil Jhon"/>
    <n v="5"/>
    <s v="Manual"/>
  </r>
  <r>
    <s v="IESS (día 10)"/>
    <n v="-85"/>
    <s v="Manual"/>
  </r>
  <r>
    <s v="Deuda Tarjeta Jhon (día 07)"/>
    <n v="0"/>
    <s v="Manual"/>
  </r>
  <r>
    <s v="Deuda Tarjeta Isabel (día 14)"/>
    <n v="0"/>
    <s v="Manual"/>
  </r>
  <r>
    <s v="Jaime - Intereses (día 07) -452,81"/>
    <n v="-452.81"/>
    <s v="Manual"/>
  </r>
  <r>
    <s v="Jaime - Intereses (día 10) -227,60"/>
    <n v="-227.6"/>
    <s v="Manual"/>
  </r>
  <r>
    <s v="Servicios básicos (día 08)"/>
    <n v="0"/>
    <s v="Manual"/>
  </r>
  <r>
    <s v="Reserva Matrícula Negro"/>
    <n v="0"/>
    <s v="Manual"/>
  </r>
  <r>
    <s v="Deuda Cristian"/>
    <n v="0"/>
    <s v="Manual"/>
  </r>
  <r>
    <s v="Deuda Isabel"/>
    <m/>
    <s v="Manual"/>
  </r>
  <r>
    <s v="Deuda Angel"/>
    <n v="2000"/>
    <s v="Manual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5">
  <r>
    <d v="2026-10-08T00:00:00"/>
    <x v="0"/>
    <x v="0"/>
    <d v="2026-04-15T00:00:00"/>
    <m/>
    <m/>
    <m/>
    <m/>
    <n v="0"/>
    <m/>
    <n v="0"/>
    <n v="0"/>
    <n v="0"/>
    <m/>
    <n v="0"/>
    <n v="574.80999999999995"/>
    <n v="95.5"/>
    <n v="95.995199999999997"/>
    <n v="548.94354999999996"/>
    <n v="551.79000911999992"/>
    <n v="551.79000911999992"/>
    <n v="0"/>
    <n v="2.74"/>
    <n v="0.1101"/>
    <n v="2.8501000000000003"/>
    <m/>
    <x v="0"/>
    <x v="0"/>
    <n v="3668365"/>
  </r>
  <r>
    <d v="2026-10-08T00:00:00"/>
    <x v="0"/>
    <x v="0"/>
    <d v="2026-04-20T00:00:00"/>
    <m/>
    <m/>
    <m/>
    <m/>
    <n v="0"/>
    <m/>
    <n v="0"/>
    <n v="0"/>
    <n v="0"/>
    <m/>
    <n v="0"/>
    <n v="107.02"/>
    <n v="94"/>
    <n v="94.9636"/>
    <n v="100.5988"/>
    <n v="101.63004471999999"/>
    <n v="101.63004471999999"/>
    <n v="0"/>
    <n v="1.01"/>
    <n v="0.02"/>
    <n v="1.03"/>
    <m/>
    <x v="0"/>
    <x v="0"/>
    <n v="3668365"/>
  </r>
  <r>
    <d v="2026-10-08T00:00:00"/>
    <x v="0"/>
    <x v="0"/>
    <d v="2026-04-21T00:00:00"/>
    <m/>
    <m/>
    <m/>
    <m/>
    <n v="0"/>
    <m/>
    <n v="0"/>
    <n v="0"/>
    <n v="0"/>
    <m/>
    <n v="0"/>
    <n v="363.97"/>
    <n v="96"/>
    <n v="96.499700000000004"/>
    <n v="349.41120000000001"/>
    <n v="351.22995809000008"/>
    <n v="351.22995809000008"/>
    <n v="0"/>
    <n v="1.75"/>
    <n v="7.1919999999999998E-2"/>
    <n v="1.82192"/>
    <m/>
    <x v="0"/>
    <x v="0"/>
    <n v="3668365"/>
  </r>
  <r>
    <d v="2026-10-08T00:00:00"/>
    <x v="0"/>
    <x v="0"/>
    <d v="2026-04-21T00:00:00"/>
    <m/>
    <m/>
    <m/>
    <m/>
    <n v="0"/>
    <m/>
    <n v="0"/>
    <n v="0"/>
    <n v="0"/>
    <m/>
    <n v="0"/>
    <n v="453.69"/>
    <n v="95"/>
    <n v="95.496899999999997"/>
    <n v="431.00550000000004"/>
    <n v="433.25988560999997"/>
    <n v="433.25988560999997"/>
    <n v="0"/>
    <n v="2.16"/>
    <n v="9.1920000000000002E-2"/>
    <n v="2.2519200000000001"/>
    <m/>
    <x v="0"/>
    <x v="0"/>
    <n v="3668365"/>
  </r>
  <r>
    <d v="2026-10-08T00:00:00"/>
    <x v="0"/>
    <x v="0"/>
    <d v="2026-04-22T00:00:00"/>
    <m/>
    <m/>
    <m/>
    <m/>
    <n v="0"/>
    <m/>
    <n v="0"/>
    <n v="0"/>
    <n v="0"/>
    <m/>
    <n v="0"/>
    <n v="204.47"/>
    <n v="95"/>
    <n v="95.495699999999999"/>
    <n v="194.24650000000003"/>
    <n v="195.26005778999999"/>
    <n v="195.26005778999999"/>
    <n v="0"/>
    <n v="0.97"/>
    <n v="0.04"/>
    <n v="1.01"/>
    <n v="366200"/>
    <x v="0"/>
    <x v="0"/>
    <n v="3668365"/>
  </r>
  <r>
    <d v="2026-10-08T00:00:00"/>
    <x v="0"/>
    <x v="0"/>
    <d v="2026-04-22T00:00:00"/>
    <m/>
    <m/>
    <m/>
    <m/>
    <n v="0"/>
    <m/>
    <n v="0"/>
    <n v="0"/>
    <n v="0"/>
    <m/>
    <n v="0"/>
    <n v="239.63"/>
    <n v="95"/>
    <n v="95.497200000000007"/>
    <n v="227.64849999999998"/>
    <n v="228.83994036000001"/>
    <n v="228.83994036000001"/>
    <n v="0"/>
    <n v="1.1399999999999999"/>
    <n v="0.05"/>
    <n v="1.19"/>
    <n v="366205"/>
    <x v="0"/>
    <x v="0"/>
    <n v="3668365"/>
  </r>
  <r>
    <d v="2026-10-08T00:00:00"/>
    <x v="0"/>
    <x v="0"/>
    <d v="2026-04-22T00:00:00"/>
    <m/>
    <m/>
    <m/>
    <m/>
    <n v="0"/>
    <m/>
    <n v="0"/>
    <n v="0"/>
    <n v="0"/>
    <m/>
    <n v="0"/>
    <n v="321.32"/>
    <n v="95"/>
    <n v="95.493600000000001"/>
    <n v="305.25399999999996"/>
    <n v="306.84003551999996"/>
    <n v="306.84003551999996"/>
    <n v="0"/>
    <n v="1.53"/>
    <n v="0.06"/>
    <n v="1.59"/>
    <n v="366198"/>
    <x v="0"/>
    <x v="0"/>
    <n v="3668365"/>
  </r>
  <r>
    <d v="2026-10-08T00:00:00"/>
    <x v="0"/>
    <x v="0"/>
    <d v="2026-04-22T00:00:00"/>
    <m/>
    <m/>
    <m/>
    <m/>
    <n v="0"/>
    <m/>
    <n v="0"/>
    <n v="0"/>
    <n v="0"/>
    <m/>
    <n v="0"/>
    <n v="556.88"/>
    <n v="95"/>
    <n v="95.496300000000005"/>
    <n v="529.03599999999994"/>
    <n v="531.79979544000003"/>
    <n v="531.79979544000003"/>
    <n v="0"/>
    <n v="2.65"/>
    <n v="0.11"/>
    <n v="2.76"/>
    <n v="366199"/>
    <x v="0"/>
    <x v="0"/>
    <n v="3668365"/>
  </r>
  <r>
    <d v="2026-10-08T00:00:00"/>
    <x v="0"/>
    <x v="0"/>
    <d v="2026-04-22T00:00:00"/>
    <m/>
    <m/>
    <m/>
    <m/>
    <n v="0"/>
    <m/>
    <n v="0"/>
    <n v="0"/>
    <n v="0"/>
    <m/>
    <n v="0"/>
    <n v="708.73"/>
    <n v="95"/>
    <n v="95.493300000000005"/>
    <n v="673.29350000000011"/>
    <n v="676.78966509000009"/>
    <n v="676.78966509000009"/>
    <n v="0"/>
    <n v="3.37"/>
    <n v="0.13"/>
    <n v="3.5"/>
    <n v="366197"/>
    <x v="0"/>
    <x v="0"/>
    <n v="3668365"/>
  </r>
  <r>
    <d v="2026-10-08T00:00:00"/>
    <x v="0"/>
    <x v="0"/>
    <d v="2026-04-24T00:00:00"/>
    <m/>
    <m/>
    <m/>
    <m/>
    <n v="0"/>
    <m/>
    <n v="0"/>
    <n v="0"/>
    <n v="0"/>
    <m/>
    <n v="0"/>
    <n v="140.82"/>
    <n v="93"/>
    <n v="93.45973583"/>
    <n v="130.96260000000001"/>
    <n v="131.60999999580599"/>
    <n v="131.60999999580599"/>
    <n v="0"/>
    <n v="0.65"/>
    <n v="0"/>
    <n v="0.65"/>
    <s v="11587 - VRF56"/>
    <x v="0"/>
    <x v="0"/>
    <n v="3668365"/>
  </r>
  <r>
    <d v="2026-10-08T00:00:00"/>
    <x v="0"/>
    <x v="0"/>
    <d v="2026-04-24T00:00:00"/>
    <m/>
    <m/>
    <m/>
    <m/>
    <n v="0"/>
    <m/>
    <n v="0"/>
    <n v="0"/>
    <n v="0"/>
    <m/>
    <n v="0"/>
    <n v="204.19"/>
    <n v="94"/>
    <n v="94.490399999999994"/>
    <n v="191.93860000000001"/>
    <n v="192.93994776"/>
    <n v="192.93994776"/>
    <n v="0"/>
    <n v="0.96"/>
    <n v="0.04"/>
    <n v="1"/>
    <n v="366401"/>
    <x v="0"/>
    <x v="0"/>
    <n v="3668365"/>
  </r>
  <r>
    <d v="2026-10-08T00:00:00"/>
    <x v="0"/>
    <x v="0"/>
    <d v="2026-04-24T00:00:00"/>
    <m/>
    <m/>
    <m/>
    <m/>
    <n v="0"/>
    <m/>
    <n v="0"/>
    <n v="0"/>
    <n v="0"/>
    <m/>
    <n v="0"/>
    <n v="281.63"/>
    <n v="94"/>
    <n v="94.467918900000001"/>
    <n v="264.73220000000003"/>
    <n v="266.04999999807001"/>
    <n v="266.04999999807001"/>
    <n v="0"/>
    <n v="1.32"/>
    <n v="0"/>
    <n v="1.32"/>
    <s v="11588 - VRF57"/>
    <x v="0"/>
    <x v="0"/>
    <n v="3668365"/>
  </r>
  <r>
    <d v="2026-10-08T00:00:00"/>
    <x v="0"/>
    <x v="0"/>
    <d v="2026-04-24T00:00:00"/>
    <m/>
    <m/>
    <m/>
    <m/>
    <n v="0"/>
    <m/>
    <n v="0"/>
    <n v="0"/>
    <n v="0"/>
    <m/>
    <n v="0"/>
    <n v="428.45"/>
    <n v="96"/>
    <n v="96.498999999999995"/>
    <n v="411.31199999999995"/>
    <n v="413.44996549999996"/>
    <n v="413.44996549999996"/>
    <n v="0"/>
    <n v="2.06"/>
    <n v="0.08"/>
    <n v="2.14"/>
    <n v="366392"/>
    <x v="0"/>
    <x v="0"/>
    <n v="3668365"/>
  </r>
  <r>
    <d v="2026-10-08T00:00:00"/>
    <x v="0"/>
    <x v="0"/>
    <d v="2026-04-27T00:00:00"/>
    <m/>
    <m/>
    <m/>
    <m/>
    <n v="0"/>
    <m/>
    <n v="0"/>
    <n v="0"/>
    <n v="0"/>
    <m/>
    <n v="0"/>
    <n v="245.86"/>
    <n v="95"/>
    <n v="95.497399999999999"/>
    <n v="233.56700000000001"/>
    <n v="234.78990764000002"/>
    <n v="234.78990764000002"/>
    <n v="0"/>
    <n v="1.17"/>
    <n v="0.05"/>
    <n v="1.22"/>
    <m/>
    <x v="0"/>
    <x v="0"/>
    <n v="3668365"/>
  </r>
  <r>
    <d v="2026-10-08T00:00:00"/>
    <x v="0"/>
    <x v="0"/>
    <d v="2026-04-27T00:00:00"/>
    <m/>
    <m/>
    <m/>
    <m/>
    <n v="0"/>
    <m/>
    <n v="0"/>
    <n v="0"/>
    <n v="0"/>
    <m/>
    <n v="0"/>
    <n v="529.05999999999995"/>
    <n v="96"/>
    <n v="96.499499999999998"/>
    <n v="507.89759999999995"/>
    <n v="510.54025469999993"/>
    <n v="510.54025469999993"/>
    <n v="0"/>
    <n v="2.54"/>
    <n v="0.1"/>
    <n v="2.64"/>
    <m/>
    <x v="0"/>
    <x v="0"/>
    <n v="3668365"/>
  </r>
  <r>
    <d v="2026-10-08T00:00:00"/>
    <x v="0"/>
    <x v="0"/>
    <d v="2026-04-27T00:00:00"/>
    <m/>
    <m/>
    <m/>
    <m/>
    <n v="0"/>
    <m/>
    <n v="0"/>
    <n v="0"/>
    <n v="0"/>
    <m/>
    <n v="0"/>
    <n v="545.24"/>
    <n v="96.3"/>
    <n v="96.610699999999994"/>
    <n v="525.06611999999996"/>
    <n v="526.76018067999996"/>
    <n v="526.76018067999996"/>
    <n v="0"/>
    <n v="1.58"/>
    <n v="0.11"/>
    <n v="1.6900000000000002"/>
    <m/>
    <x v="0"/>
    <x v="0"/>
    <n v="3668365"/>
  </r>
  <r>
    <d v="2026-10-08T00:00:00"/>
    <x v="0"/>
    <x v="0"/>
    <d v="2026-04-27T00:00:00"/>
    <m/>
    <m/>
    <m/>
    <m/>
    <n v="0"/>
    <m/>
    <n v="0"/>
    <n v="0"/>
    <n v="0"/>
    <m/>
    <n v="0"/>
    <n v="54.8"/>
    <n v="90"/>
    <n v="90.912408760000005"/>
    <n v="49.32"/>
    <n v="49.820000000480007"/>
    <n v="49.820000000480007"/>
    <n v="0"/>
    <n v="0.5"/>
    <n v="0"/>
    <n v="0.5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161.01"/>
    <n v="95"/>
    <n v="95.491"/>
    <n v="152.95949999999999"/>
    <n v="153.75005909999999"/>
    <n v="153.75005909999999"/>
    <n v="0"/>
    <n v="0.76"/>
    <n v="3.2649999999999998E-2"/>
    <n v="0.79264999999999997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519.32000000000005"/>
    <n v="96"/>
    <n v="96.499300000000005"/>
    <n v="498.54720000000003"/>
    <n v="501.14016476000006"/>
    <n v="501.14016476000006"/>
    <n v="0"/>
    <n v="2.4900000000000002"/>
    <n v="0.10265000000000001"/>
    <n v="2.5926500000000003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461.19"/>
    <n v="96"/>
    <n v="96.498199999999997"/>
    <n v="442.74239999999998"/>
    <n v="445.04004858000002"/>
    <n v="445.04004858000002"/>
    <n v="0"/>
    <n v="2.21"/>
    <n v="9.2649999999999996E-2"/>
    <n v="2.3026499999999999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492.41"/>
    <n v="95"/>
    <n v="95.493600000000001"/>
    <n v="467.78950000000003"/>
    <n v="470.22003576000003"/>
    <n v="470.22003576000003"/>
    <n v="0"/>
    <n v="2.34"/>
    <n v="9.0000000000000006E-5"/>
    <n v="2.34009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451.95"/>
    <n v="95"/>
    <n v="95.495099999999994"/>
    <n v="429.35250000000002"/>
    <n v="431.5901044499999"/>
    <n v="431.5901044499999"/>
    <n v="0"/>
    <n v="2.15"/>
    <n v="9.0000000000000006E-5"/>
    <n v="2.1500900000000001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250.88"/>
    <n v="95"/>
    <n v="95.495900000000006"/>
    <n v="238.33599999999998"/>
    <n v="239.58011392"/>
    <n v="239.58011392"/>
    <n v="0"/>
    <n v="1.19"/>
    <n v="5.0000000000000002E-5"/>
    <n v="1.1900500000000001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2270"/>
    <n v="97"/>
    <n v="97.310599999999994"/>
    <n v="2201.9"/>
    <n v="2208.9506199999996"/>
    <n v="2208.9506199999996"/>
    <n v="0"/>
    <n v="6.61"/>
    <n v="4.4000000000000002E-4"/>
    <n v="6.6104400000000005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397.2"/>
    <n v="95"/>
    <n v="95.495999999999995"/>
    <n v="377.34"/>
    <n v="379.31011199999995"/>
    <n v="379.31011199999995"/>
    <n v="0"/>
    <n v="1.89"/>
    <n v="8.0000000000000007E-5"/>
    <n v="1.89008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806.44"/>
    <n v="97"/>
    <n v="97.4084"/>
    <n v="782.24680000000012"/>
    <n v="785.54030095999997"/>
    <n v="785.54030095999997"/>
    <n v="0"/>
    <n v="3.13"/>
    <n v="1.6000000000000001E-4"/>
    <n v="3.1301600000000001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351.55"/>
    <n v="93"/>
    <n v="93.483099999999993"/>
    <n v="326.94150000000002"/>
    <n v="328.63983804999998"/>
    <n v="328.63983804999998"/>
    <n v="0"/>
    <n v="1.63"/>
    <n v="7.2650000000000006E-2"/>
    <n v="1.70265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1300.5899999999999"/>
    <n v="97"/>
    <n v="97.212800000000001"/>
    <n v="1261.5723"/>
    <n v="1264.3399555199999"/>
    <n v="1264.3399555199999"/>
    <n v="0"/>
    <n v="2.52"/>
    <n v="0.25264999999999999"/>
    <n v="2.7726500000000001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782.44"/>
    <n v="97"/>
    <n v="97.311000000000007"/>
    <n v="758.96680000000003"/>
    <n v="761.40018840000005"/>
    <n v="761.40018840000005"/>
    <n v="0"/>
    <n v="2.2799999999999998"/>
    <n v="0.15265000000000001"/>
    <n v="2.4326499999999998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539.23"/>
    <n v="96"/>
    <n v="96.498699999999999"/>
    <n v="517.66079999999999"/>
    <n v="520.34994000999995"/>
    <n v="520.34994000999995"/>
    <n v="0"/>
    <n v="2.59"/>
    <n v="0.10265000000000001"/>
    <n v="2.69265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923.15"/>
    <n v="97"/>
    <n v="97.311400000000006"/>
    <n v="895.45550000000003"/>
    <n v="898.33018909999998"/>
    <n v="898.33018909999998"/>
    <n v="0"/>
    <n v="2.69"/>
    <n v="0.18265000000000001"/>
    <n v="2.8726500000000001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958.92"/>
    <n v="97"/>
    <n v="97.310500000000005"/>
    <n v="930.15239999999994"/>
    <n v="933.12984660000006"/>
    <n v="933.12984660000006"/>
    <n v="0"/>
    <n v="2.79"/>
    <n v="0.19264999999999999"/>
    <n v="2.98265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852.72"/>
    <n v="96.7"/>
    <n v="97.008399999999995"/>
    <n v="824.58024"/>
    <n v="827.21002848000001"/>
    <n v="827.21002848000001"/>
    <n v="0"/>
    <n v="2.4700000000000002"/>
    <n v="0.16264999999999999"/>
    <n v="2.6326500000000004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621.99"/>
    <n v="96.5"/>
    <n v="96.905100000000004"/>
    <n v="600.22035000000005"/>
    <n v="602.74003149000009"/>
    <n v="602.74003149000009"/>
    <n v="0"/>
    <n v="2.4"/>
    <n v="0.12265"/>
    <n v="2.5226500000000001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436.63"/>
    <n v="95"/>
    <n v="95.492800000000003"/>
    <n v="414.79849999999999"/>
    <n v="416.95021264000002"/>
    <n v="416.95021264000002"/>
    <n v="0"/>
    <n v="2.0699999999999998"/>
    <n v="8.2650000000000001E-2"/>
    <n v="2.15265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564.86"/>
    <n v="95"/>
    <n v="95.494500000000002"/>
    <n v="536.61700000000008"/>
    <n v="539.41023270000005"/>
    <n v="539.41023270000005"/>
    <n v="0"/>
    <n v="2.68"/>
    <n v="0.11265"/>
    <n v="2.7926500000000001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895.63"/>
    <n v="97"/>
    <n v="97.503399999999999"/>
    <n v="868.76110000000006"/>
    <n v="873.26970142000005"/>
    <n v="873.26970142000005"/>
    <n v="0"/>
    <n v="4.34"/>
    <n v="0.17265"/>
    <n v="4.5126499999999998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823.75"/>
    <n v="97"/>
    <n v="97.505300000000005"/>
    <n v="799.03750000000002"/>
    <n v="803.19990875000008"/>
    <n v="803.19990875000008"/>
    <n v="0"/>
    <n v="4"/>
    <n v="0.16264999999999999"/>
    <n v="4.1626500000000002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785.81"/>
    <n v="97"/>
    <n v="97.213066769999998"/>
    <n v="762.23569999999995"/>
    <n v="763.90999998533687"/>
    <n v="763.90999998533687"/>
    <n v="0"/>
    <n v="1.52"/>
    <n v="0.15"/>
    <n v="1.67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911.8"/>
    <n v="96.5"/>
    <n v="97.002632160000005"/>
    <n v="879.88699999999994"/>
    <n v="884.47000003488006"/>
    <n v="884.47000003488006"/>
    <n v="0"/>
    <n v="4.4000000000000004"/>
    <n v="0.18"/>
    <n v="4.58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464.2"/>
    <n v="96"/>
    <n v="96.479965530000001"/>
    <n v="445.63199999999995"/>
    <n v="447.85999999025995"/>
    <n v="447.85999999025995"/>
    <n v="0"/>
    <n v="2.23"/>
    <n v="0"/>
    <n v="2.23"/>
    <m/>
    <x v="0"/>
    <x v="0"/>
    <n v="3668365"/>
  </r>
  <r>
    <d v="2026-10-08T00:00:00"/>
    <x v="0"/>
    <x v="0"/>
    <d v="2026-04-28T00:00:00"/>
    <m/>
    <m/>
    <m/>
    <m/>
    <n v="0"/>
    <m/>
    <n v="0"/>
    <n v="0"/>
    <n v="0"/>
    <m/>
    <n v="0"/>
    <n v="933.1"/>
    <n v="96"/>
    <n v="96.499839249999994"/>
    <n v="895.77600000000007"/>
    <n v="900.44000004175007"/>
    <n v="900.44000004175007"/>
    <n v="0"/>
    <n v="4.4800000000000004"/>
    <n v="0.18"/>
    <n v="4.66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833.24"/>
    <n v="96.5"/>
    <n v="96.906099999999995"/>
    <n v="804.07659999999998"/>
    <n v="807.46038764000002"/>
    <n v="807.46038764000002"/>
    <n v="0"/>
    <n v="3.22"/>
    <n v="0.16020999999999999"/>
    <n v="3.3802100000000004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2888.41"/>
    <n v="96.75"/>
    <n v="96.962999999999994"/>
    <n v="2794.5366749999998"/>
    <n v="2800.6889882999994"/>
    <n v="2800.6889882999994"/>
    <n v="0"/>
    <n v="5.59"/>
    <n v="0.56000000000000005"/>
    <n v="6.15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1617.93"/>
    <n v="97"/>
    <n v="97.310100000000006"/>
    <n v="1569.3921"/>
    <n v="1574.40930093"/>
    <n v="1574.40930093"/>
    <n v="0"/>
    <n v="4.71"/>
    <n v="0.31020999999999999"/>
    <n v="5.0202099999999996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705.56"/>
    <n v="96.5"/>
    <n v="96.906000000000006"/>
    <n v="680.86539999999991"/>
    <n v="683.72997359999999"/>
    <n v="683.72997359999999"/>
    <n v="0"/>
    <n v="2.72"/>
    <n v="0.14021"/>
    <n v="2.8602100000000004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752.89"/>
    <n v="96"/>
    <n v="96.306200000000004"/>
    <n v="722.77440000000001"/>
    <n v="725.07974918000002"/>
    <n v="725.07974918000002"/>
    <n v="0"/>
    <n v="2.17"/>
    <n v="0.14021"/>
    <n v="2.3102100000000001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1019.71"/>
    <n v="97"/>
    <n v="97.311000000000007"/>
    <n v="989.1187000000001"/>
    <n v="992.28999810000005"/>
    <n v="992.28999810000005"/>
    <n v="0"/>
    <n v="2.97"/>
    <n v="0.20021"/>
    <n v="3.17021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1782.82"/>
    <n v="97"/>
    <n v="97.213999999999999"/>
    <n v="1729.3354000000002"/>
    <n v="1733.1506347999998"/>
    <n v="1733.1506347999998"/>
    <n v="0"/>
    <n v="3.46"/>
    <n v="0.35"/>
    <n v="3.81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776.37"/>
    <n v="96"/>
    <n v="96.403800000000004"/>
    <n v="745.3152"/>
    <n v="748.45018206000009"/>
    <n v="748.45018206000009"/>
    <n v="0"/>
    <n v="2.98"/>
    <n v="0.15"/>
    <n v="3.13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461.84"/>
    <n v="95"/>
    <n v="95.494100000000003"/>
    <n v="438.74799999999993"/>
    <n v="441.02995143999999"/>
    <n v="441.02995143999999"/>
    <n v="0"/>
    <n v="2.19"/>
    <n v="0.09"/>
    <n v="2.2799999999999998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447.76"/>
    <n v="95"/>
    <n v="95.495400000000004"/>
    <n v="425.37199999999996"/>
    <n v="427.59020304000001"/>
    <n v="427.59020304000001"/>
    <n v="0"/>
    <n v="2.13"/>
    <n v="0.09"/>
    <n v="2.2199999999999998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1844.93"/>
    <n v="96"/>
    <n v="96.402600000000007"/>
    <n v="1771.1328000000001"/>
    <n v="1778.56048818"/>
    <n v="1778.56048818"/>
    <n v="0"/>
    <n v="7.08"/>
    <n v="0.35"/>
    <n v="7.43"/>
    <m/>
    <x v="0"/>
    <x v="0"/>
    <n v="3668365"/>
  </r>
  <r>
    <d v="2026-10-08T00:00:00"/>
    <x v="0"/>
    <x v="0"/>
    <d v="2026-04-29T00:00:00"/>
    <m/>
    <m/>
    <m/>
    <m/>
    <n v="0"/>
    <m/>
    <n v="0"/>
    <m/>
    <n v="0"/>
    <m/>
    <n v="0"/>
    <n v="453.71"/>
    <n v="95"/>
    <n v="95.378104960000002"/>
    <n v="431.02449999999999"/>
    <n v="432.74000001401595"/>
    <n v="432.74000001401595"/>
    <n v="0"/>
    <n v="1.72"/>
    <n v="0"/>
    <n v="1.72"/>
    <m/>
    <x v="0"/>
    <x v="0"/>
    <n v="3668365"/>
  </r>
  <r>
    <d v="2026-10-08T00:00:00"/>
    <x v="0"/>
    <x v="0"/>
    <d v="2026-05-04T00:00:00"/>
    <m/>
    <m/>
    <m/>
    <m/>
    <n v="0"/>
    <m/>
    <n v="0"/>
    <m/>
    <n v="0"/>
    <m/>
    <n v="0"/>
    <n v="314.8"/>
    <n v="95"/>
    <n v="95.495599999999996"/>
    <n v="299.06"/>
    <n v="300.62014879999998"/>
    <n v="300.62014879999998"/>
    <n v="0"/>
    <n v="1.5"/>
    <n v="0.06"/>
    <n v="1.56"/>
    <n v="366724"/>
    <x v="0"/>
    <x v="0"/>
    <n v="3668365"/>
  </r>
  <r>
    <d v="2026-10-08T00:00:00"/>
    <x v="0"/>
    <x v="0"/>
    <d v="2026-05-04T00:00:00"/>
    <m/>
    <m/>
    <m/>
    <m/>
    <n v="0"/>
    <m/>
    <n v="0"/>
    <m/>
    <n v="0"/>
    <m/>
    <n v="0"/>
    <n v="506.93"/>
    <n v="95"/>
    <n v="95.494399999999999"/>
    <n v="481.58349999999996"/>
    <n v="484.08976192"/>
    <n v="484.08976192"/>
    <n v="0"/>
    <n v="2.41"/>
    <n v="0.1"/>
    <n v="2.5100000000000002"/>
    <n v="366736"/>
    <x v="0"/>
    <x v="0"/>
    <n v="3668365"/>
  </r>
  <r>
    <d v="2026-10-08T00:00:00"/>
    <x v="0"/>
    <x v="0"/>
    <d v="2026-05-04T00:00:00"/>
    <m/>
    <m/>
    <m/>
    <m/>
    <n v="0"/>
    <m/>
    <n v="0"/>
    <m/>
    <n v="0"/>
    <m/>
    <n v="0"/>
    <n v="434.71"/>
    <n v="95"/>
    <n v="95.491200000000006"/>
    <n v="412.97449999999998"/>
    <n v="415.10979552000003"/>
    <n v="415.10979552000003"/>
    <n v="0"/>
    <n v="2.06"/>
    <n v="0.08"/>
    <n v="2.14"/>
    <n v="366737"/>
    <x v="0"/>
    <x v="0"/>
    <n v="3668365"/>
  </r>
  <r>
    <d v="2026-10-08T00:00:00"/>
    <x v="0"/>
    <x v="0"/>
    <d v="2026-05-04T00:00:00"/>
    <m/>
    <m/>
    <m/>
    <m/>
    <n v="0"/>
    <m/>
    <n v="0"/>
    <m/>
    <n v="0"/>
    <m/>
    <n v="0"/>
    <n v="243.08"/>
    <n v="94"/>
    <n v="94.491500000000002"/>
    <n v="228.49520000000001"/>
    <n v="229.68993820000003"/>
    <n v="229.68993820000003"/>
    <n v="0"/>
    <n v="1.1399999999999999"/>
    <n v="0.05"/>
    <n v="1.19"/>
    <n v="366758"/>
    <x v="0"/>
    <x v="0"/>
    <n v="3668365"/>
  </r>
  <r>
    <d v="2026-10-08T00:00:00"/>
    <x v="0"/>
    <x v="1"/>
    <d v="2026-05-06T00:00:00"/>
    <m/>
    <m/>
    <m/>
    <m/>
    <n v="0"/>
    <m/>
    <n v="0"/>
    <m/>
    <n v="0"/>
    <m/>
    <n v="0"/>
    <n v="337.49"/>
    <n v="95"/>
    <n v="95.303600000000003"/>
    <n v="320.6155"/>
    <n v="321.64011964000002"/>
    <n v="321.64011964000002"/>
    <n v="0"/>
    <n v="0.96"/>
    <n v="6.0000000000000053E-2"/>
    <n v="1.02"/>
    <n v="366968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338.21"/>
    <n v="97"/>
    <n v="97.288666800000001"/>
    <n v="328.06369999999993"/>
    <n v="329.03999998428003"/>
    <n v="329.03999998428003"/>
    <n v="0"/>
    <n v="0.98"/>
    <n v="0"/>
    <n v="0.98"/>
    <s v="12506 - VRF61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1160.6500000000001"/>
    <n v="97"/>
    <n v="97.311000000000007"/>
    <n v="1125.8305"/>
    <n v="1129.4401215000003"/>
    <n v="1129.4401215000003"/>
    <n v="0"/>
    <n v="3.38"/>
    <n v="0.23"/>
    <n v="3.61"/>
    <n v="366964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711.43"/>
    <n v="96.5"/>
    <n v="96.809200000000004"/>
    <n v="686.52994999999999"/>
    <n v="688.72969155999988"/>
    <n v="688.72969155999988"/>
    <n v="0"/>
    <n v="2.06"/>
    <n v="0.1400000000000001"/>
    <n v="2.2000000000000002"/>
    <n v="366966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650.79999999999995"/>
    <n v="96.5"/>
    <n v="96.808499999999995"/>
    <n v="628.02199999999993"/>
    <n v="630.02971799999989"/>
    <n v="630.02971799999989"/>
    <n v="0"/>
    <n v="1.88"/>
    <n v="0.12999999999999989"/>
    <n v="2.0099999999999998"/>
    <n v="366967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324.58"/>
    <n v="94"/>
    <n v="94.491299999999995"/>
    <n v="305.10519999999997"/>
    <n v="306.69986153999997"/>
    <n v="306.69986153999997"/>
    <n v="0"/>
    <n v="1.53"/>
    <n v="6.0000000000000053E-2"/>
    <n v="1.59"/>
    <n v="366928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243.96"/>
    <n v="94"/>
    <n v="94.490899999999996"/>
    <n v="229.32240000000002"/>
    <n v="230.51999963999998"/>
    <n v="230.51999963999998"/>
    <n v="0"/>
    <n v="1.1499999999999999"/>
    <n v="5.0000000000000037E-2"/>
    <n v="1.2"/>
    <n v="366934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1766.94"/>
    <n v="97.25"/>
    <n v="97.561300000000003"/>
    <n v="1718.34915"/>
    <n v="1723.8496342200001"/>
    <n v="1723.8496342200001"/>
    <n v="0"/>
    <n v="5.16"/>
    <n v="0.33999999999999991"/>
    <n v="5.5"/>
    <n v="366943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211.13"/>
    <n v="94"/>
    <n v="94.302099999999996"/>
    <n v="198.46220000000002"/>
    <n v="199.10002373"/>
    <n v="199.10002373"/>
    <n v="0"/>
    <n v="0.6"/>
    <n v="4.0000000000000042E-2"/>
    <n v="0.64"/>
    <n v="366945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625.76"/>
    <n v="95.5"/>
    <n v="95.805099999999996"/>
    <n v="597.60080000000005"/>
    <n v="599.50999376000004"/>
    <n v="599.50999376000004"/>
    <n v="0"/>
    <n v="1.79"/>
    <n v="0.1199999999999999"/>
    <n v="1.91"/>
    <n v="366949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701.38"/>
    <n v="96.5"/>
    <n v="96.809100000000001"/>
    <n v="676.83169999999996"/>
    <n v="678.99966558000006"/>
    <n v="678.99966558000006"/>
    <n v="0"/>
    <n v="2.0299999999999998"/>
    <n v="0.1400000000000001"/>
    <n v="2.17"/>
    <n v="366956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730.01"/>
    <n v="96.5"/>
    <n v="96.808300000000003"/>
    <n v="704.45965000000001"/>
    <n v="706.71027083000013"/>
    <n v="706.71027083000013"/>
    <n v="0"/>
    <n v="2.11"/>
    <n v="0.1400000000000001"/>
    <n v="2.25"/>
    <n v="366958"/>
    <x v="0"/>
    <x v="1"/>
    <n v="3676471"/>
  </r>
  <r>
    <d v="2026-10-08T00:00:00"/>
    <x v="0"/>
    <x v="1"/>
    <d v="2026-05-06T00:00:00"/>
    <m/>
    <m/>
    <m/>
    <m/>
    <n v="0"/>
    <m/>
    <n v="0"/>
    <m/>
    <n v="0"/>
    <m/>
    <n v="0"/>
    <n v="281.74"/>
    <n v="94"/>
    <n v="94.299700000000001"/>
    <n v="264.8356"/>
    <n v="265.67997478000001"/>
    <n v="265.67997478000001"/>
    <n v="0"/>
    <n v="0.79"/>
    <n v="4.9999999999999933E-2"/>
    <n v="0.84"/>
    <n v="366963"/>
    <x v="0"/>
    <x v="1"/>
    <n v="3676471"/>
  </r>
  <r>
    <d v="2026-10-08T00:00:00"/>
    <x v="0"/>
    <x v="1"/>
    <d v="2026-05-07T00:00:00"/>
    <m/>
    <m/>
    <m/>
    <m/>
    <n v="0"/>
    <m/>
    <n v="0"/>
    <m/>
    <n v="0"/>
    <m/>
    <n v="0"/>
    <n v="135.38999999999999"/>
    <n v="94"/>
    <n v="94.497399999999999"/>
    <n v="127.26659999999998"/>
    <n v="127.94002985999998"/>
    <n v="127.94002985999998"/>
    <n v="0"/>
    <n v="0.64"/>
    <n v="3.000000000000003E-2"/>
    <n v="0.67"/>
    <n v="367024"/>
    <x v="0"/>
    <x v="1"/>
    <n v="3676471"/>
  </r>
  <r>
    <d v="2026-10-08T00:00:00"/>
    <x v="0"/>
    <x v="1"/>
    <d v="2026-05-07T00:00:00"/>
    <m/>
    <m/>
    <m/>
    <m/>
    <n v="0"/>
    <m/>
    <n v="0"/>
    <m/>
    <n v="0"/>
    <m/>
    <n v="0"/>
    <n v="844.9"/>
    <n v="96.5"/>
    <n v="96.809100000000001"/>
    <n v="815.32849999999996"/>
    <n v="817.94008589999999"/>
    <n v="817.94008589999999"/>
    <n v="0"/>
    <n v="2.4500000000000002"/>
    <n v="0.1599999999999997"/>
    <n v="2.61"/>
    <n v="367036"/>
    <x v="0"/>
    <x v="1"/>
    <n v="3676471"/>
  </r>
  <r>
    <d v="2026-10-08T00:00:00"/>
    <x v="0"/>
    <x v="1"/>
    <d v="2026-05-07T00:00:00"/>
    <m/>
    <m/>
    <m/>
    <m/>
    <n v="0"/>
    <m/>
    <n v="0"/>
    <m/>
    <n v="0"/>
    <m/>
    <n v="0"/>
    <n v="714.13"/>
    <n v="96.5"/>
    <n v="96.810100000000006"/>
    <n v="689.13544999999999"/>
    <n v="691.34996712999998"/>
    <n v="691.34996712999998"/>
    <n v="0"/>
    <n v="2.0699999999999998"/>
    <n v="0.1400000000000001"/>
    <n v="2.21"/>
    <n v="367037"/>
    <x v="0"/>
    <x v="1"/>
    <n v="3676471"/>
  </r>
  <r>
    <d v="2026-10-08T00:00:00"/>
    <x v="0"/>
    <x v="1"/>
    <d v="2026-05-07T00:00:00"/>
    <m/>
    <m/>
    <m/>
    <m/>
    <n v="0"/>
    <m/>
    <n v="0"/>
    <m/>
    <n v="0"/>
    <m/>
    <n v="0"/>
    <n v="509.73"/>
    <n v="96"/>
    <n v="96.3078"/>
    <n v="489.3408"/>
    <n v="490.90974893999999"/>
    <n v="490.90974893999999"/>
    <n v="0"/>
    <n v="1.47"/>
    <n v="0.1000000000000001"/>
    <n v="1.57"/>
    <n v="367048"/>
    <x v="0"/>
    <x v="1"/>
    <n v="3676471"/>
  </r>
  <r>
    <d v="2026-10-08T00:00:00"/>
    <x v="0"/>
    <x v="1"/>
    <d v="2026-05-08T00:00:00"/>
    <m/>
    <m/>
    <m/>
    <m/>
    <n v="0"/>
    <m/>
    <n v="0"/>
    <m/>
    <n v="0"/>
    <m/>
    <n v="0"/>
    <n v="297.52"/>
    <n v="94"/>
    <n v="94.302899999999994"/>
    <n v="279.66879999999998"/>
    <n v="280.56998807999997"/>
    <n v="280.56998807999997"/>
    <n v="0"/>
    <n v="0.84"/>
    <n v="6.0000000000000053E-2"/>
    <n v="0.9"/>
    <n v="367112"/>
    <x v="0"/>
    <x v="1"/>
    <n v="3676471"/>
  </r>
  <r>
    <d v="2026-10-08T00:00:00"/>
    <x v="0"/>
    <x v="1"/>
    <d v="2026-05-08T00:00:00"/>
    <m/>
    <m/>
    <m/>
    <m/>
    <n v="0"/>
    <m/>
    <n v="0"/>
    <m/>
    <n v="0"/>
    <m/>
    <n v="0"/>
    <n v="303.72000000000003"/>
    <n v="94"/>
    <n v="94.304000000000002"/>
    <n v="285.49680000000006"/>
    <n v="286.42010880000004"/>
    <n v="286.42010880000004"/>
    <n v="0"/>
    <n v="0.86"/>
    <n v="6.0000000000000053E-2"/>
    <n v="0.92"/>
    <n v="367068"/>
    <x v="0"/>
    <x v="1"/>
    <n v="3676471"/>
  </r>
  <r>
    <d v="2026-10-08T00:00:00"/>
    <x v="0"/>
    <x v="1"/>
    <d v="2026-05-11T00:00:00"/>
    <m/>
    <m/>
    <m/>
    <m/>
    <n v="0"/>
    <m/>
    <n v="0"/>
    <m/>
    <n v="0"/>
    <m/>
    <n v="0"/>
    <n v="1314.08"/>
    <n v="97.3"/>
    <n v="97.319800000000001"/>
    <n v="1278.5998399999999"/>
    <n v="1282.7000278399998"/>
    <n v="1282.7000278399998"/>
    <n v="0"/>
    <n v="3.84"/>
    <n v="0.26"/>
    <n v="4.0999999999999996"/>
    <n v="367167"/>
    <x v="0"/>
    <x v="1"/>
    <n v="3676471"/>
  </r>
  <r>
    <d v="2026-10-08T00:00:00"/>
    <x v="0"/>
    <x v="1"/>
    <d v="2026-05-12T00:00:00"/>
    <m/>
    <m/>
    <m/>
    <m/>
    <n v="0"/>
    <m/>
    <n v="0"/>
    <m/>
    <n v="0"/>
    <m/>
    <n v="0"/>
    <n v="5405.34"/>
    <n v="97"/>
    <n v="97.310400000000001"/>
    <n v="5243.1797999999999"/>
    <n v="5259.9579753600001"/>
    <n v="5259.9579753600001"/>
    <n v="0"/>
    <n v="15.73"/>
    <n v="1.05"/>
    <n v="16.78"/>
    <n v="367240"/>
    <x v="0"/>
    <x v="1"/>
    <n v="3676471"/>
  </r>
  <r>
    <d v="2026-10-08T00:00:00"/>
    <x v="0"/>
    <x v="1"/>
    <d v="2026-05-13T00:00:00"/>
    <m/>
    <m/>
    <m/>
    <m/>
    <n v="0"/>
    <m/>
    <n v="0"/>
    <m/>
    <n v="0"/>
    <m/>
    <n v="0"/>
    <n v="1791.53"/>
    <n v="97.1"/>
    <n v="97.411199999999994"/>
    <n v="1739.57563"/>
    <n v="1745.1508713599999"/>
    <n v="1745.1508713599999"/>
    <n v="0"/>
    <n v="5.22"/>
    <n v="0.35000000000000048"/>
    <n v="5.57"/>
    <n v="367302"/>
    <x v="0"/>
    <x v="1"/>
    <n v="3676471"/>
  </r>
  <r>
    <d v="2026-10-08T00:00:00"/>
    <x v="0"/>
    <x v="1"/>
    <d v="2026-05-13T00:00:00"/>
    <m/>
    <m/>
    <m/>
    <m/>
    <n v="0"/>
    <m/>
    <n v="0"/>
    <m/>
    <n v="0"/>
    <m/>
    <n v="0"/>
    <n v="925.34"/>
    <n v="97"/>
    <n v="97.310199999999995"/>
    <n v="897.57979999999998"/>
    <n v="900.45020468000007"/>
    <n v="900.45020468000007"/>
    <n v="0"/>
    <n v="2.69"/>
    <n v="0.18000000000000019"/>
    <n v="2.87"/>
    <n v="367309"/>
    <x v="0"/>
    <x v="1"/>
    <n v="3676471"/>
  </r>
  <r>
    <d v="2026-10-08T00:00:00"/>
    <x v="0"/>
    <x v="1"/>
    <d v="2026-05-13T00:00:00"/>
    <m/>
    <m/>
    <m/>
    <m/>
    <n v="0"/>
    <m/>
    <n v="0"/>
    <m/>
    <n v="0"/>
    <m/>
    <n v="0"/>
    <n v="814.22"/>
    <n v="97"/>
    <n v="97.310299999999998"/>
    <n v="789.79340000000002"/>
    <n v="792.31992465999997"/>
    <n v="792.31992465999997"/>
    <n v="0"/>
    <n v="2.37"/>
    <n v="0.1599999999999997"/>
    <n v="2.5299999999999998"/>
    <n v="367339"/>
    <x v="0"/>
    <x v="1"/>
    <n v="3676471"/>
  </r>
  <r>
    <d v="2026-10-08T00:00:00"/>
    <x v="0"/>
    <x v="1"/>
    <d v="2026-05-14T00:00:00"/>
    <m/>
    <m/>
    <m/>
    <m/>
    <n v="0"/>
    <m/>
    <n v="0"/>
    <m/>
    <n v="0"/>
    <m/>
    <n v="0"/>
    <n v="423.07"/>
    <n v="96"/>
    <n v="96.307900000000004"/>
    <n v="406.1472"/>
    <n v="407.44983252999998"/>
    <n v="407.44983252999998"/>
    <n v="0"/>
    <n v="1.22"/>
    <n v="8.0000000000000071E-2"/>
    <n v="1.3"/>
    <n v="367352"/>
    <x v="0"/>
    <x v="1"/>
    <n v="3676471"/>
  </r>
  <r>
    <d v="2026-10-08T00:00:00"/>
    <x v="0"/>
    <x v="1"/>
    <d v="2026-05-14T00:00:00"/>
    <m/>
    <m/>
    <m/>
    <m/>
    <n v="0"/>
    <m/>
    <n v="0"/>
    <m/>
    <n v="0"/>
    <m/>
    <n v="0"/>
    <n v="622.20000000000005"/>
    <n v="96"/>
    <n v="96.306700000000006"/>
    <n v="597.31200000000001"/>
    <n v="599.22028740000007"/>
    <n v="599.22028740000007"/>
    <n v="0"/>
    <n v="1.79"/>
    <n v="0.1199999999999999"/>
    <n v="1.91"/>
    <n v="367357"/>
    <x v="0"/>
    <x v="1"/>
    <n v="3676471"/>
  </r>
  <r>
    <d v="2026-10-08T00:00:00"/>
    <x v="0"/>
    <x v="1"/>
    <d v="2026-05-14T00:00:00"/>
    <m/>
    <m/>
    <m/>
    <m/>
    <n v="0"/>
    <m/>
    <n v="0"/>
    <m/>
    <n v="0"/>
    <m/>
    <n v="0"/>
    <n v="984.61"/>
    <n v="97"/>
    <n v="97.310599999999994"/>
    <n v="955.07169999999996"/>
    <n v="958.12989865999987"/>
    <n v="958.12989865999987"/>
    <n v="0"/>
    <n v="2.87"/>
    <n v="0.18999999999999989"/>
    <n v="3.06"/>
    <n v="367362"/>
    <x v="0"/>
    <x v="1"/>
    <n v="3676471"/>
  </r>
  <r>
    <d v="2026-10-08T00:00:00"/>
    <x v="0"/>
    <x v="1"/>
    <d v="2026-05-14T00:00:00"/>
    <m/>
    <m/>
    <m/>
    <m/>
    <n v="0"/>
    <m/>
    <n v="0"/>
    <m/>
    <n v="0"/>
    <m/>
    <n v="0"/>
    <n v="1085.0999999999999"/>
    <n v="97"/>
    <n v="97.3108"/>
    <n v="1052.547"/>
    <n v="1055.9194907999999"/>
    <n v="1055.9194907999999"/>
    <n v="0"/>
    <n v="3.16"/>
    <n v="0.21"/>
    <n v="3.37"/>
    <n v="367366"/>
    <x v="0"/>
    <x v="1"/>
    <n v="3676471"/>
  </r>
  <r>
    <d v="2026-10-08T00:00:00"/>
    <x v="0"/>
    <x v="1"/>
    <d v="2026-05-14T00:00:00"/>
    <m/>
    <m/>
    <m/>
    <m/>
    <n v="0"/>
    <m/>
    <n v="0"/>
    <m/>
    <n v="0"/>
    <m/>
    <n v="0"/>
    <n v="535.30999999999995"/>
    <n v="96"/>
    <n v="96.306799999999996"/>
    <n v="513.8975999999999"/>
    <n v="515.53993107999997"/>
    <n v="515.53993107999997"/>
    <n v="0"/>
    <n v="1.54"/>
    <n v="9.9999999999999867E-2"/>
    <n v="1.64"/>
    <n v="367369"/>
    <x v="0"/>
    <x v="1"/>
    <n v="3676471"/>
  </r>
  <r>
    <d v="2026-10-08T00:00:00"/>
    <x v="0"/>
    <x v="1"/>
    <d v="2026-05-14T00:00:00"/>
    <m/>
    <m/>
    <m/>
    <m/>
    <n v="0"/>
    <m/>
    <n v="0"/>
    <m/>
    <n v="0"/>
    <m/>
    <n v="0"/>
    <n v="150.56"/>
    <n v="95"/>
    <n v="95.304199999999994"/>
    <n v="143.03200000000001"/>
    <n v="143.49000351999999"/>
    <n v="143.49000351999999"/>
    <n v="0"/>
    <n v="0.43"/>
    <n v="3.000000000000003E-2"/>
    <n v="0.46"/>
    <n v="367417"/>
    <x v="0"/>
    <x v="1"/>
    <n v="3676471"/>
  </r>
  <r>
    <d v="2026-10-08T00:00:00"/>
    <x v="0"/>
    <x v="1"/>
    <d v="2026-05-14T00:00:00"/>
    <m/>
    <m/>
    <m/>
    <m/>
    <n v="0"/>
    <m/>
    <n v="0"/>
    <m/>
    <n v="0"/>
    <m/>
    <n v="0"/>
    <n v="984.96"/>
    <n v="97"/>
    <n v="97.310599999999994"/>
    <n v="955.41120000000012"/>
    <n v="958.47048575999997"/>
    <n v="958.47048575999997"/>
    <n v="0"/>
    <n v="2.87"/>
    <n v="0.18999999999999989"/>
    <n v="3.06"/>
    <n v="367426"/>
    <x v="0"/>
    <x v="1"/>
    <n v="3676471"/>
  </r>
  <r>
    <d v="2026-10-08T00:00:00"/>
    <x v="0"/>
    <x v="1"/>
    <d v="2026-05-15T00:00:00"/>
    <m/>
    <m/>
    <m/>
    <m/>
    <n v="0"/>
    <m/>
    <n v="0"/>
    <m/>
    <n v="0"/>
    <m/>
    <n v="0"/>
    <n v="1761.33"/>
    <n v="97.15"/>
    <n v="97.460400000000007"/>
    <n v="1711.1320949999999"/>
    <n v="1716.5992633200001"/>
    <n v="1716.5992633200001"/>
    <n v="0"/>
    <n v="5.13"/>
    <n v="0.33999999999999991"/>
    <n v="5.47"/>
    <n v="367488"/>
    <x v="0"/>
    <x v="1"/>
    <n v="3676471"/>
  </r>
  <r>
    <d v="2026-10-08T00:00:00"/>
    <x v="0"/>
    <x v="1"/>
    <d v="2026-05-15T00:00:00"/>
    <m/>
    <m/>
    <m/>
    <m/>
    <n v="0"/>
    <m/>
    <n v="0"/>
    <m/>
    <n v="0"/>
    <m/>
    <n v="0"/>
    <n v="99.56"/>
    <n v="95"/>
    <n v="96.022499999999994"/>
    <n v="94.582000000000008"/>
    <n v="95.600000999999992"/>
    <n v="95.600000999999992"/>
    <n v="0"/>
    <n v="1"/>
    <n v="2.0000000000000021E-2"/>
    <n v="1.02"/>
    <n v="367493"/>
    <x v="0"/>
    <x v="1"/>
    <n v="3676471"/>
  </r>
  <r>
    <d v="2026-10-08T00:00:00"/>
    <x v="0"/>
    <x v="0"/>
    <d v="2026-05-18T00:00:00"/>
    <m/>
    <m/>
    <m/>
    <m/>
    <n v="0"/>
    <m/>
    <n v="0"/>
    <m/>
    <n v="0"/>
    <m/>
    <n v="0"/>
    <n v="3146.77"/>
    <n v="97.25"/>
    <n v="97.463700000000003"/>
    <n v="3060.2338250000003"/>
    <n v="3066.9584724899996"/>
    <n v="3066.9584724899996"/>
    <n v="0"/>
    <n v="6.12"/>
    <n v="0.61000000000000032"/>
    <n v="6.73"/>
    <n v="367592"/>
    <x v="0"/>
    <x v="1"/>
    <n v="3676471"/>
  </r>
  <r>
    <d v="2026-10-08T00:00:00"/>
    <x v="0"/>
    <x v="1"/>
    <d v="2026-05-18T00:00:00"/>
    <m/>
    <m/>
    <m/>
    <m/>
    <n v="0"/>
    <m/>
    <n v="0"/>
    <m/>
    <n v="0"/>
    <m/>
    <n v="0"/>
    <n v="66.83"/>
    <n v="97.15"/>
    <n v="98.668300000000002"/>
    <n v="64.925345000000007"/>
    <n v="65.940024890000004"/>
    <n v="65.940024890000004"/>
    <n v="0"/>
    <n v="1"/>
    <n v="1.0000000000000011E-2"/>
    <n v="1.01"/>
    <n v="367590"/>
    <x v="0"/>
    <x v="1"/>
    <n v="3676471"/>
  </r>
  <r>
    <d v="2026-10-08T00:00:00"/>
    <x v="0"/>
    <x v="2"/>
    <d v="2026-05-18T00:00:00"/>
    <m/>
    <m/>
    <m/>
    <m/>
    <n v="0"/>
    <m/>
    <n v="0"/>
    <m/>
    <n v="0"/>
    <m/>
    <n v="0"/>
    <n v="1114.1099999999999"/>
    <n v="97.15"/>
    <n v="97.461699999999993"/>
    <n v="1082.3578649999999"/>
    <n v="1085.8305458699997"/>
    <n v="1085.8305458699997"/>
    <n v="0"/>
    <n v="3.25"/>
    <n v="0.2200000000000002"/>
    <n v="3.47"/>
    <n v="367591"/>
    <x v="0"/>
    <x v="1"/>
    <n v="3676471"/>
  </r>
  <r>
    <d v="2026-10-08T00:00:00"/>
    <x v="0"/>
    <x v="2"/>
    <d v="2026-05-18T00:00:00"/>
    <m/>
    <m/>
    <m/>
    <m/>
    <n v="0"/>
    <m/>
    <n v="0"/>
    <m/>
    <n v="0"/>
    <m/>
    <n v="0"/>
    <n v="1227.05"/>
    <n v="97.15"/>
    <n v="97.461399999999998"/>
    <n v="1192.0790750000001"/>
    <n v="1195.9001086999999"/>
    <n v="1195.9001086999999"/>
    <n v="0"/>
    <n v="3.58"/>
    <n v="0.2399999999999998"/>
    <n v="3.82"/>
    <n v="367597"/>
    <x v="0"/>
    <x v="1"/>
    <n v="3676471"/>
  </r>
  <r>
    <d v="2026-10-08T00:00:00"/>
    <x v="0"/>
    <x v="2"/>
    <d v="2026-05-19T00:00:00"/>
    <m/>
    <m/>
    <m/>
    <m/>
    <n v="0"/>
    <m/>
    <n v="0"/>
    <m/>
    <n v="0"/>
    <m/>
    <n v="0"/>
    <n v="412.14"/>
    <n v="96"/>
    <n v="96.307100000000005"/>
    <n v="395.65440000000001"/>
    <n v="396.92008194000005"/>
    <n v="396.92008194000005"/>
    <n v="0"/>
    <n v="1.19"/>
    <n v="8.0000000000000071E-2"/>
    <n v="1.27"/>
    <n v="367615"/>
    <x v="0"/>
    <x v="2"/>
    <n v="368144"/>
  </r>
  <r>
    <d v="2026-10-08T00:00:00"/>
    <x v="0"/>
    <x v="0"/>
    <d v="2026-05-19T00:00:00"/>
    <m/>
    <m/>
    <m/>
    <m/>
    <n v="0"/>
    <m/>
    <n v="0"/>
    <m/>
    <n v="0"/>
    <m/>
    <n v="0"/>
    <n v="387.18"/>
    <n v="96"/>
    <n v="96.288547960000002"/>
    <n v="371.69279999999998"/>
    <n v="372.809999991528"/>
    <n v="372.809999991528"/>
    <n v="0"/>
    <n v="1.1200000000000001"/>
    <n v="0"/>
    <n v="1.1200000000000001"/>
    <s v="13704 - VRF17"/>
    <x v="0"/>
    <x v="2"/>
    <n v="368144"/>
  </r>
  <r>
    <d v="2026-10-08T00:00:00"/>
    <x v="0"/>
    <x v="0"/>
    <d v="2026-05-19T00:00:00"/>
    <m/>
    <m/>
    <m/>
    <m/>
    <n v="0"/>
    <m/>
    <n v="0"/>
    <m/>
    <n v="0"/>
    <m/>
    <n v="0"/>
    <n v="852.97"/>
    <n v="97.1"/>
    <n v="97.410200000000003"/>
    <n v="828.23387000000002"/>
    <n v="830.87978294000004"/>
    <n v="830.87978294000004"/>
    <n v="0"/>
    <n v="2.48"/>
    <n v="0.1699999999999999"/>
    <n v="2.65"/>
    <n v="367618"/>
    <x v="0"/>
    <x v="2"/>
    <n v="368144"/>
  </r>
  <r>
    <d v="2026-10-08T00:00:00"/>
    <x v="1"/>
    <x v="0"/>
    <d v="2026-04-27T00:00:00"/>
    <m/>
    <d v="2026-04-24T00:00:00"/>
    <d v="2027-04-09T00:00:00"/>
    <m/>
    <n v="0"/>
    <m/>
    <n v="0"/>
    <n v="0"/>
    <n v="0"/>
    <n v="11758.81"/>
    <n v="0"/>
    <n v="150000"/>
    <n v="92.017483319999997"/>
    <n v="92.160799999999995"/>
    <n v="138026.22498"/>
    <n v="138241.20000000001"/>
    <n v="138241.20000000001"/>
    <n v="0"/>
    <n v="133.04"/>
    <n v="81.930139999999994"/>
    <n v="214.97013999999999"/>
    <n v="366433"/>
    <x v="1"/>
    <x v="3"/>
    <n v="367383"/>
  </r>
  <r>
    <d v="2026-10-08T00:00:00"/>
    <x v="1"/>
    <x v="0"/>
    <d v="2026-04-27T00:00:00"/>
    <m/>
    <d v="2026-04-24T00:00:00"/>
    <d v="2027-04-09T00:00:00"/>
    <m/>
    <n v="0"/>
    <m/>
    <n v="0"/>
    <n v="0"/>
    <n v="0"/>
    <n v="9650.0634066666644"/>
    <n v="0"/>
    <n v="123100"/>
    <n v="92.017483319999997"/>
    <n v="92.160799999999995"/>
    <n v="113273.52196691999"/>
    <n v="113449.94479999998"/>
    <n v="113449.94479999998"/>
    <n v="0"/>
    <n v="109.18149333333329"/>
    <n v="67.237334893333326"/>
    <n v="176.41882822666662"/>
    <n v="366433"/>
    <x v="1"/>
    <x v="1"/>
    <s v="367634; 367638"/>
  </r>
  <r>
    <d v="2026-10-08T00:00:00"/>
    <x v="1"/>
    <x v="0"/>
    <d v="2026-04-27T00:00:00"/>
    <m/>
    <d v="2026-04-24T00:00:00"/>
    <d v="2027-04-09T00:00:00"/>
    <m/>
    <n v="0"/>
    <m/>
    <n v="0"/>
    <n v="0"/>
    <n v="0"/>
    <n v="5439.2335456666651"/>
    <n v="0"/>
    <n v="69385"/>
    <n v="92.017483319999997"/>
    <n v="92.160799999999995"/>
    <n v="63846.330801582"/>
    <n v="63945.771079999999"/>
    <n v="63945.771079999999"/>
    <n v="0"/>
    <n v="61.539869333333321"/>
    <n v="37.898151759333317"/>
    <n v="99.438021092666645"/>
    <n v="366433"/>
    <x v="1"/>
    <x v="1"/>
    <n v="367684"/>
  </r>
  <r>
    <d v="2026-10-08T00:00:00"/>
    <x v="0"/>
    <x v="1"/>
    <d v="2026-05-20T00:00:00"/>
    <m/>
    <m/>
    <m/>
    <m/>
    <n v="0"/>
    <m/>
    <n v="0"/>
    <m/>
    <n v="0"/>
    <m/>
    <n v="0"/>
    <n v="274.52"/>
    <n v="95"/>
    <n v="95.300899999999999"/>
    <n v="260.79399999999998"/>
    <n v="261.62003067999996"/>
    <n v="261.62003067999996"/>
    <n v="0"/>
    <n v="0.78"/>
    <n v="4.9999999999999933E-2"/>
    <n v="0.83"/>
    <n v="367704"/>
    <x v="0"/>
    <x v="2"/>
    <n v="368144"/>
  </r>
  <r>
    <d v="2026-10-08T00:00:00"/>
    <x v="0"/>
    <x v="1"/>
    <d v="2026-05-20T00:00:00"/>
    <m/>
    <m/>
    <m/>
    <m/>
    <n v="0"/>
    <m/>
    <n v="0"/>
    <m/>
    <n v="0"/>
    <m/>
    <n v="0"/>
    <n v="1225.03"/>
    <n v="97.2"/>
    <n v="97.511099999999999"/>
    <n v="1190.7291599999999"/>
    <n v="1194.54022833"/>
    <n v="1194.54022833"/>
    <n v="0"/>
    <n v="3.57"/>
    <n v="0.24000000000000021"/>
    <n v="3.81"/>
    <n v="367705"/>
    <x v="0"/>
    <x v="2"/>
    <n v="368144"/>
  </r>
  <r>
    <d v="2026-10-08T00:00:00"/>
    <x v="0"/>
    <x v="1"/>
    <d v="2026-05-20T00:00:00"/>
    <m/>
    <m/>
    <m/>
    <m/>
    <n v="0"/>
    <m/>
    <n v="0"/>
    <m/>
    <n v="0"/>
    <m/>
    <n v="0"/>
    <n v="2203.29"/>
    <n v="97.26"/>
    <n v="97.474199999999996"/>
    <n v="2142.9198540000002"/>
    <n v="2147.6393011800001"/>
    <n v="2147.6393011800001"/>
    <n v="0"/>
    <n v="4.29"/>
    <n v="0.42999999999999972"/>
    <n v="4.72"/>
    <n v="367709"/>
    <x v="0"/>
    <x v="2"/>
    <n v="368144"/>
  </r>
  <r>
    <d v="2026-10-08T00:00:00"/>
    <x v="0"/>
    <x v="1"/>
    <d v="2026-05-20T00:00:00"/>
    <m/>
    <m/>
    <m/>
    <m/>
    <n v="0"/>
    <m/>
    <n v="0"/>
    <m/>
    <n v="0"/>
    <m/>
    <n v="0"/>
    <n v="173.56"/>
    <n v="93"/>
    <n v="93.593000000000004"/>
    <n v="161.41079999999999"/>
    <n v="162.44001080000001"/>
    <n v="162.44001080000001"/>
    <n v="0"/>
    <n v="1"/>
    <n v="3.000000000000003E-2"/>
    <n v="1.03"/>
    <n v="367713"/>
    <x v="0"/>
    <x v="2"/>
    <n v="368144"/>
  </r>
  <r>
    <d v="2026-10-08T00:00:00"/>
    <x v="0"/>
    <x v="1"/>
    <d v="2026-05-20T00:00:00"/>
    <m/>
    <m/>
    <m/>
    <m/>
    <n v="0"/>
    <m/>
    <n v="0"/>
    <m/>
    <n v="0"/>
    <m/>
    <n v="0"/>
    <n v="134.16999999999999"/>
    <n v="95"/>
    <n v="95.543000000000006"/>
    <n v="127.4615"/>
    <n v="128.1900431"/>
    <n v="128.1900431"/>
    <n v="0"/>
    <n v="0.7"/>
    <n v="3.000000000000003E-2"/>
    <n v="0.73"/>
    <n v="367715"/>
    <x v="0"/>
    <x v="2"/>
    <n v="368144"/>
  </r>
  <r>
    <d v="2026-10-08T00:00:00"/>
    <x v="0"/>
    <x v="1"/>
    <d v="2026-05-20T00:00:00"/>
    <m/>
    <m/>
    <m/>
    <m/>
    <n v="0"/>
    <m/>
    <n v="0"/>
    <m/>
    <n v="0"/>
    <m/>
    <n v="0"/>
    <n v="288.75"/>
    <n v="95"/>
    <n v="95.300399999999996"/>
    <n v="274.3125"/>
    <n v="275.17990500000002"/>
    <n v="275.17990500000002"/>
    <n v="0"/>
    <n v="0.82"/>
    <n v="5.0000000000000037E-2"/>
    <n v="0.87"/>
    <n v="367753"/>
    <x v="0"/>
    <x v="2"/>
    <n v="368144"/>
  </r>
  <r>
    <d v="2026-10-08T00:00:00"/>
    <x v="0"/>
    <x v="1"/>
    <d v="2026-05-20T00:00:00"/>
    <m/>
    <m/>
    <m/>
    <m/>
    <n v="0"/>
    <m/>
    <n v="0"/>
    <m/>
    <n v="0"/>
    <m/>
    <n v="0"/>
    <n v="3225.81"/>
    <n v="97.4"/>
    <n v="97.614199999999997"/>
    <n v="3141.9389400000005"/>
    <n v="3148.8486250199999"/>
    <n v="3148.8486250199999"/>
    <n v="0"/>
    <n v="6.28"/>
    <n v="0.62999999999999989"/>
    <n v="6.91"/>
    <n v="367766"/>
    <x v="0"/>
    <x v="2"/>
    <n v="368144"/>
  </r>
  <r>
    <d v="2026-10-08T00:00:00"/>
    <x v="1"/>
    <x v="0"/>
    <d v="2026-04-27T00:00:00"/>
    <m/>
    <d v="2026-04-24T00:00:00"/>
    <d v="2027-04-09T00:00:00"/>
    <m/>
    <n v="0"/>
    <m/>
    <n v="0"/>
    <n v="0"/>
    <n v="0"/>
    <n v="2351.7599999999998"/>
    <n v="0"/>
    <n v="30000"/>
    <n v="92.017483319999997"/>
    <n v="92.160799999999995"/>
    <n v="27605.244995999998"/>
    <n v="27648.240000000002"/>
    <n v="27648.240000000002"/>
    <n v="0"/>
    <n v="26.607999999999972"/>
    <n v="16.386027999999978"/>
    <n v="42.99402799999995"/>
    <n v="366433"/>
    <x v="1"/>
    <x v="4"/>
    <n v="372150"/>
  </r>
  <r>
    <d v="2026-10-08T00:00:00"/>
    <x v="0"/>
    <x v="1"/>
    <d v="2026-05-21T00:00:00"/>
    <m/>
    <m/>
    <m/>
    <m/>
    <n v="0"/>
    <m/>
    <n v="0"/>
    <m/>
    <n v="0"/>
    <m/>
    <n v="0"/>
    <n v="1455.99"/>
    <n v="97.05"/>
    <n v="97.263717470000003"/>
    <n v="1413.0382949999998"/>
    <n v="1416.1499999914531"/>
    <n v="1416.1499999914531"/>
    <n v="0"/>
    <n v="2.83"/>
    <n v="0.2799999999999998"/>
    <n v="3.11"/>
    <s v="14027 - VRF57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783.14"/>
    <n v="96"/>
    <n v="96.210128460000007"/>
    <n v="751.81439999999998"/>
    <n v="753.46000002164408"/>
    <n v="753.46000002164408"/>
    <n v="0"/>
    <n v="1.5"/>
    <n v="0.14999999999999991"/>
    <n v="1.65"/>
    <s v="14051 - VRF75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303.14"/>
    <n v="93.05"/>
    <n v="93.32981461"/>
    <n v="282.07177000000001"/>
    <n v="282.92000000875402"/>
    <n v="282.92000000875402"/>
    <n v="0"/>
    <n v="0.85"/>
    <n v="0"/>
    <n v="0.85"/>
    <s v="14064 - VRF84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410.77"/>
    <n v="96.05"/>
    <n v="96.336149180000007"/>
    <n v="394.54458499999998"/>
    <n v="395.71999998668599"/>
    <n v="395.71999998668599"/>
    <n v="0"/>
    <n v="1.18"/>
    <n v="0"/>
    <n v="1.18"/>
    <s v="14071 - VRF91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325.56"/>
    <n v="96.05"/>
    <n v="96.338616540000004"/>
    <n v="312.70038"/>
    <n v="313.640000007624"/>
    <n v="313.640000007624"/>
    <n v="0"/>
    <n v="0.94"/>
    <n v="0"/>
    <n v="0.94"/>
    <s v="14075- VRF04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804.65"/>
    <n v="96.75"/>
    <n v="96.963899999999995"/>
    <n v="778.498875"/>
    <n v="780.22002134999991"/>
    <n v="780.22002134999991"/>
    <n v="0"/>
    <n v="1.56"/>
    <n v="0.15999999999999989"/>
    <n v="1.72"/>
    <n v="367832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975.56"/>
    <n v="96.75"/>
    <n v="96.962800000000001"/>
    <n v="943.85429999999997"/>
    <n v="945.93029167999998"/>
    <n v="945.93029167999998"/>
    <n v="0"/>
    <n v="1.89"/>
    <n v="0.1900000000000002"/>
    <n v="2.08"/>
    <n v="367833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641.6"/>
    <n v="96.5"/>
    <n v="96.711299999999994"/>
    <n v="619.14400000000001"/>
    <n v="620.49970080000003"/>
    <n v="620.49970080000003"/>
    <n v="0"/>
    <n v="1.24"/>
    <n v="0.12000000000000011"/>
    <n v="1.36"/>
    <n v="367843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427.52"/>
    <n v="96"/>
    <n v="96.210700000000003"/>
    <n v="410.41919999999999"/>
    <n v="411.31998463999997"/>
    <n v="411.31998463999997"/>
    <n v="0"/>
    <n v="0.82"/>
    <n v="8.0000000000000071E-2"/>
    <n v="0.9"/>
    <n v="367852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133.31"/>
    <n v="94.5"/>
    <n v="94.711600000000004"/>
    <n v="125.97795000000001"/>
    <n v="126.26003396"/>
    <n v="126.26003396"/>
    <n v="0"/>
    <n v="0.25"/>
    <n v="3.000000000000003E-2"/>
    <n v="0.28000000000000003"/>
    <n v="367857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146.21"/>
    <n v="94"/>
    <n v="94.302700000000002"/>
    <n v="137.43740000000003"/>
    <n v="137.87997767000002"/>
    <n v="137.87997767000002"/>
    <n v="0"/>
    <n v="0.41"/>
    <n v="3.000000000000003E-2"/>
    <n v="0.44"/>
    <n v="367862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708.8"/>
    <n v="96.5"/>
    <n v="96.808700000000002"/>
    <n v="683.99199999999996"/>
    <n v="686.18006559999992"/>
    <n v="686.18006559999992"/>
    <n v="0"/>
    <n v="2.0499999999999998"/>
    <n v="0.1400000000000001"/>
    <n v="2.19"/>
    <n v="367872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1267.32"/>
    <n v="97.1"/>
    <n v="97.411100000000005"/>
    <n v="1230.5677199999998"/>
    <n v="1234.51035252"/>
    <n v="1234.51035252"/>
    <n v="0"/>
    <n v="3.69"/>
    <n v="0.25"/>
    <n v="3.94"/>
    <n v="367874"/>
    <x v="0"/>
    <x v="2"/>
    <n v="368144"/>
  </r>
  <r>
    <d v="2026-10-08T00:00:00"/>
    <x v="0"/>
    <x v="1"/>
    <d v="2026-05-21T00:00:00"/>
    <m/>
    <m/>
    <m/>
    <m/>
    <n v="0"/>
    <m/>
    <n v="0"/>
    <m/>
    <n v="0"/>
    <m/>
    <n v="0"/>
    <n v="1024.07"/>
    <n v="97"/>
    <n v="97.310699999999997"/>
    <n v="993.34789999999998"/>
    <n v="996.52968549000002"/>
    <n v="996.52968549000002"/>
    <n v="0"/>
    <n v="2.98"/>
    <n v="0.20000000000000021"/>
    <n v="3.18"/>
    <n v="367878"/>
    <x v="0"/>
    <x v="2"/>
    <n v="368144"/>
  </r>
  <r>
    <m/>
    <x v="2"/>
    <x v="3"/>
    <m/>
    <m/>
    <m/>
    <m/>
    <m/>
    <m/>
    <m/>
    <m/>
    <m/>
    <m/>
    <m/>
    <m/>
    <m/>
    <m/>
    <m/>
    <m/>
    <m/>
    <m/>
    <m/>
    <m/>
    <m/>
    <m/>
    <m/>
    <x v="2"/>
    <x v="5"/>
    <m/>
  </r>
  <r>
    <d v="2026-10-08T00:00:00"/>
    <x v="1"/>
    <x v="0"/>
    <d v="2026-04-17T00:00:00"/>
    <m/>
    <m/>
    <d v="2027-04-09T00:00:00"/>
    <m/>
    <n v="0"/>
    <m/>
    <n v="0"/>
    <n v="0"/>
    <n v="0"/>
    <n v="3134.54"/>
    <n v="0"/>
    <m/>
    <m/>
    <m/>
    <n v="0"/>
    <n v="36865.46"/>
    <n v="36865.46"/>
    <n v="0"/>
    <m/>
    <m/>
    <n v="0"/>
    <m/>
    <x v="3"/>
    <x v="5"/>
    <m/>
  </r>
  <r>
    <d v="2026-10-08T00:00:00"/>
    <x v="1"/>
    <x v="0"/>
    <d v="2026-04-17T00:00:00"/>
    <m/>
    <m/>
    <d v="2027-04-09T00:00:00"/>
    <m/>
    <n v="0"/>
    <m/>
    <n v="0"/>
    <n v="0"/>
    <n v="0"/>
    <n v="642"/>
    <n v="0"/>
    <m/>
    <m/>
    <m/>
    <n v="0"/>
    <n v="7558"/>
    <n v="7558"/>
    <n v="0"/>
    <m/>
    <m/>
    <n v="0"/>
    <m/>
    <x v="3"/>
    <x v="5"/>
    <m/>
  </r>
  <r>
    <d v="2026-10-08T00:00:00"/>
    <x v="1"/>
    <x v="0"/>
    <d v="2026-04-17T00:00:00"/>
    <m/>
    <m/>
    <d v="2027-04-09T00:00:00"/>
    <m/>
    <n v="0"/>
    <m/>
    <n v="0"/>
    <n v="0"/>
    <n v="0"/>
    <n v="526.44999999999982"/>
    <n v="0"/>
    <m/>
    <m/>
    <m/>
    <n v="0"/>
    <n v="6191.55"/>
    <n v="6191.55"/>
    <n v="0"/>
    <m/>
    <m/>
    <n v="0"/>
    <m/>
    <x v="3"/>
    <x v="5"/>
    <m/>
  </r>
  <r>
    <d v="2026-10-08T00:00:00"/>
    <x v="1"/>
    <x v="0"/>
    <d v="2026-04-17T00:00:00"/>
    <m/>
    <m/>
    <d v="2027-04-09T00:00:00"/>
    <m/>
    <n v="0"/>
    <m/>
    <n v="0"/>
    <n v="0"/>
    <n v="0"/>
    <n v="1142.700000000001"/>
    <n v="0"/>
    <m/>
    <m/>
    <m/>
    <n v="0"/>
    <n v="13439.3"/>
    <n v="13439.3"/>
    <n v="0"/>
    <m/>
    <m/>
    <n v="0"/>
    <m/>
    <x v="3"/>
    <x v="5"/>
    <m/>
  </r>
  <r>
    <d v="2026-10-08T00:00:00"/>
    <x v="1"/>
    <x v="0"/>
    <d v="2026-04-22T00:00:00"/>
    <m/>
    <m/>
    <d v="2027-04-16T00:00:00"/>
    <m/>
    <n v="0"/>
    <m/>
    <n v="0"/>
    <n v="0"/>
    <n v="0"/>
    <n v="2100"/>
    <n v="0"/>
    <m/>
    <m/>
    <m/>
    <n v="0"/>
    <n v="24500"/>
    <n v="24500"/>
    <n v="0"/>
    <m/>
    <m/>
    <n v="0"/>
    <m/>
    <x v="3"/>
    <x v="5"/>
    <m/>
  </r>
  <r>
    <d v="2026-10-08T00:00:00"/>
    <x v="1"/>
    <x v="0"/>
    <d v="2026-04-27T00:00:00"/>
    <m/>
    <m/>
    <d v="2027-04-09T00:00:00"/>
    <m/>
    <n v="0"/>
    <m/>
    <n v="0"/>
    <n v="0"/>
    <n v="0"/>
    <n v="7843.71"/>
    <n v="0"/>
    <m/>
    <m/>
    <m/>
    <n v="0"/>
    <n v="92156.29"/>
    <n v="92156.29"/>
    <n v="0"/>
    <m/>
    <m/>
    <n v="0"/>
    <m/>
    <x v="3"/>
    <x v="5"/>
    <m/>
  </r>
  <r>
    <d v="2026-10-08T00:00:00"/>
    <x v="1"/>
    <x v="0"/>
    <d v="2026-04-27T00:00:00"/>
    <m/>
    <m/>
    <d v="2027-04-09T00:00:00"/>
    <m/>
    <n v="0"/>
    <m/>
    <n v="0"/>
    <n v="0"/>
    <n v="0"/>
    <n v="471.35000000000042"/>
    <n v="0"/>
    <m/>
    <m/>
    <m/>
    <n v="0"/>
    <n v="5728.65"/>
    <n v="5728.65"/>
    <n v="0"/>
    <m/>
    <m/>
    <n v="0"/>
    <m/>
    <x v="3"/>
    <x v="5"/>
    <m/>
  </r>
  <r>
    <d v="2026-10-08T00:00:00"/>
    <x v="0"/>
    <x v="1"/>
    <d v="2026-05-22T00:00:00"/>
    <m/>
    <m/>
    <m/>
    <m/>
    <n v="0"/>
    <m/>
    <n v="0"/>
    <m/>
    <n v="0"/>
    <m/>
    <n v="0"/>
    <n v="257.5"/>
    <n v="96"/>
    <n v="96.28737864"/>
    <n v="247.2"/>
    <n v="247.93999999799999"/>
    <n v="247.93999999799999"/>
    <n v="0"/>
    <n v="0.74"/>
    <n v="0"/>
    <n v="0.74"/>
    <s v="14192 - VRF53"/>
    <x v="0"/>
    <x v="2"/>
    <n v="368144"/>
  </r>
  <r>
    <d v="2026-10-08T00:00:00"/>
    <x v="0"/>
    <x v="1"/>
    <d v="2026-05-22T00:00:00"/>
    <m/>
    <m/>
    <m/>
    <m/>
    <n v="0"/>
    <m/>
    <n v="0"/>
    <m/>
    <n v="0"/>
    <m/>
    <n v="0"/>
    <n v="555.99"/>
    <n v="96"/>
    <n v="96.307487539999997"/>
    <n v="533.75040000000001"/>
    <n v="535.45999997364595"/>
    <n v="535.45999997364595"/>
    <n v="0"/>
    <n v="1.6"/>
    <n v="0.1099999999999999"/>
    <n v="1.71"/>
    <s v="14193 - VRF54"/>
    <x v="0"/>
    <x v="2"/>
    <n v="368144"/>
  </r>
  <r>
    <d v="2026-10-08T00:00:00"/>
    <x v="0"/>
    <x v="1"/>
    <d v="2026-05-22T00:00:00"/>
    <m/>
    <m/>
    <m/>
    <m/>
    <n v="0"/>
    <m/>
    <n v="0"/>
    <m/>
    <n v="0"/>
    <m/>
    <n v="0"/>
    <n v="591.16999999999996"/>
    <n v="96"/>
    <n v="96.305631210000001"/>
    <n v="567.52319999999997"/>
    <n v="569.33000002415702"/>
    <n v="569.33000002415702"/>
    <n v="0"/>
    <n v="1.7"/>
    <n v="0.1100000000000001"/>
    <n v="1.81"/>
    <s v="14196 - VRF56"/>
    <x v="0"/>
    <x v="2"/>
    <n v="368144"/>
  </r>
  <r>
    <d v="2026-10-08T00:00:00"/>
    <x v="0"/>
    <x v="1"/>
    <d v="2026-05-22T00:00:00"/>
    <m/>
    <m/>
    <m/>
    <m/>
    <n v="0"/>
    <m/>
    <n v="0"/>
    <m/>
    <n v="0"/>
    <m/>
    <n v="0"/>
    <n v="785.09"/>
    <n v="96.5"/>
    <n v="96.808000000000007"/>
    <n v="757.61185"/>
    <n v="760.02992720000009"/>
    <n v="760.02992720000009"/>
    <n v="0"/>
    <n v="2.27"/>
    <n v="0.14999999999999991"/>
    <n v="2.42"/>
    <n v="367918"/>
    <x v="0"/>
    <x v="2"/>
    <n v="368144"/>
  </r>
  <r>
    <d v="2026-10-08T00:00:00"/>
    <x v="0"/>
    <x v="1"/>
    <d v="2026-05-22T00:00:00"/>
    <m/>
    <m/>
    <m/>
    <m/>
    <n v="0"/>
    <m/>
    <n v="0"/>
    <m/>
    <n v="0"/>
    <m/>
    <n v="0"/>
    <n v="625.85"/>
    <n v="96.5"/>
    <n v="96.809100000000001"/>
    <n v="603.94524999999999"/>
    <n v="605.8797523500001"/>
    <n v="605.8797523500001"/>
    <n v="0"/>
    <n v="1.81"/>
    <n v="0.1199999999999999"/>
    <n v="1.93"/>
    <n v="367920"/>
    <x v="0"/>
    <x v="2"/>
    <n v="368144"/>
  </r>
  <r>
    <d v="2026-10-08T00:00:00"/>
    <x v="0"/>
    <x v="1"/>
    <d v="2026-05-22T00:00:00"/>
    <m/>
    <m/>
    <m/>
    <m/>
    <n v="0"/>
    <m/>
    <n v="0"/>
    <m/>
    <n v="0"/>
    <m/>
    <n v="0"/>
    <n v="2908.2"/>
    <n v="97.3"/>
    <n v="97.514300000000006"/>
    <n v="2829.6785999999997"/>
    <n v="2835.9108725999999"/>
    <n v="2835.9108725999999"/>
    <n v="0"/>
    <n v="5.66"/>
    <n v="0.57000000000000028"/>
    <n v="6.23"/>
    <n v="367988"/>
    <x v="0"/>
    <x v="2"/>
    <n v="368144"/>
  </r>
  <r>
    <d v="2026-10-08T00:00:00"/>
    <x v="0"/>
    <x v="1"/>
    <d v="2026-05-22T00:00:00"/>
    <m/>
    <m/>
    <m/>
    <m/>
    <n v="0"/>
    <m/>
    <n v="0"/>
    <m/>
    <n v="0"/>
    <m/>
    <n v="0"/>
    <n v="695.32"/>
    <n v="96.5"/>
    <n v="96.710899999999995"/>
    <n v="670.98380000000009"/>
    <n v="672.45022987999994"/>
    <n v="672.45022987999994"/>
    <n v="0"/>
    <n v="1.34"/>
    <n v="0.12999999999999989"/>
    <n v="1.47"/>
    <n v="367993"/>
    <x v="0"/>
    <x v="2"/>
    <n v="368144"/>
  </r>
  <r>
    <d v="2026-10-08T00:00:00"/>
    <x v="0"/>
    <x v="1"/>
    <d v="2026-05-22T00:00:00"/>
    <m/>
    <m/>
    <m/>
    <m/>
    <n v="0"/>
    <m/>
    <n v="0"/>
    <m/>
    <n v="0"/>
    <m/>
    <n v="0"/>
    <n v="1991.21"/>
    <n v="97.25"/>
    <n v="97.463899999999995"/>
    <n v="1936.4517250000001"/>
    <n v="1940.7109231899999"/>
    <n v="1940.7109231899999"/>
    <n v="0"/>
    <n v="3.87"/>
    <n v="0.38999999999999968"/>
    <n v="4.26"/>
    <n v="367999"/>
    <x v="0"/>
    <x v="2"/>
    <n v="368144"/>
  </r>
  <r>
    <d v="2026-10-08T00:00:00"/>
    <x v="0"/>
    <x v="1"/>
    <d v="2026-05-22T00:00:00"/>
    <m/>
    <m/>
    <m/>
    <m/>
    <n v="0"/>
    <m/>
    <n v="0"/>
    <m/>
    <n v="0"/>
    <m/>
    <n v="0"/>
    <n v="1028.6300000000001"/>
    <n v="97.141499999999994"/>
    <n v="97.355699999999999"/>
    <n v="999.22661145000006"/>
    <n v="1001.4299369100002"/>
    <n v="1001.4299369100002"/>
    <n v="0"/>
    <n v="2"/>
    <n v="0.20000000000000021"/>
    <n v="2.2000000000000002"/>
    <n v="368002"/>
    <x v="0"/>
    <x v="2"/>
    <n v="368144"/>
  </r>
  <r>
    <d v="2026-10-08T00:00:00"/>
    <x v="0"/>
    <x v="1"/>
    <d v="2026-05-26T00:00:00"/>
    <m/>
    <m/>
    <m/>
    <m/>
    <n v="0"/>
    <m/>
    <n v="0"/>
    <m/>
    <n v="0"/>
    <m/>
    <n v="0"/>
    <n v="881.73"/>
    <n v="97.1"/>
    <n v="97.313199999999995"/>
    <n v="856.15982999999994"/>
    <n v="858.03967835999993"/>
    <n v="858.03967835999993"/>
    <n v="0"/>
    <n v="1.71"/>
    <n v="0.1699999999999999"/>
    <n v="1.88"/>
    <n v="368059"/>
    <x v="0"/>
    <x v="2"/>
    <n v="368144"/>
  </r>
  <r>
    <d v="2026-10-08T00:00:00"/>
    <x v="0"/>
    <x v="1"/>
    <d v="2026-05-27T00:00:00"/>
    <m/>
    <m/>
    <m/>
    <m/>
    <n v="0"/>
    <m/>
    <n v="0"/>
    <m/>
    <n v="0"/>
    <m/>
    <n v="0"/>
    <n v="799.13"/>
    <n v="96.75"/>
    <n v="96.962900000000005"/>
    <n v="773.158275"/>
    <n v="774.85962276999999"/>
    <n v="774.85962276999999"/>
    <n v="0"/>
    <n v="1.55"/>
    <n v="0.14999999999999991"/>
    <n v="1.7"/>
    <n v="368081"/>
    <x v="0"/>
    <x v="6"/>
    <n v="3683381"/>
  </r>
  <r>
    <d v="2026-10-08T00:00:00"/>
    <x v="0"/>
    <x v="1"/>
    <d v="2026-05-27T00:00:00"/>
    <m/>
    <m/>
    <m/>
    <m/>
    <n v="0"/>
    <m/>
    <n v="0"/>
    <m/>
    <n v="0"/>
    <m/>
    <n v="0"/>
    <n v="367.12"/>
    <n v="96.5"/>
    <n v="96.807599999999994"/>
    <n v="354.27080000000001"/>
    <n v="355.40006111999998"/>
    <n v="355.40006111999998"/>
    <n v="0"/>
    <n v="1.06"/>
    <n v="6.999999999999984E-2"/>
    <n v="1.1299999999999999"/>
    <n v="368115"/>
    <x v="0"/>
    <x v="6"/>
    <n v="3683381"/>
  </r>
  <r>
    <d v="2026-10-08T00:00:00"/>
    <x v="0"/>
    <x v="1"/>
    <d v="2026-05-27T00:00:00"/>
    <m/>
    <m/>
    <m/>
    <m/>
    <n v="0"/>
    <m/>
    <n v="0"/>
    <m/>
    <n v="0"/>
    <m/>
    <n v="0"/>
    <n v="372.82"/>
    <n v="96.5"/>
    <n v="96.808099999999996"/>
    <n v="359.7713"/>
    <n v="360.91995841999994"/>
    <n v="360.91995841999994"/>
    <n v="0"/>
    <n v="1.08"/>
    <n v="6.999999999999984E-2"/>
    <n v="1.1499999999999999"/>
    <n v="368117"/>
    <x v="0"/>
    <x v="6"/>
    <n v="3683381"/>
  </r>
  <r>
    <d v="2026-10-08T00:00:00"/>
    <x v="0"/>
    <x v="1"/>
    <d v="2026-05-27T00:00:00"/>
    <m/>
    <m/>
    <m/>
    <m/>
    <n v="0"/>
    <m/>
    <n v="0"/>
    <m/>
    <n v="0"/>
    <m/>
    <n v="0"/>
    <n v="652.70000000000005"/>
    <n v="96.75"/>
    <n v="96.963399999999993"/>
    <n v="631.48725000000002"/>
    <n v="632.88011180000001"/>
    <n v="632.88011180000001"/>
    <n v="0"/>
    <n v="1.26"/>
    <n v="0.12999999999999989"/>
    <n v="1.39"/>
    <n v="368118"/>
    <x v="0"/>
    <x v="6"/>
    <n v="3683381"/>
  </r>
  <r>
    <d v="2026-10-08T00:00:00"/>
    <x v="0"/>
    <x v="1"/>
    <d v="2026-05-27T00:00:00"/>
    <m/>
    <m/>
    <m/>
    <m/>
    <n v="0"/>
    <m/>
    <n v="0"/>
    <m/>
    <n v="0"/>
    <m/>
    <n v="0"/>
    <n v="1456.22"/>
    <n v="97.3"/>
    <n v="97.513400000000004"/>
    <n v="1416.9020600000001"/>
    <n v="1420.0096334800003"/>
    <n v="1420.0096334800003"/>
    <n v="0"/>
    <n v="2.83"/>
    <n v="0.2799999999999998"/>
    <n v="3.11"/>
    <n v="368133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2038.64"/>
    <n v="97.2"/>
    <n v="97.414000000000001"/>
    <n v="1981.5580800000002"/>
    <n v="1985.9207696000001"/>
    <n v="1985.9207696000001"/>
    <n v="0"/>
    <n v="3.96"/>
    <n v="0.4"/>
    <n v="4.3600000000000003"/>
    <n v="368254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635.91999999999996"/>
    <n v="96.75"/>
    <n v="96.9619"/>
    <n v="615.25259999999992"/>
    <n v="616.60011448"/>
    <n v="616.60011448"/>
    <n v="0"/>
    <n v="1.23"/>
    <n v="0.12"/>
    <n v="1.35"/>
    <n v="368249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2575.4299999999998"/>
    <n v="97.2"/>
    <n v="97.414000000000001"/>
    <n v="2503.3179599999999"/>
    <n v="2508.8293801999998"/>
    <n v="2508.8293801999998"/>
    <n v="0"/>
    <n v="5.01"/>
    <n v="0.5"/>
    <n v="5.51"/>
    <n v="368251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433.7"/>
    <n v="96.5"/>
    <n v="96.712000000000003"/>
    <n v="418.52049999999997"/>
    <n v="419.43994400000003"/>
    <n v="419.43994400000003"/>
    <n v="0"/>
    <n v="0.84"/>
    <n v="0.08"/>
    <n v="0.91999999999999993"/>
    <n v="368252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1991.98"/>
    <n v="97.2"/>
    <n v="97.413600000000002"/>
    <n v="1936.2045600000001"/>
    <n v="1940.45942928"/>
    <n v="1940.45942928"/>
    <n v="0"/>
    <n v="3.87"/>
    <n v="0.39"/>
    <n v="4.26"/>
    <n v="368180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1637.07"/>
    <n v="97.2"/>
    <n v="97.413700000000006"/>
    <n v="1591.2320399999999"/>
    <n v="1594.7304585900001"/>
    <n v="1594.7304585900001"/>
    <n v="0"/>
    <n v="3.18"/>
    <n v="0.32"/>
    <n v="3.5"/>
    <n v="368192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542.25"/>
    <n v="96.75"/>
    <n v="96.962699999999998"/>
    <n v="524.62687500000004"/>
    <n v="525.78024074999996"/>
    <n v="525.78024074999996"/>
    <n v="0"/>
    <n v="1.05"/>
    <n v="0.1"/>
    <n v="1.1500000000000001"/>
    <n v="368203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1268.7"/>
    <n v="97.2"/>
    <n v="97.414699999999996"/>
    <n v="1233.1764000000001"/>
    <n v="1235.9002989000001"/>
    <n v="1235.9002989000001"/>
    <n v="0"/>
    <n v="2.4700000000000002"/>
    <n v="0.25"/>
    <n v="2.72"/>
    <n v="368221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814.36"/>
    <n v="97"/>
    <n v="97.213800000000006"/>
    <n v="789.92920000000004"/>
    <n v="791.67030168000008"/>
    <n v="791.67030168000008"/>
    <n v="0"/>
    <n v="1.58"/>
    <n v="0.16"/>
    <n v="1.74"/>
    <n v="368223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2114.63"/>
    <n v="97.1"/>
    <n v="97.313999999999993"/>
    <n v="2053.30573"/>
    <n v="2057.8310382"/>
    <n v="2057.8310382"/>
    <n v="0"/>
    <n v="4.1100000000000003"/>
    <n v="0.41"/>
    <n v="4.5200000000000005"/>
    <n v="368225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291.48"/>
    <n v="96.05"/>
    <n v="96.339371479999997"/>
    <n v="279.96654000000001"/>
    <n v="280.80999998990404"/>
    <n v="280.80999998990404"/>
    <n v="0"/>
    <n v="0.84"/>
    <n v="0"/>
    <n v="0.84"/>
    <s v="14580 - VRF32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2222.67"/>
    <n v="97.3"/>
    <n v="97.514250880000006"/>
    <n v="2162.6579099999999"/>
    <n v="2167.4200000344963"/>
    <n v="2167.4200000344963"/>
    <n v="0"/>
    <n v="4.33"/>
    <n v="0.43"/>
    <n v="4.76"/>
    <s v="14586 - VRF38"/>
    <x v="0"/>
    <x v="6"/>
    <n v="3683381"/>
  </r>
  <r>
    <d v="2026-10-08T00:00:00"/>
    <x v="0"/>
    <x v="1"/>
    <d v="2026-05-28T00:00:00"/>
    <m/>
    <m/>
    <m/>
    <m/>
    <n v="0"/>
    <m/>
    <n v="0"/>
    <m/>
    <n v="0"/>
    <m/>
    <n v="0"/>
    <n v="2478.4499999999998"/>
    <n v="97"/>
    <n v="97.213581070000004"/>
    <n v="2404.0965000000001"/>
    <n v="2409.3900000294148"/>
    <n v="2409.3900000294148"/>
    <n v="0"/>
    <n v="4.8099999999999996"/>
    <n v="0.48"/>
    <n v="5.2899999999999991"/>
    <s v="14695 - VRF37"/>
    <x v="0"/>
    <x v="6"/>
    <n v="3683381"/>
  </r>
  <r>
    <d v="2026-10-08T00:00:00"/>
    <x v="0"/>
    <x v="0"/>
    <d v="2026-05-29T00:00:00"/>
    <m/>
    <m/>
    <m/>
    <m/>
    <n v="0"/>
    <m/>
    <n v="0"/>
    <m/>
    <n v="0"/>
    <m/>
    <n v="0"/>
    <n v="4004.59"/>
    <n v="97.2"/>
    <n v="97.413700000000006"/>
    <n v="3892.4614800000004"/>
    <n v="3901.0192888300003"/>
    <n v="3901.0192888300003"/>
    <n v="0"/>
    <n v="7.78"/>
    <n v="0.78"/>
    <n v="8.56"/>
    <n v="368314"/>
    <x v="0"/>
    <x v="6"/>
    <n v="3683381"/>
  </r>
  <r>
    <d v="2026-10-08T00:00:00"/>
    <x v="0"/>
    <x v="1"/>
    <d v="2026-05-29T00:00:00"/>
    <m/>
    <m/>
    <m/>
    <m/>
    <n v="0"/>
    <m/>
    <n v="0"/>
    <m/>
    <n v="0"/>
    <m/>
    <n v="0"/>
    <n v="971.8"/>
    <n v="97"/>
    <n v="97.214399999999998"/>
    <n v="942.64599999999996"/>
    <n v="944.72953919999998"/>
    <n v="944.72953919999998"/>
    <n v="0"/>
    <n v="1.89"/>
    <n v="0.19"/>
    <n v="2.08"/>
    <n v="368300"/>
    <x v="0"/>
    <x v="6"/>
    <n v="3683381"/>
  </r>
  <r>
    <d v="2026-10-08T00:00:00"/>
    <x v="0"/>
    <x v="1"/>
    <d v="2026-05-29T00:00:00"/>
    <m/>
    <m/>
    <m/>
    <m/>
    <n v="0"/>
    <m/>
    <n v="0"/>
    <m/>
    <n v="0"/>
    <m/>
    <n v="0"/>
    <n v="706.21"/>
    <n v="96"/>
    <n v="96.212199999999996"/>
    <n v="677.96160000000009"/>
    <n v="679.46017762000008"/>
    <n v="679.46017762000008"/>
    <n v="0"/>
    <n v="1.36"/>
    <n v="0.14000000000000001"/>
    <n v="1.5"/>
    <n v="368309"/>
    <x v="0"/>
    <x v="6"/>
    <n v="3683381"/>
  </r>
  <r>
    <d v="2026-10-08T00:00:00"/>
    <x v="0"/>
    <x v="2"/>
    <d v="2026-05-29T00:00:00"/>
    <m/>
    <m/>
    <m/>
    <m/>
    <n v="0"/>
    <m/>
    <n v="0"/>
    <m/>
    <n v="0"/>
    <m/>
    <n v="0"/>
    <n v="263.08999999999997"/>
    <n v="96"/>
    <n v="96.210400000000007"/>
    <n v="252.56639999999999"/>
    <n v="253.11994136000001"/>
    <n v="253.11994136000001"/>
    <n v="0"/>
    <n v="0.5"/>
    <n v="0.05"/>
    <n v="0.55000000000000004"/>
    <n v="368299"/>
    <x v="0"/>
    <x v="6"/>
    <n v="3683381"/>
  </r>
  <r>
    <d v="2026-10-08T00:00:00"/>
    <x v="0"/>
    <x v="0"/>
    <d v="2026-05-29T00:00:00"/>
    <m/>
    <m/>
    <m/>
    <m/>
    <n v="0"/>
    <m/>
    <n v="0"/>
    <m/>
    <n v="0"/>
    <m/>
    <n v="0"/>
    <n v="512.94000000000005"/>
    <n v="96.5"/>
    <n v="96.713099999999997"/>
    <n v="494.98710000000005"/>
    <n v="496.08017514000005"/>
    <n v="496.08017514000005"/>
    <n v="0"/>
    <n v="0.99"/>
    <n v="0.1"/>
    <n v="1.0900000000000001"/>
    <n v="368315"/>
    <x v="0"/>
    <x v="6"/>
    <n v="3683381"/>
  </r>
  <r>
    <d v="2026-10-08T00:00:00"/>
    <x v="0"/>
    <x v="0"/>
    <d v="2026-05-29T00:00:00"/>
    <m/>
    <m/>
    <m/>
    <m/>
    <n v="0"/>
    <m/>
    <n v="0"/>
    <m/>
    <n v="0"/>
    <m/>
    <n v="0"/>
    <n v="353.14"/>
    <n v="96.5"/>
    <n v="96.712400000000002"/>
    <n v="340.7801"/>
    <n v="341.53016936"/>
    <n v="341.53016936"/>
    <n v="0"/>
    <n v="0.68"/>
    <n v="7.0000000000000007E-2"/>
    <n v="0.75"/>
    <n v="368316"/>
    <x v="0"/>
    <x v="6"/>
    <n v="3683381"/>
  </r>
  <r>
    <d v="2026-10-08T00:00:00"/>
    <x v="0"/>
    <x v="0"/>
    <d v="2026-05-29T00:00:00"/>
    <m/>
    <m/>
    <m/>
    <m/>
    <n v="0"/>
    <m/>
    <n v="0"/>
    <m/>
    <n v="0"/>
    <m/>
    <n v="0"/>
    <n v="485.25"/>
    <n v="96.5"/>
    <n v="96.712999999999994"/>
    <n v="468.26625000000001"/>
    <n v="469.29983249999998"/>
    <n v="469.29983249999998"/>
    <n v="0"/>
    <n v="0.94"/>
    <n v="0.09"/>
    <n v="1.03"/>
    <n v="368317"/>
    <x v="0"/>
    <x v="6"/>
    <n v="3683381"/>
  </r>
  <r>
    <d v="2026-10-08T00:00:00"/>
    <x v="0"/>
    <x v="1"/>
    <d v="2026-05-29T00:00:00"/>
    <m/>
    <m/>
    <m/>
    <m/>
    <n v="0"/>
    <m/>
    <n v="0"/>
    <m/>
    <n v="0"/>
    <m/>
    <n v="0"/>
    <n v="1183.9000000000001"/>
    <n v="97"/>
    <n v="97.213399999999993"/>
    <n v="1148.383"/>
    <n v="1150.9094426000001"/>
    <n v="1150.9094426000001"/>
    <n v="0"/>
    <n v="2.2999999999999998"/>
    <n v="0.23"/>
    <n v="2.5299999999999998"/>
    <n v="368278"/>
    <x v="0"/>
    <x v="6"/>
    <n v="3683381"/>
  </r>
  <r>
    <d v="2026-10-08T00:00:00"/>
    <x v="0"/>
    <x v="1"/>
    <d v="2026-05-29T00:00:00"/>
    <m/>
    <m/>
    <m/>
    <m/>
    <n v="0"/>
    <m/>
    <n v="0"/>
    <m/>
    <n v="0"/>
    <m/>
    <n v="0"/>
    <n v="1970.33"/>
    <n v="97.1"/>
    <n v="97.313599999999994"/>
    <n v="1913.1904299999997"/>
    <n v="1917.39905488"/>
    <n v="1917.39905488"/>
    <n v="0"/>
    <n v="3.83"/>
    <n v="0.38"/>
    <n v="4.21"/>
    <n v="368282"/>
    <x v="0"/>
    <x v="6"/>
    <n v="3683381"/>
  </r>
  <r>
    <d v="2026-10-08T00:00:00"/>
    <x v="0"/>
    <x v="1"/>
    <d v="2026-05-29T00:00:00"/>
    <m/>
    <m/>
    <m/>
    <m/>
    <n v="0"/>
    <m/>
    <n v="0"/>
    <m/>
    <n v="0"/>
    <m/>
    <n v="0"/>
    <n v="486.17"/>
    <n v="96.5"/>
    <n v="96.710999999999999"/>
    <n v="469.15404999999998"/>
    <n v="470.17986869999999"/>
    <n v="470.17986869999999"/>
    <n v="0"/>
    <n v="0.94"/>
    <n v="0.09"/>
    <n v="1.03"/>
    <n v="368283"/>
    <x v="0"/>
    <x v="6"/>
    <n v="3683381"/>
  </r>
  <r>
    <d v="2026-10-08T00:00:00"/>
    <x v="0"/>
    <x v="1"/>
    <d v="2026-05-29T00:00:00"/>
    <m/>
    <m/>
    <m/>
    <m/>
    <n v="0"/>
    <m/>
    <n v="0"/>
    <m/>
    <n v="0"/>
    <m/>
    <n v="0"/>
    <n v="319.62"/>
    <n v="96.5"/>
    <n v="96.711699999999993"/>
    <n v="308.43330000000003"/>
    <n v="309.10993553999998"/>
    <n v="309.10993553999998"/>
    <n v="0"/>
    <n v="0.62"/>
    <n v="0.06"/>
    <n v="0.67999999999999994"/>
    <n v="368286"/>
    <x v="0"/>
    <x v="6"/>
    <n v="3683381"/>
  </r>
  <r>
    <d v="2026-10-08T00:00:00"/>
    <x v="0"/>
    <x v="1"/>
    <d v="2026-05-29T00:00:00"/>
    <m/>
    <m/>
    <m/>
    <m/>
    <n v="0"/>
    <m/>
    <n v="0"/>
    <m/>
    <n v="0"/>
    <m/>
    <n v="0"/>
    <n v="6992.14"/>
    <n v="97.2"/>
    <n v="97.413799999999995"/>
    <n v="6796.3600800000004"/>
    <n v="6811.3092753199999"/>
    <n v="6811.3092753199999"/>
    <n v="0"/>
    <n v="13.59"/>
    <n v="1.36"/>
    <n v="14.95"/>
    <n v="368298"/>
    <x v="0"/>
    <x v="6"/>
    <n v="3683381"/>
  </r>
  <r>
    <d v="2026-10-08T00:00:00"/>
    <x v="0"/>
    <x v="0"/>
    <d v="2026-06-01T00:00:00"/>
    <m/>
    <m/>
    <m/>
    <m/>
    <n v="0"/>
    <m/>
    <n v="0"/>
    <m/>
    <n v="0"/>
    <m/>
    <n v="0"/>
    <n v="770.47"/>
    <n v="97"/>
    <n v="97.213399999999993"/>
    <n v="747.35590000000002"/>
    <n v="749.00008298"/>
    <n v="749.00008298"/>
    <m/>
    <n v="1.49"/>
    <n v="0.15"/>
    <n v="1.64"/>
    <n v="368332"/>
    <x v="0"/>
    <x v="7"/>
    <n v="3686693"/>
  </r>
  <r>
    <d v="2026-10-08T00:00:00"/>
    <x v="0"/>
    <x v="1"/>
    <d v="2026-06-01T00:00:00"/>
    <m/>
    <m/>
    <m/>
    <m/>
    <n v="0"/>
    <m/>
    <n v="0"/>
    <m/>
    <n v="0"/>
    <m/>
    <n v="0"/>
    <n v="252.25"/>
    <n v="96.5"/>
    <n v="96.7136"/>
    <n v="243.42124999999999"/>
    <n v="243.96005600000001"/>
    <n v="243.96005600000001"/>
    <m/>
    <n v="0.49"/>
    <n v="0.05"/>
    <n v="0.54"/>
    <n v="368358"/>
    <x v="0"/>
    <x v="7"/>
    <n v="3686693"/>
  </r>
  <r>
    <d v="2026-10-08T00:00:00"/>
    <x v="0"/>
    <x v="1"/>
    <d v="2026-06-01T00:00:00"/>
    <m/>
    <m/>
    <m/>
    <m/>
    <n v="0"/>
    <m/>
    <n v="0"/>
    <m/>
    <n v="0"/>
    <m/>
    <n v="0"/>
    <n v="410.79"/>
    <n v="96.5"/>
    <n v="96.711200000000005"/>
    <n v="396.41235"/>
    <n v="397.27993848000006"/>
    <n v="397.27993848000006"/>
    <m/>
    <n v="0.79"/>
    <n v="0.08"/>
    <n v="0.87"/>
    <n v="368359"/>
    <x v="0"/>
    <x v="7"/>
    <n v="3686693"/>
  </r>
  <r>
    <d v="2026-10-08T00:00:00"/>
    <x v="0"/>
    <x v="1"/>
    <d v="2026-06-01T00:00:00"/>
    <m/>
    <m/>
    <m/>
    <m/>
    <n v="0"/>
    <m/>
    <n v="0"/>
    <m/>
    <n v="0"/>
    <m/>
    <n v="0"/>
    <n v="610.4"/>
    <n v="96.5"/>
    <n v="96.7136"/>
    <n v="589.03599999999994"/>
    <n v="590.33981439999991"/>
    <n v="590.33981439999991"/>
    <m/>
    <n v="1.18"/>
    <n v="0.12"/>
    <n v="1.2999999999999998"/>
    <n v="368363"/>
    <x v="0"/>
    <x v="7"/>
    <n v="3686693"/>
  </r>
  <r>
    <d v="2026-10-08T00:00:00"/>
    <x v="0"/>
    <x v="1"/>
    <d v="2026-06-01T00:00:00"/>
    <m/>
    <m/>
    <m/>
    <m/>
    <n v="0"/>
    <m/>
    <n v="0"/>
    <m/>
    <n v="0"/>
    <m/>
    <n v="0"/>
    <n v="8193.67"/>
    <n v="97.25"/>
    <n v="97.463899999999995"/>
    <n v="7968.344075"/>
    <n v="7985.8703351300001"/>
    <n v="7985.8703351300001"/>
    <m/>
    <n v="15.94"/>
    <n v="1.59"/>
    <n v="17.53"/>
    <n v="368364"/>
    <x v="0"/>
    <x v="7"/>
    <n v="3686693"/>
  </r>
  <r>
    <d v="2026-10-08T00:00:00"/>
    <x v="0"/>
    <x v="1"/>
    <d v="2026-06-01T00:00:00"/>
    <m/>
    <m/>
    <m/>
    <m/>
    <n v="0"/>
    <m/>
    <n v="0"/>
    <m/>
    <n v="0"/>
    <m/>
    <n v="0"/>
    <n v="429.17"/>
    <n v="96.5"/>
    <n v="96.712299999999999"/>
    <n v="414.14904999999999"/>
    <n v="415.06017790999999"/>
    <n v="415.06017790999999"/>
    <m/>
    <n v="0.83"/>
    <n v="0.08"/>
    <n v="0.90999999999999992"/>
    <n v="368376"/>
    <x v="0"/>
    <x v="7"/>
    <n v="3686693"/>
  </r>
  <r>
    <d v="2026-10-08T00:00:00"/>
    <x v="0"/>
    <x v="1"/>
    <d v="2026-06-02T00:00:00"/>
    <m/>
    <m/>
    <m/>
    <m/>
    <n v="0"/>
    <m/>
    <n v="0"/>
    <m/>
    <n v="0"/>
    <m/>
    <n v="0"/>
    <n v="730.14"/>
    <n v="96.75"/>
    <n v="96.962199999999996"/>
    <n v="706.41044999999997"/>
    <n v="707.95980708000002"/>
    <n v="707.95980708000002"/>
    <m/>
    <n v="1.41"/>
    <n v="0.1400000000000001"/>
    <n v="1.55"/>
    <n v="368421"/>
    <x v="0"/>
    <x v="7"/>
    <n v="3686693"/>
  </r>
  <r>
    <d v="2026-10-08T00:00:00"/>
    <x v="0"/>
    <x v="1"/>
    <d v="2026-06-02T00:00:00"/>
    <m/>
    <m/>
    <m/>
    <m/>
    <n v="0"/>
    <m/>
    <n v="0"/>
    <m/>
    <n v="0"/>
    <m/>
    <n v="0"/>
    <n v="223.6"/>
    <n v="96"/>
    <n v="96.212000000000003"/>
    <n v="214.65599999999998"/>
    <n v="215.130032"/>
    <n v="215.130032"/>
    <m/>
    <n v="0.43"/>
    <n v="3.999999999999998E-2"/>
    <n v="0.47"/>
    <n v="368463"/>
    <x v="0"/>
    <x v="7"/>
    <n v="3686693"/>
  </r>
  <r>
    <d v="2026-10-08T00:00:00"/>
    <x v="0"/>
    <x v="1"/>
    <d v="2026-06-02T00:00:00"/>
    <m/>
    <m/>
    <m/>
    <m/>
    <n v="0"/>
    <m/>
    <n v="0"/>
    <m/>
    <n v="0"/>
    <m/>
    <n v="0"/>
    <n v="1312.52"/>
    <n v="97.2"/>
    <n v="97.414100000000005"/>
    <n v="1275.76944"/>
    <n v="1278.5795453200001"/>
    <n v="1278.5795453200001"/>
    <m/>
    <n v="2.5499999999999998"/>
    <n v="0.26000000000000018"/>
    <n v="2.81"/>
    <n v="368480"/>
    <x v="0"/>
    <x v="7"/>
    <n v="3686693"/>
  </r>
  <r>
    <d v="2026-10-08T00:00:00"/>
    <x v="0"/>
    <x v="1"/>
    <d v="2026-06-02T00:00:00"/>
    <m/>
    <m/>
    <m/>
    <m/>
    <n v="0"/>
    <m/>
    <n v="0"/>
    <m/>
    <n v="0"/>
    <m/>
    <n v="0"/>
    <n v="339.91"/>
    <n v="96"/>
    <n v="96.210800000000006"/>
    <n v="326.31360000000001"/>
    <n v="327.03013028000004"/>
    <n v="327.03013028000004"/>
    <m/>
    <n v="0.65"/>
    <n v="6.9999999999999951E-2"/>
    <n v="0.72"/>
    <n v="368483"/>
    <x v="0"/>
    <x v="7"/>
    <n v="3686693"/>
  </r>
  <r>
    <d v="2026-10-08T00:00:00"/>
    <x v="0"/>
    <x v="1"/>
    <d v="2026-06-02T00:00:00"/>
    <m/>
    <m/>
    <m/>
    <m/>
    <n v="0"/>
    <m/>
    <n v="0"/>
    <m/>
    <n v="0"/>
    <m/>
    <n v="0"/>
    <n v="968.22"/>
    <n v="97"/>
    <n v="97.213399999999993"/>
    <n v="939.17340000000002"/>
    <n v="941.23958147999986"/>
    <n v="941.23958147999986"/>
    <m/>
    <n v="1.88"/>
    <n v="0.18999999999999989"/>
    <n v="2.0699999999999998"/>
    <n v="368493"/>
    <x v="0"/>
    <x v="7"/>
    <n v="3686693"/>
  </r>
  <r>
    <d v="2026-10-08T00:00:00"/>
    <x v="0"/>
    <x v="1"/>
    <d v="2026-06-02T00:00:00"/>
    <m/>
    <m/>
    <m/>
    <m/>
    <n v="0"/>
    <m/>
    <n v="0"/>
    <m/>
    <n v="0"/>
    <m/>
    <n v="0"/>
    <n v="154.68"/>
    <n v="95"/>
    <n v="95.209500000000006"/>
    <n v="146.946"/>
    <n v="147.27005460000001"/>
    <n v="147.27005460000001"/>
    <m/>
    <n v="0.28999999999999998"/>
    <n v="3.000000000000003E-2"/>
    <n v="0.32"/>
    <n v="368496"/>
    <x v="0"/>
    <x v="7"/>
    <n v="3686693"/>
  </r>
  <r>
    <d v="2026-10-08T00:00:00"/>
    <x v="0"/>
    <x v="1"/>
    <d v="2026-06-02T00:00:00"/>
    <m/>
    <m/>
    <m/>
    <m/>
    <n v="0"/>
    <m/>
    <n v="0"/>
    <m/>
    <n v="0"/>
    <m/>
    <n v="0"/>
    <n v="1933.01"/>
    <n v="97.2"/>
    <n v="97.414400000000001"/>
    <n v="1878.8857200000002"/>
    <n v="1883.03009344"/>
    <n v="1883.03009344"/>
    <m/>
    <n v="3.76"/>
    <n v="0.37999999999999989"/>
    <n v="4.1399999999999997"/>
    <n v="368497"/>
    <x v="0"/>
    <x v="7"/>
    <n v="3686693"/>
  </r>
  <r>
    <d v="2026-10-08T00:00:00"/>
    <x v="0"/>
    <x v="1"/>
    <d v="2026-06-02T00:00:00"/>
    <m/>
    <m/>
    <m/>
    <m/>
    <n v="0"/>
    <m/>
    <n v="0"/>
    <m/>
    <n v="0"/>
    <m/>
    <n v="0"/>
    <n v="339.43"/>
    <n v="96"/>
    <n v="96.190672599999999"/>
    <n v="325.8528"/>
    <n v="326.50000000618002"/>
    <n v="326.50000000618002"/>
    <m/>
    <n v="0.65"/>
    <n v="0"/>
    <n v="0.65"/>
    <s v="15006 - VRF45"/>
    <x v="0"/>
    <x v="7"/>
    <n v="3686693"/>
  </r>
  <r>
    <d v="2026-10-08T00:00:00"/>
    <x v="0"/>
    <x v="1"/>
    <d v="2026-06-02T00:00:00"/>
    <m/>
    <m/>
    <m/>
    <m/>
    <n v="0"/>
    <m/>
    <n v="0"/>
    <m/>
    <n v="0"/>
    <m/>
    <n v="0"/>
    <n v="3530.89"/>
    <n v="97.2"/>
    <n v="97.413966450000004"/>
    <n v="3432.0250799999999"/>
    <n v="3439.5799999864048"/>
    <n v="3439.5799999864048"/>
    <m/>
    <n v="6.86"/>
    <n v="0.6899999999999995"/>
    <n v="7.55"/>
    <s v="15020 - VRF57"/>
    <x v="0"/>
    <x v="7"/>
    <n v="3686693"/>
  </r>
  <r>
    <d v="2026-10-08T00:00:00"/>
    <x v="0"/>
    <x v="1"/>
    <d v="2026-06-02T00:00:00"/>
    <m/>
    <m/>
    <m/>
    <m/>
    <n v="0"/>
    <m/>
    <n v="0"/>
    <m/>
    <n v="0"/>
    <m/>
    <n v="0"/>
    <n v="668.11"/>
    <n v="96.65"/>
    <n v="96.862792060000004"/>
    <n v="645.72831500000007"/>
    <n v="647.15000003206603"/>
    <n v="647.15000003206603"/>
    <m/>
    <n v="1.29"/>
    <n v="0.12999999999999989"/>
    <n v="1.42"/>
    <s v="15050 - VRF79"/>
    <x v="0"/>
    <x v="7"/>
    <n v="3686693"/>
  </r>
  <r>
    <d v="2026-10-08T00:00:00"/>
    <x v="0"/>
    <x v="1"/>
    <d v="2026-06-03T00:00:00"/>
    <m/>
    <m/>
    <m/>
    <m/>
    <n v="0"/>
    <m/>
    <n v="0"/>
    <m/>
    <n v="0"/>
    <m/>
    <n v="0"/>
    <n v="292.55"/>
    <n v="96"/>
    <n v="96.212599999999995"/>
    <n v="280.84800000000001"/>
    <n v="281.46996130000002"/>
    <n v="281.46996130000002"/>
    <m/>
    <n v="0.56000000000000005"/>
    <n v="5.9999999999999942E-2"/>
    <n v="0.62"/>
    <n v="368562"/>
    <x v="0"/>
    <x v="7"/>
    <n v="3686693"/>
  </r>
  <r>
    <d v="2026-10-08T00:00:00"/>
    <x v="0"/>
    <x v="1"/>
    <d v="2026-06-03T00:00:00"/>
    <m/>
    <m/>
    <m/>
    <m/>
    <n v="0"/>
    <m/>
    <n v="0"/>
    <m/>
    <n v="0"/>
    <m/>
    <n v="0"/>
    <n v="12733.71"/>
    <n v="97.6"/>
    <n v="97.717200000000005"/>
    <n v="12428.10096"/>
    <n v="12443.024868119999"/>
    <n v="12443.024868119999"/>
    <m/>
    <n v="12.43"/>
    <n v="2.4900000000000002"/>
    <n v="14.92"/>
    <n v="368585"/>
    <x v="0"/>
    <x v="7"/>
    <n v="3686693"/>
  </r>
  <r>
    <d v="2026-10-08T00:00:00"/>
    <x v="0"/>
    <x v="1"/>
    <d v="2026-06-03T00:00:00"/>
    <m/>
    <m/>
    <m/>
    <m/>
    <n v="0"/>
    <m/>
    <n v="0"/>
    <m/>
    <n v="0"/>
    <m/>
    <n v="0"/>
    <n v="517.79999999999995"/>
    <n v="96.5"/>
    <n v="96.712999999999994"/>
    <n v="499.67699999999996"/>
    <n v="500.77991399999991"/>
    <n v="500.77991399999991"/>
    <m/>
    <n v="1"/>
    <n v="0.1000000000000001"/>
    <n v="1.1000000000000001"/>
    <n v="368602"/>
    <x v="0"/>
    <x v="7"/>
    <n v="3686693"/>
  </r>
  <r>
    <d v="2026-10-08T00:00:00"/>
    <x v="0"/>
    <x v="1"/>
    <d v="2026-06-03T00:00:00"/>
    <m/>
    <m/>
    <m/>
    <m/>
    <n v="0"/>
    <m/>
    <n v="0"/>
    <m/>
    <n v="0"/>
    <m/>
    <n v="0"/>
    <n v="3418.95"/>
    <n v="97.55"/>
    <n v="97.667400000000001"/>
    <n v="3335.1857249999994"/>
    <n v="3339.1995723"/>
    <n v="3339.1995723"/>
    <m/>
    <n v="3.34"/>
    <n v="0.66999999999999993"/>
    <n v="4.01"/>
    <n v="368603"/>
    <x v="0"/>
    <x v="7"/>
    <n v="3686693"/>
  </r>
  <r>
    <d v="2026-10-08T00:00:00"/>
    <x v="0"/>
    <x v="1"/>
    <d v="2026-06-03T00:00:00"/>
    <m/>
    <m/>
    <m/>
    <m/>
    <n v="0"/>
    <m/>
    <n v="0"/>
    <m/>
    <n v="0"/>
    <m/>
    <n v="0"/>
    <n v="3604.5"/>
    <n v="97.45"/>
    <n v="97.566900000000004"/>
    <n v="3512.5852500000001"/>
    <n v="3516.7989105000001"/>
    <n v="3516.7989105000001"/>
    <m/>
    <n v="3.51"/>
    <n v="0.70000000000000018"/>
    <n v="4.21"/>
    <n v="368604"/>
    <x v="0"/>
    <x v="8"/>
    <s v="15514_01 - VRF59"/>
  </r>
  <r>
    <d v="2026-10-08T00:00:00"/>
    <x v="0"/>
    <x v="1"/>
    <d v="2026-06-03T00:00:00"/>
    <m/>
    <m/>
    <m/>
    <m/>
    <n v="0"/>
    <m/>
    <n v="0"/>
    <m/>
    <n v="0"/>
    <m/>
    <n v="0"/>
    <n v="1489.6"/>
    <n v="97.15"/>
    <n v="97.363699999999994"/>
    <n v="1447.1464000000001"/>
    <n v="1450.3296751999997"/>
    <n v="1450.3296751999997"/>
    <m/>
    <n v="2.89"/>
    <n v="0.28999999999999998"/>
    <n v="3.18"/>
    <n v="368605"/>
    <x v="0"/>
    <x v="7"/>
    <n v="3686693"/>
  </r>
  <r>
    <d v="2026-10-08T00:00:00"/>
    <x v="0"/>
    <x v="1"/>
    <d v="2026-06-03T00:00:00"/>
    <m/>
    <m/>
    <m/>
    <m/>
    <n v="0"/>
    <m/>
    <n v="0"/>
    <m/>
    <n v="0"/>
    <m/>
    <n v="0"/>
    <n v="1301.5"/>
    <n v="97.15"/>
    <n v="97.363810990000005"/>
    <n v="1264.40725"/>
    <n v="1267.1900000348501"/>
    <n v="1267.1900000348501"/>
    <m/>
    <n v="2.5299999999999998"/>
    <n v="0.25"/>
    <n v="2.78"/>
    <s v="15167 - VRF40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344.31"/>
    <n v="96.5"/>
    <n v="96.712299999999999"/>
    <n v="332.25915000000003"/>
    <n v="332.99012012999998"/>
    <n v="332.99012012999998"/>
    <m/>
    <n v="0.66"/>
    <n v="6.9999999999999951E-2"/>
    <n v="0.73"/>
    <n v="368723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548.30999999999995"/>
    <n v="96.5"/>
    <n v="96.713499999999996"/>
    <n v="529.11914999999999"/>
    <n v="530.28979184999992"/>
    <n v="530.28979184999992"/>
    <m/>
    <n v="1.06"/>
    <n v="0.1099999999999999"/>
    <n v="1.17"/>
    <n v="368726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2313.16"/>
    <n v="97.25"/>
    <n v="97.464100000000002"/>
    <n v="2249.5481"/>
    <n v="2254.50057556"/>
    <n v="2254.50057556"/>
    <m/>
    <n v="4.5"/>
    <n v="0.45000000000000018"/>
    <n v="4.95"/>
    <n v="368739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3926.65"/>
    <n v="97.3"/>
    <n v="97.513900000000007"/>
    <n v="3820.6304499999997"/>
    <n v="3829.0295543500001"/>
    <n v="3829.0295543500001"/>
    <m/>
    <n v="7.64"/>
    <n v="0.76000000000000068"/>
    <n v="8.4"/>
    <n v="368740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4463.9399999999996"/>
    <n v="97.5"/>
    <n v="97.616900000000001"/>
    <n v="4352.3414999999995"/>
    <n v="4357.5598458599998"/>
    <n v="4357.5598458599998"/>
    <m/>
    <n v="4.3499999999999996"/>
    <n v="0.87000000000000011"/>
    <n v="5.22"/>
    <n v="368741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4862.1000000000004"/>
    <n v="97.55"/>
    <n v="97.667100000000005"/>
    <n v="4742.9785500000007"/>
    <n v="4748.672069100001"/>
    <n v="4748.672069100001"/>
    <m/>
    <n v="4.74"/>
    <n v="0.95000000000000018"/>
    <n v="5.69"/>
    <n v="368744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4899.46"/>
    <n v="97.4"/>
    <n v="97.5167"/>
    <n v="4772.0740400000004"/>
    <n v="4777.7917098200005"/>
    <n v="4777.7917098200005"/>
    <m/>
    <n v="4.7699999999999996"/>
    <n v="0.95000000000000018"/>
    <n v="5.72"/>
    <n v="368749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3600"/>
    <n v="97.3"/>
    <n v="97.416700000000006"/>
    <n v="3502.8"/>
    <n v="3507.0012000000002"/>
    <n v="3507.0012000000002"/>
    <m/>
    <n v="3.5"/>
    <n v="0.70000000000000018"/>
    <n v="4.2"/>
    <n v="368756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1406.53"/>
    <n v="97.25"/>
    <n v="97.463999999999999"/>
    <n v="1367.8504250000001"/>
    <n v="1370.8603991999998"/>
    <n v="1370.8603991999998"/>
    <m/>
    <n v="2.74"/>
    <n v="0.26999999999999957"/>
    <n v="3.01"/>
    <n v="368759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531.54999999999995"/>
    <n v="96.5"/>
    <n v="96.713399999999993"/>
    <n v="512.94574999999998"/>
    <n v="514.08007769999995"/>
    <n v="514.08007769999995"/>
    <m/>
    <n v="1.03"/>
    <n v="9.9999999999999867E-2"/>
    <n v="1.1299999999999999"/>
    <n v="368760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954.84"/>
    <n v="96.75"/>
    <n v="96.962800000000001"/>
    <n v="923.80770000000007"/>
    <n v="925.83959952000009"/>
    <n v="925.83959952000009"/>
    <m/>
    <n v="1.85"/>
    <n v="0.17999999999999969"/>
    <n v="2.0299999999999998"/>
    <n v="368765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608.51"/>
    <n v="96.5"/>
    <n v="96.711600000000004"/>
    <n v="587.21214999999995"/>
    <n v="588.49975716000006"/>
    <n v="588.49975716000006"/>
    <m/>
    <n v="1.17"/>
    <n v="0.12000000000000011"/>
    <n v="1.29"/>
    <n v="368774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608.51"/>
    <n v="96.5"/>
    <n v="96.711600000000004"/>
    <n v="587.21214999999995"/>
    <n v="588.49975716000006"/>
    <n v="588.49975716000006"/>
    <m/>
    <n v="1.17"/>
    <n v="0.12000000000000011"/>
    <n v="1.29"/>
    <n v="368727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770.98"/>
    <n v="96.5"/>
    <n v="96.713300000000004"/>
    <n v="743.99570000000006"/>
    <n v="745.64020033999998"/>
    <n v="745.64020033999998"/>
    <m/>
    <n v="1.49"/>
    <n v="0.14999999999999991"/>
    <n v="1.64"/>
    <n v="368729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869.52"/>
    <n v="96.75"/>
    <n v="96.962699999999998"/>
    <n v="841.26059999999995"/>
    <n v="843.11006903999998"/>
    <n v="843.11006903999998"/>
    <m/>
    <n v="1.68"/>
    <n v="0.17000000000000021"/>
    <n v="1.85"/>
    <n v="368730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1137.52"/>
    <n v="97.25"/>
    <n v="97.463800000000006"/>
    <n v="1106.2382"/>
    <n v="1108.67021776"/>
    <n v="1108.67021776"/>
    <m/>
    <n v="2.21"/>
    <n v="0.2200000000000002"/>
    <n v="2.4300000000000002"/>
    <n v="368733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1589.14"/>
    <n v="97.25"/>
    <n v="97.463999999999999"/>
    <n v="1545.4386500000003"/>
    <n v="1548.8394096000002"/>
    <n v="1548.8394096000002"/>
    <m/>
    <n v="3.09"/>
    <n v="0.31000000000000011"/>
    <n v="3.4"/>
    <n v="368735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1776.94"/>
    <n v="97.45"/>
    <n v="97.664500000000004"/>
    <n v="1731.6280300000001"/>
    <n v="1735.4395663"/>
    <n v="1735.4395663"/>
    <m/>
    <n v="3.46"/>
    <n v="0.35000000000000009"/>
    <n v="3.81"/>
    <n v="368736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1721.86"/>
    <n v="97.2"/>
    <n v="97.413799999999995"/>
    <n v="1673.6479199999999"/>
    <n v="1677.3292566799998"/>
    <n v="1677.3292566799998"/>
    <m/>
    <n v="3.35"/>
    <n v="0.33000000000000013"/>
    <n v="3.68"/>
    <n v="368737"/>
    <x v="0"/>
    <x v="8"/>
    <s v="15514_01 - VRF59"/>
  </r>
  <r>
    <d v="2026-10-08T00:00:00"/>
    <x v="0"/>
    <x v="1"/>
    <d v="2026-06-05T00:00:00"/>
    <m/>
    <m/>
    <m/>
    <m/>
    <n v="0"/>
    <m/>
    <n v="0"/>
    <m/>
    <n v="0"/>
    <m/>
    <n v="0"/>
    <n v="2436.3000000000002"/>
    <n v="97.25"/>
    <n v="97.463800000000006"/>
    <n v="2369.3017500000001"/>
    <n v="2374.5105594000001"/>
    <n v="2374.5105594000001"/>
    <m/>
    <n v="4.74"/>
    <n v="0.46999999999999981"/>
    <n v="5.21"/>
    <n v="368738"/>
    <x v="0"/>
    <x v="8"/>
    <s v="15514_01 - VRF59"/>
  </r>
  <r>
    <d v="2026-10-08T00:00:00"/>
    <x v="0"/>
    <x v="1"/>
    <d v="2026-06-08T00:00:00"/>
    <m/>
    <m/>
    <m/>
    <m/>
    <n v="0"/>
    <m/>
    <n v="0"/>
    <m/>
    <n v="0"/>
    <m/>
    <n v="0"/>
    <n v="561.03"/>
    <n v="97"/>
    <n v="97.116"/>
    <n v="544.19909999999993"/>
    <n v="544.84989480000002"/>
    <n v="544.84989480000002"/>
    <m/>
    <n v="0.54"/>
    <n v="0.11"/>
    <n v="0.65"/>
    <n v="368828"/>
    <x v="0"/>
    <x v="9"/>
    <n v="3692061"/>
  </r>
  <r>
    <d v="2026-10-08T00:00:00"/>
    <x v="0"/>
    <x v="1"/>
    <d v="2026-06-08T00:00:00"/>
    <m/>
    <m/>
    <m/>
    <m/>
    <n v="0"/>
    <m/>
    <n v="0"/>
    <m/>
    <n v="0"/>
    <m/>
    <n v="0"/>
    <n v="857.82"/>
    <n v="97"/>
    <n v="97.117099999999994"/>
    <n v="832.08540000000005"/>
    <n v="833.08990721999999"/>
    <n v="833.08990721999999"/>
    <m/>
    <n v="0.83"/>
    <n v="0.17"/>
    <n v="1"/>
    <n v="368840"/>
    <x v="0"/>
    <x v="9"/>
    <n v="3692061"/>
  </r>
  <r>
    <d v="2026-10-08T00:00:00"/>
    <x v="0"/>
    <x v="1"/>
    <d v="2026-06-08T00:00:00"/>
    <m/>
    <m/>
    <m/>
    <m/>
    <n v="0"/>
    <m/>
    <n v="0"/>
    <m/>
    <n v="0"/>
    <m/>
    <n v="0"/>
    <n v="430.79"/>
    <n v="97"/>
    <n v="97.116900000000001"/>
    <n v="417.86630000000002"/>
    <n v="418.36989351000005"/>
    <n v="418.36989351000005"/>
    <m/>
    <n v="0.42"/>
    <n v="8.0000000000000016E-2"/>
    <n v="0.5"/>
    <n v="368841"/>
    <x v="0"/>
    <x v="9"/>
    <n v="3692061"/>
  </r>
  <r>
    <d v="2026-10-08T00:00:00"/>
    <x v="0"/>
    <x v="1"/>
    <d v="2026-06-08T00:00:00"/>
    <m/>
    <m/>
    <m/>
    <m/>
    <n v="0"/>
    <m/>
    <n v="0"/>
    <m/>
    <n v="0"/>
    <m/>
    <n v="0"/>
    <n v="911.5"/>
    <n v="97"/>
    <n v="97.116799999999998"/>
    <n v="884.15499999999997"/>
    <n v="885.21963199999993"/>
    <n v="885.21963199999993"/>
    <m/>
    <n v="0.88"/>
    <n v="0.18"/>
    <n v="1.06"/>
    <n v="368842"/>
    <x v="0"/>
    <x v="9"/>
    <n v="3692061"/>
  </r>
  <r>
    <d v="2026-10-08T00:00:00"/>
    <x v="0"/>
    <x v="1"/>
    <d v="2026-06-08T00:00:00"/>
    <m/>
    <m/>
    <m/>
    <m/>
    <n v="0"/>
    <m/>
    <n v="0"/>
    <m/>
    <n v="0"/>
    <m/>
    <n v="0"/>
    <n v="302.25"/>
    <n v="97"/>
    <n v="97.114999999999995"/>
    <n v="293.1825"/>
    <n v="293.53008749999998"/>
    <n v="293.53008749999998"/>
    <m/>
    <n v="0.28999999999999998"/>
    <n v="0.06"/>
    <n v="0.35"/>
    <n v="368843"/>
    <x v="0"/>
    <x v="9"/>
    <n v="3692061"/>
  </r>
  <r>
    <d v="2026-10-08T00:00:00"/>
    <x v="0"/>
    <x v="1"/>
    <d v="2026-06-09T00:00:00"/>
    <m/>
    <m/>
    <m/>
    <m/>
    <n v="0"/>
    <m/>
    <n v="0"/>
    <m/>
    <n v="0"/>
    <m/>
    <n v="0"/>
    <n v="2447.63"/>
    <n v="97.4"/>
    <n v="97.516800000000003"/>
    <n v="2383.9916200000002"/>
    <n v="2386.85045184"/>
    <n v="2386.85045184"/>
    <m/>
    <n v="2.38"/>
    <n v="0.48"/>
    <n v="2.86"/>
    <n v="368895"/>
    <x v="0"/>
    <x v="9"/>
    <n v="3692061"/>
  </r>
  <r>
    <d v="2026-10-08T00:00:00"/>
    <x v="0"/>
    <x v="1"/>
    <d v="2026-06-09T00:00:00"/>
    <m/>
    <m/>
    <m/>
    <m/>
    <n v="0"/>
    <m/>
    <n v="0"/>
    <m/>
    <n v="0"/>
    <m/>
    <n v="0"/>
    <n v="562.54"/>
    <n v="97"/>
    <n v="97.116600000000005"/>
    <n v="545.66379999999992"/>
    <n v="546.31972164000001"/>
    <n v="546.31972164000001"/>
    <m/>
    <n v="0.55000000000000004"/>
    <n v="0.11"/>
    <n v="0.66"/>
    <n v="368900"/>
    <x v="0"/>
    <x v="9"/>
    <n v="3692061"/>
  </r>
  <r>
    <d v="2026-10-08T00:00:00"/>
    <x v="0"/>
    <x v="1"/>
    <d v="2026-06-09T00:00:00"/>
    <m/>
    <m/>
    <m/>
    <m/>
    <n v="0"/>
    <m/>
    <n v="0"/>
    <m/>
    <n v="0"/>
    <m/>
    <n v="0"/>
    <n v="171.37"/>
    <n v="96"/>
    <n v="96.113699999999994"/>
    <n v="164.51519999999999"/>
    <n v="164.71004768999998"/>
    <n v="164.71004768999998"/>
    <m/>
    <n v="0.16"/>
    <n v="0.03"/>
    <n v="0.19"/>
    <n v="368901"/>
    <x v="0"/>
    <x v="9"/>
    <n v="3692061"/>
  </r>
  <r>
    <d v="2026-10-08T00:00:00"/>
    <x v="0"/>
    <x v="1"/>
    <d v="2026-06-09T00:00:00"/>
    <m/>
    <m/>
    <m/>
    <m/>
    <n v="0"/>
    <m/>
    <n v="0"/>
    <m/>
    <n v="0"/>
    <m/>
    <n v="0"/>
    <n v="2342.5"/>
    <n v="97.1"/>
    <n v="97.216200000000001"/>
    <n v="2274.5675000000001"/>
    <n v="2277.2894849999998"/>
    <n v="2277.2894849999998"/>
    <m/>
    <n v="2.27"/>
    <n v="0.45000000000000018"/>
    <n v="2.72"/>
    <n v="368905"/>
    <x v="0"/>
    <x v="9"/>
    <n v="3692061"/>
  </r>
  <r>
    <d v="2026-10-08T00:00:00"/>
    <x v="0"/>
    <x v="1"/>
    <d v="2026-06-09T00:00:00"/>
    <m/>
    <m/>
    <m/>
    <m/>
    <n v="0"/>
    <m/>
    <n v="0"/>
    <m/>
    <n v="0"/>
    <m/>
    <n v="0"/>
    <n v="452.86"/>
    <n v="96.5"/>
    <n v="96.712000000000003"/>
    <n v="437.00989999999996"/>
    <n v="437.96996320000005"/>
    <n v="437.96996320000005"/>
    <m/>
    <n v="0.87"/>
    <n v="8.9999999999999969E-2"/>
    <n v="0.96"/>
    <n v="368913"/>
    <x v="0"/>
    <x v="9"/>
    <n v="3692061"/>
  </r>
  <r>
    <d v="2026-10-08T00:00:00"/>
    <x v="0"/>
    <x v="1"/>
    <d v="2026-06-09T00:00:00"/>
    <m/>
    <m/>
    <m/>
    <m/>
    <n v="0"/>
    <m/>
    <n v="0"/>
    <m/>
    <n v="0"/>
    <m/>
    <n v="0"/>
    <n v="669.04"/>
    <n v="97"/>
    <n v="97.116799999999998"/>
    <n v="648.96879999999999"/>
    <n v="649.75023871999997"/>
    <n v="649.75023871999997"/>
    <m/>
    <n v="0.65"/>
    <n v="0.13"/>
    <n v="0.78"/>
    <n v="368941"/>
    <x v="0"/>
    <x v="9"/>
    <n v="3692061"/>
  </r>
  <r>
    <d v="2026-10-08T00:00:00"/>
    <x v="0"/>
    <x v="1"/>
    <d v="2026-06-09T00:00:00"/>
    <m/>
    <m/>
    <m/>
    <m/>
    <n v="0"/>
    <m/>
    <n v="0"/>
    <m/>
    <n v="0"/>
    <m/>
    <n v="0"/>
    <n v="378.65"/>
    <n v="96"/>
    <n v="96.191733790000001"/>
    <n v="363.50399999999996"/>
    <n v="364.22999999583493"/>
    <n v="364.22999999583493"/>
    <m/>
    <n v="0.73"/>
    <n v="0"/>
    <n v="0.73"/>
    <s v="15573 - VRF16"/>
    <x v="0"/>
    <x v="9"/>
    <n v="3692061"/>
  </r>
  <r>
    <d v="2026-10-08T00:00:00"/>
    <x v="0"/>
    <x v="1"/>
    <d v="2026-06-09T00:00:00"/>
    <m/>
    <m/>
    <m/>
    <m/>
    <n v="0"/>
    <m/>
    <n v="0"/>
    <m/>
    <n v="0"/>
    <m/>
    <n v="0"/>
    <n v="385.22"/>
    <n v="97"/>
    <n v="97.193811330000003"/>
    <n v="373.66340000000002"/>
    <n v="374.41000000542607"/>
    <n v="374.41000000542607"/>
    <m/>
    <n v="0.75"/>
    <n v="0"/>
    <n v="0.75"/>
    <s v="15583 - VRF24"/>
    <x v="0"/>
    <x v="9"/>
    <n v="3692061"/>
  </r>
  <r>
    <d v="2026-10-08T00:00:00"/>
    <x v="0"/>
    <x v="1"/>
    <d v="2026-06-09T00:00:00"/>
    <m/>
    <m/>
    <m/>
    <m/>
    <n v="0"/>
    <m/>
    <n v="0"/>
    <m/>
    <n v="0"/>
    <m/>
    <n v="0"/>
    <n v="870.32"/>
    <n v="97"/>
    <n v="97.116003309999996"/>
    <n v="844.21040000000005"/>
    <n v="845.22000000759203"/>
    <n v="845.22000000759203"/>
    <m/>
    <n v="0.84"/>
    <n v="0.17"/>
    <n v="1.01"/>
    <s v="15617 - VRF53"/>
    <x v="0"/>
    <x v="9"/>
    <n v="3692061"/>
  </r>
  <r>
    <d v="2026-10-08T00:00:00"/>
    <x v="0"/>
    <x v="1"/>
    <d v="2026-06-10T00:00:00"/>
    <m/>
    <m/>
    <m/>
    <m/>
    <n v="0"/>
    <m/>
    <n v="0"/>
    <m/>
    <n v="0"/>
    <m/>
    <n v="0"/>
    <n v="6087.97"/>
    <n v="97.4"/>
    <n v="97.516900000000007"/>
    <n v="5929.6827800000001"/>
    <n v="5936.7996169300004"/>
    <n v="5936.7996169300004"/>
    <m/>
    <n v="5.93"/>
    <n v="1.19"/>
    <n v="7.1199999999999992"/>
    <n v="369009"/>
    <x v="0"/>
    <x v="9"/>
    <n v="3692061"/>
  </r>
  <r>
    <d v="2026-10-08T00:00:00"/>
    <x v="0"/>
    <x v="1"/>
    <d v="2026-06-10T00:00:00"/>
    <m/>
    <m/>
    <m/>
    <m/>
    <n v="0"/>
    <m/>
    <n v="0"/>
    <m/>
    <n v="0"/>
    <m/>
    <n v="0"/>
    <n v="1556.95"/>
    <n v="97.4"/>
    <n v="97.516900000000007"/>
    <n v="1516.4693000000002"/>
    <n v="1518.28937455"/>
    <n v="1518.28937455"/>
    <m/>
    <n v="1.52"/>
    <n v="0.3"/>
    <n v="1.82"/>
    <n v="369013"/>
    <x v="0"/>
    <x v="9"/>
    <n v="3692061"/>
  </r>
  <r>
    <d v="2026-10-08T00:00:00"/>
    <x v="0"/>
    <x v="1"/>
    <d v="2026-06-10T00:00:00"/>
    <m/>
    <m/>
    <m/>
    <m/>
    <n v="0"/>
    <m/>
    <n v="0"/>
    <m/>
    <n v="0"/>
    <m/>
    <n v="0"/>
    <n v="4190"/>
    <n v="97.4"/>
    <n v="97.516945109999995"/>
    <n v="4081.06"/>
    <n v="4085.9600001089998"/>
    <n v="4085.9600001089998"/>
    <m/>
    <n v="4.08"/>
    <n v="0.82000000000000028"/>
    <n v="4.9000000000000004"/>
    <n v="15706"/>
    <x v="0"/>
    <x v="9"/>
    <n v="3692061"/>
  </r>
  <r>
    <d v="2026-10-08T00:00:00"/>
    <x v="0"/>
    <x v="1"/>
    <d v="2026-06-10T00:00:00"/>
    <m/>
    <m/>
    <m/>
    <m/>
    <n v="0"/>
    <m/>
    <n v="0"/>
    <m/>
    <n v="0"/>
    <m/>
    <n v="0"/>
    <n v="637.88"/>
    <n v="96"/>
    <n v="96.209318370000005"/>
    <n v="612.36479999999995"/>
    <n v="613.70000001855601"/>
    <n v="613.70000001855601"/>
    <m/>
    <n v="1.22"/>
    <n v="0.12000000000000011"/>
    <n v="1.34"/>
    <n v="15707"/>
    <x v="0"/>
    <x v="9"/>
    <n v="3692061"/>
  </r>
  <r>
    <d v="2026-10-08T00:00:00"/>
    <x v="0"/>
    <x v="1"/>
    <d v="2026-06-10T00:00:00"/>
    <m/>
    <m/>
    <m/>
    <m/>
    <n v="0"/>
    <m/>
    <n v="0"/>
    <m/>
    <n v="0"/>
    <m/>
    <n v="0"/>
    <n v="1010.55"/>
    <n v="97.1"/>
    <n v="97.216367320000003"/>
    <n v="981.24404999999979"/>
    <n v="982.41999995226001"/>
    <n v="982.41999995226001"/>
    <m/>
    <n v="0.98"/>
    <n v="0.2"/>
    <n v="1.18"/>
    <n v="15767"/>
    <x v="0"/>
    <x v="9"/>
    <n v="3692061"/>
  </r>
  <r>
    <d v="2026-10-08T00:00:00"/>
    <x v="0"/>
    <x v="1"/>
    <d v="2026-06-10T00:00:00"/>
    <m/>
    <m/>
    <m/>
    <m/>
    <n v="0"/>
    <m/>
    <n v="0"/>
    <m/>
    <n v="0"/>
    <m/>
    <n v="0"/>
    <n v="784.16"/>
    <n v="96.55"/>
    <n v="96.666496629999997"/>
    <n v="757.10648000000003"/>
    <n v="758.01999997380801"/>
    <n v="758.01999997380801"/>
    <m/>
    <n v="0.76"/>
    <n v="0.15"/>
    <n v="0.91"/>
    <n v="15769"/>
    <x v="0"/>
    <x v="9"/>
    <n v="3692061"/>
  </r>
  <r>
    <d v="2026-10-08T00:00:00"/>
    <x v="0"/>
    <x v="1"/>
    <d v="2026-06-10T00:00:00"/>
    <m/>
    <m/>
    <m/>
    <m/>
    <n v="0"/>
    <m/>
    <n v="0"/>
    <m/>
    <n v="0"/>
    <m/>
    <n v="0"/>
    <n v="300"/>
    <n v="95.15"/>
    <n v="95.34"/>
    <n v="285.45"/>
    <n v="286.02"/>
    <n v="286.02"/>
    <m/>
    <n v="0.56999999999999995"/>
    <n v="0"/>
    <n v="0.56999999999999995"/>
    <n v="15770"/>
    <x v="0"/>
    <x v="9"/>
    <n v="3692061"/>
  </r>
  <r>
    <d v="2026-10-08T00:00:00"/>
    <x v="0"/>
    <x v="1"/>
    <d v="2026-06-11T00:00:00"/>
    <m/>
    <m/>
    <m/>
    <m/>
    <n v="0"/>
    <m/>
    <n v="0"/>
    <m/>
    <n v="0"/>
    <m/>
    <n v="0"/>
    <n v="1441.15"/>
    <n v="97.4"/>
    <n v="97.516599999999997"/>
    <n v="1403.6801"/>
    <n v="1405.3604808999999"/>
    <n v="1405.3604808999999"/>
    <m/>
    <n v="1.4"/>
    <n v="0.28000000000000003"/>
    <n v="1.68"/>
    <n v="369081"/>
    <x v="0"/>
    <x v="9"/>
    <n v="3692061"/>
  </r>
  <r>
    <d v="2026-10-08T00:00:00"/>
    <x v="0"/>
    <x v="1"/>
    <d v="2026-06-11T00:00:00"/>
    <m/>
    <m/>
    <m/>
    <m/>
    <n v="0"/>
    <m/>
    <n v="0"/>
    <m/>
    <n v="0"/>
    <m/>
    <n v="0"/>
    <n v="281.73"/>
    <n v="96"/>
    <n v="96.209100000000007"/>
    <n v="270.46080000000001"/>
    <n v="271.04989743000004"/>
    <n v="271.04989743000004"/>
    <m/>
    <n v="0.54"/>
    <n v="4.9999999999999933E-2"/>
    <n v="0.59"/>
    <n v="369040"/>
    <x v="0"/>
    <x v="9"/>
    <n v="3692061"/>
  </r>
  <r>
    <d v="2026-10-08T00:00:00"/>
    <x v="0"/>
    <x v="1"/>
    <d v="2026-06-11T00:00:00"/>
    <m/>
    <m/>
    <m/>
    <m/>
    <n v="0"/>
    <m/>
    <n v="0"/>
    <m/>
    <n v="0"/>
    <m/>
    <n v="0"/>
    <n v="758.8"/>
    <n v="97"/>
    <n v="97.117800000000003"/>
    <n v="736.03599999999994"/>
    <n v="736.92986640000004"/>
    <n v="736.92986640000004"/>
    <m/>
    <n v="0.74"/>
    <n v="0.15"/>
    <n v="0.89"/>
    <n v="369063"/>
    <x v="0"/>
    <x v="9"/>
    <n v="3692061"/>
  </r>
  <r>
    <d v="2026-10-08T00:00:00"/>
    <x v="0"/>
    <x v="1"/>
    <d v="2026-06-11T00:00:00"/>
    <m/>
    <m/>
    <m/>
    <m/>
    <n v="0"/>
    <m/>
    <n v="0"/>
    <m/>
    <n v="0"/>
    <m/>
    <n v="0"/>
    <n v="550.36"/>
    <n v="97"/>
    <n v="97.116399999999999"/>
    <n v="533.8492"/>
    <n v="534.48981904000004"/>
    <n v="534.48981904000004"/>
    <m/>
    <n v="0.53"/>
    <n v="0.11"/>
    <n v="0.64"/>
    <n v="369072"/>
    <x v="0"/>
    <x v="9"/>
    <n v="3692061"/>
  </r>
  <r>
    <d v="2026-10-08T00:00:00"/>
    <x v="0"/>
    <x v="1"/>
    <d v="2026-06-11T00:00:00"/>
    <m/>
    <m/>
    <m/>
    <m/>
    <n v="0"/>
    <m/>
    <n v="0"/>
    <m/>
    <n v="0"/>
    <m/>
    <n v="0"/>
    <n v="797.02"/>
    <n v="97"/>
    <n v="97.115499999999997"/>
    <n v="773.10940000000005"/>
    <n v="774.02995809999993"/>
    <n v="774.02995809999993"/>
    <m/>
    <n v="0.77"/>
    <n v="0.15"/>
    <n v="0.92"/>
    <n v="369073"/>
    <x v="0"/>
    <x v="9"/>
    <n v="3692061"/>
  </r>
  <r>
    <d v="2026-10-08T00:00:00"/>
    <x v="0"/>
    <x v="1"/>
    <d v="2026-06-11T00:00:00"/>
    <m/>
    <m/>
    <m/>
    <m/>
    <n v="0"/>
    <m/>
    <n v="0"/>
    <m/>
    <n v="0"/>
    <m/>
    <n v="0"/>
    <n v="2843.65"/>
    <n v="97.3"/>
    <n v="97.416700370000001"/>
    <n v="2766.8714500000001"/>
    <n v="2770.190000071505"/>
    <n v="2770.190000071505"/>
    <m/>
    <n v="2.77"/>
    <n v="0.54999999999999982"/>
    <n v="3.32"/>
    <n v="15791"/>
    <x v="0"/>
    <x v="9"/>
    <n v="3692061"/>
  </r>
  <r>
    <d v="2026-10-08T00:00:00"/>
    <x v="0"/>
    <x v="1"/>
    <d v="2026-06-11T00:00:00"/>
    <m/>
    <m/>
    <m/>
    <m/>
    <n v="0"/>
    <m/>
    <n v="0"/>
    <m/>
    <n v="0"/>
    <m/>
    <n v="0"/>
    <n v="744.27"/>
    <n v="96.55"/>
    <n v="96.761927799999995"/>
    <n v="718.59268499999996"/>
    <n v="720.17000003705994"/>
    <n v="720.17000003705994"/>
    <m/>
    <n v="1.44"/>
    <n v="0.1400000000000001"/>
    <n v="1.58"/>
    <n v="15822"/>
    <x v="0"/>
    <x v="9"/>
    <n v="3692061"/>
  </r>
  <r>
    <d v="2026-10-08T00:00:00"/>
    <x v="0"/>
    <x v="1"/>
    <d v="2026-06-11T00:00:00"/>
    <m/>
    <m/>
    <m/>
    <m/>
    <n v="0"/>
    <m/>
    <n v="0"/>
    <m/>
    <n v="0"/>
    <m/>
    <n v="0"/>
    <n v="978.68"/>
    <n v="97"/>
    <n v="97.21359382"/>
    <n v="949.31959999999992"/>
    <n v="951.40999999757594"/>
    <n v="951.40999999757594"/>
    <m/>
    <n v="1.9"/>
    <n v="0.18999999999999989"/>
    <n v="2.09"/>
    <n v="15856"/>
    <x v="0"/>
    <x v="9"/>
    <n v="3692061"/>
  </r>
  <r>
    <d v="2026-10-08T00:00:00"/>
    <x v="0"/>
    <x v="1"/>
    <d v="2026-06-11T00:00:00"/>
    <m/>
    <m/>
    <m/>
    <m/>
    <n v="0"/>
    <m/>
    <n v="0"/>
    <m/>
    <n v="0"/>
    <m/>
    <n v="0"/>
    <n v="1623.8"/>
    <n v="97.35"/>
    <n v="97.467052589999994"/>
    <n v="1580.7692999999999"/>
    <n v="1582.6699999564198"/>
    <n v="1582.6699999564198"/>
    <m/>
    <n v="1.58"/>
    <n v="0.31999999999999978"/>
    <n v="1.9"/>
    <n v="15907"/>
    <x v="0"/>
    <x v="9"/>
    <n v="3692061"/>
  </r>
  <r>
    <d v="2026-10-08T00:00:00"/>
    <x v="0"/>
    <x v="1"/>
    <d v="2026-06-13T00:00:00"/>
    <m/>
    <m/>
    <m/>
    <m/>
    <n v="0"/>
    <m/>
    <n v="0"/>
    <m/>
    <n v="0"/>
    <m/>
    <n v="0"/>
    <n v="1302.67"/>
    <n v="97.3"/>
    <n v="97.416799999999995"/>
    <n v="1267.49791"/>
    <n v="1269.0194285600001"/>
    <n v="1269.0194285600001"/>
    <m/>
    <n v="1.27"/>
    <n v="0.25"/>
    <n v="1.52"/>
    <n v="369114"/>
    <x v="0"/>
    <x v="9"/>
    <n v="3692061"/>
  </r>
  <r>
    <d v="2026-10-08T00:00:00"/>
    <x v="0"/>
    <x v="1"/>
    <d v="2026-06-13T00:00:00"/>
    <m/>
    <m/>
    <m/>
    <m/>
    <n v="0"/>
    <m/>
    <n v="0"/>
    <m/>
    <n v="0"/>
    <m/>
    <n v="0"/>
    <n v="433.79"/>
    <n v="96.7"/>
    <n v="96.814099999999996"/>
    <n v="419.47493000000003"/>
    <n v="419.96988439"/>
    <n v="419.96988439"/>
    <m/>
    <n v="0.42"/>
    <n v="8.0000000000000016E-2"/>
    <n v="0.5"/>
    <n v="369166"/>
    <x v="0"/>
    <x v="9"/>
    <n v="3692061"/>
  </r>
  <r>
    <d v="2026-10-08T00:00:00"/>
    <x v="0"/>
    <x v="1"/>
    <d v="2026-06-13T00:00:00"/>
    <m/>
    <m/>
    <m/>
    <m/>
    <n v="0"/>
    <m/>
    <n v="0"/>
    <m/>
    <n v="0"/>
    <m/>
    <n v="0"/>
    <n v="2587.36"/>
    <n v="97.55"/>
    <n v="97.666700000000006"/>
    <n v="2523.9696800000002"/>
    <n v="2526.9891291200001"/>
    <n v="2526.9891291200001"/>
    <m/>
    <n v="2.52"/>
    <n v="0.5"/>
    <n v="3.02"/>
    <n v="369167"/>
    <x v="0"/>
    <x v="9"/>
    <n v="3692061"/>
  </r>
  <r>
    <d v="2026-10-08T00:00:00"/>
    <x v="0"/>
    <x v="1"/>
    <d v="2026-06-13T00:00:00"/>
    <m/>
    <m/>
    <m/>
    <m/>
    <n v="0"/>
    <m/>
    <n v="0"/>
    <m/>
    <n v="0"/>
    <m/>
    <n v="0"/>
    <n v="2711.74"/>
    <n v="97.4"/>
    <n v="97.5167"/>
    <n v="2641.2347599999998"/>
    <n v="2644.3993605799997"/>
    <n v="2644.3993605799997"/>
    <m/>
    <n v="2.64"/>
    <n v="0.5299999999999998"/>
    <n v="3.17"/>
    <n v="369169"/>
    <x v="0"/>
    <x v="9"/>
    <n v="3692061"/>
  </r>
  <r>
    <d v="2026-10-08T00:00:00"/>
    <x v="0"/>
    <x v="1"/>
    <d v="2026-06-13T00:00:00"/>
    <m/>
    <m/>
    <m/>
    <m/>
    <n v="0"/>
    <m/>
    <n v="0"/>
    <m/>
    <n v="0"/>
    <m/>
    <n v="0"/>
    <n v="462.95"/>
    <n v="96.5"/>
    <n v="96.6173"/>
    <n v="446.74674999999996"/>
    <n v="447.28979034999998"/>
    <n v="447.28979034999998"/>
    <m/>
    <n v="0.45"/>
    <n v="9.0000000000000024E-2"/>
    <n v="0.54"/>
    <n v="369179"/>
    <x v="0"/>
    <x v="9"/>
    <n v="3692061"/>
  </r>
  <r>
    <d v="2026-10-08T00:00:00"/>
    <x v="0"/>
    <x v="1"/>
    <d v="2026-06-13T00:00:00"/>
    <m/>
    <m/>
    <m/>
    <m/>
    <n v="0"/>
    <m/>
    <n v="0"/>
    <m/>
    <n v="0"/>
    <m/>
    <n v="0"/>
    <n v="1846.69"/>
    <n v="97.3"/>
    <n v="97.417000150000007"/>
    <n v="1796.8293700000002"/>
    <n v="1798.9900000700352"/>
    <n v="1798.9900000700352"/>
    <m/>
    <n v="1.8"/>
    <n v="0.3600000000000001"/>
    <n v="2.16"/>
    <n v="15941"/>
    <x v="0"/>
    <x v="9"/>
    <n v="3692061"/>
  </r>
  <r>
    <d v="2026-10-08T00:00:00"/>
    <x v="0"/>
    <x v="1"/>
    <d v="2026-06-13T00:00:00"/>
    <m/>
    <m/>
    <m/>
    <m/>
    <n v="0"/>
    <m/>
    <n v="0"/>
    <m/>
    <n v="0"/>
    <m/>
    <n v="0"/>
    <n v="1043.83"/>
    <n v="97.3"/>
    <n v="97.417203950000001"/>
    <n v="1015.6465899999998"/>
    <n v="1016.869999991285"/>
    <n v="1016.869999991285"/>
    <m/>
    <n v="1.02"/>
    <n v="0.2"/>
    <n v="1.22"/>
    <n v="15942"/>
    <x v="0"/>
    <x v="9"/>
    <n v="3692061"/>
  </r>
  <r>
    <d v="2026-10-08T00:00:00"/>
    <x v="0"/>
    <x v="1"/>
    <d v="2026-06-13T00:00:00"/>
    <m/>
    <m/>
    <m/>
    <m/>
    <n v="0"/>
    <m/>
    <n v="0"/>
    <m/>
    <n v="0"/>
    <m/>
    <n v="0"/>
    <n v="1539.98"/>
    <n v="97.35"/>
    <n v="97.466850219999998"/>
    <n v="1499.1705299999999"/>
    <n v="1500.970000017956"/>
    <n v="1500.970000017956"/>
    <m/>
    <n v="1.5"/>
    <n v="0.3"/>
    <n v="1.8"/>
    <n v="15981"/>
    <x v="0"/>
    <x v="9"/>
    <n v="3692061"/>
  </r>
  <r>
    <d v="2026-10-08T00:00:00"/>
    <x v="0"/>
    <x v="1"/>
    <d v="2026-06-15T00:00:00"/>
    <m/>
    <m/>
    <m/>
    <m/>
    <n v="0"/>
    <m/>
    <n v="0"/>
    <m/>
    <n v="0"/>
    <m/>
    <n v="0"/>
    <n v="490.24"/>
    <n v="97"/>
    <n v="97.117699999999999"/>
    <n v="475.53280000000001"/>
    <n v="476.10981248000002"/>
    <n v="476.10981248000002"/>
    <m/>
    <n v="0.48"/>
    <n v="9.9999999999999978E-2"/>
    <n v="0.57999999999999996"/>
    <n v="369222"/>
    <x v="0"/>
    <x v="10"/>
    <n v="3695169"/>
  </r>
  <r>
    <d v="2026-10-08T00:00:00"/>
    <x v="0"/>
    <x v="1"/>
    <d v="2026-06-15T00:00:00"/>
    <m/>
    <m/>
    <m/>
    <m/>
    <n v="0"/>
    <m/>
    <n v="0"/>
    <m/>
    <n v="0"/>
    <m/>
    <n v="0"/>
    <n v="767.14"/>
    <n v="97"/>
    <n v="97.116600000000005"/>
    <n v="744.12580000000003"/>
    <n v="745.02028524000013"/>
    <n v="745.02028524000013"/>
    <m/>
    <n v="0.74"/>
    <n v="0.15"/>
    <n v="0.89"/>
    <n v="369250"/>
    <x v="0"/>
    <x v="10"/>
    <n v="3695169"/>
  </r>
  <r>
    <d v="2026-10-08T00:00:00"/>
    <x v="0"/>
    <x v="1"/>
    <d v="2026-06-16T00:00:00"/>
    <m/>
    <m/>
    <m/>
    <m/>
    <n v="0"/>
    <m/>
    <n v="0"/>
    <m/>
    <n v="0"/>
    <m/>
    <n v="0"/>
    <n v="967.63"/>
    <n v="97.25"/>
    <n v="97.415300000000002"/>
    <n v="941.02017499999999"/>
    <n v="942.6196673899999"/>
    <n v="942.6196673899999"/>
    <m/>
    <n v="1.41"/>
    <n v="0.1900000000000002"/>
    <n v="1.6"/>
    <n v="369317"/>
    <x v="0"/>
    <x v="10"/>
    <n v="3695169"/>
  </r>
  <r>
    <d v="2026-10-08T00:00:00"/>
    <x v="0"/>
    <x v="1"/>
    <d v="2026-06-16T00:00:00"/>
    <m/>
    <m/>
    <m/>
    <m/>
    <n v="0"/>
    <m/>
    <n v="0"/>
    <m/>
    <n v="0"/>
    <m/>
    <n v="0"/>
    <n v="615.6"/>
    <n v="96"/>
    <n v="96.211799999999997"/>
    <n v="590.97600000000011"/>
    <n v="592.27984079999999"/>
    <n v="592.27984079999999"/>
    <m/>
    <n v="1.18"/>
    <n v="0.12000000000000011"/>
    <n v="1.3"/>
    <n v="369258"/>
    <x v="0"/>
    <x v="10"/>
    <n v="3695169"/>
  </r>
  <r>
    <d v="2026-10-08T00:00:00"/>
    <x v="0"/>
    <x v="1"/>
    <d v="2026-06-16T00:00:00"/>
    <m/>
    <m/>
    <m/>
    <m/>
    <n v="0"/>
    <m/>
    <n v="0"/>
    <m/>
    <n v="0"/>
    <m/>
    <n v="0"/>
    <n v="276.60000000000002"/>
    <n v="97"/>
    <n v="97.212599999999995"/>
    <n v="268.30200000000002"/>
    <n v="268.89005159999999"/>
    <n v="268.89005159999999"/>
    <m/>
    <n v="0.54"/>
    <n v="4.9999999999999933E-2"/>
    <n v="0.59"/>
    <n v="369277"/>
    <x v="0"/>
    <x v="10"/>
    <n v="3695169"/>
  </r>
  <r>
    <d v="2026-10-08T00:00:00"/>
    <x v="0"/>
    <x v="1"/>
    <d v="2026-06-16T00:00:00"/>
    <m/>
    <m/>
    <m/>
    <m/>
    <n v="0"/>
    <m/>
    <n v="0"/>
    <m/>
    <n v="0"/>
    <m/>
    <n v="0"/>
    <n v="495.32"/>
    <n v="97"/>
    <n v="97.165499999999994"/>
    <n v="480.46039999999999"/>
    <n v="481.28015459999995"/>
    <n v="481.28015459999995"/>
    <m/>
    <n v="0.72"/>
    <n v="9.9999999999999978E-2"/>
    <n v="0.82"/>
    <n v="369282"/>
    <x v="0"/>
    <x v="10"/>
    <n v="3695169"/>
  </r>
  <r>
    <d v="2026-10-08T00:00:00"/>
    <x v="0"/>
    <x v="1"/>
    <d v="2026-06-16T00:00:00"/>
    <m/>
    <m/>
    <m/>
    <m/>
    <n v="0"/>
    <m/>
    <n v="0"/>
    <m/>
    <n v="0"/>
    <m/>
    <n v="0"/>
    <n v="293.14999999999998"/>
    <n v="97"/>
    <n v="97.216399999999993"/>
    <n v="284.35550000000001"/>
    <n v="284.98987659999995"/>
    <n v="284.98987659999995"/>
    <m/>
    <n v="0.56999999999999995"/>
    <n v="6.0000000000000053E-2"/>
    <n v="0.63"/>
    <n v="369283"/>
    <x v="0"/>
    <x v="10"/>
    <n v="3695169"/>
  </r>
  <r>
    <d v="2026-10-08T00:00:00"/>
    <x v="0"/>
    <x v="1"/>
    <d v="2026-06-16T00:00:00"/>
    <m/>
    <m/>
    <m/>
    <m/>
    <n v="0"/>
    <m/>
    <n v="0"/>
    <m/>
    <n v="0"/>
    <m/>
    <n v="0"/>
    <n v="1906.26"/>
    <n v="97.3"/>
    <n v="97.416399999999996"/>
    <n v="1854.79098"/>
    <n v="1857.0098666399999"/>
    <n v="1857.0098666399999"/>
    <m/>
    <n v="1.85"/>
    <n v="0.37000000000000011"/>
    <n v="2.2200000000000002"/>
    <n v="369285"/>
    <x v="0"/>
    <x v="10"/>
    <n v="3695169"/>
  </r>
  <r>
    <d v="2026-10-08T00:00:00"/>
    <x v="0"/>
    <x v="1"/>
    <d v="2026-06-16T00:00:00"/>
    <m/>
    <m/>
    <m/>
    <m/>
    <n v="0"/>
    <m/>
    <n v="0"/>
    <m/>
    <n v="0"/>
    <m/>
    <n v="0"/>
    <n v="4414.0600000000004"/>
    <n v="97.5"/>
    <n v="97.616900000000001"/>
    <n v="4303.7085000000006"/>
    <n v="4308.8685361400003"/>
    <n v="4308.8685361400003"/>
    <m/>
    <n v="4.3"/>
    <n v="0.86000000000000032"/>
    <n v="5.16"/>
    <n v="369288"/>
    <x v="0"/>
    <x v="10"/>
    <n v="3695169"/>
  </r>
  <r>
    <d v="2026-10-08T00:00:00"/>
    <x v="0"/>
    <x v="1"/>
    <d v="2026-06-16T00:00:00"/>
    <m/>
    <m/>
    <m/>
    <m/>
    <n v="0"/>
    <m/>
    <n v="0"/>
    <m/>
    <n v="0"/>
    <m/>
    <n v="0"/>
    <n v="313.58999999999997"/>
    <n v="97"/>
    <n v="97.165099999999995"/>
    <n v="304.18229999999994"/>
    <n v="304.70003708999997"/>
    <n v="304.70003708999997"/>
    <m/>
    <n v="0.46"/>
    <n v="0.06"/>
    <n v="0.52"/>
    <n v="369303"/>
    <x v="0"/>
    <x v="10"/>
    <n v="3695169"/>
  </r>
  <r>
    <d v="2026-10-08T00:00:00"/>
    <x v="0"/>
    <x v="1"/>
    <d v="2026-06-16T00:00:00"/>
    <m/>
    <m/>
    <m/>
    <m/>
    <n v="0"/>
    <m/>
    <n v="0"/>
    <m/>
    <n v="0"/>
    <m/>
    <n v="0"/>
    <n v="1034.7"/>
    <n v="97.5"/>
    <n v="97.567400000000006"/>
    <n v="1008.8325"/>
    <n v="1009.5298878000001"/>
    <n v="1009.5298878000001"/>
    <m/>
    <n v="0.5"/>
    <n v="0.2"/>
    <n v="0.7"/>
    <n v="369304"/>
    <x v="0"/>
    <x v="10"/>
    <n v="3695169"/>
  </r>
  <r>
    <d v="2026-10-08T00:00:00"/>
    <x v="0"/>
    <x v="1"/>
    <d v="2026-06-16T00:00:00"/>
    <m/>
    <m/>
    <m/>
    <m/>
    <n v="0"/>
    <m/>
    <n v="0"/>
    <m/>
    <n v="0"/>
    <m/>
    <n v="0"/>
    <n v="571.48"/>
    <n v="97"/>
    <n v="97.116259540000001"/>
    <n v="554.3356"/>
    <n v="555.00000001919204"/>
    <n v="555.00000001919204"/>
    <m/>
    <n v="0.55000000000000004"/>
    <n v="0.11"/>
    <n v="0.66"/>
    <n v="16207"/>
    <x v="0"/>
    <x v="10"/>
    <n v="3695169"/>
  </r>
  <r>
    <d v="2026-10-08T00:00:00"/>
    <x v="0"/>
    <x v="1"/>
    <d v="2026-06-16T00:00:00"/>
    <m/>
    <m/>
    <m/>
    <m/>
    <n v="0"/>
    <m/>
    <n v="0"/>
    <m/>
    <n v="0"/>
    <m/>
    <n v="0"/>
    <n v="600.97"/>
    <n v="96.5"/>
    <n v="96.665390950000003"/>
    <n v="579.93605000000002"/>
    <n v="580.92999999221502"/>
    <n v="580.92999999221502"/>
    <m/>
    <n v="0.87"/>
    <n v="0.12"/>
    <n v="0.99"/>
    <n v="16223"/>
    <x v="0"/>
    <x v="10"/>
    <n v="3695169"/>
  </r>
  <r>
    <d v="2026-10-08T00:00:00"/>
    <x v="0"/>
    <x v="1"/>
    <d v="2026-06-17T00:00:00"/>
    <m/>
    <m/>
    <m/>
    <m/>
    <n v="0"/>
    <m/>
    <n v="0"/>
    <m/>
    <n v="0"/>
    <m/>
    <n v="0"/>
    <n v="1476.11"/>
    <n v="97.2"/>
    <n v="97.316599999999994"/>
    <n v="1434.77892"/>
    <n v="1436.5000642599998"/>
    <n v="1436.5000642599998"/>
    <m/>
    <n v="1.43"/>
    <n v="0.28999999999999998"/>
    <n v="1.72"/>
    <n v="369391"/>
    <x v="0"/>
    <x v="10"/>
    <n v="3695169"/>
  </r>
  <r>
    <d v="2026-10-08T00:00:00"/>
    <x v="0"/>
    <x v="1"/>
    <d v="2026-06-17T00:00:00"/>
    <m/>
    <m/>
    <m/>
    <m/>
    <n v="0"/>
    <m/>
    <n v="0"/>
    <m/>
    <n v="0"/>
    <m/>
    <n v="0"/>
    <n v="748.4"/>
    <n v="97"/>
    <n v="97.165999999999997"/>
    <n v="725.94799999999998"/>
    <n v="727.19034399999987"/>
    <n v="727.19034399999987"/>
    <m/>
    <n v="1.0900000000000001"/>
    <n v="0.14999999999999991"/>
    <n v="1.24"/>
    <n v="369398"/>
    <x v="0"/>
    <x v="10"/>
    <n v="3695169"/>
  </r>
  <r>
    <d v="2026-10-08T00:00:00"/>
    <x v="0"/>
    <x v="0"/>
    <d v="2026-06-17T00:00:00"/>
    <m/>
    <m/>
    <m/>
    <m/>
    <n v="0"/>
    <m/>
    <n v="0"/>
    <m/>
    <n v="0"/>
    <m/>
    <n v="0"/>
    <n v="3830.92"/>
    <n v="97.5"/>
    <n v="97.6173"/>
    <n v="3735.1469999999999"/>
    <n v="3739.64066916"/>
    <n v="3739.64066916"/>
    <m/>
    <n v="3.74"/>
    <n v="0.75"/>
    <n v="4.49"/>
    <n v="369373"/>
    <x v="0"/>
    <x v="10"/>
    <n v="3695169"/>
  </r>
  <r>
    <d v="2026-10-08T00:00:00"/>
    <x v="0"/>
    <x v="0"/>
    <d v="2026-06-17T00:00:00"/>
    <m/>
    <m/>
    <m/>
    <m/>
    <n v="0"/>
    <m/>
    <n v="0"/>
    <m/>
    <n v="0"/>
    <m/>
    <n v="0"/>
    <n v="1225.93"/>
    <n v="97.5"/>
    <n v="97.6173"/>
    <n v="1195.2817500000001"/>
    <n v="1196.7197658900002"/>
    <n v="1196.7197658900002"/>
    <m/>
    <n v="1.2"/>
    <n v="0.24"/>
    <n v="1.44"/>
    <n v="369403"/>
    <x v="0"/>
    <x v="10"/>
    <n v="3695169"/>
  </r>
  <r>
    <d v="2026-10-08T00:00:00"/>
    <x v="0"/>
    <x v="0"/>
    <d v="2026-06-17T00:00:00"/>
    <m/>
    <m/>
    <m/>
    <m/>
    <n v="0"/>
    <m/>
    <n v="0"/>
    <m/>
    <n v="0"/>
    <m/>
    <n v="0"/>
    <n v="1773.82"/>
    <n v="97.3"/>
    <n v="97.417400000000001"/>
    <n v="1725.9268599999998"/>
    <n v="1728.0093246799997"/>
    <n v="1728.0093246799997"/>
    <m/>
    <n v="1.73"/>
    <n v="0.35000000000000009"/>
    <n v="2.08"/>
    <n v="369404"/>
    <x v="0"/>
    <x v="10"/>
    <n v="3695169"/>
  </r>
  <r>
    <d v="2026-10-08T00:00:00"/>
    <x v="0"/>
    <x v="0"/>
    <d v="2026-06-17T00:00:00"/>
    <m/>
    <m/>
    <m/>
    <m/>
    <n v="0"/>
    <m/>
    <n v="0"/>
    <m/>
    <n v="0"/>
    <m/>
    <n v="0"/>
    <n v="1042.56"/>
    <n v="97.2"/>
    <n v="97.316199999999995"/>
    <n v="1013.3683199999999"/>
    <n v="1014.5797747199998"/>
    <n v="1014.5797747199998"/>
    <m/>
    <n v="1.01"/>
    <n v="0.2"/>
    <n v="1.21"/>
    <n v="369405"/>
    <x v="0"/>
    <x v="10"/>
    <n v="3695169"/>
  </r>
  <r>
    <d v="2026-10-08T00:00:00"/>
    <x v="0"/>
    <x v="0"/>
    <d v="2026-06-17T00:00:00"/>
    <m/>
    <m/>
    <m/>
    <m/>
    <n v="0"/>
    <m/>
    <n v="0"/>
    <m/>
    <n v="0"/>
    <m/>
    <n v="0"/>
    <n v="180.73"/>
    <n v="96"/>
    <n v="96.303899999999999"/>
    <n v="173.50079999999997"/>
    <n v="174.05003847"/>
    <n v="174.05003847"/>
    <m/>
    <n v="0.52"/>
    <n v="3.000000000000003E-2"/>
    <n v="0.55000000000000004"/>
    <n v="369406"/>
    <x v="0"/>
    <x v="10"/>
    <n v="3695169"/>
  </r>
  <r>
    <d v="2026-10-08T00:00:00"/>
    <x v="0"/>
    <x v="0"/>
    <d v="2026-06-17T00:00:00"/>
    <m/>
    <m/>
    <m/>
    <m/>
    <n v="0"/>
    <m/>
    <n v="0"/>
    <m/>
    <n v="0"/>
    <m/>
    <n v="0"/>
    <n v="1644.39"/>
    <n v="97.2"/>
    <n v="97.316900000000004"/>
    <n v="1598.3470800000002"/>
    <n v="1600.26937191"/>
    <n v="1600.26937191"/>
    <m/>
    <n v="1.6"/>
    <n v="0.31999999999999978"/>
    <n v="1.92"/>
    <n v="369412"/>
    <x v="0"/>
    <x v="10"/>
    <n v="3695169"/>
  </r>
  <r>
    <d v="2026-10-08T00:00:00"/>
    <x v="0"/>
    <x v="0"/>
    <d v="2026-06-17T00:00:00"/>
    <m/>
    <m/>
    <m/>
    <m/>
    <n v="0"/>
    <m/>
    <n v="0"/>
    <m/>
    <n v="0"/>
    <m/>
    <n v="0"/>
    <n v="1601.58"/>
    <n v="97.2"/>
    <n v="97.316999999999993"/>
    <n v="1556.73576"/>
    <n v="1558.6096086"/>
    <n v="1558.6096086"/>
    <m/>
    <n v="1.56"/>
    <n v="0.31000000000000011"/>
    <n v="1.87"/>
    <n v="369414"/>
    <x v="0"/>
    <x v="10"/>
    <n v="3695169"/>
  </r>
  <r>
    <d v="2026-10-08T00:00:00"/>
    <x v="0"/>
    <x v="0"/>
    <d v="2026-06-18T00:00:00"/>
    <m/>
    <m/>
    <m/>
    <m/>
    <n v="0"/>
    <m/>
    <n v="0"/>
    <m/>
    <n v="0"/>
    <m/>
    <n v="0"/>
    <n v="416.18"/>
    <n v="97"/>
    <n v="97.164699999999996"/>
    <n v="403.69459999999998"/>
    <n v="404.38004845999995"/>
    <n v="404.38004845999995"/>
    <m/>
    <n v="0.61"/>
    <n v="7.999999999999996E-2"/>
    <n v="0.69"/>
    <n v="369429"/>
    <x v="0"/>
    <x v="10"/>
    <n v="3695169"/>
  </r>
  <r>
    <d v="2026-10-08T00:00:00"/>
    <x v="0"/>
    <x v="0"/>
    <d v="2026-06-18T00:00:00"/>
    <m/>
    <m/>
    <m/>
    <m/>
    <n v="0"/>
    <m/>
    <n v="0"/>
    <m/>
    <n v="0"/>
    <m/>
    <n v="0"/>
    <n v="610.59"/>
    <n v="97"/>
    <n v="97.165000000000006"/>
    <n v="592.27230000000009"/>
    <n v="593.27977350000003"/>
    <n v="593.27977350000003"/>
    <m/>
    <n v="0.89"/>
    <n v="0.12"/>
    <n v="1.01"/>
    <n v="369430"/>
    <x v="0"/>
    <x v="10"/>
    <n v="3695169"/>
  </r>
  <r>
    <d v="2026-10-08T00:00:00"/>
    <x v="0"/>
    <x v="0"/>
    <d v="2026-06-18T00:00:00"/>
    <m/>
    <m/>
    <m/>
    <m/>
    <n v="0"/>
    <m/>
    <n v="0"/>
    <m/>
    <n v="0"/>
    <m/>
    <n v="0"/>
    <n v="328.76"/>
    <n v="96.5"/>
    <n v="96.708799999999997"/>
    <n v="317.2534"/>
    <n v="317.93985087999999"/>
    <n v="317.93985087999999"/>
    <m/>
    <n v="0.63"/>
    <n v="5.9999999999999942E-2"/>
    <n v="0.69"/>
    <n v="369431"/>
    <x v="0"/>
    <x v="10"/>
    <n v="3695169"/>
  </r>
  <r>
    <d v="2026-10-08T00:00:00"/>
    <x v="0"/>
    <x v="0"/>
    <d v="2026-06-18T00:00:00"/>
    <m/>
    <m/>
    <m/>
    <m/>
    <n v="0"/>
    <m/>
    <n v="0"/>
    <m/>
    <n v="0"/>
    <m/>
    <n v="0"/>
    <n v="240.7"/>
    <n v="96.5"/>
    <n v="96.713800000000006"/>
    <n v="232.27549999999999"/>
    <n v="232.7901166"/>
    <n v="232.7901166"/>
    <m/>
    <n v="0.46"/>
    <n v="4.9999999999999989E-2"/>
    <n v="0.51"/>
    <n v="369432"/>
    <x v="0"/>
    <x v="10"/>
    <n v="3695169"/>
  </r>
  <r>
    <d v="2026-10-08T00:00:00"/>
    <x v="0"/>
    <x v="0"/>
    <d v="2026-06-22T00:00:00"/>
    <m/>
    <m/>
    <m/>
    <m/>
    <n v="0"/>
    <m/>
    <n v="0"/>
    <m/>
    <n v="0"/>
    <m/>
    <n v="0"/>
    <n v="365.27"/>
    <n v="96.2"/>
    <n v="96.410899999999998"/>
    <n v="351.38974000000002"/>
    <n v="352.16009442999996"/>
    <n v="352.16009442999996"/>
    <m/>
    <n v="0.7"/>
    <n v="7.0000000000000062E-2"/>
    <n v="0.77"/>
    <n v="369605"/>
    <x v="0"/>
    <x v="11"/>
    <s v="17550 - VRF67"/>
  </r>
  <r>
    <d v="2026-10-08T00:00:00"/>
    <x v="0"/>
    <x v="0"/>
    <d v="2026-06-22T00:00:00"/>
    <m/>
    <m/>
    <m/>
    <m/>
    <n v="0"/>
    <m/>
    <n v="0"/>
    <m/>
    <n v="0"/>
    <m/>
    <n v="0"/>
    <n v="892.03"/>
    <n v="97.1"/>
    <n v="97.216499999999996"/>
    <n v="866.16112999999996"/>
    <n v="867.20034495000004"/>
    <n v="867.20034495000004"/>
    <m/>
    <n v="0.87"/>
    <n v="0.17"/>
    <n v="1.04"/>
    <n v="369579"/>
    <x v="0"/>
    <x v="11"/>
    <s v="17550 - VRF67"/>
  </r>
  <r>
    <d v="2026-10-08T00:00:00"/>
    <x v="0"/>
    <x v="0"/>
    <d v="2026-06-22T00:00:00"/>
    <m/>
    <m/>
    <m/>
    <m/>
    <n v="0"/>
    <m/>
    <n v="0"/>
    <m/>
    <n v="0"/>
    <m/>
    <n v="0"/>
    <n v="1237.3699999999999"/>
    <n v="97.25"/>
    <n v="97.366200000000006"/>
    <n v="1203.3423249999998"/>
    <n v="1204.7801489399999"/>
    <n v="1204.7801489399999"/>
    <m/>
    <n v="1.2"/>
    <n v="0.24"/>
    <n v="1.44"/>
    <n v="369582"/>
    <x v="0"/>
    <x v="11"/>
    <s v="17550 - VRF67"/>
  </r>
  <r>
    <d v="2026-10-08T00:00:00"/>
    <x v="0"/>
    <x v="0"/>
    <d v="2026-06-22T00:00:00"/>
    <m/>
    <m/>
    <m/>
    <m/>
    <n v="0"/>
    <m/>
    <n v="0"/>
    <m/>
    <n v="0"/>
    <m/>
    <n v="0"/>
    <n v="957.99"/>
    <n v="97.1"/>
    <n v="97.130499999999998"/>
    <n v="930.20829000000003"/>
    <n v="930.50047695000001"/>
    <n v="930.50047695000001"/>
    <m/>
    <n v="0.1"/>
    <n v="0.19"/>
    <n v="0.29000000000000004"/>
    <n v="369585"/>
    <x v="0"/>
    <x v="11"/>
    <s v="17550 - VRF67"/>
  </r>
  <r>
    <d v="2026-10-08T00:00:00"/>
    <x v="0"/>
    <x v="0"/>
    <d v="2026-06-22T00:00:00"/>
    <m/>
    <m/>
    <m/>
    <m/>
    <n v="0"/>
    <m/>
    <n v="0"/>
    <m/>
    <n v="0"/>
    <m/>
    <n v="0"/>
    <n v="2151.06"/>
    <n v="97.4"/>
    <n v="97.516999999999996"/>
    <n v="2095.1324399999999"/>
    <n v="2097.6491802"/>
    <n v="2097.6491802"/>
    <m/>
    <n v="2.1"/>
    <n v="0.41999999999999987"/>
    <n v="2.52"/>
    <n v="369593"/>
    <x v="0"/>
    <x v="11"/>
    <s v="17550 - VRF67"/>
  </r>
  <r>
    <d v="2026-10-08T00:00:00"/>
    <x v="0"/>
    <x v="0"/>
    <d v="2026-06-22T00:00:00"/>
    <m/>
    <m/>
    <m/>
    <m/>
    <n v="0"/>
    <m/>
    <n v="0"/>
    <m/>
    <n v="0"/>
    <m/>
    <n v="0"/>
    <n v="336.95"/>
    <n v="96.2"/>
    <n v="96.411900000000003"/>
    <n v="324.14589999999998"/>
    <n v="324.85989704999997"/>
    <n v="324.85989704999997"/>
    <m/>
    <n v="0.65"/>
    <n v="5.9999999999999942E-2"/>
    <n v="0.71"/>
    <n v="369603"/>
    <x v="0"/>
    <x v="11"/>
    <s v="17550 - VRF67"/>
  </r>
  <r>
    <d v="2026-10-08T00:00:00"/>
    <x v="0"/>
    <x v="0"/>
    <d v="2026-06-23T00:00:00"/>
    <m/>
    <m/>
    <m/>
    <m/>
    <n v="0"/>
    <m/>
    <n v="0"/>
    <m/>
    <n v="0"/>
    <m/>
    <n v="0"/>
    <n v="900.02"/>
    <n v="97.1"/>
    <n v="97.215599999999995"/>
    <n v="873.91941999999995"/>
    <n v="874.95984311999996"/>
    <n v="874.95984311999996"/>
    <m/>
    <n v="0.87"/>
    <n v="0.17"/>
    <n v="1.04"/>
    <n v="369647"/>
    <x v="0"/>
    <x v="11"/>
    <s v="17550 - VRF67"/>
  </r>
  <r>
    <d v="2026-10-08T00:00:00"/>
    <x v="0"/>
    <x v="0"/>
    <d v="2026-06-23T00:00:00"/>
    <m/>
    <m/>
    <m/>
    <m/>
    <n v="0"/>
    <m/>
    <n v="0"/>
    <m/>
    <n v="0"/>
    <m/>
    <n v="0"/>
    <n v="401.32"/>
    <n v="96.1"/>
    <n v="96.217500000000001"/>
    <n v="385.66852"/>
    <n v="386.14007100000003"/>
    <n v="386.14007100000003"/>
    <m/>
    <n v="0.39"/>
    <n v="7.999999999999996E-2"/>
    <n v="0.47"/>
    <n v="369616"/>
    <x v="0"/>
    <x v="11"/>
    <s v="17550 - VRF67"/>
  </r>
  <r>
    <d v="2026-10-08T00:00:00"/>
    <x v="0"/>
    <x v="0"/>
    <d v="2026-06-23T00:00:00"/>
    <m/>
    <m/>
    <m/>
    <m/>
    <n v="0"/>
    <m/>
    <n v="0"/>
    <m/>
    <n v="0"/>
    <m/>
    <n v="0"/>
    <n v="4491.21"/>
    <n v="97.62"/>
    <n v="97.737099999999998"/>
    <n v="4384.3192020000006"/>
    <n v="4389.5784089099998"/>
    <n v="4389.5784089099998"/>
    <m/>
    <n v="4.38"/>
    <n v="0.87999999999999989"/>
    <n v="5.26"/>
    <n v="369623"/>
    <x v="0"/>
    <x v="11"/>
    <s v="17550 - VRF67"/>
  </r>
  <r>
    <d v="2026-10-08T00:00:00"/>
    <x v="0"/>
    <x v="0"/>
    <d v="2026-06-24T00:00:00"/>
    <m/>
    <m/>
    <m/>
    <m/>
    <n v="0"/>
    <m/>
    <n v="0"/>
    <m/>
    <n v="0"/>
    <m/>
    <n v="0"/>
    <n v="1560.9"/>
    <n v="97.65"/>
    <n v="97.7667"/>
    <n v="1524.2188500000002"/>
    <n v="1526.0404203000001"/>
    <n v="1526.0404203000001"/>
    <m/>
    <n v="1.52"/>
    <n v="0.3"/>
    <n v="1.82"/>
    <n v="369665"/>
    <x v="0"/>
    <x v="11"/>
    <s v="17550 - VRF67"/>
  </r>
  <r>
    <d v="2026-10-08T00:00:00"/>
    <x v="0"/>
    <x v="0"/>
    <d v="2026-06-24T00:00:00"/>
    <m/>
    <m/>
    <m/>
    <m/>
    <n v="0"/>
    <m/>
    <n v="0"/>
    <m/>
    <n v="0"/>
    <m/>
    <n v="0"/>
    <n v="1291.3800000000001"/>
    <n v="97.65"/>
    <n v="97.747399999999999"/>
    <n v="1261.0325700000001"/>
    <n v="1262.29037412"/>
    <n v="1262.29037412"/>
    <m/>
    <n v="1.01"/>
    <n v="0.25"/>
    <n v="1.26"/>
    <n v="369699"/>
    <x v="0"/>
    <x v="11"/>
    <s v="17550 - VRF67"/>
  </r>
  <r>
    <d v="2026-10-08T00:00:00"/>
    <x v="0"/>
    <x v="0"/>
    <d v="2026-06-24T00:00:00"/>
    <m/>
    <m/>
    <m/>
    <m/>
    <n v="0"/>
    <m/>
    <n v="0"/>
    <m/>
    <n v="0"/>
    <m/>
    <n v="0"/>
    <n v="1581.94"/>
    <n v="97.4"/>
    <n v="97.497399999999999"/>
    <n v="1540.8095600000001"/>
    <n v="1542.35036956"/>
    <n v="1542.35036956"/>
    <m/>
    <n v="1.23"/>
    <n v="0.31000000000000011"/>
    <n v="1.54"/>
    <n v="369713"/>
    <x v="0"/>
    <x v="11"/>
    <s v="17550 - VRF67"/>
  </r>
  <r>
    <d v="2026-10-08T00:00:00"/>
    <x v="0"/>
    <x v="0"/>
    <d v="2026-06-24T00:00:00"/>
    <m/>
    <m/>
    <m/>
    <m/>
    <n v="0"/>
    <m/>
    <n v="0"/>
    <m/>
    <n v="0"/>
    <m/>
    <n v="0"/>
    <n v="335.34"/>
    <n v="96.45"/>
    <n v="96.6631"/>
    <n v="323.43543"/>
    <n v="324.15003953999997"/>
    <n v="324.15003953999997"/>
    <m/>
    <n v="0.65"/>
    <n v="5.9999999999999942E-2"/>
    <n v="0.71"/>
    <n v="369730"/>
    <x v="0"/>
    <x v="11"/>
    <s v="17550 - VRF67"/>
  </r>
  <r>
    <d v="2026-10-08T00:00:00"/>
    <x v="0"/>
    <x v="0"/>
    <d v="2026-06-24T00:00:00"/>
    <m/>
    <m/>
    <m/>
    <m/>
    <n v="0"/>
    <m/>
    <n v="0"/>
    <m/>
    <n v="0"/>
    <m/>
    <n v="0"/>
    <n v="1721.96"/>
    <n v="97.45"/>
    <n v="97.528400000000005"/>
    <n v="1678.0500200000001"/>
    <n v="1679.4000366400003"/>
    <n v="1679.4000366400003"/>
    <m/>
    <n v="1.01"/>
    <n v="0.34000000000000008"/>
    <n v="1.35"/>
    <n v="369739"/>
    <x v="0"/>
    <x v="11"/>
    <s v="17550 - VRF67"/>
  </r>
  <r>
    <d v="2026-10-08T00:00:00"/>
    <x v="0"/>
    <x v="0"/>
    <d v="2026-06-25T00:00:00"/>
    <m/>
    <m/>
    <m/>
    <m/>
    <n v="0"/>
    <m/>
    <n v="0"/>
    <m/>
    <n v="0"/>
    <m/>
    <n v="0"/>
    <n v="5307.68"/>
    <n v="97.45"/>
    <n v="97.547300000000007"/>
    <n v="5172.3341600000003"/>
    <n v="5177.498532640001"/>
    <n v="5177.498532640001"/>
    <m/>
    <n v="4.1399999999999997"/>
    <n v="1.03"/>
    <n v="5.17"/>
    <n v="369813"/>
    <x v="0"/>
    <x v="11"/>
    <s v="17550 - VRF67"/>
  </r>
  <r>
    <d v="2026-10-08T00:00:00"/>
    <x v="0"/>
    <x v="0"/>
    <d v="2026-06-25T00:00:00"/>
    <m/>
    <m/>
    <m/>
    <m/>
    <n v="0"/>
    <m/>
    <n v="0"/>
    <m/>
    <n v="0"/>
    <m/>
    <n v="0"/>
    <n v="4933.7700000000004"/>
    <n v="97.75"/>
    <n v="97.845500000000001"/>
    <n v="4822.7601750000003"/>
    <n v="4827.4719253500007"/>
    <n v="4827.4719253500007"/>
    <m/>
    <n v="4"/>
    <n v="0.96"/>
    <n v="4.96"/>
    <n v="369818"/>
    <x v="0"/>
    <x v="11"/>
    <s v="17550 - VRF67"/>
  </r>
  <r>
    <d v="2026-10-08T00:00:00"/>
    <x v="0"/>
    <x v="0"/>
    <d v="2026-06-25T00:00:00"/>
    <m/>
    <m/>
    <m/>
    <m/>
    <n v="0"/>
    <m/>
    <n v="0"/>
    <m/>
    <n v="0"/>
    <m/>
    <n v="0"/>
    <n v="4722.1499999999996"/>
    <n v="97.513499999999993"/>
    <n v="97.612300000000005"/>
    <n v="4604.7337402499988"/>
    <n v="4609.3992244499996"/>
    <n v="4609.3992244499996"/>
    <m/>
    <n v="4"/>
    <n v="0.91999999999999993"/>
    <n v="4.92"/>
    <n v="369819"/>
    <x v="0"/>
    <x v="11"/>
    <s v="17550 - VRF67"/>
  </r>
  <r>
    <d v="2026-10-08T00:00:00"/>
    <x v="0"/>
    <x v="0"/>
    <d v="2026-06-26T00:00:00"/>
    <m/>
    <m/>
    <m/>
    <m/>
    <n v="0"/>
    <m/>
    <n v="0"/>
    <m/>
    <n v="0"/>
    <m/>
    <n v="0"/>
    <n v="5518.48"/>
    <n v="97.8"/>
    <n v="97.891999999999996"/>
    <n v="5397.0734399999992"/>
    <n v="5402.1504415999989"/>
    <n v="5402.1504415999989"/>
    <m/>
    <n v="4"/>
    <n v="1.08"/>
    <n v="5.08"/>
    <n v="369876"/>
    <x v="0"/>
    <x v="11"/>
    <s v="17550 - VRF67"/>
  </r>
  <r>
    <d v="2026-10-08T00:00:00"/>
    <x v="0"/>
    <x v="0"/>
    <d v="2026-06-29T00:00:00"/>
    <m/>
    <m/>
    <m/>
    <m/>
    <n v="0"/>
    <m/>
    <n v="0"/>
    <m/>
    <n v="0"/>
    <m/>
    <n v="0"/>
    <n v="6497.12"/>
    <n v="97.9"/>
    <n v="97.981099999999998"/>
    <n v="6360.6804800000009"/>
    <n v="6365.9496443199996"/>
    <n v="6365.9496443199996"/>
    <m/>
    <n v="4"/>
    <n v="1.27"/>
    <n v="5.27"/>
    <n v="369936"/>
    <x v="0"/>
    <x v="11"/>
    <s v="17550 - VRF67"/>
  </r>
  <r>
    <d v="2026-10-08T00:00:00"/>
    <x v="1"/>
    <x v="0"/>
    <d v="2026-07-01T00:00:00"/>
    <m/>
    <m/>
    <d v="2027-04-16T00:00:00"/>
    <m/>
    <n v="0"/>
    <m/>
    <n v="0"/>
    <m/>
    <n v="0"/>
    <n v="196.98"/>
    <n v="0"/>
    <n v="3300"/>
    <n v="93.788467929999996"/>
    <n v="94.030900000000003"/>
    <n v="3095.0194416899994"/>
    <n v="3103.0197000000003"/>
    <n v="3103.0197000000003"/>
    <m/>
    <n v="4"/>
    <n v="4"/>
    <n v="8"/>
    <n v="370100"/>
    <x v="3"/>
    <x v="5"/>
    <m/>
  </r>
  <r>
    <d v="2026-10-08T00:00:00"/>
    <x v="0"/>
    <x v="0"/>
    <d v="2026-07-02T00:00:00"/>
    <m/>
    <m/>
    <m/>
    <m/>
    <n v="0"/>
    <m/>
    <n v="0"/>
    <m/>
    <n v="0"/>
    <m/>
    <n v="0"/>
    <n v="6307.25"/>
    <n v="97.9"/>
    <n v="97.983000000000004"/>
    <n v="6174.7977500000006"/>
    <n v="6180.0327675000008"/>
    <n v="6180.0327675000008"/>
    <m/>
    <n v="4"/>
    <n v="1.23"/>
    <n v="5.23"/>
    <n v="370188"/>
    <x v="0"/>
    <x v="12"/>
    <n v="3706812"/>
  </r>
  <r>
    <d v="2026-10-08T00:00:00"/>
    <x v="0"/>
    <x v="0"/>
    <d v="2026-07-06T00:00:00"/>
    <m/>
    <m/>
    <m/>
    <m/>
    <n v="0"/>
    <m/>
    <n v="0"/>
    <m/>
    <n v="0"/>
    <m/>
    <n v="0"/>
    <n v="415.46"/>
    <n v="97"/>
    <n v="97.263300000000001"/>
    <n v="402.99619999999993"/>
    <n v="404.09010618000002"/>
    <n v="404.09010618000002"/>
    <m/>
    <n v="1.01"/>
    <n v="8.0000000000000071E-2"/>
    <n v="1.0900000000000001"/>
    <n v="370300"/>
    <x v="0"/>
    <x v="13"/>
    <n v="3706812"/>
  </r>
  <r>
    <d v="2026-10-08T00:00:00"/>
    <x v="0"/>
    <x v="0"/>
    <d v="2026-07-06T00:00:00"/>
    <m/>
    <m/>
    <m/>
    <m/>
    <n v="0"/>
    <m/>
    <n v="0"/>
    <m/>
    <n v="0"/>
    <m/>
    <n v="0"/>
    <n v="389.01"/>
    <n v="97"/>
    <n v="97.282799999999995"/>
    <n v="377.33969999999999"/>
    <n v="378.43982027999999"/>
    <n v="378.43982027999999"/>
    <m/>
    <n v="1.02"/>
    <n v="8.0000000000000071E-2"/>
    <n v="1.1000000000000001"/>
    <n v="370301"/>
    <x v="0"/>
    <x v="14"/>
    <n v="3706812"/>
  </r>
  <r>
    <d v="2026-10-08T00:00:00"/>
    <x v="0"/>
    <x v="0"/>
    <d v="2026-07-07T00:00:00"/>
    <m/>
    <m/>
    <m/>
    <m/>
    <n v="0"/>
    <m/>
    <n v="0"/>
    <m/>
    <n v="0"/>
    <m/>
    <n v="0"/>
    <n v="147.44999999999999"/>
    <n v="96.5"/>
    <n v="97.199100000000001"/>
    <n v="142.28924999999998"/>
    <n v="143.32007295"/>
    <n v="143.32007295"/>
    <m/>
    <n v="1"/>
    <n v="3.000000000000003E-2"/>
    <n v="1.03"/>
    <n v="370400"/>
    <x v="0"/>
    <x v="15"/>
    <n v="3706812"/>
  </r>
  <r>
    <d v="2026-10-08T00:00:00"/>
    <x v="0"/>
    <x v="0"/>
    <d v="2026-07-07T00:00:00"/>
    <m/>
    <m/>
    <m/>
    <m/>
    <n v="0"/>
    <m/>
    <n v="0"/>
    <m/>
    <n v="0"/>
    <m/>
    <n v="0"/>
    <n v="406.97"/>
    <n v="97"/>
    <n v="97.267600000000002"/>
    <n v="394.76090000000005"/>
    <n v="395.84995172000004"/>
    <n v="395.84995172000004"/>
    <m/>
    <n v="1.01"/>
    <n v="8.0000000000000071E-2"/>
    <n v="1.0900000000000001"/>
    <n v="370398"/>
    <x v="0"/>
    <x v="16"/>
    <n v="3706812"/>
  </r>
  <r>
    <d v="2026-10-08T00:00:00"/>
    <x v="0"/>
    <x v="0"/>
    <d v="2026-07-08T00:00:00"/>
    <m/>
    <m/>
    <m/>
    <m/>
    <n v="0"/>
    <m/>
    <n v="0"/>
    <m/>
    <n v="0"/>
    <m/>
    <n v="0"/>
    <n v="205.13"/>
    <n v="97.1"/>
    <n v="97.3626"/>
    <n v="199.18123"/>
    <n v="199.71990138000001"/>
    <n v="199.71990138000001"/>
    <m/>
    <n v="0.5"/>
    <n v="4.0000000000000042E-2"/>
    <n v="0.54"/>
    <n v="370482"/>
    <x v="0"/>
    <x v="17"/>
    <n v="3706812"/>
  </r>
  <r>
    <d v="2026-10-08T00:00:00"/>
    <x v="0"/>
    <x v="0"/>
    <d v="2026-07-09T00:00:00"/>
    <m/>
    <m/>
    <m/>
    <m/>
    <n v="0"/>
    <m/>
    <n v="0"/>
    <m/>
    <n v="0"/>
    <m/>
    <n v="0"/>
    <n v="523.1"/>
    <n v="97.5"/>
    <n v="97.616100000000003"/>
    <n v="510.02249999999998"/>
    <n v="510.62981910000002"/>
    <n v="510.62981910000002"/>
    <m/>
    <n v="0.51"/>
    <n v="9.9999999999999978E-2"/>
    <n v="0.61"/>
    <n v="370564"/>
    <x v="0"/>
    <x v="18"/>
    <n v="3706812"/>
  </r>
  <r>
    <d v="2026-10-08T00:00:00"/>
    <x v="0"/>
    <x v="0"/>
    <d v="2026-07-09T00:00:00"/>
    <m/>
    <m/>
    <m/>
    <m/>
    <n v="0"/>
    <m/>
    <n v="0"/>
    <m/>
    <n v="0"/>
    <m/>
    <n v="0"/>
    <n v="679.29"/>
    <n v="97.5"/>
    <n v="97.616600000000005"/>
    <n v="662.30774999999994"/>
    <n v="663.09980213999995"/>
    <n v="663.09980213999995"/>
    <m/>
    <n v="0.66"/>
    <n v="0.13"/>
    <n v="0.79"/>
    <n v="370567"/>
    <x v="0"/>
    <x v="19"/>
    <n v="3706812"/>
  </r>
  <r>
    <d v="2026-10-08T00:00:00"/>
    <x v="0"/>
    <x v="0"/>
    <d v="2026-07-10T00:00:00"/>
    <m/>
    <m/>
    <m/>
    <m/>
    <n v="0"/>
    <m/>
    <n v="0"/>
    <m/>
    <n v="0"/>
    <m/>
    <n v="0"/>
    <n v="1415.23"/>
    <n v="97.15"/>
    <n v="97.266168750000006"/>
    <n v="1374.895945"/>
    <n v="1376.5400000006252"/>
    <n v="1376.5400000006252"/>
    <m/>
    <n v="1.37"/>
    <n v="0.2699999999999998"/>
    <n v="1.64"/>
    <n v="18522"/>
    <x v="0"/>
    <x v="20"/>
    <n v="3712421"/>
  </r>
  <r>
    <d v="2026-10-08T00:00:00"/>
    <x v="0"/>
    <x v="0"/>
    <d v="2026-07-13T00:00:00"/>
    <m/>
    <m/>
    <m/>
    <m/>
    <n v="0"/>
    <m/>
    <n v="0"/>
    <m/>
    <n v="0"/>
    <m/>
    <n v="0"/>
    <n v="2503.35"/>
    <n v="97.55"/>
    <n v="97.667100000000005"/>
    <n v="2442.0179249999997"/>
    <n v="2444.9493478499999"/>
    <n v="2444.9493478499999"/>
    <m/>
    <n v="2.44"/>
    <n v="0.49000000000000021"/>
    <n v="2.93"/>
    <n v="370740"/>
    <x v="0"/>
    <x v="20"/>
    <n v="3712421"/>
  </r>
  <r>
    <d v="2026-10-08T00:00:00"/>
    <x v="0"/>
    <x v="0"/>
    <d v="2026-07-13T00:00:00"/>
    <m/>
    <m/>
    <m/>
    <m/>
    <n v="0"/>
    <m/>
    <n v="0"/>
    <m/>
    <n v="0"/>
    <m/>
    <n v="0"/>
    <n v="1679.29"/>
    <n v="97.55"/>
    <n v="97.667500000000004"/>
    <n v="1638.147395"/>
    <n v="1640.1205607500001"/>
    <n v="1640.1205607500001"/>
    <m/>
    <n v="1.64"/>
    <n v="0.33000000000000013"/>
    <n v="1.97"/>
    <n v="370758"/>
    <x v="0"/>
    <x v="20"/>
    <n v="3712421"/>
  </r>
  <r>
    <d v="2026-10-08T00:00:00"/>
    <x v="0"/>
    <x v="0"/>
    <d v="2026-07-14T00:00:00"/>
    <m/>
    <m/>
    <m/>
    <m/>
    <n v="0"/>
    <m/>
    <n v="0"/>
    <m/>
    <n v="0"/>
    <m/>
    <n v="0"/>
    <n v="330.29"/>
    <n v="96.5"/>
    <n v="96.820999999999998"/>
    <n v="318.72985"/>
    <n v="319.79008090000002"/>
    <n v="319.79008090000002"/>
    <m/>
    <n v="1"/>
    <n v="6.0000000000000053E-2"/>
    <n v="1.06"/>
    <n v="370846"/>
    <x v="0"/>
    <x v="20"/>
    <n v="3712421"/>
  </r>
  <r>
    <d v="2026-10-08T00:00:00"/>
    <x v="0"/>
    <x v="0"/>
    <d v="2026-07-15T00:00:00"/>
    <m/>
    <m/>
    <m/>
    <m/>
    <n v="0"/>
    <m/>
    <n v="0"/>
    <m/>
    <n v="0"/>
    <m/>
    <n v="0"/>
    <n v="572.35"/>
    <n v="97.4"/>
    <n v="97.594099999999997"/>
    <n v="557.46890000000008"/>
    <n v="558.57983135000006"/>
    <n v="558.57983135000006"/>
    <m/>
    <n v="1"/>
    <n v="0.1100000000000001"/>
    <n v="1.1100000000000001"/>
    <n v="370988"/>
    <x v="0"/>
    <x v="20"/>
    <n v="3712421"/>
  </r>
  <r>
    <d v="2026-10-08T00:00:00"/>
    <x v="0"/>
    <x v="0"/>
    <d v="2026-07-16T00:00:00"/>
    <m/>
    <m/>
    <m/>
    <m/>
    <n v="0"/>
    <m/>
    <n v="0"/>
    <m/>
    <n v="0"/>
    <m/>
    <n v="0"/>
    <n v="1557.46"/>
    <n v="97.5"/>
    <n v="97.616600000000005"/>
    <n v="1518.5235"/>
    <n v="1520.3394983600001"/>
    <n v="1520.3394983600001"/>
    <m/>
    <n v="1.52"/>
    <n v="0.3"/>
    <n v="1.82"/>
    <n v="371074"/>
    <x v="0"/>
    <x v="20"/>
    <n v="3712421"/>
  </r>
  <r>
    <d v="2026-10-08T00:00:00"/>
    <x v="0"/>
    <x v="0"/>
    <d v="2026-07-16T00:00:00"/>
    <m/>
    <m/>
    <m/>
    <m/>
    <n v="0"/>
    <m/>
    <n v="0"/>
    <m/>
    <n v="0"/>
    <m/>
    <n v="0"/>
    <n v="667.56"/>
    <n v="96"/>
    <n v="96.211600000000004"/>
    <n v="640.85759999999993"/>
    <n v="642.27015695999989"/>
    <n v="642.27015695999989"/>
    <m/>
    <n v="1.28"/>
    <n v="0.12999999999999989"/>
    <n v="1.41"/>
    <n v="371051"/>
    <x v="0"/>
    <x v="20"/>
    <n v="3712421"/>
  </r>
  <r>
    <d v="2026-10-08T00:00:00"/>
    <x v="0"/>
    <x v="0"/>
    <d v="2026-07-16T00:00:00"/>
    <m/>
    <m/>
    <m/>
    <m/>
    <n v="0"/>
    <m/>
    <n v="0"/>
    <m/>
    <n v="0"/>
    <m/>
    <n v="0"/>
    <n v="422.63"/>
    <n v="97"/>
    <n v="97.212699999999998"/>
    <n v="409.9511"/>
    <n v="410.85003401"/>
    <n v="410.85003401"/>
    <m/>
    <n v="0.82"/>
    <n v="8.0000000000000071E-2"/>
    <n v="0.9"/>
    <n v="371071"/>
    <x v="0"/>
    <x v="20"/>
    <n v="3712421"/>
  </r>
  <r>
    <d v="2026-10-08T00:00:00"/>
    <x v="0"/>
    <x v="0"/>
    <d v="2026-07-16T00:00:00"/>
    <m/>
    <m/>
    <m/>
    <m/>
    <n v="0"/>
    <m/>
    <n v="0"/>
    <m/>
    <n v="0"/>
    <m/>
    <n v="0"/>
    <n v="366.99"/>
    <n v="97"/>
    <n v="97.272405239999998"/>
    <n v="355.9803"/>
    <n v="356.97999999027599"/>
    <n v="356.97999999027599"/>
    <m/>
    <n v="1"/>
    <n v="0"/>
    <n v="1"/>
    <n v="19140"/>
    <x v="0"/>
    <x v="20"/>
    <n v="3712421"/>
  </r>
  <r>
    <d v="2026-10-08T00:00:00"/>
    <x v="0"/>
    <x v="0"/>
    <d v="2026-07-20T00:00:00"/>
    <m/>
    <m/>
    <m/>
    <m/>
    <n v="0"/>
    <m/>
    <n v="0"/>
    <m/>
    <n v="0"/>
    <m/>
    <n v="0"/>
    <n v="778.84"/>
    <n v="97"/>
    <n v="97.147000000000006"/>
    <n v="755.47479999999996"/>
    <n v="756.61969480000016"/>
    <n v="756.61969480000016"/>
    <m/>
    <n v="1"/>
    <n v="0.14999999999999991"/>
    <n v="1.1499999999999999"/>
    <n v="371260"/>
    <x v="0"/>
    <x v="21"/>
    <s v="20060_02 - VRF54"/>
  </r>
  <r>
    <d v="2026-10-08T00:00:00"/>
    <x v="0"/>
    <x v="0"/>
    <d v="2026-07-20T00:00:00"/>
    <m/>
    <m/>
    <m/>
    <m/>
    <n v="0"/>
    <m/>
    <n v="0"/>
    <m/>
    <n v="0"/>
    <m/>
    <n v="0"/>
    <n v="1180"/>
    <n v="97.2"/>
    <n v="97.304199999999994"/>
    <n v="1146.96"/>
    <n v="1148.1895599999998"/>
    <n v="1148.1895599999998"/>
    <m/>
    <n v="1"/>
    <n v="0.23"/>
    <n v="1.23"/>
    <n v="371272"/>
    <x v="0"/>
    <x v="21"/>
    <s v="20060_02 - VRF54"/>
  </r>
  <r>
    <d v="2026-10-08T00:00:00"/>
    <x v="0"/>
    <x v="0"/>
    <d v="2026-07-20T00:00:00"/>
    <m/>
    <m/>
    <m/>
    <m/>
    <n v="0"/>
    <m/>
    <n v="0"/>
    <m/>
    <n v="0"/>
    <m/>
    <n v="0"/>
    <n v="1284.5"/>
    <n v="97.45"/>
    <n v="97.567099999999996"/>
    <n v="1251.7452500000002"/>
    <n v="1253.2493995"/>
    <n v="1253.2493995"/>
    <m/>
    <n v="1.25"/>
    <n v="0.25"/>
    <n v="1.5"/>
    <n v="371288"/>
    <x v="0"/>
    <x v="21"/>
    <s v="20060_02 - VRF54"/>
  </r>
  <r>
    <d v="2026-10-08T00:00:00"/>
    <x v="0"/>
    <x v="0"/>
    <d v="2026-07-21T00:00:00"/>
    <m/>
    <m/>
    <m/>
    <m/>
    <n v="0"/>
    <m/>
    <n v="0"/>
    <m/>
    <n v="0"/>
    <m/>
    <n v="0"/>
    <n v="108.12"/>
    <n v="97"/>
    <n v="97.308499999999995"/>
    <n v="104.87640000000002"/>
    <n v="105.20995020000001"/>
    <n v="105.20995020000001"/>
    <m/>
    <n v="0.31"/>
    <n v="2.0000000000000021E-2"/>
    <n v="0.33"/>
    <n v="371396"/>
    <x v="0"/>
    <x v="21"/>
    <s v="20060_02 - VRF54"/>
  </r>
  <r>
    <d v="2026-10-08T00:00:00"/>
    <x v="0"/>
    <x v="0"/>
    <d v="2026-07-21T00:00:00"/>
    <m/>
    <m/>
    <m/>
    <m/>
    <n v="0"/>
    <m/>
    <n v="0"/>
    <m/>
    <n v="0"/>
    <m/>
    <n v="0"/>
    <n v="860.8"/>
    <n v="97.3"/>
    <n v="97.417500000000004"/>
    <n v="837.55840000000001"/>
    <n v="838.56984"/>
    <n v="838.56984"/>
    <m/>
    <n v="0.84"/>
    <n v="0.17"/>
    <n v="1.01"/>
    <n v="371399"/>
    <x v="0"/>
    <x v="21"/>
    <s v="20060_02 - VRF54"/>
  </r>
  <r>
    <d v="2026-10-08T00:00:00"/>
    <x v="0"/>
    <x v="0"/>
    <d v="2026-07-21T00:00:00"/>
    <m/>
    <m/>
    <m/>
    <m/>
    <n v="0"/>
    <m/>
    <n v="0"/>
    <m/>
    <n v="0"/>
    <m/>
    <n v="0"/>
    <n v="664.26"/>
    <n v="96.45"/>
    <n v="96.566103630000001"/>
    <n v="640.67876999999999"/>
    <n v="641.44999997263801"/>
    <n v="641.44999997263801"/>
    <m/>
    <n v="0.64"/>
    <n v="0.13"/>
    <n v="0.77"/>
    <s v="19824 - VRF75"/>
    <x v="0"/>
    <x v="21"/>
    <s v="20060_02 - VRF54"/>
  </r>
  <r>
    <d v="2026-10-08T00:00:00"/>
    <x v="0"/>
    <x v="0"/>
    <d v="2026-07-22T00:00:00"/>
    <m/>
    <m/>
    <m/>
    <m/>
    <n v="0"/>
    <m/>
    <n v="0"/>
    <m/>
    <n v="0"/>
    <m/>
    <n v="0"/>
    <n v="822.03"/>
    <n v="97.55"/>
    <n v="97.666799999999995"/>
    <n v="801.89026499999989"/>
    <n v="802.85039603999985"/>
    <n v="802.85039603999985"/>
    <m/>
    <n v="0.8"/>
    <n v="0.15999999999999989"/>
    <n v="0.96"/>
    <n v="371497"/>
    <x v="0"/>
    <x v="21"/>
    <s v="20060_02 - VRF54"/>
  </r>
  <r>
    <d v="2026-10-08T00:00:00"/>
    <x v="0"/>
    <x v="0"/>
    <d v="2026-07-22T00:00:00"/>
    <m/>
    <m/>
    <m/>
    <m/>
    <n v="0"/>
    <m/>
    <n v="0"/>
    <m/>
    <n v="0"/>
    <m/>
    <n v="0"/>
    <n v="642.48"/>
    <n v="97.4"/>
    <n v="97.519000000000005"/>
    <n v="625.77552000000003"/>
    <n v="626.54007120000006"/>
    <n v="626.54007120000006"/>
    <m/>
    <n v="0.63"/>
    <n v="0.13"/>
    <n v="0.76"/>
    <n v="371494"/>
    <x v="0"/>
    <x v="21"/>
    <s v="20060_02 - VRF54"/>
  </r>
  <r>
    <d v="2026-10-08T00:00:00"/>
    <x v="0"/>
    <x v="0"/>
    <d v="2026-07-22T00:00:00"/>
    <m/>
    <m/>
    <m/>
    <m/>
    <n v="0"/>
    <m/>
    <n v="0"/>
    <m/>
    <n v="0"/>
    <m/>
    <n v="0"/>
    <n v="507.78"/>
    <n v="97.3"/>
    <n v="97.416200000000003"/>
    <n v="494.06993999999997"/>
    <n v="494.65998035999996"/>
    <n v="494.65998035999996"/>
    <m/>
    <n v="0.49"/>
    <n v="9.9999999999999978E-2"/>
    <n v="0.59"/>
    <n v="371495"/>
    <x v="0"/>
    <x v="21"/>
    <s v="20060_02 - VRF54"/>
  </r>
  <r>
    <d v="2026-10-08T00:00:00"/>
    <x v="0"/>
    <x v="0"/>
    <d v="2026-07-22T00:00:00"/>
    <m/>
    <m/>
    <m/>
    <m/>
    <n v="0"/>
    <m/>
    <n v="0"/>
    <m/>
    <n v="0"/>
    <m/>
    <n v="0"/>
    <n v="392.55"/>
    <n v="97.3"/>
    <n v="97.416899999999998"/>
    <n v="381.95114999999998"/>
    <n v="382.41004095000005"/>
    <n v="382.41004095000005"/>
    <m/>
    <n v="0.38"/>
    <n v="8.0000000000000016E-2"/>
    <n v="0.46"/>
    <n v="371496"/>
    <x v="0"/>
    <x v="21"/>
    <s v="20060_02 - VRF54"/>
  </r>
  <r>
    <d v="2026-10-08T00:00:00"/>
    <x v="0"/>
    <x v="0"/>
    <d v="2026-07-23T00:00:00"/>
    <m/>
    <m/>
    <m/>
    <m/>
    <n v="0"/>
    <m/>
    <n v="0"/>
    <m/>
    <n v="0"/>
    <m/>
    <n v="0"/>
    <n v="653.77"/>
    <n v="96.75"/>
    <n v="96.865899999999996"/>
    <n v="632.52247499999999"/>
    <n v="633.28019442999994"/>
    <n v="633.28019442999994"/>
    <m/>
    <n v="0.63"/>
    <n v="0.13"/>
    <n v="0.76"/>
    <n v="371615"/>
    <x v="0"/>
    <x v="22"/>
    <s v="20524_01 - VRF35"/>
  </r>
  <r>
    <d v="2026-10-08T00:00:00"/>
    <x v="0"/>
    <x v="0"/>
    <d v="2026-07-23T00:00:00"/>
    <m/>
    <m/>
    <m/>
    <m/>
    <n v="0"/>
    <m/>
    <n v="0"/>
    <m/>
    <n v="0"/>
    <m/>
    <n v="0"/>
    <n v="362"/>
    <n v="97.4"/>
    <n v="97.616"/>
    <n v="352.58800000000002"/>
    <n v="353.36991999999998"/>
    <n v="353.36991999999998"/>
    <m/>
    <n v="0.71"/>
    <n v="7.0000000000000062E-2"/>
    <n v="0.78"/>
    <n v="371616"/>
    <x v="0"/>
    <x v="22"/>
    <s v="20524_01 - VRF35"/>
  </r>
  <r>
    <d v="2026-10-08T00:00:00"/>
    <x v="0"/>
    <x v="0"/>
    <d v="2026-07-24T00:00:00"/>
    <m/>
    <m/>
    <m/>
    <m/>
    <n v="0"/>
    <m/>
    <n v="0"/>
    <m/>
    <n v="0"/>
    <m/>
    <n v="0"/>
    <n v="3662.75"/>
    <n v="97.5"/>
    <n v="97.628600000000006"/>
    <n v="3571.1812500000001"/>
    <n v="3575.8915465000005"/>
    <n v="3575.8915465000005"/>
    <m/>
    <n v="4"/>
    <n v="0.71"/>
    <n v="4.71"/>
    <n v="371649"/>
    <x v="0"/>
    <x v="22"/>
    <s v="20524_01 - VRF35"/>
  </r>
  <r>
    <d v="2026-10-08T00:00:00"/>
    <x v="0"/>
    <x v="0"/>
    <d v="2026-07-27T00:00:00"/>
    <m/>
    <m/>
    <m/>
    <m/>
    <n v="0"/>
    <m/>
    <n v="0"/>
    <m/>
    <n v="0"/>
    <m/>
    <n v="0"/>
    <n v="134.59"/>
    <n v="97"/>
    <n v="97.763599999999997"/>
    <n v="130.5523"/>
    <n v="131.58002924000002"/>
    <n v="131.58002924000002"/>
    <m/>
    <n v="1"/>
    <n v="3.000000000000003E-2"/>
    <n v="1.03"/>
    <n v="371677"/>
    <x v="0"/>
    <x v="22"/>
    <s v="20524_01 - VRF35"/>
  </r>
  <r>
    <d v="2026-10-08T00:00:00"/>
    <x v="0"/>
    <x v="0"/>
    <d v="2026-07-27T00:00:00"/>
    <m/>
    <m/>
    <m/>
    <m/>
    <n v="0"/>
    <m/>
    <n v="0"/>
    <m/>
    <n v="0"/>
    <m/>
    <n v="0"/>
    <n v="670.3"/>
    <n v="97.4"/>
    <n v="97.568299999999994"/>
    <n v="652.87220000000002"/>
    <n v="654.00031489999992"/>
    <n v="654.00031489999992"/>
    <m/>
    <n v="1"/>
    <n v="0.12999999999999989"/>
    <n v="1.1299999999999999"/>
    <n v="371680"/>
    <x v="0"/>
    <x v="22"/>
    <s v="20524_01 - VRF35"/>
  </r>
  <r>
    <d v="2026-10-08T00:00:00"/>
    <x v="0"/>
    <x v="0"/>
    <d v="2026-07-27T00:00:00"/>
    <m/>
    <m/>
    <m/>
    <m/>
    <n v="0"/>
    <m/>
    <n v="0"/>
    <m/>
    <n v="0"/>
    <m/>
    <n v="0"/>
    <n v="2096.91"/>
    <n v="97.9"/>
    <n v="98.017099999999999"/>
    <n v="2052.8748900000001"/>
    <n v="2055.3303716099999"/>
    <n v="2055.3303716099999"/>
    <m/>
    <n v="2.0499999999999998"/>
    <n v="0.41000000000000009"/>
    <n v="2.46"/>
    <n v="371718"/>
    <x v="0"/>
    <x v="22"/>
    <s v="20524_01 - VRF35"/>
  </r>
  <r>
    <d v="2026-10-08T00:00:00"/>
    <x v="0"/>
    <x v="0"/>
    <d v="2026-07-27T00:00:00"/>
    <m/>
    <m/>
    <m/>
    <m/>
    <n v="0"/>
    <m/>
    <n v="0"/>
    <m/>
    <n v="0"/>
    <m/>
    <n v="0"/>
    <n v="445.86"/>
    <n v="97.2"/>
    <n v="97.445400000000006"/>
    <n v="433.37592000000006"/>
    <n v="434.47006044"/>
    <n v="434.47006044"/>
    <m/>
    <n v="1"/>
    <n v="9.000000000000008E-2"/>
    <n v="1.0900000000000001"/>
    <n v="371720"/>
    <x v="0"/>
    <x v="22"/>
    <s v="20524_01 - VRF35"/>
  </r>
  <r>
    <d v="2026-10-08T00:00:00"/>
    <x v="0"/>
    <x v="0"/>
    <d v="2026-07-29T00:00:00"/>
    <m/>
    <m/>
    <m/>
    <m/>
    <n v="0"/>
    <m/>
    <n v="0"/>
    <m/>
    <n v="0"/>
    <m/>
    <n v="0"/>
    <n v="752.66"/>
    <n v="97"/>
    <n v="97.213881430000001"/>
    <n v="730.08019999999999"/>
    <n v="731.68999997103788"/>
    <n v="731.68999997103788"/>
    <m/>
    <n v="1.46"/>
    <n v="0.15"/>
    <n v="1.6099999999999999"/>
    <n v="20485"/>
    <x v="0"/>
    <x v="23"/>
    <n v="3726763"/>
  </r>
  <r>
    <d v="2026-10-08T00:00:00"/>
    <x v="1"/>
    <x v="0"/>
    <d v="2026-04-27T00:00:00"/>
    <m/>
    <d v="2026-04-24T00:00:00"/>
    <d v="2027-04-09T00:00:00"/>
    <m/>
    <n v="0"/>
    <m/>
    <n v="0"/>
    <n v="0"/>
    <n v="0"/>
    <n v="982.64372000000003"/>
    <n v="0"/>
    <n v="12535"/>
    <n v="92.017483319999997"/>
    <n v="92.160799999999995"/>
    <n v="11534.391534161998"/>
    <n v="11552.35628"/>
    <n v="11552.35628"/>
    <n v="0"/>
    <n v="11.115709333333299"/>
    <n v="6.8426566993333005"/>
    <n v="17.9583660326666"/>
    <n v="366433"/>
    <x v="3"/>
    <x v="5"/>
    <m/>
  </r>
  <r>
    <d v="2026-10-08T00:00:00"/>
    <x v="0"/>
    <x v="0"/>
    <d v="2026-08-04T00:00:00"/>
    <m/>
    <m/>
    <m/>
    <m/>
    <n v="0"/>
    <m/>
    <n v="0"/>
    <m/>
    <n v="0"/>
    <m/>
    <n v="0"/>
    <n v="498.1"/>
    <n v="97"/>
    <n v="97.221400000000003"/>
    <n v="483.15700000000004"/>
    <n v="484.25979340000004"/>
    <n v="484.25979340000004"/>
    <m/>
    <n v="1"/>
    <n v="0.1000000000000001"/>
    <n v="1.1000000000000001"/>
    <n v="372240"/>
    <x v="0"/>
    <x v="23"/>
    <n v="3726763"/>
  </r>
  <r>
    <d v="2026-10-08T00:00:00"/>
    <x v="0"/>
    <x v="0"/>
    <d v="2026-08-05T00:00:00"/>
    <m/>
    <m/>
    <m/>
    <m/>
    <n v="0"/>
    <m/>
    <n v="0"/>
    <m/>
    <n v="0"/>
    <m/>
    <n v="0"/>
    <n v="536.94000000000005"/>
    <n v="97.2"/>
    <n v="97.405699999999996"/>
    <n v="521.90568000000007"/>
    <n v="523.01016558000003"/>
    <n v="523.01016558000003"/>
    <m/>
    <n v="1"/>
    <n v="0.1000000000000001"/>
    <n v="1.1000000000000001"/>
    <n v="372348"/>
    <x v="0"/>
    <x v="23"/>
    <n v="3726763"/>
  </r>
  <r>
    <d v="2026-10-08T00:00:00"/>
    <x v="0"/>
    <x v="0"/>
    <d v="2026-08-06T00:00:00"/>
    <m/>
    <m/>
    <m/>
    <m/>
    <n v="0"/>
    <m/>
    <n v="0"/>
    <m/>
    <n v="0"/>
    <m/>
    <n v="0"/>
    <n v="575.17999999999995"/>
    <n v="97.2"/>
    <n v="97.392099999999999"/>
    <n v="559.07496000000003"/>
    <n v="560.17988077999996"/>
    <n v="560.17988077999996"/>
    <m/>
    <n v="1"/>
    <n v="0.1100000000000001"/>
    <n v="1.1100000000000001"/>
    <n v="372438"/>
    <x v="0"/>
    <x v="23"/>
    <n v="3726763"/>
  </r>
  <r>
    <d v="2026-10-08T00:00:00"/>
    <x v="0"/>
    <x v="0"/>
    <d v="2026-08-06T00:00:00"/>
    <m/>
    <m/>
    <m/>
    <m/>
    <n v="0"/>
    <m/>
    <n v="0"/>
    <m/>
    <n v="0"/>
    <m/>
    <n v="0"/>
    <n v="506.77"/>
    <n v="97.2"/>
    <n v="97.397241350000002"/>
    <n v="492.58044000000001"/>
    <n v="493.57999998939499"/>
    <n v="493.57999998939499"/>
    <m/>
    <n v="1"/>
    <m/>
    <n v="1"/>
    <n v="21278"/>
    <x v="0"/>
    <x v="23"/>
    <n v="3726763"/>
  </r>
  <r>
    <d v="2026-10-08T00:00:00"/>
    <x v="0"/>
    <x v="0"/>
    <d v="2026-08-07T00:00:00"/>
    <m/>
    <m/>
    <m/>
    <m/>
    <n v="0"/>
    <m/>
    <n v="0"/>
    <m/>
    <n v="0"/>
    <m/>
    <n v="0"/>
    <n v="1619.23"/>
    <n v="97.5"/>
    <n v="97.715000000000003"/>
    <n v="1578.7492499999998"/>
    <n v="1582.2305945000001"/>
    <n v="1582.2305945000001"/>
    <m/>
    <n v="3.16"/>
    <n v="0.31999999999999978"/>
    <n v="3.48"/>
    <n v="372512"/>
    <x v="0"/>
    <x v="23"/>
    <n v="3726763"/>
  </r>
  <r>
    <d v="2026-10-08T00:00:00"/>
    <x v="0"/>
    <x v="0"/>
    <d v="2026-08-07T00:00:00"/>
    <m/>
    <m/>
    <m/>
    <m/>
    <n v="0"/>
    <m/>
    <n v="0"/>
    <m/>
    <n v="0"/>
    <m/>
    <n v="0"/>
    <n v="2277.27"/>
    <n v="97.6"/>
    <n v="97.814899999999994"/>
    <n v="2222.6155199999998"/>
    <n v="2227.5093732299997"/>
    <n v="2227.5093732299997"/>
    <m/>
    <n v="4.45"/>
    <n v="0.4399999999999995"/>
    <n v="4.8899999999999997"/>
    <n v="372513"/>
    <x v="0"/>
    <x v="23"/>
    <n v="3726763"/>
  </r>
  <r>
    <d v="2026-10-08T00:00:00"/>
    <x v="0"/>
    <x v="0"/>
    <d v="2026-08-11T00:00:00"/>
    <m/>
    <m/>
    <m/>
    <m/>
    <n v="0"/>
    <m/>
    <n v="0"/>
    <m/>
    <n v="0"/>
    <m/>
    <n v="0"/>
    <n v="1623.51"/>
    <n v="97.5"/>
    <n v="97.714799999999997"/>
    <n v="1582.9222500000001"/>
    <n v="1586.4095494799999"/>
    <n v="1586.4095494799999"/>
    <m/>
    <n v="3.17"/>
    <n v="0.32000000000000028"/>
    <n v="3.49"/>
    <n v="372581"/>
    <x v="0"/>
    <x v="23"/>
    <n v="3726763"/>
  </r>
  <r>
    <d v="2026-10-08T00:00:00"/>
    <x v="0"/>
    <x v="0"/>
    <d v="2026-08-12T00:00:00"/>
    <m/>
    <m/>
    <m/>
    <m/>
    <n v="0"/>
    <m/>
    <n v="0"/>
    <m/>
    <n v="0"/>
    <m/>
    <n v="0"/>
    <n v="977.38"/>
    <n v="98"/>
    <n v="98.117400000000004"/>
    <n v="957.83240000000001"/>
    <n v="958.97984412000005"/>
    <n v="958.97984412000005"/>
    <m/>
    <n v="0.96"/>
    <n v="0.18999999999999989"/>
    <n v="1.1499999999999999"/>
    <n v="372707"/>
    <x v="0"/>
    <x v="24"/>
    <n v="3730342"/>
  </r>
  <r>
    <d v="2026-10-08T00:00:00"/>
    <x v="0"/>
    <x v="0"/>
    <d v="2026-08-12T00:00:00"/>
    <m/>
    <m/>
    <m/>
    <m/>
    <n v="0"/>
    <m/>
    <n v="0"/>
    <m/>
    <n v="0"/>
    <m/>
    <n v="0"/>
    <n v="815.42"/>
    <n v="97.5"/>
    <n v="97.617199999999997"/>
    <n v="795.03449999999998"/>
    <n v="795.99017223999999"/>
    <n v="795.99017223999999"/>
    <m/>
    <n v="0.8"/>
    <n v="0.15999999999999989"/>
    <n v="0.96"/>
    <n v="372739"/>
    <x v="0"/>
    <x v="24"/>
    <n v="3730342"/>
  </r>
  <r>
    <d v="2026-10-08T00:00:00"/>
    <x v="0"/>
    <x v="0"/>
    <d v="2026-08-13T00:00:00"/>
    <m/>
    <m/>
    <m/>
    <m/>
    <n v="0"/>
    <m/>
    <n v="0"/>
    <m/>
    <n v="0"/>
    <m/>
    <n v="0"/>
    <n v="1782.06"/>
    <n v="97.6"/>
    <n v="97.814899999999994"/>
    <n v="1739.2905599999999"/>
    <n v="1743.1202069399997"/>
    <n v="1743.1202069399997"/>
    <m/>
    <n v="3.48"/>
    <n v="0.35000000000000009"/>
    <n v="3.83"/>
    <n v="372785"/>
    <x v="0"/>
    <x v="24"/>
    <n v="3730342"/>
  </r>
  <r>
    <d v="2026-10-08T00:00:00"/>
    <x v="0"/>
    <x v="0"/>
    <d v="2026-08-14T00:00:00"/>
    <m/>
    <m/>
    <m/>
    <m/>
    <n v="0"/>
    <m/>
    <n v="0"/>
    <m/>
    <n v="0"/>
    <m/>
    <n v="0"/>
    <n v="893.61"/>
    <n v="97.45"/>
    <n v="97.663410209999995"/>
    <n v="870.822945"/>
    <n v="872.72999997758097"/>
    <n v="872.72999997758097"/>
    <m/>
    <n v="1.74"/>
    <m/>
    <n v="1.74"/>
    <n v="21836"/>
    <x v="0"/>
    <x v="24"/>
    <n v="3730342"/>
  </r>
  <r>
    <d v="2026-10-08T00:00:00"/>
    <x v="0"/>
    <x v="0"/>
    <d v="2026-08-17T00:00:00"/>
    <m/>
    <m/>
    <m/>
    <m/>
    <n v="0"/>
    <m/>
    <n v="0"/>
    <m/>
    <n v="0"/>
    <m/>
    <n v="0"/>
    <n v="3017.53"/>
    <n v="97.7"/>
    <n v="97.915199999999999"/>
    <n v="2948.1268100000002"/>
    <n v="2954.6205345600001"/>
    <n v="2954.6205345600001"/>
    <m/>
    <n v="5.9"/>
    <n v="0.58999999999999986"/>
    <n v="6.49"/>
    <n v="372979"/>
    <x v="0"/>
    <x v="24"/>
    <n v="3730342"/>
  </r>
  <r>
    <d v="2026-10-08T00:00:00"/>
    <x v="0"/>
    <x v="0"/>
    <d v="2026-08-18T00:00:00"/>
    <m/>
    <m/>
    <m/>
    <m/>
    <n v="0"/>
    <m/>
    <n v="0"/>
    <m/>
    <n v="0"/>
    <m/>
    <n v="0"/>
    <n v="628.35"/>
    <n v="97.5"/>
    <n v="97.714600000000004"/>
    <n v="612.64125000000001"/>
    <n v="613.98968910000008"/>
    <n v="613.98968910000008"/>
    <m/>
    <n v="1.23"/>
    <n v="0.12000000000000011"/>
    <n v="1.35"/>
    <n v="373032"/>
    <x v="0"/>
    <x v="25"/>
    <s v="22208_04 - VRF48"/>
  </r>
  <r>
    <d v="2026-10-08T00:00:00"/>
    <x v="0"/>
    <x v="0"/>
    <d v="2026-08-18T00:00:00"/>
    <m/>
    <m/>
    <m/>
    <m/>
    <n v="0"/>
    <m/>
    <n v="0"/>
    <m/>
    <n v="0"/>
    <m/>
    <n v="0"/>
    <n v="1542.26"/>
    <n v="97.5"/>
    <n v="97.714399999999998"/>
    <n v="1503.7035000000001"/>
    <n v="1507.01010544"/>
    <n v="1507.01010544"/>
    <m/>
    <n v="3.01"/>
    <n v="0.30000000000000032"/>
    <n v="3.31"/>
    <n v="373072"/>
    <x v="0"/>
    <x v="25"/>
    <s v="22208_04 - VRF48"/>
  </r>
  <r>
    <d v="2026-10-08T00:00:00"/>
    <x v="0"/>
    <x v="0"/>
    <d v="2026-08-18T00:00:00"/>
    <m/>
    <m/>
    <m/>
    <m/>
    <n v="0"/>
    <m/>
    <n v="0"/>
    <m/>
    <n v="0"/>
    <m/>
    <n v="0"/>
    <n v="4623.71"/>
    <n v="97.5"/>
    <n v="97.714600000000004"/>
    <n v="4508.1172499999993"/>
    <n v="4518.0397316600001"/>
    <n v="4518.0397316600001"/>
    <m/>
    <n v="9.02"/>
    <n v="0.90000000000000036"/>
    <n v="9.92"/>
    <n v="373073"/>
    <x v="0"/>
    <x v="25"/>
    <s v="22208_04 - VRF48"/>
  </r>
  <r>
    <d v="2026-10-08T00:00:00"/>
    <x v="0"/>
    <x v="0"/>
    <d v="2026-08-19T00:00:00"/>
    <m/>
    <m/>
    <m/>
    <m/>
    <n v="0"/>
    <m/>
    <n v="0"/>
    <m/>
    <n v="0"/>
    <m/>
    <n v="0"/>
    <n v="1421.13"/>
    <n v="97.5"/>
    <n v="97.714500000000001"/>
    <n v="1385.6017500000003"/>
    <n v="1388.6500738500001"/>
    <n v="1388.6500738500001"/>
    <m/>
    <n v="2.77"/>
    <n v="0.2799999999999998"/>
    <n v="3.05"/>
    <n v="373120"/>
    <x v="0"/>
    <x v="25"/>
    <s v="22208_04 - VRF48"/>
  </r>
  <r>
    <d v="2026-10-08T00:00:00"/>
    <x v="0"/>
    <x v="0"/>
    <d v="2026-08-19T00:00:00"/>
    <m/>
    <m/>
    <m/>
    <m/>
    <n v="0"/>
    <m/>
    <n v="0"/>
    <m/>
    <n v="0"/>
    <m/>
    <n v="0"/>
    <n v="655.36"/>
    <n v="97.5"/>
    <n v="97.71575928"/>
    <n v="638.976"/>
    <n v="640.39000001740806"/>
    <n v="640.39000001740806"/>
    <m/>
    <n v="1.28"/>
    <n v="0.13"/>
    <n v="1.4100000000000001"/>
    <n v="22107"/>
    <x v="0"/>
    <x v="25"/>
    <s v="22208_04 - VRF48"/>
  </r>
  <r>
    <d v="2026-10-08T00:00:00"/>
    <x v="0"/>
    <x v="0"/>
    <d v="2026-08-21T00:00:00"/>
    <m/>
    <m/>
    <m/>
    <m/>
    <n v="0"/>
    <m/>
    <n v="0"/>
    <m/>
    <n v="0"/>
    <m/>
    <n v="0"/>
    <n v="393.58"/>
    <n v="96.75"/>
    <n v="96.963800000000006"/>
    <n v="380.78864999999996"/>
    <n v="381.63012404"/>
    <n v="381.63012404"/>
    <m/>
    <n v="0.76"/>
    <n v="7.999999999999996E-2"/>
    <n v="0.84"/>
    <n v="373299"/>
    <x v="0"/>
    <x v="26"/>
    <n v="3735843"/>
  </r>
  <r>
    <d v="2026-10-08T00:00:00"/>
    <x v="0"/>
    <x v="0"/>
    <d v="2026-08-21T00:00:00"/>
    <m/>
    <m/>
    <m/>
    <m/>
    <n v="0"/>
    <m/>
    <n v="0"/>
    <m/>
    <n v="0"/>
    <m/>
    <n v="0"/>
    <n v="998.23"/>
    <n v="98.05"/>
    <n v="98.265900000000002"/>
    <n v="978.76451499999996"/>
    <n v="980.91969357000005"/>
    <n v="980.91969357000005"/>
    <m/>
    <n v="1.96"/>
    <n v="0.20000000000000021"/>
    <n v="2.16"/>
    <n v="373300"/>
    <x v="0"/>
    <x v="26"/>
    <n v="3735843"/>
  </r>
  <r>
    <d v="2026-10-08T00:00:00"/>
    <x v="0"/>
    <x v="0"/>
    <d v="2026-08-24T00:00:00"/>
    <m/>
    <m/>
    <m/>
    <m/>
    <n v="0"/>
    <m/>
    <n v="0"/>
    <m/>
    <n v="0"/>
    <m/>
    <n v="0"/>
    <n v="476.18"/>
    <n v="97.75"/>
    <n v="97.965100000000007"/>
    <n v="465.46595000000002"/>
    <n v="466.49021318000007"/>
    <n v="466.49021318000007"/>
    <m/>
    <n v="0.93"/>
    <n v="8.9999999999999969E-2"/>
    <n v="1.02"/>
    <n v="373360"/>
    <x v="0"/>
    <x v="26"/>
    <n v="3735843"/>
  </r>
  <r>
    <d v="2026-10-08T00:00:00"/>
    <x v="0"/>
    <x v="0"/>
    <d v="2026-08-24T00:00:00"/>
    <m/>
    <m/>
    <m/>
    <m/>
    <n v="0"/>
    <m/>
    <n v="0"/>
    <m/>
    <n v="0"/>
    <m/>
    <n v="0"/>
    <n v="333.01"/>
    <n v="96.75"/>
    <n v="97.072159999999997"/>
    <n v="322.18717499999997"/>
    <n v="323.26000001599999"/>
    <n v="323.26000001599999"/>
    <m/>
    <n v="1.07"/>
    <m/>
    <n v="1.07"/>
    <n v="22496"/>
    <x v="0"/>
    <x v="26"/>
    <n v="3735843"/>
  </r>
  <r>
    <d v="2026-10-08T00:00:00"/>
    <x v="0"/>
    <x v="0"/>
    <d v="2026-08-25T00:00:00"/>
    <m/>
    <m/>
    <m/>
    <m/>
    <n v="0"/>
    <m/>
    <n v="0"/>
    <m/>
    <n v="0"/>
    <m/>
    <n v="0"/>
    <n v="951.57"/>
    <n v="97.9"/>
    <n v="98.067400000000006"/>
    <n v="931.58703000000014"/>
    <n v="933.17995818000009"/>
    <n v="933.17995818000009"/>
    <m/>
    <n v="1.4"/>
    <n v="0.1900000000000002"/>
    <n v="1.59"/>
    <n v="373461"/>
    <x v="0"/>
    <x v="26"/>
    <n v="3735843"/>
  </r>
  <r>
    <d v="2026-10-08T00:00:00"/>
    <x v="0"/>
    <x v="0"/>
    <d v="2026-08-26T00:00:00"/>
    <m/>
    <m/>
    <m/>
    <m/>
    <n v="0"/>
    <m/>
    <n v="0"/>
    <m/>
    <n v="0"/>
    <m/>
    <n v="0"/>
    <n v="600.89"/>
    <n v="97.65"/>
    <n v="97.836500000000001"/>
    <n v="586.76908500000002"/>
    <n v="587.88974484999994"/>
    <n v="587.88974484999994"/>
    <m/>
    <n v="1"/>
    <n v="0.12000000000000011"/>
    <n v="1.1200000000000001"/>
    <n v="373539"/>
    <x v="0"/>
    <x v="26"/>
    <n v="3735843"/>
  </r>
  <r>
    <d v="2026-10-08T00:00:00"/>
    <x v="0"/>
    <x v="0"/>
    <d v="2026-08-27T00:00:00"/>
    <m/>
    <m/>
    <m/>
    <m/>
    <n v="0"/>
    <m/>
    <n v="0"/>
    <m/>
    <n v="0"/>
    <m/>
    <n v="0"/>
    <n v="550.26"/>
    <n v="97.7"/>
    <n v="97.915499999999994"/>
    <n v="537.60401999999999"/>
    <n v="538.78983029999995"/>
    <n v="538.78983029999995"/>
    <m/>
    <n v="1.08"/>
    <n v="0.1099999999999999"/>
    <n v="1.19"/>
    <n v="373596"/>
    <x v="0"/>
    <x v="27"/>
    <n v="373967"/>
  </r>
  <r>
    <d v="2026-10-08T00:00:00"/>
    <x v="0"/>
    <x v="0"/>
    <d v="2026-08-27T00:00:00"/>
    <m/>
    <m/>
    <m/>
    <m/>
    <n v="0"/>
    <m/>
    <n v="0"/>
    <m/>
    <n v="0"/>
    <m/>
    <n v="0"/>
    <n v="518.26"/>
    <n v="98.05"/>
    <n v="98.166943230000001"/>
    <n v="508.15392999999995"/>
    <n v="508.75999998379797"/>
    <n v="508.75999998379797"/>
    <m/>
    <n v="0.51"/>
    <m/>
    <n v="0.51"/>
    <n v="22820"/>
    <x v="0"/>
    <x v="27"/>
    <n v="373967"/>
  </r>
  <r>
    <d v="2026-10-08T00:00:00"/>
    <x v="0"/>
    <x v="0"/>
    <d v="2026-08-28T00:00:00"/>
    <m/>
    <m/>
    <m/>
    <m/>
    <n v="0"/>
    <m/>
    <n v="0"/>
    <m/>
    <n v="0"/>
    <m/>
    <n v="0"/>
    <n v="782.29"/>
    <n v="98.05"/>
    <n v="98.216800000000006"/>
    <n v="767.03534499999989"/>
    <n v="768.34020472000009"/>
    <n v="768.34020472000009"/>
    <m/>
    <n v="1.1499999999999999"/>
    <n v="0.15000000000000011"/>
    <n v="1.3"/>
    <n v="373613"/>
    <x v="0"/>
    <x v="27"/>
    <n v="373967"/>
  </r>
  <r>
    <d v="2026-10-08T00:00:00"/>
    <x v="0"/>
    <x v="0"/>
    <d v="2026-08-31T00:00:00"/>
    <m/>
    <m/>
    <m/>
    <m/>
    <n v="0"/>
    <m/>
    <n v="0"/>
    <m/>
    <n v="0"/>
    <m/>
    <n v="0"/>
    <n v="5035.5"/>
    <n v="98.1"/>
    <n v="98.2179"/>
    <n v="4939.8254999999999"/>
    <n v="4945.7623544999997"/>
    <n v="4945.7623544999997"/>
    <m/>
    <n v="4.9400000000000004"/>
    <n v="0.98999999999999932"/>
    <n v="5.93"/>
    <n v="373797"/>
    <x v="0"/>
    <x v="27"/>
    <n v="373967"/>
  </r>
  <r>
    <d v="2026-10-08T00:00:00"/>
    <x v="0"/>
    <x v="0"/>
    <d v="2026-08-31T00:00:00"/>
    <m/>
    <m/>
    <m/>
    <m/>
    <n v="0"/>
    <m/>
    <n v="0"/>
    <m/>
    <n v="0"/>
    <m/>
    <n v="0"/>
    <n v="628.1"/>
    <n v="97.9"/>
    <n v="98.01623945"/>
    <n v="614.90990000000011"/>
    <n v="615.63999998545"/>
    <n v="615.63999998545"/>
    <m/>
    <n v="0.61"/>
    <m/>
    <n v="0.61"/>
    <n v="23003"/>
    <x v="0"/>
    <x v="27"/>
    <n v="373967"/>
  </r>
  <r>
    <d v="2026-10-08T00:00:00"/>
    <x v="0"/>
    <x v="0"/>
    <d v="2026-09-03T00:00:00"/>
    <m/>
    <m/>
    <m/>
    <m/>
    <n v="0"/>
    <m/>
    <n v="0"/>
    <m/>
    <n v="0"/>
    <m/>
    <n v="0"/>
    <n v="1645.6"/>
    <n v="98.5501"/>
    <n v="98.668000000000006"/>
    <n v="1621.7404455999997"/>
    <n v="1623.6806080000001"/>
    <n v="1623.6806080000001"/>
    <m/>
    <n v="1.62"/>
    <n v="0.31999999999999978"/>
    <n v="1.94"/>
    <n v="374063"/>
    <x v="0"/>
    <x v="28"/>
    <n v="3741862"/>
  </r>
  <r>
    <d v="2026-10-08T00:00:00"/>
    <x v="0"/>
    <x v="0"/>
    <d v="2026-09-04T00:00:00"/>
    <m/>
    <m/>
    <m/>
    <m/>
    <n v="0"/>
    <m/>
    <n v="0"/>
    <m/>
    <n v="0"/>
    <m/>
    <n v="0"/>
    <n v="3377.34"/>
    <n v="98.5"/>
    <n v="98.618399999999994"/>
    <n v="3326.6799000000001"/>
    <n v="3330.6786705599998"/>
    <n v="3330.6786705599998"/>
    <m/>
    <n v="3.33"/>
    <n v="0.66999999999999993"/>
    <n v="4"/>
    <n v="374140"/>
    <x v="0"/>
    <x v="28"/>
    <n v="3741862"/>
  </r>
  <r>
    <d v="2026-10-08T00:00:00"/>
    <x v="0"/>
    <x v="0"/>
    <d v="2026-09-09T00:00:00"/>
    <m/>
    <m/>
    <m/>
    <m/>
    <n v="0"/>
    <m/>
    <n v="0"/>
    <m/>
    <n v="0"/>
    <m/>
    <n v="0"/>
    <n v="674.44"/>
    <n v="97.6"/>
    <n v="97.766999999999996"/>
    <n v="658.25343999999996"/>
    <n v="659.37975480000011"/>
    <n v="659.37975480000011"/>
    <m/>
    <n v="1"/>
    <n v="0.12999999999999989"/>
    <n v="1.1299999999999999"/>
    <n v="374463"/>
    <x v="0"/>
    <x v="29"/>
    <n v="3748022"/>
  </r>
  <r>
    <d v="2026-10-08T00:00:00"/>
    <x v="0"/>
    <x v="0"/>
    <d v="2026-09-09T00:00:00"/>
    <m/>
    <m/>
    <m/>
    <m/>
    <n v="0"/>
    <m/>
    <n v="0"/>
    <m/>
    <n v="0"/>
    <m/>
    <n v="0"/>
    <n v="972.18"/>
    <n v="97.9"/>
    <n v="98.021971239999999"/>
    <n v="951.76422000000002"/>
    <n v="952.95000000103187"/>
    <n v="952.95000000103187"/>
    <m/>
    <n v="1"/>
    <m/>
    <n v="1"/>
    <n v="23745"/>
    <x v="0"/>
    <x v="29"/>
    <n v="3748022"/>
  </r>
  <r>
    <d v="2026-10-08T00:00:00"/>
    <x v="0"/>
    <x v="0"/>
    <d v="2026-09-10T00:00:00"/>
    <m/>
    <m/>
    <m/>
    <m/>
    <n v="0"/>
    <m/>
    <n v="0"/>
    <m/>
    <n v="0"/>
    <m/>
    <n v="0"/>
    <n v="573.71"/>
    <n v="98.05"/>
    <n v="98.242999999999995"/>
    <n v="562.52265499999999"/>
    <n v="563.62991529999999"/>
    <n v="563.62991529999999"/>
    <m/>
    <n v="1"/>
    <n v="0.1100000000000001"/>
    <n v="1.1100000000000001"/>
    <n v="374522"/>
    <x v="0"/>
    <x v="29"/>
    <n v="3748022"/>
  </r>
  <r>
    <d v="2026-10-08T00:00:00"/>
    <x v="0"/>
    <x v="0"/>
    <d v="2026-09-10T00:00:00"/>
    <m/>
    <m/>
    <m/>
    <m/>
    <n v="0"/>
    <m/>
    <n v="0"/>
    <m/>
    <n v="0"/>
    <m/>
    <n v="0"/>
    <n v="316.10000000000002"/>
    <n v="97.5"/>
    <n v="97.836100000000002"/>
    <n v="308.19750000000005"/>
    <n v="309.25991210000007"/>
    <n v="309.25991210000007"/>
    <m/>
    <n v="1"/>
    <n v="6.0000000000000053E-2"/>
    <n v="1.06"/>
    <n v="374571"/>
    <x v="0"/>
    <x v="29"/>
    <n v="3748022"/>
  </r>
  <r>
    <d v="2026-10-08T00:00:00"/>
    <x v="0"/>
    <x v="0"/>
    <d v="2026-09-10T00:00:00"/>
    <m/>
    <m/>
    <m/>
    <m/>
    <n v="0"/>
    <m/>
    <n v="0"/>
    <m/>
    <n v="0"/>
    <m/>
    <n v="0"/>
    <n v="524.04"/>
    <n v="97.75"/>
    <n v="97.960079379999996"/>
    <n v="512.2491"/>
    <n v="513.34999998295189"/>
    <n v="513.34999998295189"/>
    <m/>
    <n v="1"/>
    <m/>
    <n v="1"/>
    <n v="23865"/>
    <x v="0"/>
    <x v="29"/>
    <n v="3748022"/>
  </r>
  <r>
    <d v="2026-10-08T00:00:00"/>
    <x v="0"/>
    <x v="0"/>
    <d v="2026-09-10T00:00:00"/>
    <m/>
    <m/>
    <m/>
    <m/>
    <n v="0"/>
    <m/>
    <n v="0"/>
    <m/>
    <n v="0"/>
    <m/>
    <n v="0"/>
    <n v="1254.03"/>
    <n v="98.15"/>
    <n v="98.26798402"/>
    <n v="1230.8304450000001"/>
    <n v="1232.310000006006"/>
    <n v="1232.310000006006"/>
    <m/>
    <n v="1.23"/>
    <m/>
    <n v="1.23"/>
    <n v="23866"/>
    <x v="0"/>
    <x v="29"/>
    <n v="3748022"/>
  </r>
  <r>
    <d v="2026-10-08T00:00:00"/>
    <x v="0"/>
    <x v="0"/>
    <d v="2026-09-11T00:00:00"/>
    <m/>
    <m/>
    <m/>
    <m/>
    <n v="0"/>
    <m/>
    <n v="0"/>
    <m/>
    <n v="0"/>
    <m/>
    <n v="0"/>
    <n v="209.04"/>
    <n v="98"/>
    <n v="98.497900000000001"/>
    <n v="204.85919999999999"/>
    <n v="205.90001015999999"/>
    <n v="205.90001015999999"/>
    <m/>
    <n v="1"/>
    <n v="4.0000000000000042E-2"/>
    <n v="1.04"/>
    <n v="374665"/>
    <x v="0"/>
    <x v="29"/>
    <n v="3748022"/>
  </r>
  <r>
    <d v="2026-10-08T00:00:00"/>
    <x v="0"/>
    <x v="0"/>
    <d v="2026-09-11T00:00:00"/>
    <m/>
    <m/>
    <m/>
    <m/>
    <n v="0"/>
    <m/>
    <n v="0"/>
    <m/>
    <n v="0"/>
    <m/>
    <n v="0"/>
    <n v="3873.13"/>
    <n v="98.35"/>
    <n v="98.467905799999997"/>
    <n v="3809.2233550000001"/>
    <n v="3813.7899999115402"/>
    <n v="3813.7899999115402"/>
    <m/>
    <n v="3.81"/>
    <m/>
    <n v="3.81"/>
    <n v="23919"/>
    <x v="0"/>
    <x v="29"/>
    <n v="3748022"/>
  </r>
  <r>
    <d v="2026-10-08T00:00:00"/>
    <x v="0"/>
    <x v="0"/>
    <d v="2026-09-11T00:00:00"/>
    <m/>
    <m/>
    <m/>
    <m/>
    <n v="0"/>
    <m/>
    <n v="0"/>
    <m/>
    <n v="0"/>
    <m/>
    <n v="0"/>
    <n v="1336.15"/>
    <n v="98.27"/>
    <n v="98.43655278"/>
    <n v="1313.0346050000001"/>
    <n v="1315.2599999699701"/>
    <n v="1315.2599999699701"/>
    <m/>
    <n v="1.97"/>
    <m/>
    <n v="1.97"/>
    <n v="23962"/>
    <x v="0"/>
    <x v="29"/>
    <n v="3748022"/>
  </r>
  <r>
    <d v="2026-10-08T00:00:00"/>
    <x v="0"/>
    <x v="0"/>
    <d v="2026-09-11T00:00:00"/>
    <m/>
    <m/>
    <m/>
    <m/>
    <n v="0"/>
    <m/>
    <n v="0"/>
    <m/>
    <n v="0"/>
    <m/>
    <n v="0"/>
    <n v="2283.7800000000002"/>
    <n v="98.25"/>
    <n v="98.41709797"/>
    <n v="2243.81385"/>
    <n v="2247.6300000192659"/>
    <n v="2247.6300000192659"/>
    <m/>
    <n v="3.37"/>
    <m/>
    <n v="3.37"/>
    <n v="23980"/>
    <x v="0"/>
    <x v="29"/>
    <n v="3748022"/>
  </r>
  <r>
    <d v="2026-10-08T00:00:00"/>
    <x v="0"/>
    <x v="0"/>
    <d v="2026-09-21T00:00:00"/>
    <m/>
    <m/>
    <m/>
    <m/>
    <n v="0"/>
    <m/>
    <n v="0"/>
    <m/>
    <n v="0"/>
    <m/>
    <n v="0"/>
    <n v="213.27"/>
    <n v="98"/>
    <n v="98.485500000000002"/>
    <n v="209.00460000000004"/>
    <n v="210.04002585000001"/>
    <n v="210.04002585000001"/>
    <m/>
    <n v="1"/>
    <n v="4.0000000000000042E-2"/>
    <n v="1.04"/>
    <n v="375069"/>
    <x v="3"/>
    <x v="5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9">
  <r>
    <d v="2024-09-17T00:00:00"/>
    <x v="0"/>
    <x v="0"/>
    <x v="0"/>
    <x v="0"/>
    <n v="5.36"/>
    <n v="13.5"/>
    <n v="15.63"/>
    <m/>
    <m/>
    <n v="15.63"/>
    <m/>
    <m/>
    <m/>
    <m/>
    <m/>
    <m/>
    <n v="15.63"/>
    <x v="0"/>
    <n v="15.63"/>
    <x v="0"/>
    <x v="0"/>
  </r>
  <r>
    <d v="2024-09-25T00:00:00"/>
    <x v="0"/>
    <x v="0"/>
    <x v="0"/>
    <x v="0"/>
    <n v="5.36"/>
    <n v="12.5"/>
    <n v="12.51"/>
    <m/>
    <m/>
    <n v="12.51"/>
    <m/>
    <m/>
    <m/>
    <m/>
    <m/>
    <m/>
    <n v="12.51"/>
    <x v="0"/>
    <n v="12.51"/>
    <x v="0"/>
    <x v="0"/>
  </r>
  <r>
    <d v="2024-12-23T00:00:00"/>
    <x v="0"/>
    <x v="0"/>
    <x v="1"/>
    <x v="0"/>
    <n v="5.36"/>
    <n v="13"/>
    <n v="43.37"/>
    <m/>
    <m/>
    <n v="43.37"/>
    <m/>
    <m/>
    <m/>
    <m/>
    <m/>
    <m/>
    <n v="43.37"/>
    <x v="0"/>
    <n v="43.37"/>
    <x v="0"/>
    <x v="0"/>
  </r>
  <r>
    <d v="2025-02-19T00:00:00"/>
    <x v="1"/>
    <x v="0"/>
    <x v="1"/>
    <x v="1"/>
    <n v="5.64"/>
    <n v="11"/>
    <n v="31.16"/>
    <n v="0"/>
    <m/>
    <n v="31.16"/>
    <m/>
    <m/>
    <m/>
    <m/>
    <m/>
    <m/>
    <n v="31.16"/>
    <x v="0"/>
    <n v="31.16"/>
    <x v="0"/>
    <x v="1"/>
  </r>
  <r>
    <d v="2025-02-20T00:00:00"/>
    <x v="1"/>
    <x v="0"/>
    <x v="1"/>
    <x v="1"/>
    <n v="5.64"/>
    <n v="11.5"/>
    <n v="32.29"/>
    <n v="0"/>
    <m/>
    <n v="32.29"/>
    <m/>
    <m/>
    <m/>
    <m/>
    <m/>
    <m/>
    <n v="32.29"/>
    <x v="0"/>
    <n v="32.29"/>
    <x v="0"/>
    <x v="1"/>
  </r>
  <r>
    <d v="2025-02-20T00:00:00"/>
    <x v="1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1"/>
  </r>
  <r>
    <d v="2025-11-06T00:00:00"/>
    <x v="2"/>
    <x v="0"/>
    <x v="0"/>
    <x v="3"/>
    <n v="7.54"/>
    <n v="10"/>
    <n v="64.09"/>
    <m/>
    <m/>
    <n v="64.09"/>
    <m/>
    <m/>
    <m/>
    <m/>
    <m/>
    <m/>
    <n v="64.09"/>
    <x v="0"/>
    <n v="64.09"/>
    <x v="0"/>
    <x v="2"/>
  </r>
  <r>
    <d v="2026-01-08T00:00:00"/>
    <x v="2"/>
    <x v="0"/>
    <x v="0"/>
    <x v="4"/>
    <n v="7.54"/>
    <n v="12"/>
    <n v="75.650000000000006"/>
    <m/>
    <m/>
    <n v="75.650000000000006"/>
    <m/>
    <m/>
    <m/>
    <m/>
    <m/>
    <m/>
    <n v="75.650000000000006"/>
    <x v="0"/>
    <n v="75.650000000000006"/>
    <x v="0"/>
    <x v="2"/>
  </r>
  <r>
    <d v="2026-02-04T00:00:00"/>
    <x v="2"/>
    <x v="0"/>
    <x v="0"/>
    <x v="4"/>
    <n v="7.54"/>
    <n v="11"/>
    <n v="26.74"/>
    <m/>
    <m/>
    <n v="26.74"/>
    <m/>
    <m/>
    <m/>
    <m/>
    <m/>
    <m/>
    <n v="26.74"/>
    <x v="0"/>
    <n v="26.74"/>
    <x v="0"/>
    <x v="2"/>
  </r>
  <r>
    <d v="2025-08-08T00:00:00"/>
    <x v="3"/>
    <x v="0"/>
    <x v="0"/>
    <x v="5"/>
    <n v="7.72"/>
    <n v="9.75"/>
    <n v="141.7070333333333"/>
    <m/>
    <m/>
    <n v="141.7070333333333"/>
    <m/>
    <m/>
    <m/>
    <m/>
    <m/>
    <m/>
    <n v="141.7070333333333"/>
    <x v="0"/>
    <n v="141.7070333333333"/>
    <x v="0"/>
    <x v="3"/>
  </r>
  <r>
    <d v="2026-02-04T00:00:00"/>
    <x v="3"/>
    <x v="0"/>
    <x v="0"/>
    <x v="6"/>
    <n v="7.93"/>
    <n v="11.25"/>
    <n v="86.44"/>
    <m/>
    <m/>
    <n v="86.44"/>
    <m/>
    <m/>
    <m/>
    <m/>
    <m/>
    <m/>
    <n v="86.44"/>
    <x v="0"/>
    <n v="86.44"/>
    <x v="0"/>
    <x v="3"/>
  </r>
  <r>
    <d v="2026-02-04T00:00:00"/>
    <x v="3"/>
    <x v="0"/>
    <x v="0"/>
    <x v="7"/>
    <n v="7.35"/>
    <n v="11"/>
    <n v="20.79"/>
    <m/>
    <m/>
    <n v="20.79"/>
    <m/>
    <m/>
    <m/>
    <m/>
    <m/>
    <m/>
    <n v="20.79"/>
    <x v="0"/>
    <n v="20.79"/>
    <x v="0"/>
    <x v="3"/>
  </r>
  <r>
    <d v="2025-12-10T00:00:00"/>
    <x v="3"/>
    <x v="0"/>
    <x v="1"/>
    <x v="8"/>
    <n v="7.54"/>
    <n v="11"/>
    <n v="7.79"/>
    <m/>
    <m/>
    <n v="7.79"/>
    <m/>
    <m/>
    <m/>
    <m/>
    <m/>
    <m/>
    <n v="7.79"/>
    <x v="0"/>
    <n v="7.79"/>
    <x v="0"/>
    <x v="3"/>
  </r>
  <r>
    <d v="2025-04-28T00:00:00"/>
    <x v="4"/>
    <x v="1"/>
    <x v="0"/>
    <x v="9"/>
    <n v="9"/>
    <n v="11.5"/>
    <n v="399.97"/>
    <n v="1663.68"/>
    <m/>
    <n v="399.97"/>
    <m/>
    <m/>
    <m/>
    <m/>
    <m/>
    <m/>
    <n v="2063.65"/>
    <x v="0"/>
    <n v="399.97"/>
    <x v="0"/>
    <x v="4"/>
  </r>
  <r>
    <d v="2025-04-28T00:00:00"/>
    <x v="4"/>
    <x v="1"/>
    <x v="0"/>
    <x v="9"/>
    <n v="9"/>
    <n v="11.5"/>
    <n v="181.71"/>
    <n v="759.96"/>
    <m/>
    <n v="181.71"/>
    <m/>
    <m/>
    <m/>
    <m/>
    <m/>
    <m/>
    <n v="941.67000000000007"/>
    <x v="0"/>
    <n v="181.71"/>
    <x v="0"/>
    <x v="4"/>
  </r>
  <r>
    <d v="2025-05-16T00:00:00"/>
    <x v="4"/>
    <x v="0"/>
    <x v="0"/>
    <x v="10"/>
    <n v="7.93"/>
    <n v="12"/>
    <n v="86.57"/>
    <m/>
    <m/>
    <n v="86.57"/>
    <m/>
    <m/>
    <m/>
    <m/>
    <m/>
    <m/>
    <n v="86.57"/>
    <x v="0"/>
    <n v="86.57"/>
    <x v="0"/>
    <x v="4"/>
  </r>
  <r>
    <d v="2025-10-13T00:00:00"/>
    <x v="5"/>
    <x v="0"/>
    <x v="0"/>
    <x v="11"/>
    <n v="7.54"/>
    <n v="9.85"/>
    <n v="35.25"/>
    <m/>
    <m/>
    <n v="35.25"/>
    <m/>
    <m/>
    <m/>
    <m/>
    <m/>
    <m/>
    <n v="35.25"/>
    <x v="0"/>
    <n v="35.25"/>
    <x v="0"/>
    <x v="0"/>
  </r>
  <r>
    <d v="2026-02-25T00:00:00"/>
    <x v="6"/>
    <x v="0"/>
    <x v="0"/>
    <x v="12"/>
    <n v="6.5"/>
    <n v="11.25"/>
    <n v="140.56"/>
    <m/>
    <m/>
    <n v="140.56"/>
    <m/>
    <m/>
    <m/>
    <m/>
    <m/>
    <m/>
    <n v="140.56"/>
    <x v="0"/>
    <n v="140.56"/>
    <x v="0"/>
    <x v="1"/>
  </r>
  <r>
    <d v="2026-04-09T00:00:00"/>
    <x v="7"/>
    <x v="0"/>
    <x v="0"/>
    <x v="13"/>
    <n v="4.71"/>
    <n v="9.5"/>
    <n v="0.35"/>
    <n v="3.18"/>
    <m/>
    <n v="0.35"/>
    <m/>
    <m/>
    <m/>
    <m/>
    <m/>
    <m/>
    <n v="3.5300000000000002"/>
    <x v="0"/>
    <n v="0.35"/>
    <x v="0"/>
    <x v="2"/>
  </r>
  <r>
    <d v="2026-02-19T00:00:00"/>
    <x v="8"/>
    <x v="1"/>
    <x v="1"/>
    <x v="14"/>
    <n v="9"/>
    <n v="10.5"/>
    <n v="290.62"/>
    <n v="1123.57"/>
    <m/>
    <n v="290.62"/>
    <m/>
    <m/>
    <m/>
    <m/>
    <m/>
    <m/>
    <n v="1414.19"/>
    <x v="0"/>
    <n v="290.62"/>
    <x v="0"/>
    <x v="3"/>
  </r>
  <r>
    <d v="2025-06-11T00:00:00"/>
    <x v="9"/>
    <x v="0"/>
    <x v="0"/>
    <x v="15"/>
    <n v="5.64"/>
    <n v="9"/>
    <n v="12.54"/>
    <m/>
    <m/>
    <n v="12.54"/>
    <m/>
    <m/>
    <m/>
    <m/>
    <m/>
    <m/>
    <n v="12.54"/>
    <x v="0"/>
    <n v="12.54"/>
    <x v="0"/>
    <x v="4"/>
  </r>
  <r>
    <d v="2024-02-01T00:00:00"/>
    <x v="1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4-03-05T00:00:00"/>
    <x v="10"/>
    <x v="2"/>
    <x v="0"/>
    <x v="16"/>
    <n v="6"/>
    <n v="12"/>
    <n v="108.33"/>
    <m/>
    <m/>
    <n v="108.33"/>
    <m/>
    <m/>
    <m/>
    <m/>
    <m/>
    <m/>
    <n v="108.33"/>
    <x v="0"/>
    <n v="108.33"/>
    <x v="0"/>
    <x v="3"/>
  </r>
  <r>
    <d v="2023-03-21T00:00:00"/>
    <x v="1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5T00:00:00"/>
    <x v="10"/>
    <x v="2"/>
    <x v="0"/>
    <x v="16"/>
    <n v="6"/>
    <n v="12"/>
    <n v="54.16"/>
    <m/>
    <m/>
    <n v="54.16"/>
    <m/>
    <m/>
    <m/>
    <m/>
    <m/>
    <m/>
    <n v="54.16"/>
    <x v="0"/>
    <n v="54.16"/>
    <x v="0"/>
    <x v="3"/>
  </r>
  <r>
    <d v="2024-04-15T00:00:00"/>
    <x v="1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6T00:00:00"/>
    <x v="1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6-03-24T00:00:00"/>
    <x v="10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3"/>
  </r>
  <r>
    <d v="2021-09-23T00:00:00"/>
    <x v="11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0"/>
  </r>
  <r>
    <d v="2023-12-04T00:00:00"/>
    <x v="11"/>
    <x v="0"/>
    <x v="1"/>
    <x v="18"/>
    <n v="5.64"/>
    <n v="13"/>
    <n v="14.1"/>
    <m/>
    <m/>
    <n v="14.1"/>
    <m/>
    <m/>
    <m/>
    <m/>
    <m/>
    <m/>
    <n v="14.1"/>
    <x v="0"/>
    <n v="14.1"/>
    <x v="0"/>
    <x v="0"/>
  </r>
  <r>
    <d v="2024-01-11T00:00:00"/>
    <x v="11"/>
    <x v="0"/>
    <x v="1"/>
    <x v="18"/>
    <n v="5.64"/>
    <n v="12.75"/>
    <n v="7.28"/>
    <m/>
    <m/>
    <n v="7.28"/>
    <m/>
    <m/>
    <m/>
    <m/>
    <m/>
    <m/>
    <n v="7.28"/>
    <x v="0"/>
    <n v="7.28"/>
    <x v="0"/>
    <x v="0"/>
  </r>
  <r>
    <d v="2025-12-15T00:00:00"/>
    <x v="12"/>
    <x v="0"/>
    <x v="1"/>
    <x v="19"/>
    <n v="5.93"/>
    <n v="11"/>
    <n v="23.09"/>
    <m/>
    <m/>
    <n v="23.09"/>
    <m/>
    <m/>
    <m/>
    <m/>
    <m/>
    <m/>
    <n v="23.09"/>
    <x v="0"/>
    <n v="23.09"/>
    <x v="0"/>
    <x v="1"/>
  </r>
  <r>
    <d v="2025-03-18T00:00:00"/>
    <x v="12"/>
    <x v="0"/>
    <x v="0"/>
    <x v="20"/>
    <n v="5.93"/>
    <n v="12"/>
    <n v="8.94"/>
    <m/>
    <m/>
    <n v="8.94"/>
    <m/>
    <m/>
    <m/>
    <m/>
    <m/>
    <m/>
    <n v="8.94"/>
    <x v="0"/>
    <n v="8.94"/>
    <x v="0"/>
    <x v="1"/>
  </r>
  <r>
    <d v="2025-05-07T00:00:00"/>
    <x v="12"/>
    <x v="0"/>
    <x v="0"/>
    <x v="21"/>
    <n v="6.21"/>
    <n v="11.25"/>
    <n v="29.76"/>
    <n v="0"/>
    <m/>
    <n v="29.76"/>
    <m/>
    <m/>
    <m/>
    <m/>
    <m/>
    <m/>
    <n v="29.76"/>
    <x v="0"/>
    <n v="29.76"/>
    <x v="0"/>
    <x v="1"/>
  </r>
  <r>
    <d v="2026-01-15T00:00:00"/>
    <x v="12"/>
    <x v="0"/>
    <x v="0"/>
    <x v="21"/>
    <n v="6.21"/>
    <n v="11"/>
    <n v="6.55"/>
    <m/>
    <m/>
    <n v="6.55"/>
    <m/>
    <m/>
    <m/>
    <m/>
    <m/>
    <m/>
    <n v="6.55"/>
    <x v="0"/>
    <n v="6.55"/>
    <x v="0"/>
    <x v="1"/>
  </r>
  <r>
    <d v="2023-12-04T00:00:00"/>
    <x v="12"/>
    <x v="0"/>
    <x v="1"/>
    <x v="21"/>
    <n v="6.21"/>
    <n v="10.75"/>
    <n v="40.25"/>
    <m/>
    <m/>
    <n v="40.25"/>
    <m/>
    <m/>
    <m/>
    <m/>
    <m/>
    <m/>
    <n v="40.25"/>
    <x v="0"/>
    <n v="40.25"/>
    <x v="0"/>
    <x v="1"/>
  </r>
  <r>
    <d v="2023-03-03T00:00:00"/>
    <x v="12"/>
    <x v="0"/>
    <x v="1"/>
    <x v="21"/>
    <n v="6.21"/>
    <n v="10.75"/>
    <n v="96.51"/>
    <m/>
    <m/>
    <n v="96.51"/>
    <m/>
    <m/>
    <m/>
    <m/>
    <m/>
    <m/>
    <n v="96.51"/>
    <x v="0"/>
    <n v="96.51"/>
    <x v="0"/>
    <x v="1"/>
  </r>
  <r>
    <d v="2023-03-03T00:00:00"/>
    <x v="12"/>
    <x v="0"/>
    <x v="0"/>
    <x v="21"/>
    <n v="6.21"/>
    <n v="10.75"/>
    <n v="146.12"/>
    <m/>
    <m/>
    <n v="146.12"/>
    <m/>
    <m/>
    <m/>
    <m/>
    <m/>
    <m/>
    <n v="146.12"/>
    <x v="0"/>
    <n v="146.12"/>
    <x v="0"/>
    <x v="1"/>
  </r>
  <r>
    <d v="2023-12-04T00:00:00"/>
    <x v="13"/>
    <x v="0"/>
    <x v="1"/>
    <x v="22"/>
    <n v="5.36"/>
    <n v="13"/>
    <n v="5.58"/>
    <m/>
    <m/>
    <n v="5.58"/>
    <m/>
    <m/>
    <m/>
    <m/>
    <m/>
    <m/>
    <n v="5.58"/>
    <x v="0"/>
    <n v="5.58"/>
    <x v="0"/>
    <x v="5"/>
  </r>
  <r>
    <d v="2023-12-19T00:00:00"/>
    <x v="13"/>
    <x v="0"/>
    <x v="1"/>
    <x v="22"/>
    <n v="5.36"/>
    <n v="13"/>
    <n v="3.13"/>
    <m/>
    <m/>
    <n v="3.13"/>
    <m/>
    <m/>
    <m/>
    <m/>
    <m/>
    <m/>
    <n v="3.13"/>
    <x v="0"/>
    <n v="3.13"/>
    <x v="0"/>
    <x v="5"/>
  </r>
  <r>
    <d v="2026-02-19T00:00:00"/>
    <x v="13"/>
    <x v="1"/>
    <x v="1"/>
    <x v="23"/>
    <n v="9"/>
    <n v="10.5"/>
    <n v="316.92"/>
    <n v="1703.8600000000001"/>
    <m/>
    <n v="316.92"/>
    <m/>
    <m/>
    <m/>
    <m/>
    <m/>
    <m/>
    <n v="2020.7800000000002"/>
    <x v="0"/>
    <n v="316.92"/>
    <x v="0"/>
    <x v="5"/>
  </r>
  <r>
    <d v="2024-09-17T00:00:00"/>
    <x v="13"/>
    <x v="0"/>
    <x v="0"/>
    <x v="22"/>
    <n v="5.36"/>
    <n v="13.75"/>
    <n v="4.47"/>
    <m/>
    <m/>
    <n v="4.47"/>
    <m/>
    <m/>
    <m/>
    <m/>
    <m/>
    <m/>
    <n v="4.47"/>
    <x v="0"/>
    <n v="4.47"/>
    <x v="0"/>
    <x v="5"/>
  </r>
  <r>
    <d v="2024-06-04T00:00:00"/>
    <x v="14"/>
    <x v="0"/>
    <x v="0"/>
    <x v="24"/>
    <n v="5.93"/>
    <n v="13.25"/>
    <n v="29.65"/>
    <m/>
    <m/>
    <n v="29.65"/>
    <m/>
    <m/>
    <m/>
    <m/>
    <m/>
    <m/>
    <n v="29.65"/>
    <x v="0"/>
    <n v="29.65"/>
    <x v="0"/>
    <x v="0"/>
  </r>
  <r>
    <d v="2025-06-24T00:00:00"/>
    <x v="15"/>
    <x v="0"/>
    <x v="0"/>
    <x v="25"/>
    <n v="5.93"/>
    <n v="11"/>
    <n v="22.41"/>
    <m/>
    <m/>
    <n v="22.41"/>
    <m/>
    <m/>
    <m/>
    <m/>
    <m/>
    <m/>
    <n v="22.41"/>
    <x v="0"/>
    <n v="22.41"/>
    <x v="0"/>
    <x v="1"/>
  </r>
  <r>
    <d v="2025-08-20T00:00:00"/>
    <x v="15"/>
    <x v="0"/>
    <x v="0"/>
    <x v="25"/>
    <n v="6.21"/>
    <n v="9.75"/>
    <n v="4.5"/>
    <m/>
    <m/>
    <n v="4.5"/>
    <m/>
    <m/>
    <m/>
    <m/>
    <m/>
    <m/>
    <n v="4.5"/>
    <x v="0"/>
    <n v="4.5"/>
    <x v="0"/>
    <x v="1"/>
  </r>
  <r>
    <d v="2025-08-20T00:00:00"/>
    <x v="15"/>
    <x v="0"/>
    <x v="1"/>
    <x v="25"/>
    <n v="6.21"/>
    <n v="10.75"/>
    <n v="25.88"/>
    <m/>
    <m/>
    <n v="25.88"/>
    <m/>
    <m/>
    <m/>
    <m/>
    <m/>
    <m/>
    <n v="25.88"/>
    <x v="0"/>
    <n v="25.88"/>
    <x v="0"/>
    <x v="1"/>
  </r>
  <r>
    <d v="2024-10-28T00:00:00"/>
    <x v="16"/>
    <x v="0"/>
    <x v="0"/>
    <x v="26"/>
    <n v="5.07"/>
    <n v="13"/>
    <n v="11.41"/>
    <m/>
    <m/>
    <n v="11.41"/>
    <m/>
    <m/>
    <m/>
    <m/>
    <m/>
    <m/>
    <n v="11.41"/>
    <x v="0"/>
    <n v="11.41"/>
    <x v="0"/>
    <x v="2"/>
  </r>
  <r>
    <d v="2022-09-26T00:00:00"/>
    <x v="17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3"/>
  </r>
  <r>
    <d v="2026-02-04T00:00:00"/>
    <x v="17"/>
    <x v="0"/>
    <x v="0"/>
    <x v="28"/>
    <n v="6.21"/>
    <n v="11"/>
    <n v="15.61"/>
    <m/>
    <m/>
    <n v="15.61"/>
    <m/>
    <m/>
    <m/>
    <m/>
    <m/>
    <m/>
    <n v="15.61"/>
    <x v="0"/>
    <n v="15.61"/>
    <x v="0"/>
    <x v="3"/>
  </r>
  <r>
    <d v="2026-02-27T00:00:00"/>
    <x v="17"/>
    <x v="0"/>
    <x v="1"/>
    <x v="29"/>
    <n v="6.21"/>
    <n v="10.6"/>
    <n v="17.79"/>
    <m/>
    <m/>
    <n v="17.79"/>
    <m/>
    <m/>
    <m/>
    <m/>
    <m/>
    <m/>
    <n v="17.79"/>
    <x v="0"/>
    <n v="17.79"/>
    <x v="0"/>
    <x v="3"/>
  </r>
  <r>
    <d v="2025-11-26T00:00:00"/>
    <x v="18"/>
    <x v="0"/>
    <x v="1"/>
    <x v="30"/>
    <n v="6.82"/>
    <n v="11"/>
    <n v="6.82"/>
    <n v="0"/>
    <m/>
    <n v="6.82"/>
    <m/>
    <m/>
    <m/>
    <m/>
    <m/>
    <m/>
    <n v="6.82"/>
    <x v="0"/>
    <n v="6.82"/>
    <x v="0"/>
    <x v="5"/>
  </r>
  <r>
    <d v="2025-04-01T00:00:00"/>
    <x v="19"/>
    <x v="1"/>
    <x v="0"/>
    <x v="31"/>
    <n v="9"/>
    <n v="11.5"/>
    <n v="41.26"/>
    <n v="229.08"/>
    <m/>
    <n v="41.26"/>
    <m/>
    <m/>
    <m/>
    <m/>
    <m/>
    <m/>
    <n v="270.34000000000003"/>
    <x v="0"/>
    <n v="41.26"/>
    <x v="0"/>
    <x v="5"/>
  </r>
  <r>
    <d v="2025-04-07T00:00:00"/>
    <x v="19"/>
    <x v="1"/>
    <x v="0"/>
    <x v="31"/>
    <n v="9"/>
    <n v="11.5"/>
    <n v="54.620000000000033"/>
    <n v="255.04"/>
    <m/>
    <n v="54.620000000000033"/>
    <m/>
    <m/>
    <m/>
    <m/>
    <m/>
    <m/>
    <n v="309.66000000000003"/>
    <x v="0"/>
    <n v="54.620000000000033"/>
    <x v="0"/>
    <x v="5"/>
  </r>
  <r>
    <d v="2025-04-08T00:00:00"/>
    <x v="19"/>
    <x v="1"/>
    <x v="0"/>
    <x v="32"/>
    <n v="9"/>
    <n v="11.5"/>
    <n v="123.07000000000011"/>
    <n v="574.88"/>
    <m/>
    <n v="123.07000000000011"/>
    <m/>
    <m/>
    <m/>
    <m/>
    <m/>
    <m/>
    <n v="697.95"/>
    <x v="0"/>
    <n v="123.07000000000011"/>
    <x v="0"/>
    <x v="5"/>
  </r>
  <r>
    <d v="2025-04-28T00:00:00"/>
    <x v="19"/>
    <x v="1"/>
    <x v="0"/>
    <x v="32"/>
    <n v="9"/>
    <n v="11.5"/>
    <n v="348.1"/>
    <n v="1637.62"/>
    <m/>
    <n v="348.1"/>
    <m/>
    <m/>
    <m/>
    <m/>
    <m/>
    <m/>
    <n v="1985.7199999999998"/>
    <x v="0"/>
    <n v="348.1"/>
    <x v="0"/>
    <x v="5"/>
  </r>
  <r>
    <d v="2025-05-16T00:00:00"/>
    <x v="20"/>
    <x v="1"/>
    <x v="1"/>
    <x v="33"/>
    <n v="9"/>
    <n v="11.5"/>
    <n v="408.99"/>
    <n v="1694.73"/>
    <m/>
    <n v="408.99"/>
    <m/>
    <m/>
    <m/>
    <m/>
    <m/>
    <m/>
    <n v="2103.7200000000003"/>
    <x v="0"/>
    <n v="408.99"/>
    <x v="0"/>
    <x v="1"/>
  </r>
  <r>
    <d v="2022-12-28T00:00:00"/>
    <x v="21"/>
    <x v="1"/>
    <x v="1"/>
    <x v="34"/>
    <n v="8.5"/>
    <n v="8.5"/>
    <n v="168.13"/>
    <n v="1204"/>
    <m/>
    <n v="168.13"/>
    <m/>
    <m/>
    <m/>
    <m/>
    <m/>
    <m/>
    <n v="1372.13"/>
    <x v="0"/>
    <n v="168.13"/>
    <x v="0"/>
    <x v="1"/>
  </r>
  <r>
    <d v="2023-03-03T00:00:00"/>
    <x v="21"/>
    <x v="1"/>
    <x v="1"/>
    <x v="34"/>
    <n v="8.5"/>
    <n v="8.5"/>
    <n v="228.25"/>
    <n v="1634.5"/>
    <m/>
    <n v="228.25"/>
    <m/>
    <m/>
    <m/>
    <m/>
    <m/>
    <m/>
    <n v="1862.75"/>
    <x v="0"/>
    <n v="228.25"/>
    <x v="0"/>
    <x v="1"/>
  </r>
  <r>
    <d v="2024-09-17T00:00:00"/>
    <x v="22"/>
    <x v="0"/>
    <x v="0"/>
    <x v="0"/>
    <n v="5.36"/>
    <n v="13.5"/>
    <n v="15.63"/>
    <m/>
    <m/>
    <n v="15.63"/>
    <m/>
    <m/>
    <m/>
    <m/>
    <m/>
    <m/>
    <n v="15.63"/>
    <x v="0"/>
    <n v="15.63"/>
    <x v="0"/>
    <x v="2"/>
  </r>
  <r>
    <d v="2024-09-25T00:00:00"/>
    <x v="22"/>
    <x v="0"/>
    <x v="0"/>
    <x v="0"/>
    <n v="5.36"/>
    <n v="12.5"/>
    <n v="12.51"/>
    <m/>
    <m/>
    <n v="12.51"/>
    <m/>
    <m/>
    <m/>
    <m/>
    <m/>
    <m/>
    <n v="12.51"/>
    <x v="0"/>
    <n v="12.51"/>
    <x v="0"/>
    <x v="2"/>
  </r>
  <r>
    <d v="2025-02-20T00:00:00"/>
    <x v="10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3"/>
  </r>
  <r>
    <d v="2026-02-04T00:00:00"/>
    <x v="23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4"/>
  </r>
  <r>
    <d v="2026-02-04T00:00:00"/>
    <x v="23"/>
    <x v="0"/>
    <x v="0"/>
    <x v="7"/>
    <n v="7.35"/>
    <n v="11"/>
    <n v="20.79"/>
    <m/>
    <m/>
    <n v="20.79"/>
    <m/>
    <m/>
    <m/>
    <m/>
    <m/>
    <m/>
    <n v="20.79"/>
    <x v="0"/>
    <n v="20.79"/>
    <x v="0"/>
    <x v="4"/>
  </r>
  <r>
    <d v="2025-12-10T00:00:00"/>
    <x v="23"/>
    <x v="0"/>
    <x v="1"/>
    <x v="8"/>
    <n v="7.54"/>
    <n v="11"/>
    <n v="7.79"/>
    <m/>
    <m/>
    <n v="7.79"/>
    <m/>
    <m/>
    <m/>
    <m/>
    <m/>
    <m/>
    <n v="7.79"/>
    <x v="0"/>
    <n v="7.79"/>
    <x v="0"/>
    <x v="4"/>
  </r>
  <r>
    <d v="2025-10-13T00:00:00"/>
    <x v="24"/>
    <x v="0"/>
    <x v="0"/>
    <x v="11"/>
    <n v="7.54"/>
    <n v="9.85"/>
    <n v="35.25"/>
    <m/>
    <m/>
    <n v="35.25"/>
    <m/>
    <m/>
    <m/>
    <m/>
    <m/>
    <m/>
    <n v="35.25"/>
    <x v="0"/>
    <n v="35.25"/>
    <x v="0"/>
    <x v="2"/>
  </r>
  <r>
    <d v="2026-04-09T00:00:00"/>
    <x v="25"/>
    <x v="0"/>
    <x v="0"/>
    <x v="13"/>
    <n v="4.71"/>
    <n v="9.5"/>
    <n v="3.53"/>
    <m/>
    <m/>
    <n v="3.53"/>
    <m/>
    <m/>
    <m/>
    <m/>
    <m/>
    <m/>
    <n v="3.53"/>
    <x v="0"/>
    <n v="3.53"/>
    <x v="0"/>
    <x v="5"/>
  </r>
  <r>
    <d v="2024-02-01T00:00:00"/>
    <x v="2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0"/>
  </r>
  <r>
    <d v="2024-03-05T00:00:00"/>
    <x v="26"/>
    <x v="2"/>
    <x v="0"/>
    <x v="16"/>
    <n v="6"/>
    <n v="12"/>
    <n v="108.33"/>
    <m/>
    <m/>
    <n v="108.33"/>
    <m/>
    <m/>
    <m/>
    <m/>
    <m/>
    <m/>
    <n v="108.33"/>
    <x v="0"/>
    <n v="108.33"/>
    <x v="0"/>
    <x v="0"/>
  </r>
  <r>
    <d v="2023-03-21T00:00:00"/>
    <x v="26"/>
    <x v="2"/>
    <x v="1"/>
    <x v="16"/>
    <n v="6"/>
    <n v="12"/>
    <n v="62.5"/>
    <m/>
    <m/>
    <n v="62.5"/>
    <m/>
    <m/>
    <m/>
    <m/>
    <m/>
    <m/>
    <n v="62.5"/>
    <x v="0"/>
    <n v="62.5"/>
    <x v="0"/>
    <x v="0"/>
  </r>
  <r>
    <d v="2024-04-15T00:00:00"/>
    <x v="26"/>
    <x v="2"/>
    <x v="0"/>
    <x v="16"/>
    <n v="6"/>
    <n v="12"/>
    <n v="54.16"/>
    <m/>
    <m/>
    <n v="54.16"/>
    <m/>
    <m/>
    <m/>
    <m/>
    <m/>
    <m/>
    <n v="54.16"/>
    <x v="0"/>
    <n v="54.16"/>
    <x v="0"/>
    <x v="0"/>
  </r>
  <r>
    <d v="2024-04-15T00:00:00"/>
    <x v="26"/>
    <x v="2"/>
    <x v="1"/>
    <x v="16"/>
    <n v="6"/>
    <n v="12"/>
    <n v="62.5"/>
    <m/>
    <m/>
    <n v="62.5"/>
    <m/>
    <m/>
    <m/>
    <m/>
    <m/>
    <m/>
    <n v="62.5"/>
    <x v="0"/>
    <n v="62.5"/>
    <x v="0"/>
    <x v="0"/>
  </r>
  <r>
    <d v="2024-04-16T00:00:00"/>
    <x v="2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0"/>
  </r>
  <r>
    <d v="2026-03-24T00:00:00"/>
    <x v="26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0"/>
  </r>
  <r>
    <d v="2021-09-23T00:00:00"/>
    <x v="27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2"/>
  </r>
  <r>
    <d v="2023-12-04T00:00:00"/>
    <x v="27"/>
    <x v="0"/>
    <x v="1"/>
    <x v="18"/>
    <n v="5.64"/>
    <n v="13"/>
    <n v="14.1"/>
    <m/>
    <m/>
    <n v="14.1"/>
    <m/>
    <m/>
    <m/>
    <m/>
    <m/>
    <m/>
    <n v="14.1"/>
    <x v="0"/>
    <n v="14.1"/>
    <x v="0"/>
    <x v="2"/>
  </r>
  <r>
    <d v="2024-01-11T00:00:00"/>
    <x v="27"/>
    <x v="0"/>
    <x v="1"/>
    <x v="18"/>
    <n v="5.64"/>
    <n v="12.75"/>
    <n v="7.28"/>
    <m/>
    <m/>
    <n v="7.28"/>
    <m/>
    <m/>
    <m/>
    <m/>
    <m/>
    <m/>
    <n v="7.28"/>
    <x v="0"/>
    <n v="7.28"/>
    <x v="0"/>
    <x v="2"/>
  </r>
  <r>
    <d v="2025-12-15T00:00:00"/>
    <x v="28"/>
    <x v="0"/>
    <x v="1"/>
    <x v="19"/>
    <n v="5.93"/>
    <n v="8.5"/>
    <n v="23.09"/>
    <m/>
    <m/>
    <n v="23.09"/>
    <m/>
    <m/>
    <m/>
    <m/>
    <m/>
    <m/>
    <n v="23.09"/>
    <x v="0"/>
    <n v="23.09"/>
    <x v="0"/>
    <x v="3"/>
  </r>
  <r>
    <d v="2025-03-18T00:00:00"/>
    <x v="28"/>
    <x v="0"/>
    <x v="0"/>
    <x v="20"/>
    <n v="5.93"/>
    <n v="12"/>
    <n v="8.94"/>
    <m/>
    <m/>
    <n v="8.94"/>
    <m/>
    <m/>
    <m/>
    <m/>
    <m/>
    <m/>
    <n v="8.94"/>
    <x v="0"/>
    <n v="8.94"/>
    <x v="0"/>
    <x v="3"/>
  </r>
  <r>
    <d v="2023-12-04T00:00:00"/>
    <x v="29"/>
    <x v="0"/>
    <x v="1"/>
    <x v="22"/>
    <n v="5.36"/>
    <n v="13"/>
    <n v="5.58"/>
    <m/>
    <m/>
    <n v="5.58"/>
    <m/>
    <m/>
    <m/>
    <m/>
    <m/>
    <m/>
    <n v="5.58"/>
    <x v="0"/>
    <n v="5.58"/>
    <x v="0"/>
    <x v="6"/>
  </r>
  <r>
    <d v="2023-12-19T00:00:00"/>
    <x v="29"/>
    <x v="0"/>
    <x v="1"/>
    <x v="22"/>
    <n v="5.36"/>
    <n v="13"/>
    <n v="3.13"/>
    <m/>
    <m/>
    <n v="3.13"/>
    <m/>
    <m/>
    <m/>
    <m/>
    <m/>
    <m/>
    <n v="3.13"/>
    <x v="0"/>
    <n v="3.13"/>
    <x v="0"/>
    <x v="6"/>
  </r>
  <r>
    <d v="2024-09-17T00:00:00"/>
    <x v="29"/>
    <x v="0"/>
    <x v="0"/>
    <x v="22"/>
    <n v="5.36"/>
    <n v="13.75"/>
    <n v="4.47"/>
    <m/>
    <m/>
    <n v="4.47"/>
    <m/>
    <m/>
    <m/>
    <m/>
    <m/>
    <m/>
    <n v="4.47"/>
    <x v="0"/>
    <n v="4.47"/>
    <x v="0"/>
    <x v="6"/>
  </r>
  <r>
    <d v="2024-06-04T00:00:00"/>
    <x v="30"/>
    <x v="0"/>
    <x v="0"/>
    <x v="24"/>
    <n v="5.93"/>
    <n v="13.25"/>
    <n v="29.65"/>
    <m/>
    <m/>
    <n v="29.65"/>
    <m/>
    <m/>
    <m/>
    <m/>
    <m/>
    <m/>
    <n v="29.65"/>
    <x v="0"/>
    <n v="29.65"/>
    <x v="0"/>
    <x v="2"/>
  </r>
  <r>
    <d v="2025-06-24T00:00:00"/>
    <x v="31"/>
    <x v="0"/>
    <x v="0"/>
    <x v="25"/>
    <n v="5.93"/>
    <n v="11"/>
    <n v="22.41"/>
    <m/>
    <m/>
    <n v="22.41"/>
    <m/>
    <m/>
    <m/>
    <m/>
    <m/>
    <m/>
    <n v="22.41"/>
    <x v="0"/>
    <n v="22.41"/>
    <x v="0"/>
    <x v="3"/>
  </r>
  <r>
    <d v="2025-08-20T00:00:00"/>
    <x v="31"/>
    <x v="0"/>
    <x v="1"/>
    <x v="25"/>
    <n v="6.21"/>
    <n v="10.75"/>
    <n v="25.88"/>
    <m/>
    <m/>
    <n v="25.88"/>
    <m/>
    <m/>
    <m/>
    <m/>
    <m/>
    <m/>
    <n v="25.88"/>
    <x v="0"/>
    <n v="25.88"/>
    <x v="0"/>
    <x v="3"/>
  </r>
  <r>
    <d v="2025-08-20T00:00:00"/>
    <x v="31"/>
    <x v="0"/>
    <x v="0"/>
    <x v="25"/>
    <n v="6.21"/>
    <n v="9.75"/>
    <n v="4.5"/>
    <m/>
    <m/>
    <n v="4.5"/>
    <m/>
    <m/>
    <m/>
    <m/>
    <m/>
    <m/>
    <n v="4.5"/>
    <x v="0"/>
    <n v="4.5"/>
    <x v="0"/>
    <x v="3"/>
  </r>
  <r>
    <d v="2024-10-28T00:00:00"/>
    <x v="32"/>
    <x v="0"/>
    <x v="0"/>
    <x v="26"/>
    <n v="5.07"/>
    <n v="13"/>
    <n v="11.41"/>
    <m/>
    <m/>
    <n v="11.41"/>
    <m/>
    <m/>
    <m/>
    <m/>
    <m/>
    <m/>
    <n v="11.41"/>
    <x v="0"/>
    <n v="11.41"/>
    <x v="0"/>
    <x v="5"/>
  </r>
  <r>
    <d v="2022-09-26T00:00:00"/>
    <x v="33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4"/>
  </r>
  <r>
    <d v="2026-02-04T00:00:00"/>
    <x v="33"/>
    <x v="0"/>
    <x v="0"/>
    <x v="28"/>
    <n v="6.21"/>
    <n v="11"/>
    <n v="15.61"/>
    <m/>
    <m/>
    <n v="15.61"/>
    <m/>
    <m/>
    <m/>
    <m/>
    <m/>
    <m/>
    <n v="15.61"/>
    <x v="0"/>
    <n v="15.61"/>
    <x v="0"/>
    <x v="4"/>
  </r>
  <r>
    <d v="2026-02-27T00:00:00"/>
    <x v="33"/>
    <x v="0"/>
    <x v="1"/>
    <x v="29"/>
    <n v="6.21"/>
    <n v="10.6"/>
    <n v="17.79"/>
    <m/>
    <m/>
    <n v="17.79"/>
    <m/>
    <m/>
    <m/>
    <m/>
    <m/>
    <m/>
    <n v="17.79"/>
    <x v="0"/>
    <n v="17.79"/>
    <x v="0"/>
    <x v="4"/>
  </r>
  <r>
    <d v="2025-11-26T00:00:00"/>
    <x v="34"/>
    <x v="0"/>
    <x v="1"/>
    <x v="30"/>
    <n v="6.82"/>
    <n v="11"/>
    <n v="6.82"/>
    <n v="0"/>
    <m/>
    <n v="6.82"/>
    <m/>
    <m/>
    <m/>
    <m/>
    <m/>
    <m/>
    <n v="6.82"/>
    <x v="0"/>
    <n v="6.82"/>
    <x v="0"/>
    <x v="6"/>
  </r>
  <r>
    <d v="2022-05-19T00:00:00"/>
    <x v="35"/>
    <x v="1"/>
    <x v="1"/>
    <x v="35"/>
    <n v="8.5"/>
    <n v="8.75"/>
    <n v="82.88"/>
    <n v="975"/>
    <m/>
    <n v="82.88"/>
    <m/>
    <m/>
    <m/>
    <m/>
    <m/>
    <m/>
    <n v="1057.8800000000001"/>
    <x v="0"/>
    <n v="82.88"/>
    <x v="0"/>
    <x v="2"/>
  </r>
  <r>
    <d v="2025-02-18T00:00:00"/>
    <x v="36"/>
    <x v="1"/>
    <x v="1"/>
    <x v="36"/>
    <n v="9"/>
    <n v="12"/>
    <n v="533.54999999999995"/>
    <n v="3385.31"/>
    <m/>
    <n v="533.54999999999995"/>
    <m/>
    <m/>
    <m/>
    <m/>
    <m/>
    <m/>
    <n v="3918.8599999999997"/>
    <x v="0"/>
    <n v="533.54999999999995"/>
    <x v="0"/>
    <x v="4"/>
  </r>
  <r>
    <d v="2024-09-24T00:00:00"/>
    <x v="37"/>
    <x v="3"/>
    <x v="0"/>
    <x v="37"/>
    <n v="8.5"/>
    <n v="12"/>
    <n v="370.04"/>
    <n v="569.51"/>
    <m/>
    <n v="370.04"/>
    <m/>
    <m/>
    <m/>
    <m/>
    <m/>
    <m/>
    <n v="939.55"/>
    <x v="0"/>
    <n v="370.04"/>
    <x v="0"/>
    <x v="0"/>
  </r>
  <r>
    <d v="2024-09-24T00:00:00"/>
    <x v="37"/>
    <x v="3"/>
    <x v="1"/>
    <x v="37"/>
    <n v="8.5"/>
    <n v="12"/>
    <n v="58.69"/>
    <n v="90.33"/>
    <m/>
    <n v="58.69"/>
    <m/>
    <m/>
    <m/>
    <m/>
    <m/>
    <m/>
    <n v="149.01999999999998"/>
    <x v="0"/>
    <n v="58.69"/>
    <x v="0"/>
    <x v="0"/>
  </r>
  <r>
    <d v="2024-09-24T00:00:00"/>
    <x v="37"/>
    <x v="3"/>
    <x v="2"/>
    <x v="37"/>
    <n v="8.5"/>
    <n v="12"/>
    <n v="238.44"/>
    <n v="366.97"/>
    <m/>
    <n v="238.44"/>
    <m/>
    <m/>
    <m/>
    <m/>
    <m/>
    <m/>
    <n v="605.41000000000008"/>
    <x v="0"/>
    <n v="238.44"/>
    <x v="0"/>
    <x v="0"/>
  </r>
  <r>
    <d v="2022-06-22T00:00:00"/>
    <x v="38"/>
    <x v="1"/>
    <x v="1"/>
    <x v="38"/>
    <n v="8"/>
    <n v="9"/>
    <n v="54.63"/>
    <n v="2731.25"/>
    <m/>
    <n v="54.63"/>
    <m/>
    <m/>
    <m/>
    <m/>
    <m/>
    <m/>
    <n v="2785.88"/>
    <x v="0"/>
    <n v="54.63"/>
    <x v="0"/>
    <x v="3"/>
  </r>
  <r>
    <d v="2024-09-17T00:00:00"/>
    <x v="39"/>
    <x v="0"/>
    <x v="0"/>
    <x v="0"/>
    <n v="5.36"/>
    <n v="13.5"/>
    <n v="15.63"/>
    <m/>
    <m/>
    <n v="15.63"/>
    <m/>
    <m/>
    <m/>
    <m/>
    <m/>
    <m/>
    <n v="15.63"/>
    <x v="0"/>
    <n v="15.63"/>
    <x v="0"/>
    <x v="4"/>
  </r>
  <r>
    <d v="2024-09-25T00:00:00"/>
    <x v="39"/>
    <x v="0"/>
    <x v="0"/>
    <x v="0"/>
    <n v="5.36"/>
    <n v="12.5"/>
    <n v="12.51"/>
    <m/>
    <m/>
    <n v="12.51"/>
    <m/>
    <m/>
    <m/>
    <m/>
    <m/>
    <m/>
    <n v="12.51"/>
    <x v="0"/>
    <n v="12.51"/>
    <x v="0"/>
    <x v="4"/>
  </r>
  <r>
    <d v="2025-02-20T00:00:00"/>
    <x v="40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6"/>
  </r>
  <r>
    <d v="2026-02-04T00:00:00"/>
    <x v="41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1"/>
  </r>
  <r>
    <d v="2026-02-04T00:00:00"/>
    <x v="41"/>
    <x v="0"/>
    <x v="0"/>
    <x v="7"/>
    <n v="7.35"/>
    <n v="11"/>
    <n v="20.79"/>
    <m/>
    <m/>
    <n v="20.79"/>
    <m/>
    <m/>
    <m/>
    <m/>
    <m/>
    <m/>
    <n v="20.79"/>
    <x v="0"/>
    <n v="20.79"/>
    <x v="0"/>
    <x v="1"/>
  </r>
  <r>
    <d v="2025-12-10T00:00:00"/>
    <x v="41"/>
    <x v="0"/>
    <x v="1"/>
    <x v="8"/>
    <n v="7.54"/>
    <n v="11"/>
    <n v="7.79"/>
    <m/>
    <m/>
    <n v="7.79"/>
    <m/>
    <m/>
    <m/>
    <m/>
    <m/>
    <m/>
    <n v="7.79"/>
    <x v="0"/>
    <n v="7.79"/>
    <x v="0"/>
    <x v="1"/>
  </r>
  <r>
    <d v="2025-10-13T00:00:00"/>
    <x v="36"/>
    <x v="0"/>
    <x v="0"/>
    <x v="11"/>
    <n v="7.54"/>
    <n v="9.85"/>
    <n v="35.25"/>
    <m/>
    <m/>
    <n v="35.25"/>
    <m/>
    <m/>
    <m/>
    <m/>
    <m/>
    <m/>
    <n v="35.25"/>
    <x v="0"/>
    <n v="35.25"/>
    <x v="0"/>
    <x v="4"/>
  </r>
  <r>
    <d v="2026-03-16T00:00:00"/>
    <x v="42"/>
    <x v="1"/>
    <x v="0"/>
    <x v="39"/>
    <n v="9"/>
    <n v="10.25"/>
    <n v="629.6"/>
    <n v="1000"/>
    <m/>
    <n v="629.6"/>
    <m/>
    <m/>
    <m/>
    <m/>
    <m/>
    <m/>
    <n v="1629.6"/>
    <x v="0"/>
    <n v="629.6"/>
    <x v="0"/>
    <x v="6"/>
  </r>
  <r>
    <d v="2026-03-24T00:00:00"/>
    <x v="42"/>
    <x v="1"/>
    <x v="0"/>
    <x v="39"/>
    <n v="9"/>
    <n v="10.25"/>
    <n v="94.75"/>
    <n v="174.43"/>
    <m/>
    <n v="94.75"/>
    <m/>
    <m/>
    <m/>
    <m/>
    <m/>
    <m/>
    <n v="269.18"/>
    <x v="0"/>
    <n v="94.75"/>
    <x v="0"/>
    <x v="6"/>
  </r>
  <r>
    <d v="2026-04-09T00:00:00"/>
    <x v="37"/>
    <x v="0"/>
    <x v="0"/>
    <x v="13"/>
    <n v="4.71"/>
    <n v="9.5"/>
    <n v="3.53"/>
    <n v="0"/>
    <m/>
    <n v="3.53"/>
    <m/>
    <m/>
    <m/>
    <m/>
    <m/>
    <m/>
    <n v="3.53"/>
    <x v="0"/>
    <n v="3.53"/>
    <x v="0"/>
    <x v="0"/>
  </r>
  <r>
    <d v="2024-02-01T00:00:00"/>
    <x v="43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4-03-05T00:00:00"/>
    <x v="43"/>
    <x v="2"/>
    <x v="0"/>
    <x v="16"/>
    <n v="6"/>
    <n v="12"/>
    <n v="108.33"/>
    <m/>
    <m/>
    <n v="108.33"/>
    <m/>
    <m/>
    <m/>
    <m/>
    <m/>
    <m/>
    <n v="108.33"/>
    <x v="0"/>
    <n v="108.33"/>
    <x v="0"/>
    <x v="5"/>
  </r>
  <r>
    <d v="2023-03-21T00:00:00"/>
    <x v="43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5T00:00:00"/>
    <x v="43"/>
    <x v="2"/>
    <x v="0"/>
    <x v="16"/>
    <n v="6"/>
    <n v="12"/>
    <n v="54.16"/>
    <m/>
    <m/>
    <n v="54.16"/>
    <m/>
    <m/>
    <m/>
    <m/>
    <m/>
    <m/>
    <n v="54.16"/>
    <x v="0"/>
    <n v="54.16"/>
    <x v="0"/>
    <x v="5"/>
  </r>
  <r>
    <d v="2024-04-15T00:00:00"/>
    <x v="43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6T00:00:00"/>
    <x v="43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6-03-24T00:00:00"/>
    <x v="43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5"/>
  </r>
  <r>
    <d v="2021-09-23T00:00:00"/>
    <x v="44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4"/>
  </r>
  <r>
    <d v="2023-12-04T00:00:00"/>
    <x v="44"/>
    <x v="0"/>
    <x v="1"/>
    <x v="18"/>
    <n v="5.64"/>
    <n v="13"/>
    <n v="14.1"/>
    <m/>
    <m/>
    <n v="14.1"/>
    <m/>
    <m/>
    <m/>
    <m/>
    <m/>
    <m/>
    <n v="14.1"/>
    <x v="0"/>
    <n v="14.1"/>
    <x v="0"/>
    <x v="4"/>
  </r>
  <r>
    <d v="2024-01-11T00:00:00"/>
    <x v="44"/>
    <x v="0"/>
    <x v="1"/>
    <x v="18"/>
    <n v="5.64"/>
    <n v="12.75"/>
    <n v="7.28"/>
    <m/>
    <m/>
    <n v="7.28"/>
    <m/>
    <m/>
    <m/>
    <m/>
    <m/>
    <m/>
    <n v="7.28"/>
    <x v="0"/>
    <n v="7.28"/>
    <x v="0"/>
    <x v="4"/>
  </r>
  <r>
    <d v="2025-12-15T00:00:00"/>
    <x v="45"/>
    <x v="0"/>
    <x v="1"/>
    <x v="19"/>
    <n v="5.93"/>
    <n v="8.5"/>
    <n v="23.09"/>
    <m/>
    <m/>
    <n v="23.09"/>
    <m/>
    <m/>
    <m/>
    <m/>
    <m/>
    <m/>
    <n v="23.09"/>
    <x v="0"/>
    <n v="23.09"/>
    <x v="0"/>
    <x v="6"/>
  </r>
  <r>
    <d v="2025-03-18T00:00:00"/>
    <x v="45"/>
    <x v="0"/>
    <x v="0"/>
    <x v="20"/>
    <n v="5.93"/>
    <n v="12"/>
    <n v="8.94"/>
    <m/>
    <m/>
    <n v="8.94"/>
    <m/>
    <m/>
    <m/>
    <m/>
    <m/>
    <m/>
    <n v="8.94"/>
    <x v="0"/>
    <n v="8.94"/>
    <x v="0"/>
    <x v="6"/>
  </r>
  <r>
    <d v="2023-12-04T00:00:00"/>
    <x v="46"/>
    <x v="0"/>
    <x v="1"/>
    <x v="22"/>
    <n v="5.36"/>
    <n v="13"/>
    <n v="5.58"/>
    <m/>
    <m/>
    <n v="5.58"/>
    <m/>
    <m/>
    <m/>
    <m/>
    <m/>
    <m/>
    <n v="5.58"/>
    <x v="0"/>
    <n v="5.58"/>
    <x v="0"/>
    <x v="2"/>
  </r>
  <r>
    <d v="2023-12-19T00:00:00"/>
    <x v="46"/>
    <x v="0"/>
    <x v="1"/>
    <x v="22"/>
    <n v="5.36"/>
    <n v="13"/>
    <n v="3.13"/>
    <m/>
    <m/>
    <n v="3.13"/>
    <m/>
    <m/>
    <m/>
    <m/>
    <m/>
    <m/>
    <n v="3.13"/>
    <x v="0"/>
    <n v="3.13"/>
    <x v="0"/>
    <x v="2"/>
  </r>
  <r>
    <d v="2024-09-17T00:00:00"/>
    <x v="46"/>
    <x v="0"/>
    <x v="0"/>
    <x v="22"/>
    <n v="5.36"/>
    <n v="13.75"/>
    <n v="4.47"/>
    <m/>
    <m/>
    <n v="4.47"/>
    <m/>
    <m/>
    <m/>
    <m/>
    <m/>
    <m/>
    <n v="4.47"/>
    <x v="0"/>
    <n v="4.47"/>
    <x v="0"/>
    <x v="2"/>
  </r>
  <r>
    <d v="2024-06-04T00:00:00"/>
    <x v="47"/>
    <x v="0"/>
    <x v="0"/>
    <x v="24"/>
    <n v="5.93"/>
    <n v="13.25"/>
    <n v="29.65"/>
    <m/>
    <m/>
    <n v="29.65"/>
    <m/>
    <m/>
    <m/>
    <m/>
    <m/>
    <m/>
    <n v="29.65"/>
    <x v="0"/>
    <n v="29.65"/>
    <x v="0"/>
    <x v="4"/>
  </r>
  <r>
    <d v="2025-06-24T00:00:00"/>
    <x v="48"/>
    <x v="0"/>
    <x v="0"/>
    <x v="25"/>
    <n v="5.93"/>
    <n v="11"/>
    <n v="22.41"/>
    <m/>
    <m/>
    <n v="22.41"/>
    <m/>
    <m/>
    <m/>
    <m/>
    <m/>
    <m/>
    <n v="22.41"/>
    <x v="0"/>
    <n v="22.41"/>
    <x v="0"/>
    <x v="6"/>
  </r>
  <r>
    <d v="2025-08-20T00:00:00"/>
    <x v="48"/>
    <x v="0"/>
    <x v="0"/>
    <x v="25"/>
    <n v="6.21"/>
    <n v="9.75"/>
    <n v="4.5"/>
    <m/>
    <m/>
    <n v="4.5"/>
    <m/>
    <m/>
    <m/>
    <m/>
    <m/>
    <m/>
    <n v="4.5"/>
    <x v="0"/>
    <n v="4.5"/>
    <x v="0"/>
    <x v="6"/>
  </r>
  <r>
    <d v="2025-08-20T00:00:00"/>
    <x v="48"/>
    <x v="0"/>
    <x v="1"/>
    <x v="25"/>
    <n v="6.21"/>
    <n v="10.75"/>
    <n v="25.88"/>
    <m/>
    <m/>
    <n v="25.88"/>
    <m/>
    <m/>
    <m/>
    <m/>
    <m/>
    <m/>
    <n v="25.88"/>
    <x v="0"/>
    <n v="25.88"/>
    <x v="0"/>
    <x v="6"/>
  </r>
  <r>
    <d v="2024-10-28T00:00:00"/>
    <x v="49"/>
    <x v="0"/>
    <x v="0"/>
    <x v="26"/>
    <n v="5.07"/>
    <n v="13"/>
    <n v="11.41"/>
    <m/>
    <m/>
    <n v="11.41"/>
    <m/>
    <m/>
    <m/>
    <m/>
    <m/>
    <m/>
    <n v="11.41"/>
    <x v="0"/>
    <n v="11.41"/>
    <x v="0"/>
    <x v="0"/>
  </r>
  <r>
    <d v="2022-09-26T00:00:00"/>
    <x v="50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1"/>
  </r>
  <r>
    <d v="2026-02-04T00:00:00"/>
    <x v="50"/>
    <x v="0"/>
    <x v="0"/>
    <x v="28"/>
    <n v="6.21"/>
    <n v="11"/>
    <n v="15.61"/>
    <m/>
    <m/>
    <n v="15.61"/>
    <m/>
    <m/>
    <m/>
    <m/>
    <m/>
    <m/>
    <n v="15.61"/>
    <x v="0"/>
    <n v="15.61"/>
    <x v="0"/>
    <x v="1"/>
  </r>
  <r>
    <d v="2026-02-27T00:00:00"/>
    <x v="50"/>
    <x v="0"/>
    <x v="1"/>
    <x v="29"/>
    <n v="6.21"/>
    <n v="10.6"/>
    <n v="17.79"/>
    <m/>
    <m/>
    <n v="17.79"/>
    <m/>
    <m/>
    <m/>
    <m/>
    <m/>
    <m/>
    <n v="17.79"/>
    <x v="0"/>
    <n v="17.79"/>
    <x v="0"/>
    <x v="1"/>
  </r>
  <r>
    <d v="2025-11-26T00:00:00"/>
    <x v="51"/>
    <x v="0"/>
    <x v="1"/>
    <x v="30"/>
    <n v="6.82"/>
    <n v="11"/>
    <n v="6.82"/>
    <n v="0"/>
    <m/>
    <n v="6.82"/>
    <m/>
    <m/>
    <m/>
    <m/>
    <m/>
    <m/>
    <n v="6.82"/>
    <x v="0"/>
    <n v="6.82"/>
    <x v="0"/>
    <x v="2"/>
  </r>
  <r>
    <d v="2025-04-28T00:00:00"/>
    <x v="52"/>
    <x v="1"/>
    <x v="0"/>
    <x v="9"/>
    <n v="9"/>
    <n v="11.5"/>
    <n v="361.36"/>
    <n v="1663.68"/>
    <m/>
    <n v="361.36"/>
    <m/>
    <m/>
    <m/>
    <m/>
    <m/>
    <m/>
    <n v="2025.04"/>
    <x v="0"/>
    <n v="361.36"/>
    <x v="0"/>
    <x v="4"/>
  </r>
  <r>
    <d v="2025-04-28T00:00:00"/>
    <x v="52"/>
    <x v="1"/>
    <x v="0"/>
    <x v="9"/>
    <n v="9"/>
    <n v="11.5"/>
    <n v="164.09"/>
    <n v="759.96"/>
    <m/>
    <n v="164.09"/>
    <m/>
    <m/>
    <m/>
    <m/>
    <m/>
    <m/>
    <n v="924.05000000000007"/>
    <x v="0"/>
    <n v="164.09"/>
    <x v="0"/>
    <x v="4"/>
  </r>
  <r>
    <d v="2026-02-19T00:00:00"/>
    <x v="53"/>
    <x v="1"/>
    <x v="1"/>
    <x v="14"/>
    <n v="9"/>
    <n v="10.5"/>
    <n v="444.22"/>
    <n v="948.02"/>
    <m/>
    <n v="444.22"/>
    <m/>
    <m/>
    <m/>
    <m/>
    <m/>
    <m/>
    <n v="1392.24"/>
    <x v="0"/>
    <n v="444.22"/>
    <x v="0"/>
    <x v="3"/>
  </r>
  <r>
    <d v="2026-02-19T00:00:00"/>
    <x v="54"/>
    <x v="1"/>
    <x v="1"/>
    <x v="23"/>
    <n v="9"/>
    <n v="10.25"/>
    <n v="414.81"/>
    <n v="1570.16"/>
    <m/>
    <n v="414.81"/>
    <m/>
    <m/>
    <m/>
    <m/>
    <m/>
    <m/>
    <n v="1984.97"/>
    <x v="0"/>
    <n v="414.81"/>
    <x v="0"/>
    <x v="5"/>
  </r>
  <r>
    <d v="2024-09-17T00:00:00"/>
    <x v="55"/>
    <x v="0"/>
    <x v="0"/>
    <x v="0"/>
    <n v="5.36"/>
    <n v="13.5"/>
    <n v="15.63"/>
    <m/>
    <m/>
    <n v="15.63"/>
    <m/>
    <m/>
    <m/>
    <m/>
    <m/>
    <m/>
    <n v="15.63"/>
    <x v="0"/>
    <n v="15.63"/>
    <x v="0"/>
    <x v="0"/>
  </r>
  <r>
    <d v="2024-09-25T00:00:00"/>
    <x v="55"/>
    <x v="0"/>
    <x v="0"/>
    <x v="0"/>
    <n v="5.36"/>
    <n v="12.5"/>
    <n v="12.51"/>
    <m/>
    <m/>
    <n v="12.51"/>
    <m/>
    <m/>
    <m/>
    <m/>
    <m/>
    <m/>
    <n v="12.51"/>
    <x v="0"/>
    <n v="12.51"/>
    <x v="0"/>
    <x v="0"/>
  </r>
  <r>
    <d v="2025-02-20T00:00:00"/>
    <x v="56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1"/>
  </r>
  <r>
    <d v="2026-02-04T00:00:00"/>
    <x v="57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3"/>
  </r>
  <r>
    <d v="2026-02-04T00:00:00"/>
    <x v="57"/>
    <x v="0"/>
    <x v="0"/>
    <x v="7"/>
    <n v="7.35"/>
    <n v="11"/>
    <n v="20.79"/>
    <m/>
    <m/>
    <n v="20.79"/>
    <m/>
    <m/>
    <m/>
    <m/>
    <m/>
    <m/>
    <n v="20.79"/>
    <x v="0"/>
    <n v="20.79"/>
    <x v="0"/>
    <x v="3"/>
  </r>
  <r>
    <d v="2025-12-10T00:00:00"/>
    <x v="57"/>
    <x v="0"/>
    <x v="1"/>
    <x v="8"/>
    <n v="7.54"/>
    <n v="11"/>
    <n v="7.79"/>
    <m/>
    <m/>
    <n v="7.79"/>
    <m/>
    <m/>
    <m/>
    <m/>
    <m/>
    <m/>
    <n v="7.79"/>
    <x v="0"/>
    <n v="7.79"/>
    <x v="0"/>
    <x v="3"/>
  </r>
  <r>
    <d v="2025-10-13T00:00:00"/>
    <x v="58"/>
    <x v="0"/>
    <x v="0"/>
    <x v="11"/>
    <n v="7.54"/>
    <n v="9.85"/>
    <n v="35.25"/>
    <m/>
    <m/>
    <n v="35.25"/>
    <m/>
    <m/>
    <m/>
    <m/>
    <m/>
    <m/>
    <n v="35.25"/>
    <x v="0"/>
    <n v="35.25"/>
    <x v="0"/>
    <x v="0"/>
  </r>
  <r>
    <d v="2026-04-09T00:00:00"/>
    <x v="59"/>
    <x v="0"/>
    <x v="0"/>
    <x v="13"/>
    <n v="4.71"/>
    <n v="9.5"/>
    <n v="3.53"/>
    <n v="0"/>
    <m/>
    <n v="3.53"/>
    <m/>
    <m/>
    <m/>
    <m/>
    <m/>
    <m/>
    <n v="3.53"/>
    <x v="0"/>
    <n v="3.53"/>
    <x v="0"/>
    <x v="2"/>
  </r>
  <r>
    <d v="2024-02-01T00:00:00"/>
    <x v="6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4-03-05T00:00:00"/>
    <x v="60"/>
    <x v="2"/>
    <x v="0"/>
    <x v="16"/>
    <n v="6"/>
    <n v="12"/>
    <n v="108.33"/>
    <m/>
    <m/>
    <n v="108.33"/>
    <m/>
    <m/>
    <m/>
    <m/>
    <m/>
    <m/>
    <n v="108.33"/>
    <x v="0"/>
    <n v="108.33"/>
    <x v="0"/>
    <x v="3"/>
  </r>
  <r>
    <d v="2023-03-21T00:00:00"/>
    <x v="6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5T00:00:00"/>
    <x v="60"/>
    <x v="2"/>
    <x v="0"/>
    <x v="16"/>
    <n v="6"/>
    <n v="12"/>
    <n v="54.16"/>
    <m/>
    <m/>
    <n v="54.16"/>
    <m/>
    <m/>
    <m/>
    <m/>
    <m/>
    <m/>
    <n v="54.16"/>
    <x v="0"/>
    <n v="54.16"/>
    <x v="0"/>
    <x v="3"/>
  </r>
  <r>
    <d v="2024-04-15T00:00:00"/>
    <x v="6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6T00:00:00"/>
    <x v="6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6-03-24T00:00:00"/>
    <x v="60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3"/>
  </r>
  <r>
    <d v="2021-09-23T00:00:00"/>
    <x v="61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0"/>
  </r>
  <r>
    <d v="2023-12-04T00:00:00"/>
    <x v="61"/>
    <x v="0"/>
    <x v="1"/>
    <x v="18"/>
    <n v="5.64"/>
    <n v="13"/>
    <n v="14.1"/>
    <m/>
    <m/>
    <n v="14.1"/>
    <m/>
    <m/>
    <m/>
    <m/>
    <m/>
    <m/>
    <n v="14.1"/>
    <x v="0"/>
    <n v="14.1"/>
    <x v="0"/>
    <x v="0"/>
  </r>
  <r>
    <d v="2024-01-11T00:00:00"/>
    <x v="61"/>
    <x v="0"/>
    <x v="1"/>
    <x v="18"/>
    <n v="5.64"/>
    <n v="12.75"/>
    <n v="7.28"/>
    <m/>
    <m/>
    <n v="7.28"/>
    <m/>
    <m/>
    <m/>
    <m/>
    <m/>
    <m/>
    <n v="7.28"/>
    <x v="0"/>
    <n v="7.28"/>
    <x v="0"/>
    <x v="0"/>
  </r>
  <r>
    <d v="2025-12-15T00:00:00"/>
    <x v="62"/>
    <x v="0"/>
    <x v="1"/>
    <x v="19"/>
    <n v="5.93"/>
    <n v="8.5"/>
    <n v="23.09"/>
    <m/>
    <m/>
    <n v="23.09"/>
    <m/>
    <m/>
    <m/>
    <m/>
    <m/>
    <m/>
    <n v="23.09"/>
    <x v="0"/>
    <n v="23.09"/>
    <x v="0"/>
    <x v="1"/>
  </r>
  <r>
    <d v="2025-03-18T00:00:00"/>
    <x v="62"/>
    <x v="0"/>
    <x v="0"/>
    <x v="20"/>
    <n v="5.93"/>
    <n v="12"/>
    <n v="8.94"/>
    <m/>
    <m/>
    <n v="8.94"/>
    <m/>
    <m/>
    <m/>
    <m/>
    <m/>
    <m/>
    <n v="8.94"/>
    <x v="0"/>
    <n v="8.94"/>
    <x v="0"/>
    <x v="1"/>
  </r>
  <r>
    <d v="2023-12-04T00:00:00"/>
    <x v="54"/>
    <x v="0"/>
    <x v="1"/>
    <x v="22"/>
    <n v="5.36"/>
    <n v="13"/>
    <n v="5.58"/>
    <m/>
    <m/>
    <n v="5.58"/>
    <m/>
    <m/>
    <m/>
    <m/>
    <m/>
    <m/>
    <n v="5.58"/>
    <x v="0"/>
    <n v="5.58"/>
    <x v="0"/>
    <x v="5"/>
  </r>
  <r>
    <d v="2023-12-19T00:00:00"/>
    <x v="54"/>
    <x v="0"/>
    <x v="1"/>
    <x v="22"/>
    <n v="5.36"/>
    <n v="13"/>
    <n v="3.13"/>
    <m/>
    <m/>
    <n v="3.13"/>
    <m/>
    <m/>
    <m/>
    <m/>
    <m/>
    <m/>
    <n v="3.13"/>
    <x v="0"/>
    <n v="3.13"/>
    <x v="0"/>
    <x v="5"/>
  </r>
  <r>
    <d v="2024-09-17T00:00:00"/>
    <x v="54"/>
    <x v="0"/>
    <x v="0"/>
    <x v="22"/>
    <n v="5.36"/>
    <n v="13.75"/>
    <n v="4.47"/>
    <m/>
    <m/>
    <n v="4.47"/>
    <m/>
    <m/>
    <m/>
    <m/>
    <m/>
    <m/>
    <n v="4.47"/>
    <x v="0"/>
    <n v="4.47"/>
    <x v="0"/>
    <x v="5"/>
  </r>
  <r>
    <d v="2024-06-04T00:00:00"/>
    <x v="63"/>
    <x v="0"/>
    <x v="0"/>
    <x v="24"/>
    <n v="5.93"/>
    <n v="13.25"/>
    <n v="29.65"/>
    <m/>
    <m/>
    <n v="29.65"/>
    <m/>
    <m/>
    <m/>
    <m/>
    <m/>
    <m/>
    <n v="29.65"/>
    <x v="0"/>
    <n v="29.65"/>
    <x v="0"/>
    <x v="0"/>
  </r>
  <r>
    <d v="2025-06-24T00:00:00"/>
    <x v="64"/>
    <x v="0"/>
    <x v="0"/>
    <x v="25"/>
    <n v="5.93"/>
    <n v="11"/>
    <n v="22.41"/>
    <m/>
    <m/>
    <n v="22.41"/>
    <m/>
    <m/>
    <m/>
    <m/>
    <m/>
    <m/>
    <n v="22.41"/>
    <x v="0"/>
    <n v="22.41"/>
    <x v="0"/>
    <x v="1"/>
  </r>
  <r>
    <d v="2025-08-20T00:00:00"/>
    <x v="64"/>
    <x v="0"/>
    <x v="0"/>
    <x v="25"/>
    <n v="6.21"/>
    <n v="9.75"/>
    <n v="4.5"/>
    <m/>
    <m/>
    <n v="4.5"/>
    <m/>
    <m/>
    <m/>
    <m/>
    <m/>
    <m/>
    <n v="4.5"/>
    <x v="0"/>
    <n v="4.5"/>
    <x v="0"/>
    <x v="1"/>
  </r>
  <r>
    <d v="2025-08-20T00:00:00"/>
    <x v="64"/>
    <x v="0"/>
    <x v="1"/>
    <x v="25"/>
    <n v="6.21"/>
    <n v="10.75"/>
    <n v="25.88"/>
    <m/>
    <m/>
    <n v="25.88"/>
    <m/>
    <m/>
    <m/>
    <m/>
    <m/>
    <m/>
    <n v="25.88"/>
    <x v="0"/>
    <n v="25.88"/>
    <x v="0"/>
    <x v="1"/>
  </r>
  <r>
    <d v="2024-10-28T00:00:00"/>
    <x v="65"/>
    <x v="0"/>
    <x v="0"/>
    <x v="26"/>
    <n v="5.07"/>
    <n v="13"/>
    <n v="11.41"/>
    <m/>
    <m/>
    <n v="11.41"/>
    <m/>
    <m/>
    <m/>
    <m/>
    <m/>
    <m/>
    <n v="11.41"/>
    <x v="0"/>
    <n v="11.41"/>
    <x v="0"/>
    <x v="2"/>
  </r>
  <r>
    <d v="2022-09-26T00:00:00"/>
    <x v="66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3"/>
  </r>
  <r>
    <d v="2026-02-04T00:00:00"/>
    <x v="66"/>
    <x v="0"/>
    <x v="0"/>
    <x v="28"/>
    <n v="6.21"/>
    <n v="11"/>
    <n v="15.61"/>
    <m/>
    <m/>
    <n v="15.61"/>
    <m/>
    <m/>
    <m/>
    <m/>
    <m/>
    <m/>
    <n v="15.61"/>
    <x v="0"/>
    <n v="15.61"/>
    <x v="0"/>
    <x v="3"/>
  </r>
  <r>
    <d v="2026-02-27T00:00:00"/>
    <x v="66"/>
    <x v="0"/>
    <x v="1"/>
    <x v="29"/>
    <n v="6.21"/>
    <n v="10.6"/>
    <n v="17.79"/>
    <m/>
    <m/>
    <n v="17.79"/>
    <m/>
    <m/>
    <m/>
    <m/>
    <m/>
    <m/>
    <n v="17.79"/>
    <x v="0"/>
    <n v="17.79"/>
    <x v="0"/>
    <x v="3"/>
  </r>
  <r>
    <d v="2025-11-26T00:00:00"/>
    <x v="67"/>
    <x v="0"/>
    <x v="1"/>
    <x v="30"/>
    <n v="6.82"/>
    <n v="11"/>
    <n v="6.82"/>
    <n v="0"/>
    <m/>
    <n v="6.82"/>
    <m/>
    <m/>
    <m/>
    <m/>
    <m/>
    <m/>
    <n v="6.82"/>
    <x v="0"/>
    <n v="6.82"/>
    <x v="0"/>
    <x v="5"/>
  </r>
  <r>
    <d v="2025-04-01T00:00:00"/>
    <x v="68"/>
    <x v="1"/>
    <x v="0"/>
    <x v="40"/>
    <n v="9"/>
    <n v="11.5"/>
    <n v="36.1"/>
    <n v="229.08"/>
    <m/>
    <n v="36.1"/>
    <m/>
    <m/>
    <m/>
    <m/>
    <m/>
    <m/>
    <n v="265.18"/>
    <x v="0"/>
    <n v="36.1"/>
    <x v="0"/>
    <x v="4"/>
  </r>
  <r>
    <d v="2025-04-04T00:00:00"/>
    <x v="68"/>
    <x v="1"/>
    <x v="0"/>
    <x v="40"/>
    <n v="9"/>
    <n v="11.5"/>
    <n v="48.72"/>
    <n v="255.04"/>
    <m/>
    <n v="48.72"/>
    <m/>
    <m/>
    <m/>
    <m/>
    <m/>
    <m/>
    <n v="303.76"/>
    <x v="0"/>
    <n v="48.72"/>
    <x v="0"/>
    <x v="4"/>
  </r>
  <r>
    <d v="2025-04-08T00:00:00"/>
    <x v="68"/>
    <x v="1"/>
    <x v="0"/>
    <x v="32"/>
    <n v="9"/>
    <n v="11.5"/>
    <n v="109.76"/>
    <n v="574.88"/>
    <m/>
    <n v="109.76"/>
    <m/>
    <m/>
    <m/>
    <m/>
    <m/>
    <m/>
    <n v="684.64"/>
    <x v="0"/>
    <n v="109.76"/>
    <x v="0"/>
    <x v="4"/>
  </r>
  <r>
    <d v="2025-04-28T00:00:00"/>
    <x v="68"/>
    <x v="1"/>
    <x v="0"/>
    <x v="32"/>
    <n v="9"/>
    <n v="11.5"/>
    <n v="310.24"/>
    <n v="1637.62"/>
    <m/>
    <n v="310.24"/>
    <m/>
    <m/>
    <m/>
    <m/>
    <m/>
    <m/>
    <n v="1947.86"/>
    <x v="0"/>
    <n v="310.24"/>
    <x v="0"/>
    <x v="4"/>
  </r>
  <r>
    <d v="2025-05-16T00:00:00"/>
    <x v="69"/>
    <x v="1"/>
    <x v="1"/>
    <x v="33"/>
    <n v="9"/>
    <n v="11.5"/>
    <n v="369.63"/>
    <n v="1694.73"/>
    <m/>
    <n v="369.63"/>
    <m/>
    <m/>
    <m/>
    <m/>
    <m/>
    <m/>
    <n v="2064.36"/>
    <x v="0"/>
    <n v="369.63"/>
    <x v="0"/>
    <x v="2"/>
  </r>
  <r>
    <d v="2025-08-28T00:00:00"/>
    <x v="70"/>
    <x v="4"/>
    <x v="0"/>
    <x v="41"/>
    <n v="10"/>
    <n v="10"/>
    <n v="304.18"/>
    <m/>
    <m/>
    <n v="304.18"/>
    <m/>
    <m/>
    <m/>
    <m/>
    <m/>
    <m/>
    <n v="304.18"/>
    <x v="0"/>
    <n v="304.18"/>
    <x v="0"/>
    <x v="0"/>
  </r>
  <r>
    <d v="2022-12-28T00:00:00"/>
    <x v="71"/>
    <x v="1"/>
    <x v="1"/>
    <x v="34"/>
    <n v="8.5"/>
    <n v="8.5"/>
    <n v="142.55000000000001"/>
    <n v="1204"/>
    <m/>
    <n v="142.55000000000001"/>
    <m/>
    <m/>
    <m/>
    <m/>
    <m/>
    <m/>
    <n v="1346.55"/>
    <x v="0"/>
    <n v="142.55000000000001"/>
    <x v="0"/>
    <x v="2"/>
  </r>
  <r>
    <d v="2023-03-03T00:00:00"/>
    <x v="71"/>
    <x v="1"/>
    <x v="1"/>
    <x v="34"/>
    <n v="8.5"/>
    <n v="8.5"/>
    <n v="193.51"/>
    <n v="1634.5"/>
    <m/>
    <n v="193.51"/>
    <m/>
    <m/>
    <m/>
    <m/>
    <m/>
    <m/>
    <n v="1828.01"/>
    <x v="0"/>
    <n v="193.51"/>
    <x v="0"/>
    <x v="2"/>
  </r>
  <r>
    <d v="2024-09-17T00:00:00"/>
    <x v="60"/>
    <x v="0"/>
    <x v="0"/>
    <x v="0"/>
    <n v="5.36"/>
    <n v="13.5"/>
    <n v="15.63"/>
    <m/>
    <m/>
    <n v="15.63"/>
    <m/>
    <m/>
    <m/>
    <m/>
    <m/>
    <m/>
    <n v="15.63"/>
    <x v="0"/>
    <n v="15.63"/>
    <x v="0"/>
    <x v="3"/>
  </r>
  <r>
    <d v="2024-09-25T00:00:00"/>
    <x v="60"/>
    <x v="0"/>
    <x v="0"/>
    <x v="0"/>
    <n v="5.36"/>
    <n v="12.5"/>
    <n v="12.51"/>
    <m/>
    <m/>
    <n v="12.51"/>
    <m/>
    <m/>
    <m/>
    <m/>
    <m/>
    <m/>
    <n v="12.51"/>
    <x v="0"/>
    <n v="12.51"/>
    <x v="0"/>
    <x v="3"/>
  </r>
  <r>
    <d v="2025-02-20T00:00:00"/>
    <x v="72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5"/>
  </r>
  <r>
    <d v="2026-02-04T00:00:00"/>
    <x v="73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6"/>
  </r>
  <r>
    <d v="2026-02-04T00:00:00"/>
    <x v="73"/>
    <x v="0"/>
    <x v="0"/>
    <x v="7"/>
    <n v="7.35"/>
    <n v="11"/>
    <n v="20.79"/>
    <m/>
    <m/>
    <n v="20.79"/>
    <m/>
    <m/>
    <m/>
    <m/>
    <m/>
    <m/>
    <n v="20.79"/>
    <x v="0"/>
    <n v="20.79"/>
    <x v="0"/>
    <x v="6"/>
  </r>
  <r>
    <d v="2025-12-10T00:00:00"/>
    <x v="73"/>
    <x v="0"/>
    <x v="1"/>
    <x v="8"/>
    <n v="7.54"/>
    <n v="11"/>
    <n v="7.79"/>
    <m/>
    <m/>
    <n v="7.79"/>
    <m/>
    <m/>
    <m/>
    <m/>
    <m/>
    <m/>
    <n v="7.79"/>
    <x v="0"/>
    <n v="7.79"/>
    <x v="0"/>
    <x v="6"/>
  </r>
  <r>
    <d v="2025-10-13T00:00:00"/>
    <x v="74"/>
    <x v="0"/>
    <x v="0"/>
    <x v="11"/>
    <n v="7.54"/>
    <n v="9.85"/>
    <n v="35.25"/>
    <m/>
    <m/>
    <n v="35.25"/>
    <m/>
    <m/>
    <m/>
    <m/>
    <m/>
    <m/>
    <n v="35.25"/>
    <x v="0"/>
    <n v="35.25"/>
    <x v="0"/>
    <x v="3"/>
  </r>
  <r>
    <d v="2026-04-09T00:00:00"/>
    <x v="75"/>
    <x v="0"/>
    <x v="0"/>
    <x v="13"/>
    <n v="4.71"/>
    <n v="9.5"/>
    <n v="3.53"/>
    <n v="0"/>
    <m/>
    <n v="3.53"/>
    <m/>
    <m/>
    <m/>
    <m/>
    <m/>
    <m/>
    <n v="3.53"/>
    <x v="0"/>
    <n v="3.53"/>
    <x v="0"/>
    <x v="4"/>
  </r>
  <r>
    <d v="2024-02-01T00:00:00"/>
    <x v="7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4-03-05T00:00:00"/>
    <x v="76"/>
    <x v="2"/>
    <x v="0"/>
    <x v="16"/>
    <n v="6"/>
    <n v="12"/>
    <n v="108.33"/>
    <m/>
    <m/>
    <n v="108.33"/>
    <m/>
    <m/>
    <m/>
    <m/>
    <m/>
    <m/>
    <n v="108.33"/>
    <x v="0"/>
    <n v="108.33"/>
    <x v="0"/>
    <x v="5"/>
  </r>
  <r>
    <d v="2023-03-21T00:00:00"/>
    <x v="76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5T00:00:00"/>
    <x v="76"/>
    <x v="2"/>
    <x v="0"/>
    <x v="16"/>
    <n v="6"/>
    <n v="12"/>
    <n v="54.16"/>
    <m/>
    <m/>
    <n v="54.16"/>
    <m/>
    <m/>
    <m/>
    <m/>
    <m/>
    <m/>
    <n v="54.16"/>
    <x v="0"/>
    <n v="54.16"/>
    <x v="0"/>
    <x v="5"/>
  </r>
  <r>
    <d v="2024-04-15T00:00:00"/>
    <x v="76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6T00:00:00"/>
    <x v="7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6-03-24T00:00:00"/>
    <x v="76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5"/>
  </r>
  <r>
    <d v="2021-09-23T00:00:00"/>
    <x v="77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3"/>
  </r>
  <r>
    <d v="2023-12-04T00:00:00"/>
    <x v="77"/>
    <x v="0"/>
    <x v="1"/>
    <x v="18"/>
    <n v="5.64"/>
    <n v="13"/>
    <n v="14.1"/>
    <m/>
    <m/>
    <n v="14.1"/>
    <m/>
    <m/>
    <m/>
    <m/>
    <m/>
    <m/>
    <n v="14.1"/>
    <x v="0"/>
    <n v="14.1"/>
    <x v="0"/>
    <x v="3"/>
  </r>
  <r>
    <d v="2024-01-11T00:00:00"/>
    <x v="77"/>
    <x v="0"/>
    <x v="1"/>
    <x v="18"/>
    <n v="5.64"/>
    <n v="12.75"/>
    <n v="7.28"/>
    <m/>
    <m/>
    <n v="7.28"/>
    <m/>
    <m/>
    <m/>
    <m/>
    <m/>
    <m/>
    <n v="7.28"/>
    <x v="0"/>
    <n v="7.28"/>
    <x v="0"/>
    <x v="3"/>
  </r>
  <r>
    <d v="2025-12-15T00:00:00"/>
    <x v="78"/>
    <x v="0"/>
    <x v="1"/>
    <x v="19"/>
    <n v="5.93"/>
    <n v="8.5"/>
    <n v="23.09"/>
    <m/>
    <m/>
    <n v="23.09"/>
    <m/>
    <m/>
    <m/>
    <m/>
    <m/>
    <m/>
    <n v="23.09"/>
    <x v="0"/>
    <n v="23.09"/>
    <x v="0"/>
    <x v="5"/>
  </r>
  <r>
    <d v="2025-03-18T00:00:00"/>
    <x v="78"/>
    <x v="0"/>
    <x v="0"/>
    <x v="20"/>
    <n v="5.93"/>
    <n v="12"/>
    <n v="8.94"/>
    <m/>
    <m/>
    <n v="8.94"/>
    <m/>
    <m/>
    <m/>
    <m/>
    <m/>
    <m/>
    <n v="8.94"/>
    <x v="0"/>
    <n v="8.94"/>
    <x v="0"/>
    <x v="5"/>
  </r>
  <r>
    <d v="2023-12-04T00:00:00"/>
    <x v="70"/>
    <x v="0"/>
    <x v="1"/>
    <x v="22"/>
    <n v="5.36"/>
    <n v="13"/>
    <n v="5.58"/>
    <m/>
    <m/>
    <n v="5.58"/>
    <m/>
    <m/>
    <m/>
    <m/>
    <m/>
    <m/>
    <n v="5.58"/>
    <x v="0"/>
    <n v="5.58"/>
    <x v="0"/>
    <x v="0"/>
  </r>
  <r>
    <d v="2023-12-19T00:00:00"/>
    <x v="70"/>
    <x v="0"/>
    <x v="1"/>
    <x v="22"/>
    <n v="5.36"/>
    <n v="13"/>
    <n v="3.13"/>
    <m/>
    <m/>
    <n v="3.13"/>
    <m/>
    <m/>
    <m/>
    <m/>
    <m/>
    <m/>
    <n v="3.13"/>
    <x v="0"/>
    <n v="3.13"/>
    <x v="0"/>
    <x v="0"/>
  </r>
  <r>
    <d v="2024-09-17T00:00:00"/>
    <x v="70"/>
    <x v="0"/>
    <x v="0"/>
    <x v="22"/>
    <n v="5.36"/>
    <n v="13.75"/>
    <n v="4.47"/>
    <m/>
    <m/>
    <n v="4.47"/>
    <m/>
    <m/>
    <m/>
    <m/>
    <m/>
    <m/>
    <n v="4.47"/>
    <x v="0"/>
    <n v="4.47"/>
    <x v="0"/>
    <x v="0"/>
  </r>
  <r>
    <d v="2024-06-04T00:00:00"/>
    <x v="79"/>
    <x v="0"/>
    <x v="0"/>
    <x v="24"/>
    <n v="5.93"/>
    <n v="13.25"/>
    <n v="29.65"/>
    <m/>
    <m/>
    <n v="29.65"/>
    <m/>
    <m/>
    <m/>
    <m/>
    <m/>
    <m/>
    <n v="29.65"/>
    <x v="0"/>
    <n v="29.65"/>
    <x v="0"/>
    <x v="3"/>
  </r>
  <r>
    <d v="2025-06-24T00:00:00"/>
    <x v="80"/>
    <x v="0"/>
    <x v="0"/>
    <x v="25"/>
    <n v="5.93"/>
    <n v="11"/>
    <n v="22.41"/>
    <m/>
    <m/>
    <n v="22.41"/>
    <m/>
    <m/>
    <m/>
    <m/>
    <m/>
    <m/>
    <n v="22.41"/>
    <x v="0"/>
    <n v="22.41"/>
    <x v="0"/>
    <x v="5"/>
  </r>
  <r>
    <d v="2025-08-20T00:00:00"/>
    <x v="80"/>
    <x v="0"/>
    <x v="0"/>
    <x v="25"/>
    <n v="6.21"/>
    <n v="9.75"/>
    <n v="4.5"/>
    <m/>
    <m/>
    <n v="4.5"/>
    <m/>
    <m/>
    <m/>
    <m/>
    <m/>
    <m/>
    <n v="4.5"/>
    <x v="0"/>
    <n v="4.5"/>
    <x v="0"/>
    <x v="5"/>
  </r>
  <r>
    <d v="2025-08-20T00:00:00"/>
    <x v="80"/>
    <x v="0"/>
    <x v="1"/>
    <x v="25"/>
    <n v="6.21"/>
    <n v="10.75"/>
    <n v="25.88"/>
    <m/>
    <m/>
    <n v="25.88"/>
    <m/>
    <m/>
    <m/>
    <m/>
    <m/>
    <m/>
    <n v="25.88"/>
    <x v="0"/>
    <n v="25.88"/>
    <x v="0"/>
    <x v="5"/>
  </r>
  <r>
    <d v="2024-10-28T00:00:00"/>
    <x v="81"/>
    <x v="0"/>
    <x v="0"/>
    <x v="26"/>
    <n v="5.07"/>
    <n v="13"/>
    <n v="11.41"/>
    <m/>
    <m/>
    <n v="11.41"/>
    <m/>
    <m/>
    <m/>
    <m/>
    <m/>
    <m/>
    <n v="11.41"/>
    <x v="0"/>
    <n v="11.41"/>
    <x v="0"/>
    <x v="4"/>
  </r>
  <r>
    <d v="2022-09-26T00:00:00"/>
    <x v="82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6"/>
  </r>
  <r>
    <d v="2026-02-04T00:00:00"/>
    <x v="82"/>
    <x v="0"/>
    <x v="0"/>
    <x v="28"/>
    <n v="6.21"/>
    <n v="11"/>
    <n v="15.61"/>
    <m/>
    <m/>
    <n v="15.61"/>
    <m/>
    <m/>
    <m/>
    <m/>
    <m/>
    <m/>
    <n v="15.61"/>
    <x v="0"/>
    <n v="15.61"/>
    <x v="0"/>
    <x v="6"/>
  </r>
  <r>
    <d v="2026-02-27T00:00:00"/>
    <x v="82"/>
    <x v="0"/>
    <x v="1"/>
    <x v="29"/>
    <n v="6.21"/>
    <n v="10.6"/>
    <n v="17.79"/>
    <m/>
    <m/>
    <n v="17.79"/>
    <m/>
    <m/>
    <m/>
    <m/>
    <m/>
    <m/>
    <n v="17.79"/>
    <x v="0"/>
    <n v="17.79"/>
    <x v="0"/>
    <x v="6"/>
  </r>
  <r>
    <d v="2025-11-26T00:00:00"/>
    <x v="83"/>
    <x v="0"/>
    <x v="1"/>
    <x v="30"/>
    <n v="6.82"/>
    <n v="11"/>
    <n v="6.82"/>
    <n v="0"/>
    <m/>
    <n v="6.82"/>
    <m/>
    <m/>
    <m/>
    <m/>
    <m/>
    <m/>
    <n v="6.82"/>
    <x v="0"/>
    <n v="6.82"/>
    <x v="0"/>
    <x v="0"/>
  </r>
  <r>
    <d v="2022-05-19T00:00:00"/>
    <x v="84"/>
    <x v="1"/>
    <x v="1"/>
    <x v="35"/>
    <n v="8.5"/>
    <n v="8.75"/>
    <n v="62.16"/>
    <n v="975"/>
    <m/>
    <n v="62.16"/>
    <m/>
    <m/>
    <m/>
    <m/>
    <m/>
    <m/>
    <n v="1037.1600000000001"/>
    <x v="0"/>
    <n v="62.16"/>
    <x v="0"/>
    <x v="3"/>
  </r>
  <r>
    <d v="2025-02-18T00:00:00"/>
    <x v="85"/>
    <x v="1"/>
    <x v="1"/>
    <x v="36"/>
    <n v="9"/>
    <n v="12"/>
    <n v="457.38"/>
    <n v="3385.31"/>
    <m/>
    <n v="457.38"/>
    <m/>
    <m/>
    <m/>
    <m/>
    <m/>
    <m/>
    <n v="3842.69"/>
    <x v="0"/>
    <n v="457.38"/>
    <x v="0"/>
    <x v="6"/>
  </r>
  <r>
    <d v="2024-09-24T00:00:00"/>
    <x v="86"/>
    <x v="3"/>
    <x v="0"/>
    <x v="37"/>
    <n v="8.5"/>
    <n v="12"/>
    <n v="339.39"/>
    <n v="1467.81"/>
    <m/>
    <n v="339.39"/>
    <m/>
    <m/>
    <m/>
    <m/>
    <m/>
    <m/>
    <n v="1807.1999999999998"/>
    <x v="1"/>
    <n v="339.39"/>
    <x v="0"/>
    <x v="6"/>
  </r>
  <r>
    <d v="2024-09-24T00:00:00"/>
    <x v="86"/>
    <x v="3"/>
    <x v="1"/>
    <x v="37"/>
    <n v="8.5"/>
    <n v="12"/>
    <n v="53.83"/>
    <n v="232.8"/>
    <m/>
    <n v="53.83"/>
    <m/>
    <m/>
    <m/>
    <m/>
    <m/>
    <m/>
    <n v="286.63"/>
    <x v="1"/>
    <n v="53.83"/>
    <x v="0"/>
    <x v="6"/>
  </r>
  <r>
    <d v="2024-09-24T00:00:00"/>
    <x v="86"/>
    <x v="3"/>
    <x v="2"/>
    <x v="37"/>
    <n v="8.5"/>
    <n v="12"/>
    <n v="218.69"/>
    <n v="945.8"/>
    <m/>
    <n v="218.69"/>
    <m/>
    <m/>
    <m/>
    <m/>
    <m/>
    <m/>
    <n v="1164.49"/>
    <x v="1"/>
    <n v="218.69"/>
    <x v="0"/>
    <x v="6"/>
  </r>
  <r>
    <d v="2026-03-16T00:00:00"/>
    <x v="87"/>
    <x v="1"/>
    <x v="0"/>
    <x v="39"/>
    <n v="9"/>
    <n v="10.25"/>
    <n v="642.11"/>
    <n v="965"/>
    <m/>
    <n v="642.11"/>
    <m/>
    <m/>
    <m/>
    <m/>
    <m/>
    <m/>
    <n v="1607.1100000000001"/>
    <x v="0"/>
    <n v="642.11"/>
    <x v="0"/>
    <x v="0"/>
  </r>
  <r>
    <d v="2026-03-24T00:00:00"/>
    <x v="87"/>
    <x v="1"/>
    <x v="0"/>
    <x v="39"/>
    <n v="9"/>
    <n v="10.25"/>
    <n v="106.07"/>
    <n v="159.4"/>
    <m/>
    <n v="106.07"/>
    <m/>
    <m/>
    <m/>
    <m/>
    <m/>
    <m/>
    <n v="265.47000000000003"/>
    <x v="0"/>
    <n v="106.07"/>
    <x v="0"/>
    <x v="0"/>
  </r>
  <r>
    <d v="2024-09-17T00:00:00"/>
    <x v="88"/>
    <x v="0"/>
    <x v="0"/>
    <x v="0"/>
    <n v="5.36"/>
    <n v="13.5"/>
    <n v="15.63"/>
    <m/>
    <m/>
    <n v="15.63"/>
    <m/>
    <m/>
    <m/>
    <m/>
    <m/>
    <m/>
    <n v="15.63"/>
    <x v="0"/>
    <n v="15.63"/>
    <x v="0"/>
    <x v="6"/>
  </r>
  <r>
    <d v="2024-09-25T00:00:00"/>
    <x v="88"/>
    <x v="0"/>
    <x v="0"/>
    <x v="0"/>
    <n v="5.36"/>
    <n v="12.5"/>
    <n v="12.51"/>
    <m/>
    <m/>
    <n v="12.51"/>
    <m/>
    <m/>
    <m/>
    <m/>
    <m/>
    <m/>
    <n v="12.51"/>
    <x v="0"/>
    <n v="12.51"/>
    <x v="0"/>
    <x v="6"/>
  </r>
  <r>
    <d v="2025-02-20T00:00:00"/>
    <x v="89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0"/>
  </r>
  <r>
    <d v="2026-02-04T00:00:00"/>
    <x v="90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2"/>
  </r>
  <r>
    <d v="2026-02-04T00:00:00"/>
    <x v="90"/>
    <x v="0"/>
    <x v="0"/>
    <x v="7"/>
    <n v="7.35"/>
    <n v="11"/>
    <n v="20.79"/>
    <m/>
    <m/>
    <n v="20.79"/>
    <m/>
    <m/>
    <m/>
    <m/>
    <m/>
    <m/>
    <n v="20.79"/>
    <x v="0"/>
    <n v="20.79"/>
    <x v="0"/>
    <x v="2"/>
  </r>
  <r>
    <d v="2025-12-10T00:00:00"/>
    <x v="90"/>
    <x v="0"/>
    <x v="1"/>
    <x v="8"/>
    <n v="7.54"/>
    <n v="11"/>
    <n v="7.79"/>
    <m/>
    <m/>
    <n v="7.79"/>
    <m/>
    <m/>
    <m/>
    <m/>
    <m/>
    <m/>
    <n v="7.79"/>
    <x v="0"/>
    <n v="7.79"/>
    <x v="0"/>
    <x v="2"/>
  </r>
  <r>
    <d v="2025-10-13T00:00:00"/>
    <x v="85"/>
    <x v="0"/>
    <x v="0"/>
    <x v="11"/>
    <n v="7.54"/>
    <n v="9.85"/>
    <n v="35.25"/>
    <m/>
    <m/>
    <n v="35.25"/>
    <m/>
    <m/>
    <m/>
    <m/>
    <m/>
    <m/>
    <n v="35.25"/>
    <x v="0"/>
    <n v="35.25"/>
    <x v="0"/>
    <x v="6"/>
  </r>
  <r>
    <d v="2026-04-09T00:00:00"/>
    <x v="91"/>
    <x v="0"/>
    <x v="0"/>
    <x v="13"/>
    <n v="4.71"/>
    <n v="9.5"/>
    <n v="3.53"/>
    <n v="0"/>
    <m/>
    <n v="3.53"/>
    <m/>
    <m/>
    <m/>
    <m/>
    <m/>
    <m/>
    <n v="3.53"/>
    <x v="0"/>
    <n v="3.53"/>
    <x v="0"/>
    <x v="1"/>
  </r>
  <r>
    <d v="2024-02-01T00:00:00"/>
    <x v="92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4"/>
  </r>
  <r>
    <d v="2024-03-05T00:00:00"/>
    <x v="92"/>
    <x v="2"/>
    <x v="0"/>
    <x v="16"/>
    <n v="6"/>
    <n v="12"/>
    <n v="108.33"/>
    <m/>
    <m/>
    <n v="108.33"/>
    <m/>
    <m/>
    <m/>
    <m/>
    <m/>
    <m/>
    <n v="108.33"/>
    <x v="0"/>
    <n v="108.33"/>
    <x v="0"/>
    <x v="4"/>
  </r>
  <r>
    <d v="2023-03-21T00:00:00"/>
    <x v="92"/>
    <x v="2"/>
    <x v="1"/>
    <x v="16"/>
    <n v="6"/>
    <n v="12"/>
    <n v="62.5"/>
    <m/>
    <m/>
    <n v="62.5"/>
    <m/>
    <m/>
    <m/>
    <m/>
    <m/>
    <m/>
    <n v="62.5"/>
    <x v="0"/>
    <n v="62.5"/>
    <x v="0"/>
    <x v="4"/>
  </r>
  <r>
    <d v="2024-04-15T00:00:00"/>
    <x v="92"/>
    <x v="2"/>
    <x v="0"/>
    <x v="16"/>
    <n v="6"/>
    <n v="12"/>
    <n v="54.16"/>
    <m/>
    <m/>
    <n v="54.16"/>
    <m/>
    <m/>
    <m/>
    <m/>
    <m/>
    <m/>
    <n v="54.16"/>
    <x v="0"/>
    <n v="54.16"/>
    <x v="0"/>
    <x v="4"/>
  </r>
  <r>
    <d v="2024-04-15T00:00:00"/>
    <x v="92"/>
    <x v="2"/>
    <x v="1"/>
    <x v="16"/>
    <n v="6"/>
    <n v="12"/>
    <n v="62.5"/>
    <m/>
    <m/>
    <n v="62.5"/>
    <m/>
    <m/>
    <m/>
    <m/>
    <m/>
    <m/>
    <n v="62.5"/>
    <x v="0"/>
    <n v="62.5"/>
    <x v="0"/>
    <x v="4"/>
  </r>
  <r>
    <d v="2024-04-16T00:00:00"/>
    <x v="92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4"/>
  </r>
  <r>
    <d v="2026-03-24T00:00:00"/>
    <x v="92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4"/>
  </r>
  <r>
    <d v="2021-09-23T00:00:00"/>
    <x v="93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6"/>
  </r>
  <r>
    <d v="2023-12-04T00:00:00"/>
    <x v="93"/>
    <x v="0"/>
    <x v="1"/>
    <x v="18"/>
    <n v="5.64"/>
    <n v="13"/>
    <n v="14.1"/>
    <m/>
    <m/>
    <n v="14.1"/>
    <m/>
    <m/>
    <m/>
    <m/>
    <m/>
    <m/>
    <n v="14.1"/>
    <x v="0"/>
    <n v="14.1"/>
    <x v="0"/>
    <x v="6"/>
  </r>
  <r>
    <d v="2024-01-11T00:00:00"/>
    <x v="93"/>
    <x v="0"/>
    <x v="1"/>
    <x v="18"/>
    <n v="5.64"/>
    <n v="12.75"/>
    <n v="7.28"/>
    <m/>
    <m/>
    <n v="7.28"/>
    <m/>
    <m/>
    <m/>
    <m/>
    <m/>
    <m/>
    <n v="7.28"/>
    <x v="0"/>
    <n v="7.28"/>
    <x v="0"/>
    <x v="6"/>
  </r>
  <r>
    <d v="2025-12-15T00:00:00"/>
    <x v="94"/>
    <x v="0"/>
    <x v="1"/>
    <x v="19"/>
    <n v="5.93"/>
    <n v="8.5"/>
    <n v="23.09"/>
    <m/>
    <m/>
    <n v="23.09"/>
    <m/>
    <m/>
    <m/>
    <m/>
    <m/>
    <m/>
    <n v="23.09"/>
    <x v="0"/>
    <n v="23.09"/>
    <x v="0"/>
    <x v="0"/>
  </r>
  <r>
    <d v="2025-03-18T00:00:00"/>
    <x v="94"/>
    <x v="0"/>
    <x v="0"/>
    <x v="20"/>
    <n v="5.93"/>
    <n v="12"/>
    <n v="8.94"/>
    <m/>
    <m/>
    <n v="8.94"/>
    <m/>
    <m/>
    <m/>
    <m/>
    <m/>
    <m/>
    <n v="8.94"/>
    <x v="0"/>
    <n v="8.94"/>
    <x v="0"/>
    <x v="0"/>
  </r>
  <r>
    <d v="2023-12-04T00:00:00"/>
    <x v="95"/>
    <x v="0"/>
    <x v="1"/>
    <x v="22"/>
    <n v="5.36"/>
    <n v="13"/>
    <n v="5.58"/>
    <m/>
    <m/>
    <n v="5.58"/>
    <m/>
    <m/>
    <m/>
    <m/>
    <m/>
    <m/>
    <n v="5.58"/>
    <x v="0"/>
    <n v="5.58"/>
    <x v="0"/>
    <x v="3"/>
  </r>
  <r>
    <d v="2023-12-19T00:00:00"/>
    <x v="95"/>
    <x v="0"/>
    <x v="1"/>
    <x v="22"/>
    <n v="5.36"/>
    <n v="13"/>
    <n v="3.13"/>
    <m/>
    <m/>
    <n v="3.13"/>
    <m/>
    <m/>
    <m/>
    <m/>
    <m/>
    <m/>
    <n v="3.13"/>
    <x v="0"/>
    <n v="3.13"/>
    <x v="0"/>
    <x v="3"/>
  </r>
  <r>
    <d v="2024-09-17T00:00:00"/>
    <x v="95"/>
    <x v="0"/>
    <x v="0"/>
    <x v="22"/>
    <n v="5.36"/>
    <n v="13.75"/>
    <n v="4.47"/>
    <m/>
    <m/>
    <n v="4.47"/>
    <m/>
    <m/>
    <m/>
    <m/>
    <m/>
    <m/>
    <n v="4.47"/>
    <x v="0"/>
    <n v="4.47"/>
    <x v="0"/>
    <x v="3"/>
  </r>
  <r>
    <d v="2024-06-04T00:00:00"/>
    <x v="96"/>
    <x v="0"/>
    <x v="0"/>
    <x v="24"/>
    <n v="5.93"/>
    <n v="13.25"/>
    <n v="29.65"/>
    <m/>
    <m/>
    <n v="29.65"/>
    <m/>
    <m/>
    <m/>
    <m/>
    <m/>
    <m/>
    <n v="29.65"/>
    <x v="0"/>
    <n v="29.65"/>
    <x v="0"/>
    <x v="6"/>
  </r>
  <r>
    <d v="2025-06-24T00:00:00"/>
    <x v="97"/>
    <x v="0"/>
    <x v="0"/>
    <x v="25"/>
    <n v="5.93"/>
    <n v="11"/>
    <n v="22.41"/>
    <m/>
    <m/>
    <n v="22.41"/>
    <m/>
    <m/>
    <m/>
    <m/>
    <m/>
    <m/>
    <n v="22.41"/>
    <x v="0"/>
    <n v="22.41"/>
    <x v="0"/>
    <x v="0"/>
  </r>
  <r>
    <d v="2025-08-20T00:00:00"/>
    <x v="97"/>
    <x v="0"/>
    <x v="0"/>
    <x v="25"/>
    <n v="6.21"/>
    <n v="9.75"/>
    <n v="4.5"/>
    <m/>
    <m/>
    <n v="4.5"/>
    <m/>
    <m/>
    <m/>
    <m/>
    <m/>
    <m/>
    <n v="4.5"/>
    <x v="0"/>
    <n v="4.5"/>
    <x v="0"/>
    <x v="0"/>
  </r>
  <r>
    <d v="2025-08-20T00:00:00"/>
    <x v="97"/>
    <x v="0"/>
    <x v="1"/>
    <x v="25"/>
    <n v="6.21"/>
    <n v="10.75"/>
    <n v="25.88"/>
    <m/>
    <m/>
    <n v="25.88"/>
    <m/>
    <m/>
    <m/>
    <m/>
    <m/>
    <m/>
    <n v="25.88"/>
    <x v="0"/>
    <n v="25.88"/>
    <x v="0"/>
    <x v="0"/>
  </r>
  <r>
    <d v="2024-10-28T00:00:00"/>
    <x v="98"/>
    <x v="0"/>
    <x v="0"/>
    <x v="26"/>
    <n v="5.07"/>
    <n v="13"/>
    <n v="11.41"/>
    <m/>
    <m/>
    <n v="11.41"/>
    <m/>
    <m/>
    <m/>
    <m/>
    <m/>
    <m/>
    <n v="11.41"/>
    <x v="0"/>
    <n v="11.41"/>
    <x v="0"/>
    <x v="1"/>
  </r>
  <r>
    <d v="2022-09-26T00:00:00"/>
    <x v="99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2"/>
  </r>
  <r>
    <d v="2026-02-04T00:00:00"/>
    <x v="99"/>
    <x v="0"/>
    <x v="0"/>
    <x v="28"/>
    <n v="6.21"/>
    <n v="11"/>
    <n v="15.61"/>
    <m/>
    <m/>
    <n v="15.61"/>
    <m/>
    <m/>
    <m/>
    <m/>
    <m/>
    <m/>
    <n v="15.61"/>
    <x v="0"/>
    <n v="15.61"/>
    <x v="0"/>
    <x v="2"/>
  </r>
  <r>
    <d v="2026-02-27T00:00:00"/>
    <x v="99"/>
    <x v="0"/>
    <x v="1"/>
    <x v="29"/>
    <n v="6.21"/>
    <n v="10.6"/>
    <n v="17.79"/>
    <m/>
    <m/>
    <n v="17.79"/>
    <m/>
    <m/>
    <m/>
    <m/>
    <m/>
    <m/>
    <n v="17.79"/>
    <x v="0"/>
    <n v="17.79"/>
    <x v="0"/>
    <x v="2"/>
  </r>
  <r>
    <d v="2025-11-26T00:00:00"/>
    <x v="100"/>
    <x v="0"/>
    <x v="1"/>
    <x v="30"/>
    <n v="6.82"/>
    <n v="11"/>
    <n v="6.82"/>
    <n v="0"/>
    <m/>
    <n v="6.82"/>
    <m/>
    <m/>
    <m/>
    <m/>
    <m/>
    <m/>
    <n v="6.82"/>
    <x v="0"/>
    <n v="6.82"/>
    <x v="0"/>
    <x v="3"/>
  </r>
  <r>
    <d v="2025-04-28T00:00:00"/>
    <x v="101"/>
    <x v="1"/>
    <x v="0"/>
    <x v="9"/>
    <n v="9"/>
    <n v="11.5"/>
    <n v="322.75"/>
    <n v="1663.68"/>
    <m/>
    <n v="322.75"/>
    <m/>
    <m/>
    <m/>
    <m/>
    <m/>
    <m/>
    <n v="1986.43"/>
    <x v="0"/>
    <n v="322.75"/>
    <x v="1"/>
    <x v="6"/>
  </r>
  <r>
    <d v="2025-04-28T00:00:00"/>
    <x v="101"/>
    <x v="1"/>
    <x v="0"/>
    <x v="9"/>
    <n v="9"/>
    <n v="11.5"/>
    <n v="146.47"/>
    <n v="759.96"/>
    <m/>
    <n v="146.47"/>
    <m/>
    <m/>
    <m/>
    <m/>
    <m/>
    <m/>
    <n v="906.43000000000006"/>
    <x v="0"/>
    <n v="146.47"/>
    <x v="1"/>
    <x v="6"/>
  </r>
  <r>
    <d v="2026-02-19T00:00:00"/>
    <x v="102"/>
    <x v="1"/>
    <x v="1"/>
    <x v="14"/>
    <n v="9"/>
    <n v="10.5"/>
    <n v="422.28"/>
    <n v="948.02"/>
    <m/>
    <n v="422.28"/>
    <m/>
    <m/>
    <m/>
    <m/>
    <m/>
    <m/>
    <n v="1370.3"/>
    <x v="1"/>
    <n v="422.28"/>
    <x v="0"/>
    <x v="5"/>
  </r>
  <r>
    <d v="2026-02-19T00:00:00"/>
    <x v="103"/>
    <x v="1"/>
    <x v="1"/>
    <x v="23"/>
    <n v="9"/>
    <n v="10.25"/>
    <n v="378.99"/>
    <n v="1570.16"/>
    <m/>
    <n v="378.99"/>
    <m/>
    <m/>
    <m/>
    <m/>
    <m/>
    <m/>
    <n v="1949.15"/>
    <x v="1"/>
    <n v="378.99"/>
    <x v="0"/>
    <x v="4"/>
  </r>
  <r>
    <d v="2024-09-17T00:00:00"/>
    <x v="104"/>
    <x v="0"/>
    <x v="0"/>
    <x v="0"/>
    <n v="5.36"/>
    <n v="13.5"/>
    <n v="15.63"/>
    <m/>
    <m/>
    <n v="15.63"/>
    <m/>
    <m/>
    <m/>
    <m/>
    <m/>
    <m/>
    <n v="15.63"/>
    <x v="0"/>
    <n v="15.63"/>
    <x v="1"/>
    <x v="1"/>
  </r>
  <r>
    <d v="2024-09-25T00:00:00"/>
    <x v="104"/>
    <x v="0"/>
    <x v="0"/>
    <x v="0"/>
    <n v="5.36"/>
    <n v="12.5"/>
    <n v="12.51"/>
    <m/>
    <m/>
    <n v="12.51"/>
    <m/>
    <m/>
    <m/>
    <m/>
    <m/>
    <m/>
    <n v="12.51"/>
    <x v="0"/>
    <n v="12.51"/>
    <x v="1"/>
    <x v="1"/>
  </r>
  <r>
    <d v="2025-02-20T00:00:00"/>
    <x v="105"/>
    <x v="0"/>
    <x v="1"/>
    <x v="2"/>
    <n v="5.36"/>
    <n v="11.35"/>
    <n v="16.79"/>
    <n v="0"/>
    <m/>
    <n v="16.79"/>
    <m/>
    <m/>
    <m/>
    <m/>
    <m/>
    <m/>
    <n v="16.79"/>
    <x v="0"/>
    <n v="16.79"/>
    <x v="1"/>
    <x v="2"/>
  </r>
  <r>
    <d v="2026-02-04T00:00:00"/>
    <x v="106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1"/>
    <x v="5"/>
  </r>
  <r>
    <d v="2026-02-04T00:00:00"/>
    <x v="106"/>
    <x v="0"/>
    <x v="0"/>
    <x v="7"/>
    <n v="7.35"/>
    <n v="11"/>
    <n v="20.79"/>
    <m/>
    <m/>
    <n v="20.79"/>
    <m/>
    <m/>
    <m/>
    <m/>
    <m/>
    <m/>
    <n v="20.79"/>
    <x v="0"/>
    <n v="20.79"/>
    <x v="1"/>
    <x v="5"/>
  </r>
  <r>
    <d v="2025-12-10T00:00:00"/>
    <x v="106"/>
    <x v="0"/>
    <x v="1"/>
    <x v="8"/>
    <n v="7.54"/>
    <n v="11"/>
    <n v="7.79"/>
    <m/>
    <m/>
    <n v="7.79"/>
    <m/>
    <m/>
    <m/>
    <m/>
    <m/>
    <m/>
    <n v="7.79"/>
    <x v="0"/>
    <n v="7.79"/>
    <x v="1"/>
    <x v="5"/>
  </r>
  <r>
    <d v="2025-10-13T00:00:00"/>
    <x v="107"/>
    <x v="0"/>
    <x v="0"/>
    <x v="11"/>
    <n v="7.54"/>
    <n v="9.85"/>
    <n v="35.25"/>
    <m/>
    <m/>
    <n v="35.25"/>
    <m/>
    <m/>
    <m/>
    <m/>
    <m/>
    <m/>
    <n v="35.25"/>
    <x v="1"/>
    <n v="35.25"/>
    <x v="0"/>
    <x v="1"/>
  </r>
  <r>
    <d v="2026-04-09T00:00:00"/>
    <x v="108"/>
    <x v="0"/>
    <x v="0"/>
    <x v="13"/>
    <n v="4.71"/>
    <n v="9.5"/>
    <n v="3.53"/>
    <n v="0"/>
    <m/>
    <n v="3.53"/>
    <m/>
    <m/>
    <m/>
    <m/>
    <m/>
    <m/>
    <n v="3.53"/>
    <x v="1"/>
    <n v="3.53"/>
    <x v="0"/>
    <x v="3"/>
  </r>
  <r>
    <d v="2024-02-01T00:00:00"/>
    <x v="109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0"/>
  </r>
  <r>
    <d v="2024-03-05T00:00:00"/>
    <x v="109"/>
    <x v="2"/>
    <x v="0"/>
    <x v="16"/>
    <n v="6"/>
    <n v="12"/>
    <n v="108.33"/>
    <m/>
    <m/>
    <n v="108.33"/>
    <m/>
    <m/>
    <m/>
    <m/>
    <m/>
    <m/>
    <n v="108.33"/>
    <x v="1"/>
    <n v="108.33"/>
    <x v="0"/>
    <x v="0"/>
  </r>
  <r>
    <d v="2023-03-21T00:00:00"/>
    <x v="109"/>
    <x v="2"/>
    <x v="1"/>
    <x v="16"/>
    <n v="6"/>
    <n v="12"/>
    <n v="62.5"/>
    <m/>
    <m/>
    <n v="62.5"/>
    <m/>
    <m/>
    <m/>
    <m/>
    <m/>
    <m/>
    <n v="62.5"/>
    <x v="1"/>
    <n v="62.5"/>
    <x v="0"/>
    <x v="0"/>
  </r>
  <r>
    <d v="2024-04-15T00:00:00"/>
    <x v="109"/>
    <x v="2"/>
    <x v="0"/>
    <x v="16"/>
    <n v="6"/>
    <n v="12"/>
    <n v="54.16"/>
    <m/>
    <m/>
    <n v="54.16"/>
    <m/>
    <m/>
    <m/>
    <m/>
    <m/>
    <m/>
    <n v="54.16"/>
    <x v="1"/>
    <n v="54.16"/>
    <x v="0"/>
    <x v="0"/>
  </r>
  <r>
    <d v="2024-04-15T00:00:00"/>
    <x v="109"/>
    <x v="2"/>
    <x v="1"/>
    <x v="16"/>
    <n v="6"/>
    <n v="12"/>
    <n v="62.5"/>
    <m/>
    <m/>
    <n v="62.5"/>
    <m/>
    <m/>
    <m/>
    <m/>
    <m/>
    <m/>
    <n v="62.5"/>
    <x v="1"/>
    <n v="62.5"/>
    <x v="0"/>
    <x v="0"/>
  </r>
  <r>
    <d v="2024-04-16T00:00:00"/>
    <x v="109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0"/>
  </r>
  <r>
    <d v="2026-03-24T00:00:00"/>
    <x v="109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0"/>
  </r>
  <r>
    <d v="2021-09-23T00:00:00"/>
    <x v="110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1"/>
  </r>
  <r>
    <d v="2023-12-04T00:00:00"/>
    <x v="110"/>
    <x v="0"/>
    <x v="1"/>
    <x v="18"/>
    <n v="5.64"/>
    <n v="13"/>
    <n v="14.1"/>
    <m/>
    <m/>
    <n v="14.1"/>
    <m/>
    <m/>
    <m/>
    <m/>
    <m/>
    <m/>
    <n v="14.1"/>
    <x v="1"/>
    <n v="14.1"/>
    <x v="0"/>
    <x v="1"/>
  </r>
  <r>
    <d v="2024-01-11T00:00:00"/>
    <x v="110"/>
    <x v="0"/>
    <x v="1"/>
    <x v="18"/>
    <n v="5.64"/>
    <n v="12.75"/>
    <n v="7.28"/>
    <m/>
    <m/>
    <n v="7.28"/>
    <m/>
    <m/>
    <m/>
    <m/>
    <m/>
    <m/>
    <n v="7.28"/>
    <x v="1"/>
    <n v="7.28"/>
    <x v="0"/>
    <x v="1"/>
  </r>
  <r>
    <d v="2025-12-15T00:00:00"/>
    <x v="111"/>
    <x v="0"/>
    <x v="1"/>
    <x v="19"/>
    <n v="5.93"/>
    <n v="8.5"/>
    <n v="23.09"/>
    <m/>
    <m/>
    <n v="23.09"/>
    <m/>
    <m/>
    <m/>
    <m/>
    <m/>
    <m/>
    <n v="23.09"/>
    <x v="1"/>
    <n v="23.09"/>
    <x v="0"/>
    <x v="2"/>
  </r>
  <r>
    <d v="2025-03-18T00:00:00"/>
    <x v="111"/>
    <x v="0"/>
    <x v="0"/>
    <x v="20"/>
    <n v="5.93"/>
    <n v="12"/>
    <n v="8.94"/>
    <m/>
    <m/>
    <n v="8.94"/>
    <m/>
    <m/>
    <m/>
    <m/>
    <m/>
    <m/>
    <n v="8.94"/>
    <x v="1"/>
    <n v="8.94"/>
    <x v="0"/>
    <x v="2"/>
  </r>
  <r>
    <d v="2023-12-04T00:00:00"/>
    <x v="103"/>
    <x v="0"/>
    <x v="1"/>
    <x v="22"/>
    <n v="5.36"/>
    <n v="13"/>
    <n v="5.58"/>
    <m/>
    <m/>
    <n v="5.58"/>
    <m/>
    <m/>
    <m/>
    <m/>
    <m/>
    <m/>
    <n v="5.58"/>
    <x v="1"/>
    <n v="5.58"/>
    <x v="0"/>
    <x v="4"/>
  </r>
  <r>
    <d v="2023-12-19T00:00:00"/>
    <x v="103"/>
    <x v="0"/>
    <x v="1"/>
    <x v="22"/>
    <n v="5.36"/>
    <n v="13"/>
    <n v="3.13"/>
    <m/>
    <m/>
    <n v="3.13"/>
    <m/>
    <m/>
    <m/>
    <m/>
    <m/>
    <m/>
    <n v="3.13"/>
    <x v="1"/>
    <n v="3.13"/>
    <x v="0"/>
    <x v="4"/>
  </r>
  <r>
    <d v="2024-09-17T00:00:00"/>
    <x v="103"/>
    <x v="0"/>
    <x v="0"/>
    <x v="22"/>
    <n v="5.36"/>
    <n v="13.75"/>
    <n v="4.47"/>
    <m/>
    <m/>
    <n v="4.47"/>
    <m/>
    <m/>
    <m/>
    <m/>
    <m/>
    <m/>
    <n v="4.47"/>
    <x v="1"/>
    <n v="4.47"/>
    <x v="0"/>
    <x v="4"/>
  </r>
  <r>
    <d v="2024-06-04T00:00:00"/>
    <x v="112"/>
    <x v="0"/>
    <x v="0"/>
    <x v="24"/>
    <n v="5.93"/>
    <n v="13.25"/>
    <n v="29.65"/>
    <m/>
    <m/>
    <n v="29.65"/>
    <m/>
    <m/>
    <m/>
    <m/>
    <m/>
    <m/>
    <n v="29.65"/>
    <x v="1"/>
    <n v="29.65"/>
    <x v="0"/>
    <x v="1"/>
  </r>
  <r>
    <d v="2025-06-24T00:00:00"/>
    <x v="113"/>
    <x v="0"/>
    <x v="0"/>
    <x v="25"/>
    <n v="5.93"/>
    <n v="11"/>
    <n v="22.41"/>
    <m/>
    <m/>
    <n v="22.41"/>
    <m/>
    <m/>
    <m/>
    <m/>
    <m/>
    <m/>
    <n v="22.41"/>
    <x v="1"/>
    <n v="22.41"/>
    <x v="0"/>
    <x v="2"/>
  </r>
  <r>
    <d v="2025-08-20T00:00:00"/>
    <x v="113"/>
    <x v="0"/>
    <x v="0"/>
    <x v="25"/>
    <n v="6.21"/>
    <n v="9.75"/>
    <n v="4.5"/>
    <m/>
    <m/>
    <n v="4.5"/>
    <m/>
    <m/>
    <m/>
    <m/>
    <m/>
    <m/>
    <n v="4.5"/>
    <x v="1"/>
    <n v="4.5"/>
    <x v="0"/>
    <x v="2"/>
  </r>
  <r>
    <d v="2025-08-20T00:00:00"/>
    <x v="113"/>
    <x v="0"/>
    <x v="1"/>
    <x v="25"/>
    <n v="6.21"/>
    <n v="10.75"/>
    <n v="25.88"/>
    <m/>
    <m/>
    <n v="25.88"/>
    <m/>
    <m/>
    <m/>
    <m/>
    <m/>
    <m/>
    <n v="25.88"/>
    <x v="1"/>
    <n v="25.88"/>
    <x v="0"/>
    <x v="2"/>
  </r>
  <r>
    <d v="2024-10-28T00:00:00"/>
    <x v="114"/>
    <x v="0"/>
    <x v="0"/>
    <x v="26"/>
    <n v="5.07"/>
    <n v="13"/>
    <n v="11.41"/>
    <m/>
    <m/>
    <n v="11.41"/>
    <m/>
    <m/>
    <m/>
    <m/>
    <m/>
    <m/>
    <n v="11.41"/>
    <x v="1"/>
    <n v="11.41"/>
    <x v="0"/>
    <x v="3"/>
  </r>
  <r>
    <d v="2022-09-26T00:00:00"/>
    <x v="115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5"/>
  </r>
  <r>
    <d v="2026-02-04T00:00:00"/>
    <x v="115"/>
    <x v="0"/>
    <x v="0"/>
    <x v="28"/>
    <n v="6.21"/>
    <n v="11"/>
    <n v="15.61"/>
    <m/>
    <m/>
    <n v="15.61"/>
    <m/>
    <m/>
    <m/>
    <m/>
    <m/>
    <m/>
    <n v="15.61"/>
    <x v="1"/>
    <n v="15.61"/>
    <x v="0"/>
    <x v="5"/>
  </r>
  <r>
    <d v="2026-02-27T00:00:00"/>
    <x v="115"/>
    <x v="0"/>
    <x v="1"/>
    <x v="29"/>
    <n v="6.21"/>
    <n v="10.6"/>
    <n v="17.79"/>
    <m/>
    <m/>
    <n v="17.79"/>
    <m/>
    <m/>
    <m/>
    <m/>
    <m/>
    <m/>
    <n v="17.79"/>
    <x v="1"/>
    <n v="17.79"/>
    <x v="0"/>
    <x v="5"/>
  </r>
  <r>
    <d v="2025-11-26T00:00:00"/>
    <x v="116"/>
    <x v="0"/>
    <x v="1"/>
    <x v="30"/>
    <n v="6.82"/>
    <n v="11"/>
    <n v="6.82"/>
    <n v="0"/>
    <m/>
    <n v="6.82"/>
    <m/>
    <m/>
    <m/>
    <m/>
    <m/>
    <m/>
    <n v="6.82"/>
    <x v="1"/>
    <n v="6.82"/>
    <x v="0"/>
    <x v="4"/>
  </r>
  <r>
    <d v="2025-04-01T00:00:00"/>
    <x v="117"/>
    <x v="1"/>
    <x v="0"/>
    <x v="32"/>
    <n v="9"/>
    <n v="11.5"/>
    <n v="30.95"/>
    <n v="229.08"/>
    <m/>
    <n v="30.95"/>
    <m/>
    <m/>
    <m/>
    <m/>
    <m/>
    <m/>
    <n v="260.03000000000003"/>
    <x v="1"/>
    <n v="30.95"/>
    <x v="0"/>
    <x v="6"/>
  </r>
  <r>
    <d v="2025-04-07T00:00:00"/>
    <x v="117"/>
    <x v="1"/>
    <x v="0"/>
    <x v="32"/>
    <n v="9"/>
    <n v="11.5"/>
    <n v="42.810000000000031"/>
    <n v="255.04"/>
    <m/>
    <n v="42.810000000000031"/>
    <m/>
    <m/>
    <m/>
    <m/>
    <m/>
    <m/>
    <n v="297.85000000000002"/>
    <x v="1"/>
    <n v="42.810000000000031"/>
    <x v="0"/>
    <x v="6"/>
  </r>
  <r>
    <d v="2025-04-08T00:00:00"/>
    <x v="117"/>
    <x v="1"/>
    <x v="0"/>
    <x v="32"/>
    <n v="9"/>
    <n v="11.5"/>
    <n v="96.460000000000036"/>
    <n v="574.88"/>
    <m/>
    <n v="96.460000000000036"/>
    <m/>
    <m/>
    <m/>
    <m/>
    <m/>
    <m/>
    <n v="671.34"/>
    <x v="1"/>
    <n v="96.460000000000036"/>
    <x v="0"/>
    <x v="6"/>
  </r>
  <r>
    <d v="2025-04-28T00:00:00"/>
    <x v="117"/>
    <x v="1"/>
    <x v="0"/>
    <x v="32"/>
    <n v="9"/>
    <n v="11.5"/>
    <n v="272.38"/>
    <n v="1637.62"/>
    <m/>
    <n v="272.38"/>
    <m/>
    <m/>
    <m/>
    <m/>
    <m/>
    <m/>
    <n v="1910"/>
    <x v="1"/>
    <n v="272.38"/>
    <x v="0"/>
    <x v="6"/>
  </r>
  <r>
    <d v="2025-05-16T00:00:00"/>
    <x v="118"/>
    <x v="1"/>
    <x v="1"/>
    <x v="33"/>
    <n v="9"/>
    <n v="11.5"/>
    <n v="330.27"/>
    <n v="1694.73"/>
    <m/>
    <n v="330.27"/>
    <m/>
    <m/>
    <m/>
    <m/>
    <m/>
    <m/>
    <n v="2025"/>
    <x v="1"/>
    <n v="330.27"/>
    <x v="0"/>
    <x v="3"/>
  </r>
  <r>
    <d v="2022-12-28T00:00:00"/>
    <x v="119"/>
    <x v="1"/>
    <x v="1"/>
    <x v="34"/>
    <n v="8.5"/>
    <n v="8.5"/>
    <n v="116.96"/>
    <n v="1376"/>
    <m/>
    <n v="116.96"/>
    <m/>
    <m/>
    <m/>
    <m/>
    <m/>
    <m/>
    <n v="1492.96"/>
    <x v="1"/>
    <n v="116.96"/>
    <x v="0"/>
    <x v="3"/>
  </r>
  <r>
    <d v="2023-03-03T00:00:00"/>
    <x v="119"/>
    <x v="1"/>
    <x v="1"/>
    <x v="34"/>
    <n v="8.5"/>
    <n v="8.5"/>
    <n v="158.78"/>
    <n v="1868"/>
    <m/>
    <n v="158.78"/>
    <m/>
    <m/>
    <m/>
    <m/>
    <m/>
    <m/>
    <n v="2026.78"/>
    <x v="1"/>
    <n v="158.78"/>
    <x v="0"/>
    <x v="3"/>
  </r>
  <r>
    <d v="2024-09-17T00:00:00"/>
    <x v="120"/>
    <x v="0"/>
    <x v="0"/>
    <x v="0"/>
    <n v="5.36"/>
    <n v="13.5"/>
    <n v="15.63"/>
    <m/>
    <m/>
    <n v="15.63"/>
    <m/>
    <m/>
    <m/>
    <m/>
    <m/>
    <m/>
    <n v="15.63"/>
    <x v="1"/>
    <n v="15.63"/>
    <x v="0"/>
    <x v="5"/>
  </r>
  <r>
    <d v="2024-09-25T00:00:00"/>
    <x v="120"/>
    <x v="0"/>
    <x v="0"/>
    <x v="0"/>
    <n v="5.36"/>
    <n v="12.5"/>
    <n v="12.51"/>
    <m/>
    <m/>
    <n v="12.51"/>
    <m/>
    <m/>
    <m/>
    <m/>
    <m/>
    <m/>
    <n v="12.51"/>
    <x v="1"/>
    <n v="12.51"/>
    <x v="0"/>
    <x v="5"/>
  </r>
  <r>
    <d v="2025-02-20T00:00:00"/>
    <x v="121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4"/>
  </r>
  <r>
    <d v="2026-02-04T00:00:00"/>
    <x v="122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0"/>
  </r>
  <r>
    <d v="2026-02-04T00:00:00"/>
    <x v="122"/>
    <x v="0"/>
    <x v="0"/>
    <x v="7"/>
    <n v="7.35"/>
    <n v="11"/>
    <n v="20.79"/>
    <m/>
    <m/>
    <n v="20.79"/>
    <m/>
    <m/>
    <m/>
    <m/>
    <m/>
    <m/>
    <n v="20.79"/>
    <x v="1"/>
    <n v="20.79"/>
    <x v="0"/>
    <x v="0"/>
  </r>
  <r>
    <d v="2025-12-10T00:00:00"/>
    <x v="122"/>
    <x v="0"/>
    <x v="1"/>
    <x v="8"/>
    <n v="7.54"/>
    <n v="11"/>
    <n v="7.79"/>
    <m/>
    <m/>
    <n v="7.79"/>
    <m/>
    <m/>
    <m/>
    <m/>
    <m/>
    <m/>
    <n v="7.79"/>
    <x v="1"/>
    <n v="7.79"/>
    <x v="0"/>
    <x v="0"/>
  </r>
  <r>
    <d v="2025-10-13T00:00:00"/>
    <x v="123"/>
    <x v="0"/>
    <x v="0"/>
    <x v="11"/>
    <n v="7.54"/>
    <n v="9.85"/>
    <n v="35.25"/>
    <m/>
    <m/>
    <n v="35.25"/>
    <m/>
    <m/>
    <m/>
    <m/>
    <m/>
    <m/>
    <n v="35.25"/>
    <x v="1"/>
    <n v="35.25"/>
    <x v="0"/>
    <x v="5"/>
  </r>
  <r>
    <d v="2026-04-09T00:00:00"/>
    <x v="86"/>
    <x v="0"/>
    <x v="0"/>
    <x v="13"/>
    <n v="4.71"/>
    <n v="9.5"/>
    <n v="3.53"/>
    <n v="0"/>
    <m/>
    <n v="3.53"/>
    <m/>
    <m/>
    <m/>
    <m/>
    <m/>
    <m/>
    <n v="3.53"/>
    <x v="1"/>
    <n v="3.53"/>
    <x v="0"/>
    <x v="6"/>
  </r>
  <r>
    <d v="2024-02-01T00:00:00"/>
    <x v="12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4-03-05T00:00:00"/>
    <x v="124"/>
    <x v="2"/>
    <x v="0"/>
    <x v="16"/>
    <n v="6"/>
    <n v="12"/>
    <n v="108.33"/>
    <m/>
    <m/>
    <n v="108.33"/>
    <m/>
    <m/>
    <m/>
    <m/>
    <m/>
    <m/>
    <n v="108.33"/>
    <x v="1"/>
    <n v="108.33"/>
    <x v="0"/>
    <x v="2"/>
  </r>
  <r>
    <d v="2023-03-21T00:00:00"/>
    <x v="124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5T00:00:00"/>
    <x v="124"/>
    <x v="2"/>
    <x v="0"/>
    <x v="16"/>
    <n v="6"/>
    <n v="12"/>
    <n v="54.16"/>
    <m/>
    <m/>
    <n v="54.16"/>
    <m/>
    <m/>
    <m/>
    <m/>
    <m/>
    <m/>
    <n v="54.16"/>
    <x v="1"/>
    <n v="54.16"/>
    <x v="0"/>
    <x v="2"/>
  </r>
  <r>
    <d v="2024-04-15T00:00:00"/>
    <x v="124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6T00:00:00"/>
    <x v="12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6-03-24T00:00:00"/>
    <x v="124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2"/>
  </r>
  <r>
    <d v="2021-09-23T00:00:00"/>
    <x v="125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5"/>
  </r>
  <r>
    <d v="2023-12-04T00:00:00"/>
    <x v="125"/>
    <x v="0"/>
    <x v="1"/>
    <x v="18"/>
    <n v="5.64"/>
    <n v="13"/>
    <n v="14.1"/>
    <m/>
    <m/>
    <n v="14.1"/>
    <m/>
    <m/>
    <m/>
    <m/>
    <m/>
    <m/>
    <n v="14.1"/>
    <x v="1"/>
    <n v="14.1"/>
    <x v="0"/>
    <x v="5"/>
  </r>
  <r>
    <d v="2024-01-11T00:00:00"/>
    <x v="125"/>
    <x v="0"/>
    <x v="1"/>
    <x v="18"/>
    <n v="5.64"/>
    <n v="12.75"/>
    <n v="7.28"/>
    <m/>
    <m/>
    <n v="7.28"/>
    <m/>
    <m/>
    <m/>
    <m/>
    <m/>
    <m/>
    <n v="7.28"/>
    <x v="1"/>
    <n v="7.28"/>
    <x v="0"/>
    <x v="5"/>
  </r>
  <r>
    <d v="2025-12-15T00:00:00"/>
    <x v="126"/>
    <x v="0"/>
    <x v="1"/>
    <x v="19"/>
    <n v="5.93"/>
    <n v="8.5"/>
    <n v="23.09"/>
    <m/>
    <m/>
    <n v="23.09"/>
    <m/>
    <m/>
    <m/>
    <m/>
    <m/>
    <m/>
    <n v="23.09"/>
    <x v="1"/>
    <n v="23.09"/>
    <x v="0"/>
    <x v="4"/>
  </r>
  <r>
    <d v="2025-03-18T00:00:00"/>
    <x v="126"/>
    <x v="0"/>
    <x v="0"/>
    <x v="20"/>
    <n v="5.93"/>
    <n v="12"/>
    <n v="8.94"/>
    <m/>
    <m/>
    <n v="8.94"/>
    <m/>
    <m/>
    <m/>
    <m/>
    <m/>
    <m/>
    <n v="8.94"/>
    <x v="1"/>
    <n v="8.94"/>
    <x v="0"/>
    <x v="4"/>
  </r>
  <r>
    <d v="2023-12-04T00:00:00"/>
    <x v="127"/>
    <x v="0"/>
    <x v="1"/>
    <x v="22"/>
    <n v="5.36"/>
    <n v="13"/>
    <n v="5.58"/>
    <m/>
    <m/>
    <n v="5.58"/>
    <m/>
    <m/>
    <m/>
    <m/>
    <m/>
    <m/>
    <n v="5.58"/>
    <x v="1"/>
    <n v="5.58"/>
    <x v="0"/>
    <x v="1"/>
  </r>
  <r>
    <d v="2023-12-19T00:00:00"/>
    <x v="127"/>
    <x v="0"/>
    <x v="1"/>
    <x v="22"/>
    <n v="5.36"/>
    <n v="13"/>
    <n v="3.13"/>
    <m/>
    <m/>
    <n v="3.13"/>
    <m/>
    <m/>
    <m/>
    <m/>
    <m/>
    <m/>
    <n v="3.13"/>
    <x v="1"/>
    <n v="3.13"/>
    <x v="0"/>
    <x v="1"/>
  </r>
  <r>
    <d v="2024-09-17T00:00:00"/>
    <x v="127"/>
    <x v="0"/>
    <x v="0"/>
    <x v="22"/>
    <n v="5.36"/>
    <n v="13.75"/>
    <n v="4.47"/>
    <m/>
    <m/>
    <n v="4.47"/>
    <m/>
    <m/>
    <m/>
    <m/>
    <m/>
    <m/>
    <n v="4.47"/>
    <x v="1"/>
    <n v="4.47"/>
    <x v="0"/>
    <x v="1"/>
  </r>
  <r>
    <d v="2024-06-04T00:00:00"/>
    <x v="128"/>
    <x v="0"/>
    <x v="0"/>
    <x v="24"/>
    <n v="5.93"/>
    <n v="13.25"/>
    <n v="29.65"/>
    <m/>
    <m/>
    <n v="29.65"/>
    <m/>
    <m/>
    <m/>
    <m/>
    <m/>
    <m/>
    <n v="29.65"/>
    <x v="1"/>
    <n v="29.65"/>
    <x v="0"/>
    <x v="5"/>
  </r>
  <r>
    <d v="2025-06-24T00:00:00"/>
    <x v="129"/>
    <x v="0"/>
    <x v="0"/>
    <x v="25"/>
    <n v="5.93"/>
    <n v="11"/>
    <n v="22.41"/>
    <m/>
    <m/>
    <n v="22.41"/>
    <m/>
    <m/>
    <m/>
    <m/>
    <m/>
    <m/>
    <n v="22.41"/>
    <x v="1"/>
    <n v="22.41"/>
    <x v="0"/>
    <x v="4"/>
  </r>
  <r>
    <d v="2025-08-20T00:00:00"/>
    <x v="129"/>
    <x v="0"/>
    <x v="0"/>
    <x v="25"/>
    <n v="6.21"/>
    <n v="9.75"/>
    <n v="4.5"/>
    <m/>
    <m/>
    <n v="4.5"/>
    <m/>
    <m/>
    <m/>
    <m/>
    <m/>
    <m/>
    <n v="4.5"/>
    <x v="1"/>
    <n v="4.5"/>
    <x v="0"/>
    <x v="4"/>
  </r>
  <r>
    <d v="2025-08-20T00:00:00"/>
    <x v="129"/>
    <x v="0"/>
    <x v="1"/>
    <x v="25"/>
    <n v="6.21"/>
    <n v="10.75"/>
    <n v="25.88"/>
    <m/>
    <m/>
    <n v="25.88"/>
    <m/>
    <m/>
    <m/>
    <m/>
    <m/>
    <m/>
    <n v="25.88"/>
    <x v="1"/>
    <n v="25.88"/>
    <x v="0"/>
    <x v="4"/>
  </r>
  <r>
    <d v="2024-10-28T00:00:00"/>
    <x v="130"/>
    <x v="0"/>
    <x v="0"/>
    <x v="26"/>
    <n v="5.07"/>
    <n v="13"/>
    <n v="11.41"/>
    <m/>
    <m/>
    <n v="11.41"/>
    <m/>
    <m/>
    <m/>
    <m/>
    <m/>
    <m/>
    <n v="11.41"/>
    <x v="1"/>
    <n v="11.41"/>
    <x v="0"/>
    <x v="6"/>
  </r>
  <r>
    <d v="2022-09-26T00:00:00"/>
    <x v="131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0"/>
  </r>
  <r>
    <d v="2026-02-04T00:00:00"/>
    <x v="131"/>
    <x v="0"/>
    <x v="0"/>
    <x v="28"/>
    <n v="6.21"/>
    <n v="11"/>
    <n v="15.61"/>
    <m/>
    <m/>
    <n v="15.61"/>
    <m/>
    <m/>
    <m/>
    <m/>
    <m/>
    <m/>
    <n v="15.61"/>
    <x v="1"/>
    <n v="15.61"/>
    <x v="0"/>
    <x v="0"/>
  </r>
  <r>
    <d v="2026-02-27T00:00:00"/>
    <x v="131"/>
    <x v="0"/>
    <x v="1"/>
    <x v="29"/>
    <n v="6.21"/>
    <n v="10.6"/>
    <n v="17.79"/>
    <m/>
    <m/>
    <n v="17.79"/>
    <m/>
    <m/>
    <m/>
    <m/>
    <m/>
    <m/>
    <n v="17.79"/>
    <x v="1"/>
    <n v="17.79"/>
    <x v="0"/>
    <x v="0"/>
  </r>
  <r>
    <d v="2025-11-26T00:00:00"/>
    <x v="132"/>
    <x v="0"/>
    <x v="1"/>
    <x v="30"/>
    <n v="6.82"/>
    <n v="11"/>
    <n v="6.82"/>
    <n v="0"/>
    <m/>
    <n v="6.82"/>
    <m/>
    <m/>
    <m/>
    <m/>
    <m/>
    <m/>
    <n v="6.82"/>
    <x v="1"/>
    <n v="6.82"/>
    <x v="0"/>
    <x v="1"/>
  </r>
  <r>
    <d v="2022-05-19T00:00:00"/>
    <x v="133"/>
    <x v="1"/>
    <x v="1"/>
    <x v="35"/>
    <n v="8.5"/>
    <n v="8.75"/>
    <n v="41.44"/>
    <n v="975"/>
    <m/>
    <n v="41.44"/>
    <m/>
    <m/>
    <m/>
    <m/>
    <m/>
    <m/>
    <n v="1016.44"/>
    <x v="1"/>
    <n v="41.44"/>
    <x v="0"/>
    <x v="3"/>
  </r>
  <r>
    <d v="2025-02-18T00:00:00"/>
    <x v="134"/>
    <x v="1"/>
    <x v="1"/>
    <x v="36"/>
    <n v="9"/>
    <n v="12"/>
    <n v="381.21"/>
    <n v="3385.31"/>
    <m/>
    <n v="381.21"/>
    <m/>
    <m/>
    <m/>
    <m/>
    <m/>
    <m/>
    <n v="3766.52"/>
    <x v="1"/>
    <n v="381.21"/>
    <x v="0"/>
    <x v="6"/>
  </r>
  <r>
    <d v="2024-09-24T00:00:00"/>
    <x v="135"/>
    <x v="3"/>
    <x v="0"/>
    <x v="37"/>
    <n v="8.5"/>
    <n v="12"/>
    <n v="308.2"/>
    <n v="1493.47"/>
    <m/>
    <n v="308.2"/>
    <m/>
    <m/>
    <m/>
    <m/>
    <m/>
    <m/>
    <n v="1801.67"/>
    <x v="1"/>
    <n v="308.2"/>
    <x v="0"/>
    <x v="1"/>
  </r>
  <r>
    <d v="2024-09-24T00:00:00"/>
    <x v="135"/>
    <x v="3"/>
    <x v="1"/>
    <x v="37"/>
    <n v="8.5"/>
    <n v="12"/>
    <n v="48.88"/>
    <n v="236.87"/>
    <m/>
    <n v="48.88"/>
    <m/>
    <m/>
    <m/>
    <m/>
    <m/>
    <m/>
    <n v="285.75"/>
    <x v="1"/>
    <n v="48.88"/>
    <x v="0"/>
    <x v="1"/>
  </r>
  <r>
    <d v="2024-09-24T00:00:00"/>
    <x v="135"/>
    <x v="3"/>
    <x v="2"/>
    <x v="37"/>
    <n v="8.5"/>
    <n v="12"/>
    <n v="198.59"/>
    <n v="962.34"/>
    <m/>
    <n v="198.59"/>
    <m/>
    <m/>
    <m/>
    <m/>
    <m/>
    <m/>
    <n v="1160.93"/>
    <x v="1"/>
    <n v="198.59"/>
    <x v="0"/>
    <x v="1"/>
  </r>
  <r>
    <d v="2026-03-16T00:00:00"/>
    <x v="136"/>
    <x v="1"/>
    <x v="0"/>
    <x v="39"/>
    <n v="9"/>
    <n v="10.25"/>
    <n v="619.62"/>
    <n v="965"/>
    <m/>
    <n v="619.62"/>
    <m/>
    <m/>
    <m/>
    <m/>
    <m/>
    <m/>
    <n v="1584.62"/>
    <x v="1"/>
    <n v="619.62"/>
    <x v="0"/>
    <x v="0"/>
  </r>
  <r>
    <d v="2026-03-24T00:00:00"/>
    <x v="136"/>
    <x v="1"/>
    <x v="0"/>
    <x v="39"/>
    <n v="9"/>
    <n v="10.25"/>
    <n v="102.35"/>
    <n v="159.4"/>
    <m/>
    <n v="102.35"/>
    <m/>
    <m/>
    <m/>
    <m/>
    <m/>
    <m/>
    <n v="261.75"/>
    <x v="1"/>
    <n v="102.35"/>
    <x v="0"/>
    <x v="0"/>
  </r>
  <r>
    <d v="2024-09-17T00:00:00"/>
    <x v="137"/>
    <x v="0"/>
    <x v="0"/>
    <x v="0"/>
    <n v="5.36"/>
    <n v="13.5"/>
    <n v="15.63"/>
    <m/>
    <m/>
    <n v="15.63"/>
    <m/>
    <m/>
    <m/>
    <m/>
    <m/>
    <m/>
    <n v="15.63"/>
    <x v="1"/>
    <n v="15.63"/>
    <x v="0"/>
    <x v="6"/>
  </r>
  <r>
    <d v="2024-09-25T00:00:00"/>
    <x v="137"/>
    <x v="0"/>
    <x v="0"/>
    <x v="0"/>
    <n v="5.36"/>
    <n v="12.5"/>
    <n v="12.51"/>
    <m/>
    <m/>
    <n v="12.51"/>
    <m/>
    <m/>
    <m/>
    <m/>
    <m/>
    <m/>
    <n v="12.51"/>
    <x v="1"/>
    <n v="12.51"/>
    <x v="0"/>
    <x v="6"/>
  </r>
  <r>
    <d v="2025-02-20T00:00:00"/>
    <x v="138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0"/>
  </r>
  <r>
    <d v="2026-02-04T00:00:00"/>
    <x v="139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2"/>
  </r>
  <r>
    <d v="2026-02-04T00:00:00"/>
    <x v="139"/>
    <x v="0"/>
    <x v="0"/>
    <x v="7"/>
    <n v="7.35"/>
    <n v="11"/>
    <n v="20.79"/>
    <m/>
    <m/>
    <n v="20.79"/>
    <m/>
    <m/>
    <m/>
    <m/>
    <m/>
    <m/>
    <n v="20.79"/>
    <x v="1"/>
    <n v="20.79"/>
    <x v="0"/>
    <x v="2"/>
  </r>
  <r>
    <d v="2025-12-10T00:00:00"/>
    <x v="139"/>
    <x v="0"/>
    <x v="1"/>
    <x v="8"/>
    <n v="7.54"/>
    <n v="11"/>
    <n v="7.79"/>
    <m/>
    <m/>
    <n v="7.79"/>
    <m/>
    <m/>
    <m/>
    <m/>
    <m/>
    <m/>
    <n v="7.79"/>
    <x v="1"/>
    <n v="7.79"/>
    <x v="0"/>
    <x v="2"/>
  </r>
  <r>
    <d v="2025-10-13T00:00:00"/>
    <x v="134"/>
    <x v="0"/>
    <x v="0"/>
    <x v="11"/>
    <n v="7.54"/>
    <n v="9.85"/>
    <n v="35.25"/>
    <m/>
    <m/>
    <n v="35.25"/>
    <m/>
    <m/>
    <m/>
    <m/>
    <m/>
    <m/>
    <n v="35.25"/>
    <x v="1"/>
    <n v="35.25"/>
    <x v="0"/>
    <x v="6"/>
  </r>
  <r>
    <d v="2026-04-09T00:00:00"/>
    <x v="135"/>
    <x v="0"/>
    <x v="0"/>
    <x v="13"/>
    <n v="4.71"/>
    <n v="9.5"/>
    <n v="3.53"/>
    <n v="0"/>
    <m/>
    <n v="3.53"/>
    <m/>
    <m/>
    <m/>
    <m/>
    <m/>
    <m/>
    <n v="3.53"/>
    <x v="1"/>
    <n v="3.53"/>
    <x v="0"/>
    <x v="1"/>
  </r>
  <r>
    <d v="2024-02-01T00:00:00"/>
    <x v="140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4-03-05T00:00:00"/>
    <x v="140"/>
    <x v="2"/>
    <x v="0"/>
    <x v="16"/>
    <n v="6"/>
    <n v="12"/>
    <n v="108.33"/>
    <m/>
    <m/>
    <n v="108.33"/>
    <m/>
    <m/>
    <m/>
    <m/>
    <m/>
    <m/>
    <n v="108.33"/>
    <x v="1"/>
    <n v="108.33"/>
    <x v="0"/>
    <x v="5"/>
  </r>
  <r>
    <d v="2023-03-21T00:00:00"/>
    <x v="140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5T00:00:00"/>
    <x v="140"/>
    <x v="2"/>
    <x v="0"/>
    <x v="16"/>
    <n v="6"/>
    <n v="12"/>
    <n v="54.16"/>
    <m/>
    <m/>
    <n v="54.16"/>
    <m/>
    <m/>
    <m/>
    <m/>
    <m/>
    <m/>
    <n v="54.16"/>
    <x v="1"/>
    <n v="54.16"/>
    <x v="0"/>
    <x v="5"/>
  </r>
  <r>
    <d v="2024-04-15T00:00:00"/>
    <x v="140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6T00:00:00"/>
    <x v="140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6-03-24T00:00:00"/>
    <x v="140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5"/>
  </r>
  <r>
    <d v="2021-09-23T00:00:00"/>
    <x v="141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6"/>
  </r>
  <r>
    <d v="2023-12-04T00:00:00"/>
    <x v="141"/>
    <x v="0"/>
    <x v="1"/>
    <x v="18"/>
    <n v="5.64"/>
    <n v="13"/>
    <n v="14.1"/>
    <m/>
    <m/>
    <n v="14.1"/>
    <m/>
    <m/>
    <m/>
    <m/>
    <m/>
    <m/>
    <n v="14.1"/>
    <x v="1"/>
    <n v="14.1"/>
    <x v="0"/>
    <x v="6"/>
  </r>
  <r>
    <d v="2024-01-11T00:00:00"/>
    <x v="141"/>
    <x v="0"/>
    <x v="1"/>
    <x v="18"/>
    <n v="5.64"/>
    <n v="12.75"/>
    <n v="7.28"/>
    <m/>
    <m/>
    <n v="7.28"/>
    <m/>
    <m/>
    <m/>
    <m/>
    <m/>
    <m/>
    <n v="7.28"/>
    <x v="1"/>
    <n v="7.28"/>
    <x v="0"/>
    <x v="6"/>
  </r>
  <r>
    <d v="2025-12-15T00:00:00"/>
    <x v="142"/>
    <x v="0"/>
    <x v="1"/>
    <x v="19"/>
    <n v="5.93"/>
    <n v="8.5"/>
    <n v="23.09"/>
    <m/>
    <m/>
    <n v="23.09"/>
    <m/>
    <m/>
    <m/>
    <m/>
    <m/>
    <m/>
    <n v="23.09"/>
    <x v="1"/>
    <n v="23.09"/>
    <x v="0"/>
    <x v="0"/>
  </r>
  <r>
    <d v="2025-03-18T00:00:00"/>
    <x v="142"/>
    <x v="0"/>
    <x v="0"/>
    <x v="20"/>
    <n v="5.93"/>
    <n v="12"/>
    <n v="8.94"/>
    <m/>
    <m/>
    <n v="8.94"/>
    <m/>
    <m/>
    <m/>
    <m/>
    <m/>
    <m/>
    <n v="8.94"/>
    <x v="1"/>
    <n v="8.94"/>
    <x v="0"/>
    <x v="0"/>
  </r>
  <r>
    <d v="2023-12-04T00:00:00"/>
    <x v="143"/>
    <x v="0"/>
    <x v="1"/>
    <x v="22"/>
    <n v="5.36"/>
    <n v="13"/>
    <n v="5.58"/>
    <m/>
    <m/>
    <n v="5.58"/>
    <m/>
    <m/>
    <m/>
    <m/>
    <m/>
    <m/>
    <n v="5.58"/>
    <x v="1"/>
    <n v="5.58"/>
    <x v="0"/>
    <x v="3"/>
  </r>
  <r>
    <d v="2023-12-19T00:00:00"/>
    <x v="143"/>
    <x v="0"/>
    <x v="1"/>
    <x v="22"/>
    <n v="5.36"/>
    <n v="13"/>
    <n v="3.13"/>
    <m/>
    <m/>
    <n v="3.13"/>
    <m/>
    <m/>
    <m/>
    <m/>
    <m/>
    <m/>
    <n v="3.13"/>
    <x v="1"/>
    <n v="3.13"/>
    <x v="0"/>
    <x v="3"/>
  </r>
  <r>
    <d v="2024-09-17T00:00:00"/>
    <x v="143"/>
    <x v="0"/>
    <x v="0"/>
    <x v="22"/>
    <n v="5.36"/>
    <n v="13.75"/>
    <n v="4.47"/>
    <m/>
    <m/>
    <n v="4.47"/>
    <m/>
    <m/>
    <m/>
    <m/>
    <m/>
    <m/>
    <n v="4.47"/>
    <x v="1"/>
    <n v="4.47"/>
    <x v="0"/>
    <x v="3"/>
  </r>
  <r>
    <d v="2024-06-04T00:00:00"/>
    <x v="144"/>
    <x v="0"/>
    <x v="0"/>
    <x v="24"/>
    <n v="5.93"/>
    <n v="13.25"/>
    <n v="29.65"/>
    <m/>
    <m/>
    <n v="29.65"/>
    <m/>
    <m/>
    <m/>
    <m/>
    <m/>
    <m/>
    <n v="29.65"/>
    <x v="1"/>
    <n v="29.65"/>
    <x v="0"/>
    <x v="6"/>
  </r>
  <r>
    <d v="2025-06-24T00:00:00"/>
    <x v="145"/>
    <x v="0"/>
    <x v="0"/>
    <x v="25"/>
    <n v="5.93"/>
    <n v="11"/>
    <n v="22.41"/>
    <m/>
    <m/>
    <n v="22.41"/>
    <m/>
    <m/>
    <m/>
    <m/>
    <m/>
    <m/>
    <n v="22.41"/>
    <x v="1"/>
    <n v="22.41"/>
    <x v="0"/>
    <x v="0"/>
  </r>
  <r>
    <d v="2025-08-20T00:00:00"/>
    <x v="145"/>
    <x v="0"/>
    <x v="0"/>
    <x v="25"/>
    <n v="6.21"/>
    <n v="9.75"/>
    <n v="4.5"/>
    <m/>
    <m/>
    <n v="4.5"/>
    <m/>
    <m/>
    <m/>
    <m/>
    <m/>
    <m/>
    <n v="4.5"/>
    <x v="1"/>
    <n v="4.5"/>
    <x v="0"/>
    <x v="0"/>
  </r>
  <r>
    <d v="2025-08-20T00:00:00"/>
    <x v="145"/>
    <x v="0"/>
    <x v="1"/>
    <x v="25"/>
    <n v="6.21"/>
    <n v="10.75"/>
    <n v="25.88"/>
    <m/>
    <m/>
    <n v="25.88"/>
    <m/>
    <m/>
    <m/>
    <m/>
    <m/>
    <m/>
    <n v="25.88"/>
    <x v="1"/>
    <n v="25.88"/>
    <x v="0"/>
    <x v="0"/>
  </r>
  <r>
    <d v="2024-10-28T00:00:00"/>
    <x v="146"/>
    <x v="0"/>
    <x v="0"/>
    <x v="26"/>
    <n v="5.07"/>
    <n v="13"/>
    <n v="11.41"/>
    <m/>
    <m/>
    <n v="11.41"/>
    <m/>
    <m/>
    <m/>
    <m/>
    <m/>
    <m/>
    <n v="11.41"/>
    <x v="1"/>
    <n v="11.41"/>
    <x v="0"/>
    <x v="1"/>
  </r>
  <r>
    <d v="2022-09-26T00:00:00"/>
    <x v="147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2"/>
  </r>
  <r>
    <d v="2026-02-04T00:00:00"/>
    <x v="147"/>
    <x v="0"/>
    <x v="0"/>
    <x v="28"/>
    <n v="6.21"/>
    <n v="11"/>
    <n v="15.61"/>
    <m/>
    <m/>
    <n v="15.61"/>
    <m/>
    <m/>
    <m/>
    <m/>
    <m/>
    <m/>
    <n v="15.61"/>
    <x v="1"/>
    <n v="15.61"/>
    <x v="0"/>
    <x v="2"/>
  </r>
  <r>
    <d v="2026-02-27T00:00:00"/>
    <x v="147"/>
    <x v="0"/>
    <x v="1"/>
    <x v="29"/>
    <n v="6.21"/>
    <n v="10.6"/>
    <n v="17.79"/>
    <m/>
    <m/>
    <n v="17.79"/>
    <m/>
    <m/>
    <m/>
    <m/>
    <m/>
    <m/>
    <n v="17.79"/>
    <x v="1"/>
    <n v="17.79"/>
    <x v="0"/>
    <x v="2"/>
  </r>
  <r>
    <d v="2025-11-26T00:00:00"/>
    <x v="148"/>
    <x v="0"/>
    <x v="1"/>
    <x v="30"/>
    <n v="6.82"/>
    <n v="11"/>
    <n v="6.82"/>
    <n v="0"/>
    <m/>
    <n v="6.82"/>
    <m/>
    <m/>
    <m/>
    <m/>
    <m/>
    <m/>
    <n v="6.82"/>
    <x v="1"/>
    <n v="6.82"/>
    <x v="0"/>
    <x v="3"/>
  </r>
  <r>
    <d v="2025-04-28T00:00:00"/>
    <x v="149"/>
    <x v="1"/>
    <x v="0"/>
    <x v="9"/>
    <n v="9"/>
    <n v="11.5"/>
    <n v="284.14"/>
    <n v="1663.68"/>
    <m/>
    <n v="284.14"/>
    <m/>
    <m/>
    <m/>
    <m/>
    <m/>
    <m/>
    <n v="1947.8200000000002"/>
    <x v="1"/>
    <n v="284.14"/>
    <x v="0"/>
    <x v="0"/>
  </r>
  <r>
    <d v="2025-04-28T00:00:00"/>
    <x v="149"/>
    <x v="1"/>
    <x v="0"/>
    <x v="9"/>
    <n v="9"/>
    <n v="11.5"/>
    <n v="128.85"/>
    <n v="759.96"/>
    <m/>
    <n v="128.85"/>
    <m/>
    <m/>
    <m/>
    <m/>
    <m/>
    <m/>
    <n v="888.81000000000006"/>
    <x v="1"/>
    <n v="128.85"/>
    <x v="0"/>
    <x v="0"/>
  </r>
  <r>
    <d v="2026-02-19T00:00:00"/>
    <x v="150"/>
    <x v="1"/>
    <x v="1"/>
    <x v="14"/>
    <n v="9"/>
    <n v="10.5"/>
    <n v="400.33"/>
    <n v="948.02"/>
    <m/>
    <n v="400.33"/>
    <m/>
    <m/>
    <m/>
    <m/>
    <m/>
    <m/>
    <n v="1348.35"/>
    <x v="1"/>
    <n v="400.33"/>
    <x v="0"/>
    <x v="4"/>
  </r>
  <r>
    <d v="2026-02-19T00:00:00"/>
    <x v="151"/>
    <x v="1"/>
    <x v="1"/>
    <x v="23"/>
    <n v="9"/>
    <n v="10.25"/>
    <n v="343.18"/>
    <n v="1570.16"/>
    <m/>
    <n v="343.18"/>
    <m/>
    <m/>
    <m/>
    <m/>
    <m/>
    <m/>
    <n v="1913.3400000000001"/>
    <x v="1"/>
    <n v="343.18"/>
    <x v="0"/>
    <x v="6"/>
  </r>
  <r>
    <d v="2024-09-17T00:00:00"/>
    <x v="152"/>
    <x v="0"/>
    <x v="0"/>
    <x v="0"/>
    <n v="5.36"/>
    <n v="13.5"/>
    <n v="15.63"/>
    <m/>
    <m/>
    <n v="15.63"/>
    <m/>
    <m/>
    <m/>
    <m/>
    <m/>
    <m/>
    <n v="15.63"/>
    <x v="1"/>
    <n v="15.63"/>
    <x v="0"/>
    <x v="2"/>
  </r>
  <r>
    <d v="2024-09-25T00:00:00"/>
    <x v="152"/>
    <x v="0"/>
    <x v="0"/>
    <x v="0"/>
    <n v="5.36"/>
    <n v="12.5"/>
    <n v="12.51"/>
    <m/>
    <m/>
    <n v="12.51"/>
    <m/>
    <m/>
    <m/>
    <m/>
    <m/>
    <m/>
    <n v="12.51"/>
    <x v="1"/>
    <n v="12.51"/>
    <x v="0"/>
    <x v="2"/>
  </r>
  <r>
    <d v="2025-02-20T00:00:00"/>
    <x v="153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3"/>
  </r>
  <r>
    <d v="2026-02-04T00:00:00"/>
    <x v="154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4"/>
  </r>
  <r>
    <d v="2026-02-04T00:00:00"/>
    <x v="154"/>
    <x v="0"/>
    <x v="0"/>
    <x v="7"/>
    <n v="7.35"/>
    <n v="11"/>
    <n v="20.79"/>
    <m/>
    <m/>
    <n v="20.79"/>
    <m/>
    <m/>
    <m/>
    <m/>
    <m/>
    <m/>
    <n v="20.79"/>
    <x v="1"/>
    <n v="20.79"/>
    <x v="0"/>
    <x v="4"/>
  </r>
  <r>
    <d v="2025-12-10T00:00:00"/>
    <x v="154"/>
    <x v="0"/>
    <x v="1"/>
    <x v="8"/>
    <n v="7.54"/>
    <n v="11"/>
    <n v="7.79"/>
    <m/>
    <m/>
    <n v="7.79"/>
    <m/>
    <m/>
    <m/>
    <m/>
    <m/>
    <m/>
    <n v="7.79"/>
    <x v="1"/>
    <n v="7.79"/>
    <x v="0"/>
    <x v="4"/>
  </r>
  <r>
    <d v="2025-10-13T00:00:00"/>
    <x v="155"/>
    <x v="0"/>
    <x v="0"/>
    <x v="11"/>
    <n v="7.54"/>
    <n v="9.85"/>
    <n v="35.25"/>
    <m/>
    <m/>
    <n v="35.25"/>
    <m/>
    <m/>
    <m/>
    <m/>
    <m/>
    <m/>
    <n v="35.25"/>
    <x v="1"/>
    <n v="35.25"/>
    <x v="0"/>
    <x v="2"/>
  </r>
  <r>
    <d v="2026-04-09T00:00:00"/>
    <x v="156"/>
    <x v="0"/>
    <x v="0"/>
    <x v="13"/>
    <n v="4.71"/>
    <n v="9.5"/>
    <n v="3.53"/>
    <n v="0"/>
    <m/>
    <n v="3.53"/>
    <m/>
    <m/>
    <m/>
    <m/>
    <m/>
    <m/>
    <n v="3.53"/>
    <x v="1"/>
    <n v="3.53"/>
    <x v="0"/>
    <x v="5"/>
  </r>
  <r>
    <d v="2024-02-01T00:00:00"/>
    <x v="15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0"/>
  </r>
  <r>
    <d v="2024-03-05T00:00:00"/>
    <x v="157"/>
    <x v="2"/>
    <x v="0"/>
    <x v="16"/>
    <n v="6"/>
    <n v="12"/>
    <n v="108.33"/>
    <m/>
    <m/>
    <n v="108.33"/>
    <m/>
    <m/>
    <m/>
    <m/>
    <m/>
    <m/>
    <n v="108.33"/>
    <x v="1"/>
    <n v="108.33"/>
    <x v="0"/>
    <x v="0"/>
  </r>
  <r>
    <d v="2023-03-21T00:00:00"/>
    <x v="157"/>
    <x v="2"/>
    <x v="1"/>
    <x v="16"/>
    <n v="6"/>
    <n v="12"/>
    <n v="62.5"/>
    <m/>
    <m/>
    <n v="62.5"/>
    <m/>
    <m/>
    <m/>
    <m/>
    <m/>
    <m/>
    <n v="62.5"/>
    <x v="1"/>
    <n v="62.5"/>
    <x v="0"/>
    <x v="0"/>
  </r>
  <r>
    <d v="2024-04-15T00:00:00"/>
    <x v="157"/>
    <x v="2"/>
    <x v="0"/>
    <x v="16"/>
    <n v="6"/>
    <n v="12"/>
    <n v="54.16"/>
    <m/>
    <m/>
    <n v="54.16"/>
    <m/>
    <m/>
    <m/>
    <m/>
    <m/>
    <m/>
    <n v="54.16"/>
    <x v="1"/>
    <n v="54.16"/>
    <x v="0"/>
    <x v="0"/>
  </r>
  <r>
    <d v="2024-04-15T00:00:00"/>
    <x v="157"/>
    <x v="2"/>
    <x v="1"/>
    <x v="16"/>
    <n v="6"/>
    <n v="12"/>
    <n v="62.5"/>
    <m/>
    <m/>
    <n v="62.5"/>
    <m/>
    <m/>
    <m/>
    <m/>
    <m/>
    <m/>
    <n v="62.5"/>
    <x v="1"/>
    <n v="62.5"/>
    <x v="0"/>
    <x v="0"/>
  </r>
  <r>
    <d v="2024-04-16T00:00:00"/>
    <x v="15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0"/>
  </r>
  <r>
    <d v="2026-03-24T00:00:00"/>
    <x v="157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0"/>
  </r>
  <r>
    <d v="2021-09-23T00:00:00"/>
    <x v="158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2"/>
  </r>
  <r>
    <d v="2023-12-04T00:00:00"/>
    <x v="158"/>
    <x v="0"/>
    <x v="1"/>
    <x v="18"/>
    <n v="5.64"/>
    <n v="13"/>
    <n v="14.1"/>
    <m/>
    <m/>
    <n v="14.1"/>
    <m/>
    <m/>
    <m/>
    <m/>
    <m/>
    <m/>
    <n v="14.1"/>
    <x v="1"/>
    <n v="14.1"/>
    <x v="0"/>
    <x v="2"/>
  </r>
  <r>
    <d v="2024-01-11T00:00:00"/>
    <x v="158"/>
    <x v="0"/>
    <x v="1"/>
    <x v="18"/>
    <n v="5.64"/>
    <n v="12.75"/>
    <n v="7.28"/>
    <m/>
    <m/>
    <n v="7.28"/>
    <m/>
    <m/>
    <m/>
    <m/>
    <m/>
    <m/>
    <n v="7.28"/>
    <x v="1"/>
    <n v="7.28"/>
    <x v="0"/>
    <x v="2"/>
  </r>
  <r>
    <d v="2025-12-15T00:00:00"/>
    <x v="159"/>
    <x v="0"/>
    <x v="1"/>
    <x v="19"/>
    <n v="5.93"/>
    <n v="8.5"/>
    <n v="23.09"/>
    <m/>
    <m/>
    <n v="23.09"/>
    <m/>
    <m/>
    <m/>
    <m/>
    <m/>
    <m/>
    <n v="23.09"/>
    <x v="1"/>
    <n v="23.09"/>
    <x v="0"/>
    <x v="3"/>
  </r>
  <r>
    <d v="2025-03-18T00:00:00"/>
    <x v="159"/>
    <x v="0"/>
    <x v="0"/>
    <x v="20"/>
    <n v="5.93"/>
    <n v="12"/>
    <n v="8.94"/>
    <m/>
    <m/>
    <n v="8.94"/>
    <m/>
    <m/>
    <m/>
    <m/>
    <m/>
    <m/>
    <n v="8.94"/>
    <x v="1"/>
    <n v="8.94"/>
    <x v="0"/>
    <x v="3"/>
  </r>
  <r>
    <d v="2023-12-04T00:00:00"/>
    <x v="151"/>
    <x v="0"/>
    <x v="1"/>
    <x v="22"/>
    <n v="5.36"/>
    <n v="13"/>
    <n v="5.58"/>
    <m/>
    <m/>
    <n v="5.58"/>
    <m/>
    <m/>
    <m/>
    <m/>
    <m/>
    <m/>
    <n v="5.58"/>
    <x v="1"/>
    <n v="5.58"/>
    <x v="0"/>
    <x v="6"/>
  </r>
  <r>
    <d v="2023-12-19T00:00:00"/>
    <x v="151"/>
    <x v="0"/>
    <x v="1"/>
    <x v="22"/>
    <n v="5.36"/>
    <n v="13"/>
    <n v="3.13"/>
    <m/>
    <m/>
    <n v="3.13"/>
    <m/>
    <m/>
    <m/>
    <m/>
    <m/>
    <m/>
    <n v="3.13"/>
    <x v="1"/>
    <n v="3.13"/>
    <x v="0"/>
    <x v="6"/>
  </r>
  <r>
    <d v="2024-09-17T00:00:00"/>
    <x v="151"/>
    <x v="0"/>
    <x v="0"/>
    <x v="22"/>
    <n v="5.36"/>
    <n v="13.75"/>
    <n v="4.47"/>
    <m/>
    <m/>
    <n v="4.47"/>
    <m/>
    <m/>
    <m/>
    <m/>
    <m/>
    <m/>
    <n v="4.47"/>
    <x v="1"/>
    <n v="4.47"/>
    <x v="0"/>
    <x v="6"/>
  </r>
  <r>
    <d v="2024-06-04T00:00:00"/>
    <x v="160"/>
    <x v="0"/>
    <x v="0"/>
    <x v="24"/>
    <n v="5.93"/>
    <n v="13.25"/>
    <n v="29.65"/>
    <m/>
    <m/>
    <n v="29.65"/>
    <m/>
    <m/>
    <m/>
    <m/>
    <m/>
    <m/>
    <n v="29.65"/>
    <x v="1"/>
    <n v="29.65"/>
    <x v="0"/>
    <x v="2"/>
  </r>
  <r>
    <d v="2025-06-24T00:00:00"/>
    <x v="161"/>
    <x v="0"/>
    <x v="0"/>
    <x v="25"/>
    <n v="5.93"/>
    <n v="11"/>
    <n v="22.41"/>
    <m/>
    <m/>
    <n v="22.41"/>
    <m/>
    <m/>
    <m/>
    <m/>
    <m/>
    <m/>
    <n v="22.41"/>
    <x v="1"/>
    <n v="22.41"/>
    <x v="0"/>
    <x v="3"/>
  </r>
  <r>
    <d v="2025-08-20T00:00:00"/>
    <x v="161"/>
    <x v="0"/>
    <x v="0"/>
    <x v="25"/>
    <n v="6.21"/>
    <n v="9.75"/>
    <n v="4.5"/>
    <m/>
    <m/>
    <n v="4.5"/>
    <m/>
    <m/>
    <m/>
    <m/>
    <m/>
    <m/>
    <n v="4.5"/>
    <x v="1"/>
    <n v="4.5"/>
    <x v="0"/>
    <x v="3"/>
  </r>
  <r>
    <d v="2025-08-20T00:00:00"/>
    <x v="161"/>
    <x v="0"/>
    <x v="1"/>
    <x v="25"/>
    <n v="6.21"/>
    <n v="10.75"/>
    <n v="25.88"/>
    <m/>
    <m/>
    <n v="25.88"/>
    <m/>
    <m/>
    <m/>
    <m/>
    <m/>
    <m/>
    <n v="25.88"/>
    <x v="1"/>
    <n v="25.88"/>
    <x v="0"/>
    <x v="3"/>
  </r>
  <r>
    <d v="2024-10-28T00:00:00"/>
    <x v="162"/>
    <x v="0"/>
    <x v="0"/>
    <x v="26"/>
    <n v="5.07"/>
    <n v="13"/>
    <n v="11.41"/>
    <m/>
    <m/>
    <n v="11.41"/>
    <m/>
    <m/>
    <m/>
    <m/>
    <m/>
    <m/>
    <n v="11.41"/>
    <x v="1"/>
    <n v="11.41"/>
    <x v="0"/>
    <x v="5"/>
  </r>
  <r>
    <d v="2022-09-26T00:00:00"/>
    <x v="163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4"/>
  </r>
  <r>
    <d v="2026-02-04T00:00:00"/>
    <x v="163"/>
    <x v="0"/>
    <x v="0"/>
    <x v="28"/>
    <n v="6.21"/>
    <n v="11"/>
    <n v="15.61"/>
    <m/>
    <m/>
    <n v="15.61"/>
    <m/>
    <m/>
    <m/>
    <m/>
    <m/>
    <m/>
    <n v="15.61"/>
    <x v="1"/>
    <n v="15.61"/>
    <x v="0"/>
    <x v="4"/>
  </r>
  <r>
    <d v="2026-02-27T00:00:00"/>
    <x v="163"/>
    <x v="0"/>
    <x v="1"/>
    <x v="29"/>
    <n v="6.21"/>
    <n v="10.6"/>
    <n v="17.79"/>
    <m/>
    <m/>
    <n v="17.79"/>
    <m/>
    <m/>
    <m/>
    <m/>
    <m/>
    <m/>
    <n v="17.79"/>
    <x v="1"/>
    <n v="17.79"/>
    <x v="0"/>
    <x v="4"/>
  </r>
  <r>
    <d v="2025-11-26T00:00:00"/>
    <x v="164"/>
    <x v="0"/>
    <x v="1"/>
    <x v="30"/>
    <n v="6.82"/>
    <n v="11"/>
    <n v="6.82"/>
    <n v="0"/>
    <m/>
    <n v="6.82"/>
    <m/>
    <m/>
    <m/>
    <m/>
    <m/>
    <m/>
    <n v="6.82"/>
    <x v="1"/>
    <n v="6.82"/>
    <x v="0"/>
    <x v="6"/>
  </r>
  <r>
    <d v="2025-04-01T00:00:00"/>
    <x v="165"/>
    <x v="1"/>
    <x v="0"/>
    <x v="32"/>
    <n v="9"/>
    <n v="11.5"/>
    <n v="25.8"/>
    <n v="229.08"/>
    <m/>
    <n v="25.8"/>
    <m/>
    <m/>
    <m/>
    <m/>
    <m/>
    <m/>
    <n v="254.88000000000002"/>
    <x v="1"/>
    <n v="25.8"/>
    <x v="0"/>
    <x v="0"/>
  </r>
  <r>
    <d v="2025-04-07T00:00:00"/>
    <x v="165"/>
    <x v="1"/>
    <x v="0"/>
    <x v="32"/>
    <n v="9"/>
    <n v="11.5"/>
    <n v="36.909999999999997"/>
    <n v="255.04"/>
    <m/>
    <n v="36.909999999999997"/>
    <m/>
    <m/>
    <m/>
    <m/>
    <m/>
    <m/>
    <n v="291.95"/>
    <x v="1"/>
    <n v="36.909999999999997"/>
    <x v="0"/>
    <x v="0"/>
  </r>
  <r>
    <d v="2025-04-08T00:00:00"/>
    <x v="165"/>
    <x v="1"/>
    <x v="0"/>
    <x v="32"/>
    <n v="9"/>
    <n v="11.5"/>
    <n v="83.149999999999977"/>
    <n v="574.88"/>
    <m/>
    <n v="83.149999999999977"/>
    <m/>
    <m/>
    <m/>
    <m/>
    <m/>
    <m/>
    <n v="658.03"/>
    <x v="1"/>
    <n v="83.149999999999977"/>
    <x v="0"/>
    <x v="0"/>
  </r>
  <r>
    <d v="2025-04-28T00:00:00"/>
    <x v="165"/>
    <x v="1"/>
    <x v="0"/>
    <x v="32"/>
    <n v="9"/>
    <n v="11.5"/>
    <n v="234.52"/>
    <n v="1637.62"/>
    <m/>
    <n v="234.52"/>
    <m/>
    <m/>
    <m/>
    <m/>
    <m/>
    <m/>
    <n v="1872.1399999999999"/>
    <x v="1"/>
    <n v="234.52"/>
    <x v="0"/>
    <x v="0"/>
  </r>
  <r>
    <d v="2025-05-16T00:00:00"/>
    <x v="166"/>
    <x v="1"/>
    <x v="1"/>
    <x v="33"/>
    <n v="9"/>
    <n v="11.5"/>
    <n v="290.91000000000003"/>
    <n v="1694.73"/>
    <m/>
    <n v="290.91000000000003"/>
    <m/>
    <m/>
    <m/>
    <m/>
    <m/>
    <m/>
    <n v="1985.64"/>
    <x v="1"/>
    <n v="290.91000000000003"/>
    <x v="0"/>
    <x v="5"/>
  </r>
  <r>
    <d v="2022-12-28T00:00:00"/>
    <x v="167"/>
    <x v="1"/>
    <x v="1"/>
    <x v="34"/>
    <n v="8.5"/>
    <n v="8.5"/>
    <n v="87.72"/>
    <n v="1376"/>
    <m/>
    <n v="87.72"/>
    <m/>
    <m/>
    <m/>
    <m/>
    <m/>
    <m/>
    <n v="1463.72"/>
    <x v="1"/>
    <n v="87.72"/>
    <x v="0"/>
    <x v="2"/>
  </r>
  <r>
    <d v="2023-03-03T00:00:00"/>
    <x v="167"/>
    <x v="1"/>
    <x v="1"/>
    <x v="34"/>
    <n v="8.5"/>
    <n v="8.5"/>
    <n v="119.09"/>
    <n v="1868"/>
    <m/>
    <n v="119.09"/>
    <m/>
    <m/>
    <m/>
    <m/>
    <m/>
    <m/>
    <n v="1987.09"/>
    <x v="1"/>
    <n v="119.09"/>
    <x v="0"/>
    <x v="2"/>
  </r>
  <r>
    <d v="2024-09-17T00:00:00"/>
    <x v="168"/>
    <x v="0"/>
    <x v="0"/>
    <x v="0"/>
    <n v="5.36"/>
    <n v="13.5"/>
    <n v="15.63"/>
    <m/>
    <m/>
    <n v="15.63"/>
    <m/>
    <m/>
    <m/>
    <m/>
    <m/>
    <m/>
    <n v="15.63"/>
    <x v="1"/>
    <n v="15.63"/>
    <x v="0"/>
    <x v="4"/>
  </r>
  <r>
    <d v="2024-09-25T00:00:00"/>
    <x v="168"/>
    <x v="0"/>
    <x v="0"/>
    <x v="0"/>
    <n v="5.36"/>
    <n v="12.5"/>
    <n v="12.51"/>
    <m/>
    <m/>
    <n v="12.51"/>
    <m/>
    <m/>
    <m/>
    <m/>
    <m/>
    <m/>
    <n v="12.51"/>
    <x v="1"/>
    <n v="12.51"/>
    <x v="0"/>
    <x v="4"/>
  </r>
  <r>
    <d v="2025-02-20T00:00:00"/>
    <x v="169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6"/>
  </r>
  <r>
    <d v="2026-02-04T00:00:00"/>
    <x v="170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1"/>
  </r>
  <r>
    <d v="2026-02-04T00:00:00"/>
    <x v="170"/>
    <x v="0"/>
    <x v="0"/>
    <x v="7"/>
    <n v="7.35"/>
    <n v="11"/>
    <n v="20.79"/>
    <m/>
    <m/>
    <n v="20.79"/>
    <m/>
    <m/>
    <m/>
    <m/>
    <m/>
    <m/>
    <n v="20.79"/>
    <x v="1"/>
    <n v="20.79"/>
    <x v="0"/>
    <x v="1"/>
  </r>
  <r>
    <d v="2025-12-10T00:00:00"/>
    <x v="170"/>
    <x v="0"/>
    <x v="1"/>
    <x v="8"/>
    <n v="7.54"/>
    <n v="11"/>
    <n v="7.79"/>
    <m/>
    <m/>
    <n v="7.79"/>
    <m/>
    <m/>
    <m/>
    <m/>
    <m/>
    <m/>
    <n v="7.79"/>
    <x v="1"/>
    <n v="7.79"/>
    <x v="0"/>
    <x v="1"/>
  </r>
  <r>
    <d v="2025-10-13T00:00:00"/>
    <x v="171"/>
    <x v="0"/>
    <x v="0"/>
    <x v="11"/>
    <n v="7.54"/>
    <n v="9.85"/>
    <n v="35.25"/>
    <m/>
    <m/>
    <n v="35.25"/>
    <m/>
    <m/>
    <m/>
    <m/>
    <m/>
    <m/>
    <n v="35.25"/>
    <x v="1"/>
    <n v="35.25"/>
    <x v="0"/>
    <x v="4"/>
  </r>
  <r>
    <d v="2026-04-09T00:00:00"/>
    <x v="172"/>
    <x v="0"/>
    <x v="0"/>
    <x v="13"/>
    <n v="4.71"/>
    <n v="9.5"/>
    <n v="3.53"/>
    <n v="0"/>
    <m/>
    <n v="3.53"/>
    <m/>
    <m/>
    <m/>
    <m/>
    <m/>
    <m/>
    <n v="3.53"/>
    <x v="1"/>
    <n v="3.53"/>
    <x v="0"/>
    <x v="0"/>
  </r>
  <r>
    <d v="2024-02-01T00:00:00"/>
    <x v="173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4-03-05T00:00:00"/>
    <x v="173"/>
    <x v="2"/>
    <x v="0"/>
    <x v="16"/>
    <n v="6"/>
    <n v="12"/>
    <n v="108.33"/>
    <m/>
    <m/>
    <n v="108.33"/>
    <m/>
    <m/>
    <m/>
    <m/>
    <m/>
    <m/>
    <n v="108.33"/>
    <x v="1"/>
    <n v="108.33"/>
    <x v="0"/>
    <x v="3"/>
  </r>
  <r>
    <d v="2023-03-21T00:00:00"/>
    <x v="173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5T00:00:00"/>
    <x v="173"/>
    <x v="2"/>
    <x v="0"/>
    <x v="16"/>
    <n v="6"/>
    <n v="12"/>
    <n v="54.16"/>
    <m/>
    <m/>
    <n v="54.16"/>
    <m/>
    <m/>
    <m/>
    <m/>
    <m/>
    <m/>
    <n v="54.16"/>
    <x v="1"/>
    <n v="54.16"/>
    <x v="0"/>
    <x v="3"/>
  </r>
  <r>
    <d v="2024-04-15T00:00:00"/>
    <x v="173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6T00:00:00"/>
    <x v="173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6-03-24T00:00:00"/>
    <x v="173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3"/>
  </r>
  <r>
    <d v="2021-09-23T00:00:00"/>
    <x v="174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4"/>
  </r>
  <r>
    <d v="2023-12-04T00:00:00"/>
    <x v="174"/>
    <x v="0"/>
    <x v="1"/>
    <x v="18"/>
    <n v="5.64"/>
    <n v="13"/>
    <n v="14.1"/>
    <m/>
    <m/>
    <n v="14.1"/>
    <m/>
    <m/>
    <m/>
    <m/>
    <m/>
    <m/>
    <n v="14.1"/>
    <x v="1"/>
    <n v="14.1"/>
    <x v="0"/>
    <x v="4"/>
  </r>
  <r>
    <d v="2024-01-11T00:00:00"/>
    <x v="174"/>
    <x v="0"/>
    <x v="1"/>
    <x v="18"/>
    <n v="5.64"/>
    <n v="12.75"/>
    <n v="7.28"/>
    <m/>
    <m/>
    <n v="7.28"/>
    <m/>
    <m/>
    <m/>
    <m/>
    <m/>
    <m/>
    <n v="7.28"/>
    <x v="1"/>
    <n v="7.28"/>
    <x v="0"/>
    <x v="4"/>
  </r>
  <r>
    <d v="2025-12-15T00:00:00"/>
    <x v="175"/>
    <x v="0"/>
    <x v="1"/>
    <x v="19"/>
    <n v="5.93"/>
    <n v="8.5"/>
    <n v="23.09"/>
    <m/>
    <m/>
    <n v="23.09"/>
    <m/>
    <m/>
    <m/>
    <m/>
    <m/>
    <m/>
    <n v="23.09"/>
    <x v="1"/>
    <n v="23.09"/>
    <x v="0"/>
    <x v="6"/>
  </r>
  <r>
    <d v="2025-03-18T00:00:00"/>
    <x v="175"/>
    <x v="0"/>
    <x v="0"/>
    <x v="20"/>
    <n v="5.93"/>
    <n v="12"/>
    <n v="8.94"/>
    <m/>
    <m/>
    <n v="8.94"/>
    <m/>
    <m/>
    <m/>
    <m/>
    <m/>
    <m/>
    <n v="8.94"/>
    <x v="1"/>
    <n v="8.94"/>
    <x v="0"/>
    <x v="6"/>
  </r>
  <r>
    <d v="2023-12-04T00:00:00"/>
    <x v="176"/>
    <x v="0"/>
    <x v="1"/>
    <x v="22"/>
    <n v="5.36"/>
    <n v="13"/>
    <n v="5.58"/>
    <m/>
    <m/>
    <n v="5.58"/>
    <m/>
    <m/>
    <m/>
    <m/>
    <m/>
    <m/>
    <n v="5.58"/>
    <x v="1"/>
    <n v="5.58"/>
    <x v="0"/>
    <x v="2"/>
  </r>
  <r>
    <d v="2023-12-19T00:00:00"/>
    <x v="176"/>
    <x v="0"/>
    <x v="1"/>
    <x v="22"/>
    <n v="5.36"/>
    <n v="13"/>
    <n v="3.13"/>
    <m/>
    <m/>
    <n v="3.13"/>
    <m/>
    <m/>
    <m/>
    <m/>
    <m/>
    <m/>
    <n v="3.13"/>
    <x v="1"/>
    <n v="3.13"/>
    <x v="0"/>
    <x v="2"/>
  </r>
  <r>
    <d v="2024-09-17T00:00:00"/>
    <x v="176"/>
    <x v="0"/>
    <x v="0"/>
    <x v="22"/>
    <n v="5.36"/>
    <n v="13.75"/>
    <n v="4.47"/>
    <m/>
    <m/>
    <n v="4.47"/>
    <m/>
    <m/>
    <m/>
    <m/>
    <m/>
    <m/>
    <n v="4.47"/>
    <x v="1"/>
    <n v="4.47"/>
    <x v="0"/>
    <x v="2"/>
  </r>
  <r>
    <d v="2024-06-04T00:00:00"/>
    <x v="177"/>
    <x v="0"/>
    <x v="0"/>
    <x v="24"/>
    <n v="5.93"/>
    <n v="13.25"/>
    <n v="29.65"/>
    <m/>
    <m/>
    <n v="29.65"/>
    <m/>
    <m/>
    <m/>
    <m/>
    <m/>
    <m/>
    <n v="29.65"/>
    <x v="1"/>
    <n v="29.65"/>
    <x v="0"/>
    <x v="4"/>
  </r>
  <r>
    <d v="2025-06-24T00:00:00"/>
    <x v="178"/>
    <x v="0"/>
    <x v="0"/>
    <x v="25"/>
    <n v="5.93"/>
    <n v="11"/>
    <n v="22.41"/>
    <m/>
    <m/>
    <n v="22.41"/>
    <m/>
    <m/>
    <m/>
    <m/>
    <m/>
    <m/>
    <n v="22.41"/>
    <x v="1"/>
    <n v="22.41"/>
    <x v="0"/>
    <x v="6"/>
  </r>
  <r>
    <d v="2025-08-20T00:00:00"/>
    <x v="178"/>
    <x v="0"/>
    <x v="0"/>
    <x v="25"/>
    <n v="6.21"/>
    <n v="9.75"/>
    <n v="4.5"/>
    <m/>
    <m/>
    <n v="4.5"/>
    <m/>
    <m/>
    <m/>
    <m/>
    <m/>
    <m/>
    <n v="4.5"/>
    <x v="1"/>
    <n v="4.5"/>
    <x v="0"/>
    <x v="6"/>
  </r>
  <r>
    <d v="2025-08-20T00:00:00"/>
    <x v="178"/>
    <x v="0"/>
    <x v="1"/>
    <x v="25"/>
    <n v="6.21"/>
    <n v="10.75"/>
    <n v="25.88"/>
    <m/>
    <m/>
    <n v="25.88"/>
    <m/>
    <m/>
    <m/>
    <m/>
    <m/>
    <m/>
    <n v="25.88"/>
    <x v="1"/>
    <n v="25.88"/>
    <x v="0"/>
    <x v="6"/>
  </r>
  <r>
    <d v="2024-10-28T00:00:00"/>
    <x v="179"/>
    <x v="0"/>
    <x v="0"/>
    <x v="26"/>
    <n v="5.07"/>
    <n v="13"/>
    <n v="11.41"/>
    <m/>
    <m/>
    <n v="11.41"/>
    <m/>
    <m/>
    <m/>
    <m/>
    <m/>
    <m/>
    <n v="11.41"/>
    <x v="1"/>
    <n v="11.41"/>
    <x v="0"/>
    <x v="0"/>
  </r>
  <r>
    <d v="2022-09-26T00:00:00"/>
    <x v="180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1"/>
  </r>
  <r>
    <d v="2026-02-04T00:00:00"/>
    <x v="180"/>
    <x v="0"/>
    <x v="0"/>
    <x v="28"/>
    <n v="6.21"/>
    <n v="11"/>
    <n v="15.61"/>
    <m/>
    <m/>
    <n v="15.61"/>
    <m/>
    <m/>
    <m/>
    <m/>
    <m/>
    <m/>
    <n v="15.61"/>
    <x v="1"/>
    <n v="15.61"/>
    <x v="0"/>
    <x v="1"/>
  </r>
  <r>
    <d v="2026-02-27T00:00:00"/>
    <x v="180"/>
    <x v="0"/>
    <x v="1"/>
    <x v="29"/>
    <n v="6.21"/>
    <n v="10.6"/>
    <n v="17.79"/>
    <m/>
    <m/>
    <n v="17.79"/>
    <m/>
    <m/>
    <m/>
    <m/>
    <m/>
    <m/>
    <n v="17.79"/>
    <x v="1"/>
    <n v="17.79"/>
    <x v="0"/>
    <x v="1"/>
  </r>
  <r>
    <d v="2025-11-26T00:00:00"/>
    <x v="167"/>
    <x v="0"/>
    <x v="1"/>
    <x v="30"/>
    <n v="6.82"/>
    <n v="11"/>
    <n v="6.82"/>
    <n v="0"/>
    <m/>
    <n v="6.82"/>
    <m/>
    <m/>
    <m/>
    <m/>
    <m/>
    <m/>
    <n v="6.82"/>
    <x v="1"/>
    <n v="6.82"/>
    <x v="0"/>
    <x v="2"/>
  </r>
  <r>
    <d v="2022-05-19T00:00:00"/>
    <x v="181"/>
    <x v="1"/>
    <x v="1"/>
    <x v="35"/>
    <n v="8.5"/>
    <n v="8.75"/>
    <n v="20.72"/>
    <n v="975"/>
    <m/>
    <n v="20.72"/>
    <m/>
    <m/>
    <m/>
    <m/>
    <m/>
    <m/>
    <n v="995.72"/>
    <x v="1"/>
    <n v="20.72"/>
    <x v="0"/>
    <x v="2"/>
  </r>
  <r>
    <d v="2025-02-18T00:00:00"/>
    <x v="182"/>
    <x v="1"/>
    <x v="1"/>
    <x v="36"/>
    <n v="9"/>
    <n v="12"/>
    <n v="305.04000000000002"/>
    <n v="3385.31"/>
    <m/>
    <n v="305.04000000000002"/>
    <m/>
    <m/>
    <m/>
    <m/>
    <m/>
    <m/>
    <n v="3690.35"/>
    <x v="1"/>
    <n v="305.04000000000002"/>
    <x v="0"/>
    <x v="4"/>
  </r>
  <r>
    <d v="2026-03-16T00:00:00"/>
    <x v="183"/>
    <x v="1"/>
    <x v="0"/>
    <x v="39"/>
    <n v="9"/>
    <n v="10.25"/>
    <n v="597.13"/>
    <n v="965"/>
    <m/>
    <n v="597.13"/>
    <m/>
    <m/>
    <m/>
    <m/>
    <m/>
    <m/>
    <n v="1562.13"/>
    <x v="1"/>
    <n v="597.13"/>
    <x v="0"/>
    <x v="6"/>
  </r>
  <r>
    <d v="2026-03-24T00:00:00"/>
    <x v="183"/>
    <x v="1"/>
    <x v="0"/>
    <x v="39"/>
    <n v="9"/>
    <n v="10.25"/>
    <n v="98.64"/>
    <n v="159.4"/>
    <m/>
    <n v="98.64"/>
    <m/>
    <m/>
    <m/>
    <m/>
    <m/>
    <m/>
    <n v="258.04000000000002"/>
    <x v="1"/>
    <n v="98.64"/>
    <x v="0"/>
    <x v="6"/>
  </r>
  <r>
    <d v="2024-09-24T00:00:00"/>
    <x v="184"/>
    <x v="3"/>
    <x v="0"/>
    <x v="37"/>
    <n v="8.5"/>
    <n v="12"/>
    <n v="276.47000000000003"/>
    <n v="1521.7"/>
    <m/>
    <n v="276.47000000000003"/>
    <m/>
    <m/>
    <m/>
    <m/>
    <m/>
    <m/>
    <n v="1798.17"/>
    <x v="1"/>
    <n v="276.47000000000003"/>
    <x v="0"/>
    <x v="0"/>
  </r>
  <r>
    <d v="2024-09-24T00:00:00"/>
    <x v="184"/>
    <x v="3"/>
    <x v="1"/>
    <x v="37"/>
    <n v="8.5"/>
    <n v="12"/>
    <n v="43.85"/>
    <n v="241.35"/>
    <m/>
    <n v="43.85"/>
    <m/>
    <m/>
    <m/>
    <m/>
    <m/>
    <m/>
    <n v="285.2"/>
    <x v="1"/>
    <n v="43.85"/>
    <x v="0"/>
    <x v="0"/>
  </r>
  <r>
    <d v="2024-09-24T00:00:00"/>
    <x v="184"/>
    <x v="3"/>
    <x v="2"/>
    <x v="37"/>
    <n v="8.5"/>
    <n v="12"/>
    <n v="178.14"/>
    <n v="980.53"/>
    <m/>
    <n v="178.14"/>
    <m/>
    <m/>
    <m/>
    <m/>
    <m/>
    <m/>
    <n v="1158.67"/>
    <x v="1"/>
    <n v="178.14"/>
    <x v="0"/>
    <x v="0"/>
  </r>
  <r>
    <d v="2024-09-17T00:00:00"/>
    <x v="185"/>
    <x v="0"/>
    <x v="0"/>
    <x v="0"/>
    <n v="5.36"/>
    <n v="13.5"/>
    <n v="15.63"/>
    <m/>
    <m/>
    <n v="15.63"/>
    <m/>
    <m/>
    <m/>
    <m/>
    <m/>
    <m/>
    <n v="15.63"/>
    <x v="1"/>
    <n v="15.63"/>
    <x v="0"/>
    <x v="4"/>
  </r>
  <r>
    <d v="2024-09-25T00:00:00"/>
    <x v="185"/>
    <x v="0"/>
    <x v="0"/>
    <x v="0"/>
    <n v="5.36"/>
    <n v="12.5"/>
    <n v="12.51"/>
    <m/>
    <m/>
    <n v="12.51"/>
    <m/>
    <m/>
    <m/>
    <m/>
    <m/>
    <m/>
    <n v="12.51"/>
    <x v="1"/>
    <n v="12.51"/>
    <x v="0"/>
    <x v="4"/>
  </r>
  <r>
    <d v="2025-02-20T00:00:00"/>
    <x v="186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6"/>
  </r>
  <r>
    <d v="2026-02-04T00:00:00"/>
    <x v="187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1"/>
  </r>
  <r>
    <d v="2026-02-04T00:00:00"/>
    <x v="187"/>
    <x v="0"/>
    <x v="0"/>
    <x v="7"/>
    <n v="7.35"/>
    <n v="11"/>
    <n v="20.79"/>
    <m/>
    <m/>
    <n v="20.79"/>
    <m/>
    <m/>
    <m/>
    <m/>
    <m/>
    <m/>
    <n v="20.79"/>
    <x v="1"/>
    <n v="20.79"/>
    <x v="0"/>
    <x v="1"/>
  </r>
  <r>
    <d v="2025-12-10T00:00:00"/>
    <x v="187"/>
    <x v="0"/>
    <x v="1"/>
    <x v="8"/>
    <n v="7.54"/>
    <n v="11"/>
    <n v="7.79"/>
    <m/>
    <m/>
    <n v="7.79"/>
    <m/>
    <m/>
    <m/>
    <m/>
    <m/>
    <m/>
    <n v="7.79"/>
    <x v="1"/>
    <n v="7.79"/>
    <x v="0"/>
    <x v="1"/>
  </r>
  <r>
    <d v="2025-10-13T00:00:00"/>
    <x v="182"/>
    <x v="0"/>
    <x v="0"/>
    <x v="11"/>
    <n v="7.54"/>
    <n v="9.85"/>
    <n v="35.25"/>
    <m/>
    <m/>
    <n v="35.25"/>
    <m/>
    <m/>
    <m/>
    <m/>
    <m/>
    <m/>
    <n v="35.25"/>
    <x v="1"/>
    <n v="35.25"/>
    <x v="0"/>
    <x v="4"/>
  </r>
  <r>
    <d v="2026-04-09T00:00:00"/>
    <x v="184"/>
    <x v="0"/>
    <x v="0"/>
    <x v="13"/>
    <n v="4.71"/>
    <n v="9.5"/>
    <n v="3.53"/>
    <n v="0"/>
    <m/>
    <n v="3.53"/>
    <m/>
    <m/>
    <m/>
    <m/>
    <m/>
    <m/>
    <n v="3.53"/>
    <x v="1"/>
    <n v="3.53"/>
    <x v="0"/>
    <x v="0"/>
  </r>
  <r>
    <d v="2024-02-01T00:00:00"/>
    <x v="18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4-03-05T00:00:00"/>
    <x v="188"/>
    <x v="2"/>
    <x v="0"/>
    <x v="16"/>
    <n v="6"/>
    <n v="12"/>
    <n v="108.33"/>
    <m/>
    <m/>
    <n v="108.33"/>
    <m/>
    <m/>
    <m/>
    <m/>
    <m/>
    <m/>
    <n v="108.33"/>
    <x v="1"/>
    <n v="108.33"/>
    <x v="0"/>
    <x v="3"/>
  </r>
  <r>
    <d v="2023-03-21T00:00:00"/>
    <x v="188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5T00:00:00"/>
    <x v="188"/>
    <x v="2"/>
    <x v="0"/>
    <x v="16"/>
    <n v="6"/>
    <n v="12"/>
    <n v="54.16"/>
    <m/>
    <m/>
    <n v="54.16"/>
    <m/>
    <m/>
    <m/>
    <m/>
    <m/>
    <m/>
    <n v="54.16"/>
    <x v="1"/>
    <n v="54.16"/>
    <x v="0"/>
    <x v="3"/>
  </r>
  <r>
    <d v="2024-04-15T00:00:00"/>
    <x v="188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6T00:00:00"/>
    <x v="18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6-03-24T00:00:00"/>
    <x v="188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3"/>
  </r>
  <r>
    <d v="2021-09-23T00:00:00"/>
    <x v="189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4"/>
  </r>
  <r>
    <d v="2023-12-04T00:00:00"/>
    <x v="189"/>
    <x v="0"/>
    <x v="1"/>
    <x v="18"/>
    <n v="5.64"/>
    <n v="13"/>
    <n v="14.1"/>
    <m/>
    <m/>
    <n v="14.1"/>
    <m/>
    <m/>
    <m/>
    <m/>
    <m/>
    <m/>
    <n v="14.1"/>
    <x v="1"/>
    <n v="14.1"/>
    <x v="0"/>
    <x v="4"/>
  </r>
  <r>
    <d v="2024-01-11T00:00:00"/>
    <x v="189"/>
    <x v="0"/>
    <x v="1"/>
    <x v="18"/>
    <n v="5.64"/>
    <n v="12.75"/>
    <n v="7.28"/>
    <m/>
    <m/>
    <n v="7.28"/>
    <m/>
    <m/>
    <m/>
    <m/>
    <m/>
    <m/>
    <n v="7.28"/>
    <x v="1"/>
    <n v="7.28"/>
    <x v="0"/>
    <x v="4"/>
  </r>
  <r>
    <d v="2025-12-15T00:00:00"/>
    <x v="190"/>
    <x v="0"/>
    <x v="1"/>
    <x v="19"/>
    <n v="5.93"/>
    <n v="8.5"/>
    <n v="23.09"/>
    <m/>
    <m/>
    <n v="23.09"/>
    <m/>
    <m/>
    <m/>
    <m/>
    <m/>
    <m/>
    <n v="23.09"/>
    <x v="1"/>
    <n v="23.09"/>
    <x v="0"/>
    <x v="6"/>
  </r>
  <r>
    <d v="2025-03-18T00:00:00"/>
    <x v="190"/>
    <x v="0"/>
    <x v="0"/>
    <x v="20"/>
    <n v="5.93"/>
    <n v="12"/>
    <n v="8.94"/>
    <m/>
    <m/>
    <n v="8.94"/>
    <m/>
    <m/>
    <m/>
    <m/>
    <m/>
    <m/>
    <n v="8.94"/>
    <x v="1"/>
    <n v="8.94"/>
    <x v="0"/>
    <x v="6"/>
  </r>
  <r>
    <d v="2023-12-04T00:00:00"/>
    <x v="191"/>
    <x v="0"/>
    <x v="1"/>
    <x v="22"/>
    <n v="5.36"/>
    <n v="13"/>
    <n v="5.58"/>
    <m/>
    <m/>
    <n v="5.58"/>
    <m/>
    <m/>
    <m/>
    <m/>
    <m/>
    <m/>
    <n v="5.58"/>
    <x v="1"/>
    <n v="5.58"/>
    <x v="0"/>
    <x v="2"/>
  </r>
  <r>
    <d v="2023-12-19T00:00:00"/>
    <x v="191"/>
    <x v="0"/>
    <x v="1"/>
    <x v="22"/>
    <n v="5.36"/>
    <n v="13"/>
    <n v="3.13"/>
    <m/>
    <m/>
    <n v="3.13"/>
    <m/>
    <m/>
    <m/>
    <m/>
    <m/>
    <m/>
    <n v="3.13"/>
    <x v="1"/>
    <n v="3.13"/>
    <x v="0"/>
    <x v="2"/>
  </r>
  <r>
    <d v="2024-09-17T00:00:00"/>
    <x v="191"/>
    <x v="0"/>
    <x v="0"/>
    <x v="22"/>
    <n v="5.36"/>
    <n v="13.75"/>
    <n v="4.47"/>
    <m/>
    <m/>
    <n v="4.47"/>
    <m/>
    <m/>
    <m/>
    <m/>
    <m/>
    <m/>
    <n v="4.47"/>
    <x v="1"/>
    <n v="4.47"/>
    <x v="0"/>
    <x v="2"/>
  </r>
  <r>
    <d v="2024-06-04T00:00:00"/>
    <x v="192"/>
    <x v="0"/>
    <x v="0"/>
    <x v="24"/>
    <n v="5.93"/>
    <n v="13.25"/>
    <n v="29.65"/>
    <m/>
    <m/>
    <n v="29.65"/>
    <m/>
    <m/>
    <m/>
    <m/>
    <m/>
    <m/>
    <n v="29.65"/>
    <x v="1"/>
    <n v="29.65"/>
    <x v="0"/>
    <x v="4"/>
  </r>
  <r>
    <d v="2025-06-24T00:00:00"/>
    <x v="193"/>
    <x v="0"/>
    <x v="0"/>
    <x v="25"/>
    <n v="5.93"/>
    <n v="11"/>
    <n v="22.41"/>
    <m/>
    <m/>
    <n v="22.41"/>
    <m/>
    <m/>
    <m/>
    <m/>
    <m/>
    <m/>
    <n v="22.41"/>
    <x v="1"/>
    <n v="22.41"/>
    <x v="0"/>
    <x v="6"/>
  </r>
  <r>
    <d v="2025-08-20T00:00:00"/>
    <x v="193"/>
    <x v="0"/>
    <x v="0"/>
    <x v="25"/>
    <n v="6.21"/>
    <n v="9.75"/>
    <n v="4.5"/>
    <m/>
    <m/>
    <n v="4.5"/>
    <m/>
    <m/>
    <m/>
    <m/>
    <m/>
    <m/>
    <n v="4.5"/>
    <x v="1"/>
    <n v="4.5"/>
    <x v="0"/>
    <x v="6"/>
  </r>
  <r>
    <d v="2025-08-20T00:00:00"/>
    <x v="193"/>
    <x v="0"/>
    <x v="1"/>
    <x v="25"/>
    <n v="6.21"/>
    <n v="10.75"/>
    <n v="25.88"/>
    <m/>
    <m/>
    <n v="25.88"/>
    <m/>
    <m/>
    <m/>
    <m/>
    <m/>
    <m/>
    <n v="25.88"/>
    <x v="1"/>
    <n v="25.88"/>
    <x v="0"/>
    <x v="6"/>
  </r>
  <r>
    <d v="2024-10-28T00:00:00"/>
    <x v="194"/>
    <x v="0"/>
    <x v="0"/>
    <x v="26"/>
    <n v="5.07"/>
    <n v="13"/>
    <n v="11.41"/>
    <m/>
    <m/>
    <n v="11.41"/>
    <m/>
    <m/>
    <m/>
    <m/>
    <m/>
    <m/>
    <n v="11.41"/>
    <x v="1"/>
    <n v="11.41"/>
    <x v="0"/>
    <x v="0"/>
  </r>
  <r>
    <d v="2022-09-26T00:00:00"/>
    <x v="195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1"/>
  </r>
  <r>
    <d v="2026-02-04T00:00:00"/>
    <x v="195"/>
    <x v="0"/>
    <x v="0"/>
    <x v="28"/>
    <n v="6.21"/>
    <n v="11"/>
    <n v="15.61"/>
    <m/>
    <m/>
    <n v="15.61"/>
    <m/>
    <m/>
    <m/>
    <m/>
    <m/>
    <m/>
    <n v="15.61"/>
    <x v="1"/>
    <n v="15.61"/>
    <x v="0"/>
    <x v="1"/>
  </r>
  <r>
    <d v="2026-02-27T00:00:00"/>
    <x v="195"/>
    <x v="0"/>
    <x v="1"/>
    <x v="29"/>
    <n v="6.21"/>
    <n v="10.6"/>
    <n v="17.79"/>
    <m/>
    <m/>
    <n v="17.79"/>
    <m/>
    <m/>
    <m/>
    <m/>
    <m/>
    <m/>
    <n v="17.79"/>
    <x v="1"/>
    <n v="17.79"/>
    <x v="0"/>
    <x v="1"/>
  </r>
  <r>
    <d v="2025-11-26T00:00:00"/>
    <x v="196"/>
    <x v="0"/>
    <x v="1"/>
    <x v="30"/>
    <n v="6.82"/>
    <n v="11"/>
    <n v="6.82"/>
    <n v="0"/>
    <m/>
    <n v="6.82"/>
    <m/>
    <m/>
    <m/>
    <m/>
    <m/>
    <m/>
    <n v="6.82"/>
    <x v="1"/>
    <n v="6.82"/>
    <x v="0"/>
    <x v="2"/>
  </r>
  <r>
    <d v="2025-04-28T00:00:00"/>
    <x v="197"/>
    <x v="1"/>
    <x v="0"/>
    <x v="9"/>
    <n v="9"/>
    <n v="11.5"/>
    <n v="245.53"/>
    <n v="1663.68"/>
    <m/>
    <n v="245.53"/>
    <m/>
    <m/>
    <m/>
    <m/>
    <m/>
    <m/>
    <n v="1909.21"/>
    <x v="1"/>
    <n v="245.53"/>
    <x v="0"/>
    <x v="6"/>
  </r>
  <r>
    <d v="2025-04-28T00:00:00"/>
    <x v="197"/>
    <x v="1"/>
    <x v="0"/>
    <x v="9"/>
    <n v="9"/>
    <n v="11.5"/>
    <n v="111.23"/>
    <n v="759.96"/>
    <m/>
    <n v="111.23"/>
    <m/>
    <m/>
    <m/>
    <m/>
    <m/>
    <m/>
    <n v="871.19"/>
    <x v="1"/>
    <n v="111.23"/>
    <x v="0"/>
    <x v="6"/>
  </r>
  <r>
    <d v="2026-02-19T00:00:00"/>
    <x v="198"/>
    <x v="1"/>
    <x v="1"/>
    <x v="14"/>
    <n v="9"/>
    <n v="10.5"/>
    <n v="378.39"/>
    <n v="948.02"/>
    <m/>
    <n v="378.39"/>
    <m/>
    <m/>
    <m/>
    <m/>
    <m/>
    <m/>
    <n v="1326.4099999999999"/>
    <x v="1"/>
    <n v="378.39"/>
    <x v="0"/>
    <x v="5"/>
  </r>
  <r>
    <d v="2026-02-19T00:00:00"/>
    <x v="199"/>
    <x v="1"/>
    <x v="1"/>
    <x v="23"/>
    <n v="9"/>
    <n v="10.25"/>
    <n v="307.37"/>
    <n v="1570.16"/>
    <m/>
    <n v="307.37"/>
    <m/>
    <m/>
    <m/>
    <m/>
    <m/>
    <m/>
    <n v="1877.5300000000002"/>
    <x v="1"/>
    <n v="307.37"/>
    <x v="0"/>
    <x v="4"/>
  </r>
  <r>
    <d v="2025-04-01T00:00:00"/>
    <x v="200"/>
    <x v="1"/>
    <x v="0"/>
    <x v="42"/>
    <n v="9"/>
    <n v="11.5"/>
    <n v="20.64"/>
    <n v="229.08"/>
    <m/>
    <n v="20.64"/>
    <m/>
    <m/>
    <m/>
    <m/>
    <m/>
    <m/>
    <n v="249.72000000000003"/>
    <x v="1"/>
    <n v="20.64"/>
    <x v="0"/>
    <x v="4"/>
  </r>
  <r>
    <d v="2025-04-07T00:00:00"/>
    <x v="200"/>
    <x v="1"/>
    <x v="0"/>
    <x v="42"/>
    <n v="9"/>
    <n v="11.5"/>
    <n v="31.000000000000028"/>
    <n v="255.04"/>
    <m/>
    <n v="31.000000000000028"/>
    <m/>
    <m/>
    <m/>
    <m/>
    <m/>
    <m/>
    <n v="286.04000000000002"/>
    <x v="1"/>
    <n v="31.000000000000028"/>
    <x v="0"/>
    <x v="4"/>
  </r>
  <r>
    <d v="2025-04-08T00:00:00"/>
    <x v="200"/>
    <x v="1"/>
    <x v="0"/>
    <x v="32"/>
    <n v="9"/>
    <n v="11.5"/>
    <n v="69.840000000000032"/>
    <n v="574.88"/>
    <m/>
    <n v="69.840000000000032"/>
    <m/>
    <m/>
    <m/>
    <m/>
    <m/>
    <m/>
    <n v="644.72"/>
    <x v="1"/>
    <n v="69.840000000000032"/>
    <x v="0"/>
    <x v="4"/>
  </r>
  <r>
    <d v="2025-04-28T00:00:00"/>
    <x v="200"/>
    <x v="1"/>
    <x v="0"/>
    <x v="32"/>
    <n v="9"/>
    <n v="11.5"/>
    <n v="196.66"/>
    <n v="1637.62"/>
    <m/>
    <n v="196.66"/>
    <m/>
    <m/>
    <m/>
    <m/>
    <m/>
    <m/>
    <n v="1834.28"/>
    <x v="1"/>
    <n v="196.66"/>
    <x v="0"/>
    <x v="4"/>
  </r>
  <r>
    <d v="2025-05-16T00:00:00"/>
    <x v="201"/>
    <x v="1"/>
    <x v="1"/>
    <x v="33"/>
    <n v="9"/>
    <n v="11.5"/>
    <n v="251.56"/>
    <n v="1694.73"/>
    <m/>
    <n v="251.56"/>
    <m/>
    <m/>
    <m/>
    <m/>
    <m/>
    <m/>
    <n v="1946.29"/>
    <x v="1"/>
    <n v="251.56"/>
    <x v="0"/>
    <x v="2"/>
  </r>
  <r>
    <d v="2022-12-28T00:00:00"/>
    <x v="202"/>
    <x v="1"/>
    <x v="1"/>
    <x v="34"/>
    <n v="8.5"/>
    <n v="8.5"/>
    <n v="58.48"/>
    <n v="1376"/>
    <m/>
    <n v="58.48"/>
    <m/>
    <m/>
    <m/>
    <m/>
    <m/>
    <m/>
    <n v="1434.48"/>
    <x v="1"/>
    <n v="58.48"/>
    <x v="0"/>
    <x v="0"/>
  </r>
  <r>
    <d v="2023-03-03T00:00:00"/>
    <x v="203"/>
    <x v="1"/>
    <x v="1"/>
    <x v="34"/>
    <n v="8.5"/>
    <n v="8.5"/>
    <n v="79.38"/>
    <n v="1868"/>
    <m/>
    <n v="79.38"/>
    <m/>
    <m/>
    <m/>
    <m/>
    <m/>
    <m/>
    <n v="1947.38"/>
    <x v="1"/>
    <n v="79.38"/>
    <x v="0"/>
    <x v="2"/>
  </r>
  <r>
    <d v="2025-02-18T00:00:00"/>
    <x v="204"/>
    <x v="1"/>
    <x v="1"/>
    <x v="36"/>
    <n v="9"/>
    <n v="12"/>
    <n v="228.87"/>
    <n v="3385.31"/>
    <m/>
    <n v="228.87"/>
    <m/>
    <m/>
    <m/>
    <m/>
    <m/>
    <m/>
    <n v="3614.18"/>
    <x v="1"/>
    <n v="228.87"/>
    <x v="0"/>
    <x v="6"/>
  </r>
  <r>
    <d v="2026-03-16T00:00:00"/>
    <x v="205"/>
    <x v="1"/>
    <x v="0"/>
    <x v="39"/>
    <n v="9"/>
    <n v="10.25"/>
    <n v="574.64"/>
    <n v="965"/>
    <m/>
    <n v="574.64"/>
    <m/>
    <m/>
    <m/>
    <m/>
    <m/>
    <m/>
    <n v="1539.6399999999999"/>
    <x v="1"/>
    <n v="574.64"/>
    <x v="0"/>
    <x v="0"/>
  </r>
  <r>
    <d v="2026-03-24T00:00:00"/>
    <x v="205"/>
    <x v="1"/>
    <x v="0"/>
    <x v="39"/>
    <n v="9"/>
    <n v="10.25"/>
    <n v="94.92"/>
    <n v="159.4"/>
    <m/>
    <n v="94.92"/>
    <m/>
    <m/>
    <m/>
    <m/>
    <m/>
    <m/>
    <n v="254.32"/>
    <x v="1"/>
    <n v="94.92"/>
    <x v="0"/>
    <x v="0"/>
  </r>
  <r>
    <d v="2024-09-24T00:00:00"/>
    <x v="206"/>
    <x v="3"/>
    <x v="0"/>
    <x v="37"/>
    <n v="8.5"/>
    <n v="12"/>
    <n v="244.13"/>
    <n v="1549.92"/>
    <m/>
    <n v="244.13"/>
    <m/>
    <m/>
    <m/>
    <m/>
    <m/>
    <m/>
    <n v="1794.0500000000002"/>
    <x v="1"/>
    <n v="244.13"/>
    <x v="0"/>
    <x v="1"/>
  </r>
  <r>
    <d v="2024-09-24T00:00:00"/>
    <x v="206"/>
    <x v="3"/>
    <x v="1"/>
    <x v="37"/>
    <n v="8.5"/>
    <n v="12"/>
    <n v="38.72"/>
    <n v="245.83"/>
    <m/>
    <n v="38.72"/>
    <m/>
    <m/>
    <m/>
    <m/>
    <m/>
    <m/>
    <n v="284.55"/>
    <x v="1"/>
    <n v="38.72"/>
    <x v="0"/>
    <x v="1"/>
  </r>
  <r>
    <d v="2024-09-24T00:00:00"/>
    <x v="206"/>
    <x v="3"/>
    <x v="2"/>
    <x v="37"/>
    <n v="8.5"/>
    <n v="12"/>
    <n v="157.31"/>
    <n v="998.71"/>
    <m/>
    <n v="157.31"/>
    <m/>
    <m/>
    <m/>
    <m/>
    <m/>
    <m/>
    <n v="1156.02"/>
    <x v="1"/>
    <n v="157.31"/>
    <x v="0"/>
    <x v="1"/>
  </r>
  <r>
    <d v="2025-04-28T00:00:00"/>
    <x v="207"/>
    <x v="1"/>
    <x v="0"/>
    <x v="9"/>
    <n v="9"/>
    <n v="11.5"/>
    <n v="206.92"/>
    <n v="1663.68"/>
    <m/>
    <n v="206.92"/>
    <m/>
    <m/>
    <m/>
    <m/>
    <m/>
    <m/>
    <n v="1870.6000000000001"/>
    <x v="1"/>
    <n v="206.92"/>
    <x v="0"/>
    <x v="6"/>
  </r>
  <r>
    <d v="2025-04-28T00:00:00"/>
    <x v="207"/>
    <x v="1"/>
    <x v="0"/>
    <x v="9"/>
    <n v="9"/>
    <n v="11.5"/>
    <n v="93.62"/>
    <n v="759.96"/>
    <m/>
    <n v="93.62"/>
    <m/>
    <m/>
    <m/>
    <m/>
    <m/>
    <m/>
    <n v="853.58"/>
    <x v="1"/>
    <n v="93.62"/>
    <x v="0"/>
    <x v="6"/>
  </r>
  <r>
    <d v="2026-02-19T00:00:00"/>
    <x v="208"/>
    <x v="1"/>
    <x v="1"/>
    <x v="14"/>
    <n v="9"/>
    <n v="10.5"/>
    <n v="356.44000000000011"/>
    <n v="948.02"/>
    <m/>
    <n v="356.44000000000011"/>
    <m/>
    <m/>
    <m/>
    <m/>
    <m/>
    <m/>
    <n v="1304.46"/>
    <x v="1"/>
    <n v="356.44000000000011"/>
    <x v="0"/>
    <x v="5"/>
  </r>
  <r>
    <d v="2026-02-19T00:00:00"/>
    <x v="209"/>
    <x v="1"/>
    <x v="1"/>
    <x v="23"/>
    <n v="9"/>
    <n v="10.25"/>
    <n v="271.56"/>
    <n v="1570.16"/>
    <m/>
    <n v="271.56"/>
    <m/>
    <m/>
    <m/>
    <m/>
    <m/>
    <m/>
    <n v="1841.72"/>
    <x v="1"/>
    <n v="271.56"/>
    <x v="0"/>
    <x v="4"/>
  </r>
  <r>
    <d v="2025-04-01T00:00:00"/>
    <x v="210"/>
    <x v="1"/>
    <x v="0"/>
    <x v="43"/>
    <n v="9"/>
    <n v="11.5"/>
    <n v="15.49"/>
    <n v="229.08"/>
    <m/>
    <n v="15.49"/>
    <m/>
    <m/>
    <m/>
    <m/>
    <m/>
    <m/>
    <n v="244.57000000000002"/>
    <x v="1"/>
    <n v="15.49"/>
    <x v="0"/>
    <x v="6"/>
  </r>
  <r>
    <d v="2025-04-07T00:00:00"/>
    <x v="210"/>
    <x v="1"/>
    <x v="0"/>
    <x v="43"/>
    <n v="9"/>
    <n v="11.5"/>
    <n v="25.099999999999991"/>
    <n v="255.04"/>
    <m/>
    <n v="25.099999999999991"/>
    <m/>
    <m/>
    <m/>
    <m/>
    <m/>
    <m/>
    <n v="280.14"/>
    <x v="1"/>
    <n v="25.099999999999991"/>
    <x v="0"/>
    <x v="6"/>
  </r>
  <r>
    <d v="2025-04-08T00:00:00"/>
    <x v="210"/>
    <x v="1"/>
    <x v="0"/>
    <x v="32"/>
    <n v="9"/>
    <n v="11.5"/>
    <n v="56.539999999999957"/>
    <n v="574.88"/>
    <m/>
    <n v="56.539999999999957"/>
    <m/>
    <m/>
    <m/>
    <m/>
    <m/>
    <m/>
    <n v="631.41999999999996"/>
    <x v="1"/>
    <n v="56.539999999999957"/>
    <x v="0"/>
    <x v="6"/>
  </r>
  <r>
    <d v="2025-04-28T00:00:00"/>
    <x v="210"/>
    <x v="1"/>
    <x v="0"/>
    <x v="32"/>
    <n v="9"/>
    <n v="11.5"/>
    <n v="158.80000000000001"/>
    <n v="1637.62"/>
    <m/>
    <n v="158.80000000000001"/>
    <m/>
    <m/>
    <m/>
    <m/>
    <m/>
    <m/>
    <n v="1796.4199999999998"/>
    <x v="1"/>
    <n v="158.80000000000001"/>
    <x v="0"/>
    <x v="6"/>
  </r>
  <r>
    <d v="2025-05-16T00:00:00"/>
    <x v="211"/>
    <x v="1"/>
    <x v="1"/>
    <x v="33"/>
    <n v="9"/>
    <n v="11.5"/>
    <n v="212.2"/>
    <n v="1694.73"/>
    <m/>
    <n v="212.2"/>
    <m/>
    <m/>
    <m/>
    <m/>
    <m/>
    <m/>
    <n v="1906.93"/>
    <x v="1"/>
    <n v="212.2"/>
    <x v="0"/>
    <x v="3"/>
  </r>
  <r>
    <d v="2022-12-28T00:00:00"/>
    <x v="212"/>
    <x v="1"/>
    <x v="1"/>
    <x v="34"/>
    <n v="8.5"/>
    <n v="8.5"/>
    <n v="29.24"/>
    <n v="1376"/>
    <m/>
    <n v="29.24"/>
    <m/>
    <m/>
    <m/>
    <m/>
    <m/>
    <m/>
    <n v="1405.24"/>
    <x v="1"/>
    <n v="29.24"/>
    <x v="0"/>
    <x v="3"/>
  </r>
  <r>
    <d v="2023-03-03T00:00:00"/>
    <x v="212"/>
    <x v="1"/>
    <x v="1"/>
    <x v="34"/>
    <n v="8.5"/>
    <n v="8.5"/>
    <n v="39.700000000000003"/>
    <n v="1868"/>
    <m/>
    <n v="39.700000000000003"/>
    <m/>
    <m/>
    <m/>
    <m/>
    <m/>
    <m/>
    <n v="1907.7"/>
    <x v="1"/>
    <n v="39.700000000000003"/>
    <x v="0"/>
    <x v="3"/>
  </r>
  <r>
    <d v="2025-02-18T00:00:00"/>
    <x v="213"/>
    <x v="1"/>
    <x v="1"/>
    <x v="36"/>
    <n v="9"/>
    <n v="12"/>
    <n v="152.69999999999999"/>
    <n v="3385.31"/>
    <m/>
    <n v="152.69999999999999"/>
    <m/>
    <m/>
    <m/>
    <m/>
    <m/>
    <m/>
    <n v="3538.0099999999998"/>
    <x v="1"/>
    <n v="152.69999999999999"/>
    <x v="0"/>
    <x v="0"/>
  </r>
  <r>
    <d v="2026-03-16T00:00:00"/>
    <x v="214"/>
    <x v="1"/>
    <x v="0"/>
    <x v="39"/>
    <n v="9"/>
    <n v="10.25"/>
    <n v="552.15"/>
    <n v="965"/>
    <m/>
    <n v="552.15"/>
    <m/>
    <m/>
    <m/>
    <m/>
    <m/>
    <m/>
    <n v="1517.15"/>
    <x v="1"/>
    <n v="552.15"/>
    <x v="0"/>
    <x v="1"/>
  </r>
  <r>
    <d v="2026-03-24T00:00:00"/>
    <x v="214"/>
    <x v="1"/>
    <x v="0"/>
    <x v="39"/>
    <n v="9"/>
    <n v="10.25"/>
    <n v="91.21"/>
    <n v="159.4"/>
    <m/>
    <n v="91.21"/>
    <m/>
    <m/>
    <m/>
    <m/>
    <m/>
    <m/>
    <n v="250.61"/>
    <x v="1"/>
    <n v="91.21"/>
    <x v="0"/>
    <x v="1"/>
  </r>
  <r>
    <d v="2024-09-24T00:00:00"/>
    <x v="215"/>
    <x v="3"/>
    <x v="0"/>
    <x v="37"/>
    <n v="8.5"/>
    <n v="12"/>
    <n v="211.19"/>
    <n v="1580.72"/>
    <m/>
    <n v="211.19"/>
    <m/>
    <m/>
    <m/>
    <m/>
    <m/>
    <m/>
    <n v="1791.91"/>
    <x v="1"/>
    <n v="211.19"/>
    <x v="0"/>
    <x v="2"/>
  </r>
  <r>
    <d v="2024-09-24T00:00:00"/>
    <x v="215"/>
    <x v="3"/>
    <x v="1"/>
    <x v="37"/>
    <n v="8.5"/>
    <n v="12"/>
    <n v="33.5"/>
    <n v="250.71"/>
    <m/>
    <n v="33.5"/>
    <m/>
    <m/>
    <m/>
    <m/>
    <m/>
    <m/>
    <n v="284.21000000000004"/>
    <x v="1"/>
    <n v="33.5"/>
    <x v="0"/>
    <x v="2"/>
  </r>
  <r>
    <d v="2024-09-24T00:00:00"/>
    <x v="215"/>
    <x v="3"/>
    <x v="2"/>
    <x v="37"/>
    <n v="8.5"/>
    <n v="12"/>
    <n v="136.09"/>
    <n v="1018.56"/>
    <m/>
    <n v="136.09"/>
    <m/>
    <m/>
    <m/>
    <m/>
    <m/>
    <m/>
    <n v="1154.6499999999999"/>
    <x v="1"/>
    <n v="136.09"/>
    <x v="0"/>
    <x v="2"/>
  </r>
  <r>
    <d v="2025-04-28T00:00:00"/>
    <x v="216"/>
    <x v="1"/>
    <x v="0"/>
    <x v="9"/>
    <n v="9"/>
    <n v="11.5"/>
    <n v="168.31"/>
    <n v="1663.68"/>
    <m/>
    <n v="168.31"/>
    <m/>
    <m/>
    <m/>
    <m/>
    <m/>
    <m/>
    <n v="1663.68"/>
    <x v="1"/>
    <n v="0"/>
    <x v="0"/>
    <x v="0"/>
  </r>
  <r>
    <d v="2025-04-28T00:00:00"/>
    <x v="216"/>
    <x v="1"/>
    <x v="0"/>
    <x v="9"/>
    <n v="9"/>
    <n v="11.5"/>
    <n v="76"/>
    <n v="759.96"/>
    <m/>
    <n v="76"/>
    <m/>
    <m/>
    <m/>
    <m/>
    <m/>
    <m/>
    <n v="759.96"/>
    <x v="1"/>
    <n v="0"/>
    <x v="0"/>
    <x v="0"/>
  </r>
  <r>
    <d v="2026-02-19T00:00:00"/>
    <x v="217"/>
    <x v="1"/>
    <x v="1"/>
    <x v="14"/>
    <n v="9"/>
    <n v="10.5"/>
    <n v="334.5"/>
    <n v="948.02"/>
    <m/>
    <n v="334.5"/>
    <m/>
    <m/>
    <m/>
    <m/>
    <m/>
    <m/>
    <n v="948.02"/>
    <x v="1"/>
    <n v="0"/>
    <x v="0"/>
    <x v="4"/>
  </r>
  <r>
    <d v="2026-02-19T00:00:00"/>
    <x v="218"/>
    <x v="1"/>
    <x v="1"/>
    <x v="23"/>
    <n v="9"/>
    <n v="10.25"/>
    <n v="235.74"/>
    <n v="1570.16"/>
    <m/>
    <n v="235.74"/>
    <m/>
    <m/>
    <m/>
    <m/>
    <m/>
    <m/>
    <n v="1570.16"/>
    <x v="1"/>
    <n v="0"/>
    <x v="0"/>
    <x v="6"/>
  </r>
  <r>
    <d v="2025-04-01T00:00:00"/>
    <x v="219"/>
    <x v="1"/>
    <x v="0"/>
    <x v="32"/>
    <n v="9"/>
    <n v="11.5"/>
    <n v="10.33"/>
    <n v="229.08"/>
    <m/>
    <n v="10.33"/>
    <m/>
    <m/>
    <m/>
    <m/>
    <m/>
    <m/>
    <n v="229.08"/>
    <x v="1"/>
    <n v="0"/>
    <x v="0"/>
    <x v="0"/>
  </r>
  <r>
    <d v="2025-04-07T00:00:00"/>
    <x v="219"/>
    <x v="1"/>
    <x v="0"/>
    <x v="32"/>
    <n v="9"/>
    <n v="11.5"/>
    <n v="19.200000000000021"/>
    <n v="255.04"/>
    <m/>
    <n v="19.200000000000021"/>
    <m/>
    <m/>
    <m/>
    <m/>
    <m/>
    <m/>
    <n v="255.04"/>
    <x v="1"/>
    <n v="0"/>
    <x v="0"/>
    <x v="0"/>
  </r>
  <r>
    <d v="2025-04-08T00:00:00"/>
    <x v="219"/>
    <x v="1"/>
    <x v="0"/>
    <x v="32"/>
    <n v="9"/>
    <n v="11.5"/>
    <n v="43.230000000000018"/>
    <n v="574.88"/>
    <m/>
    <n v="43.230000000000018"/>
    <m/>
    <m/>
    <m/>
    <m/>
    <m/>
    <m/>
    <n v="574.88"/>
    <x v="1"/>
    <n v="0"/>
    <x v="0"/>
    <x v="0"/>
  </r>
  <r>
    <d v="2025-04-28T00:00:00"/>
    <x v="219"/>
    <x v="1"/>
    <x v="0"/>
    <x v="32"/>
    <n v="9"/>
    <n v="11.5"/>
    <n v="120.94"/>
    <n v="1637.62"/>
    <m/>
    <n v="120.94"/>
    <m/>
    <m/>
    <m/>
    <m/>
    <m/>
    <m/>
    <n v="1637.62"/>
    <x v="1"/>
    <n v="0"/>
    <x v="0"/>
    <x v="0"/>
  </r>
  <r>
    <d v="2025-05-16T00:00:00"/>
    <x v="220"/>
    <x v="1"/>
    <x v="1"/>
    <x v="33"/>
    <n v="9"/>
    <n v="11.5"/>
    <n v="172.84"/>
    <n v="1694.73"/>
    <m/>
    <n v="172.84"/>
    <m/>
    <m/>
    <m/>
    <m/>
    <m/>
    <m/>
    <n v="1694.73"/>
    <x v="1"/>
    <n v="0"/>
    <x v="0"/>
    <x v="5"/>
  </r>
  <r>
    <d v="2025-02-18T00:00:00"/>
    <x v="221"/>
    <x v="1"/>
    <x v="1"/>
    <x v="36"/>
    <n v="9"/>
    <n v="12"/>
    <n v="76.540000000000006"/>
    <n v="3401.59"/>
    <m/>
    <n v="76.540000000000006"/>
    <m/>
    <m/>
    <m/>
    <m/>
    <m/>
    <m/>
    <n v="3401.59"/>
    <x v="1"/>
    <n v="0"/>
    <x v="0"/>
    <x v="0"/>
  </r>
  <r>
    <d v="2026-03-16T00:00:00"/>
    <x v="222"/>
    <x v="1"/>
    <x v="0"/>
    <x v="39"/>
    <n v="9"/>
    <n v="10.25"/>
    <n v="529.65"/>
    <n v="965"/>
    <m/>
    <n v="529.65"/>
    <m/>
    <m/>
    <m/>
    <m/>
    <m/>
    <m/>
    <n v="965"/>
    <x v="1"/>
    <n v="0"/>
    <x v="0"/>
    <x v="1"/>
  </r>
  <r>
    <d v="2026-03-24T00:00:00"/>
    <x v="222"/>
    <x v="1"/>
    <x v="0"/>
    <x v="39"/>
    <n v="9"/>
    <n v="10.25"/>
    <n v="87.49"/>
    <n v="159.4"/>
    <m/>
    <n v="87.49"/>
    <m/>
    <m/>
    <m/>
    <m/>
    <m/>
    <m/>
    <n v="159.4"/>
    <x v="1"/>
    <n v="0"/>
    <x v="0"/>
    <x v="1"/>
  </r>
  <r>
    <d v="2024-09-24T00:00:00"/>
    <x v="223"/>
    <x v="3"/>
    <x v="0"/>
    <x v="37"/>
    <n v="8.5"/>
    <n v="12"/>
    <n v="177.6"/>
    <n v="1608.94"/>
    <m/>
    <n v="177.6"/>
    <m/>
    <m/>
    <m/>
    <m/>
    <m/>
    <m/>
    <n v="1608.94"/>
    <x v="1"/>
    <n v="0"/>
    <x v="0"/>
    <x v="2"/>
  </r>
  <r>
    <d v="2024-09-24T00:00:00"/>
    <x v="223"/>
    <x v="3"/>
    <x v="1"/>
    <x v="37"/>
    <n v="8.5"/>
    <n v="12"/>
    <n v="28.17"/>
    <n v="255.19"/>
    <m/>
    <n v="28.17"/>
    <m/>
    <m/>
    <m/>
    <m/>
    <m/>
    <m/>
    <n v="255.19"/>
    <x v="1"/>
    <n v="0"/>
    <x v="0"/>
    <x v="2"/>
  </r>
  <r>
    <d v="2024-09-24T00:00:00"/>
    <x v="223"/>
    <x v="3"/>
    <x v="2"/>
    <x v="37"/>
    <n v="8.5"/>
    <n v="12"/>
    <n v="114.44"/>
    <n v="1036.74"/>
    <m/>
    <n v="114.44"/>
    <m/>
    <m/>
    <m/>
    <m/>
    <m/>
    <m/>
    <n v="1036.74"/>
    <x v="1"/>
    <n v="0"/>
    <x v="0"/>
    <x v="2"/>
  </r>
  <r>
    <d v="2025-04-28T00:00:00"/>
    <x v="224"/>
    <x v="1"/>
    <x v="0"/>
    <x v="9"/>
    <n v="9"/>
    <n v="11.5"/>
    <n v="129.69999999999999"/>
    <n v="1663.68"/>
    <m/>
    <n v="129.69999999999999"/>
    <m/>
    <m/>
    <m/>
    <m/>
    <m/>
    <m/>
    <n v="1663.68"/>
    <x v="1"/>
    <n v="0"/>
    <x v="0"/>
    <x v="1"/>
  </r>
  <r>
    <d v="2025-04-28T00:00:00"/>
    <x v="224"/>
    <x v="1"/>
    <x v="0"/>
    <x v="9"/>
    <n v="9"/>
    <n v="11.5"/>
    <n v="58.38"/>
    <n v="759.96"/>
    <m/>
    <n v="58.38"/>
    <m/>
    <m/>
    <m/>
    <m/>
    <m/>
    <m/>
    <n v="759.96"/>
    <x v="1"/>
    <n v="0"/>
    <x v="0"/>
    <x v="1"/>
  </r>
  <r>
    <d v="2026-02-19T00:00:00"/>
    <x v="225"/>
    <x v="1"/>
    <x v="1"/>
    <x v="14"/>
    <n v="9"/>
    <n v="10.5"/>
    <n v="312.55999999999989"/>
    <n v="948.02"/>
    <m/>
    <n v="312.55999999999989"/>
    <m/>
    <m/>
    <m/>
    <m/>
    <m/>
    <m/>
    <n v="948.02"/>
    <x v="1"/>
    <n v="0"/>
    <x v="0"/>
    <x v="6"/>
  </r>
  <r>
    <d v="2026-02-19T00:00:00"/>
    <x v="226"/>
    <x v="1"/>
    <x v="1"/>
    <x v="23"/>
    <n v="9"/>
    <n v="10.25"/>
    <n v="199.93"/>
    <n v="1570.16"/>
    <m/>
    <n v="199.93"/>
    <m/>
    <m/>
    <m/>
    <m/>
    <m/>
    <m/>
    <n v="1570.16"/>
    <x v="1"/>
    <n v="0"/>
    <x v="0"/>
    <x v="0"/>
  </r>
  <r>
    <d v="2025-04-01T00:00:00"/>
    <x v="227"/>
    <x v="1"/>
    <x v="0"/>
    <x v="32"/>
    <n v="9"/>
    <n v="11.5"/>
    <n v="5.18"/>
    <n v="230.12"/>
    <m/>
    <n v="5.18"/>
    <m/>
    <m/>
    <m/>
    <m/>
    <m/>
    <m/>
    <n v="230.12"/>
    <x v="1"/>
    <n v="0"/>
    <x v="0"/>
    <x v="1"/>
  </r>
  <r>
    <d v="2025-04-07T00:00:00"/>
    <x v="227"/>
    <x v="1"/>
    <x v="0"/>
    <x v="32"/>
    <n v="9"/>
    <n v="11.5"/>
    <n v="14.489999999999981"/>
    <n v="255.04"/>
    <m/>
    <n v="14.489999999999981"/>
    <m/>
    <m/>
    <m/>
    <m/>
    <m/>
    <m/>
    <n v="255.04"/>
    <x v="1"/>
    <n v="0"/>
    <x v="0"/>
    <x v="1"/>
  </r>
  <r>
    <d v="2025-04-08T00:00:00"/>
    <x v="227"/>
    <x v="1"/>
    <x v="0"/>
    <x v="32"/>
    <n v="9"/>
    <n v="11.5"/>
    <n v="32.759999999999991"/>
    <n v="574.88"/>
    <m/>
    <n v="32.759999999999991"/>
    <m/>
    <m/>
    <m/>
    <m/>
    <m/>
    <m/>
    <n v="574.88"/>
    <x v="1"/>
    <n v="0"/>
    <x v="0"/>
    <x v="1"/>
  </r>
  <r>
    <d v="2025-05-16T00:00:00"/>
    <x v="228"/>
    <x v="1"/>
    <x v="1"/>
    <x v="33"/>
    <n v="9"/>
    <n v="11.5"/>
    <n v="133.47999999999999"/>
    <n v="1694.73"/>
    <m/>
    <n v="133.47999999999999"/>
    <m/>
    <m/>
    <m/>
    <m/>
    <m/>
    <m/>
    <n v="1694.73"/>
    <x v="1"/>
    <n v="0"/>
    <x v="0"/>
    <x v="4"/>
  </r>
  <r>
    <d v="2025-04-28T00:00:00"/>
    <x v="227"/>
    <x v="1"/>
    <x v="0"/>
    <x v="32"/>
    <n v="9"/>
    <n v="11.5"/>
    <n v="91.16"/>
    <n v="1637.62"/>
    <m/>
    <n v="91.16"/>
    <m/>
    <m/>
    <m/>
    <m/>
    <m/>
    <m/>
    <n v="1637.62"/>
    <x v="1"/>
    <n v="0"/>
    <x v="0"/>
    <x v="1"/>
  </r>
  <r>
    <d v="2026-03-16T00:00:00"/>
    <x v="229"/>
    <x v="1"/>
    <x v="0"/>
    <x v="39"/>
    <n v="9"/>
    <n v="10.25"/>
    <n v="507.16"/>
    <n v="965"/>
    <m/>
    <n v="507.16"/>
    <m/>
    <m/>
    <m/>
    <m/>
    <m/>
    <m/>
    <n v="965"/>
    <x v="1"/>
    <n v="0"/>
    <x v="0"/>
    <x v="1"/>
  </r>
  <r>
    <d v="2026-03-24T00:00:00"/>
    <x v="229"/>
    <x v="1"/>
    <x v="0"/>
    <x v="39"/>
    <n v="9"/>
    <n v="10.25"/>
    <n v="83.78"/>
    <n v="159.4"/>
    <m/>
    <n v="83.78"/>
    <m/>
    <m/>
    <m/>
    <m/>
    <m/>
    <m/>
    <n v="159.4"/>
    <x v="1"/>
    <n v="0"/>
    <x v="0"/>
    <x v="1"/>
  </r>
  <r>
    <d v="2024-09-24T00:00:00"/>
    <x v="230"/>
    <x v="3"/>
    <x v="0"/>
    <x v="37"/>
    <n v="8.5"/>
    <n v="12"/>
    <n v="143.41"/>
    <n v="1639.74"/>
    <m/>
    <n v="143.41"/>
    <m/>
    <m/>
    <m/>
    <m/>
    <m/>
    <m/>
    <n v="1639.74"/>
    <x v="1"/>
    <n v="0"/>
    <x v="0"/>
    <x v="2"/>
  </r>
  <r>
    <d v="2024-09-24T00:00:00"/>
    <x v="230"/>
    <x v="3"/>
    <x v="1"/>
    <x v="37"/>
    <n v="8.5"/>
    <n v="12"/>
    <n v="22.75"/>
    <n v="260.07"/>
    <m/>
    <n v="22.75"/>
    <m/>
    <m/>
    <m/>
    <m/>
    <m/>
    <m/>
    <n v="260.07"/>
    <x v="1"/>
    <n v="0"/>
    <x v="0"/>
    <x v="2"/>
  </r>
  <r>
    <d v="2024-09-24T00:00:00"/>
    <x v="230"/>
    <x v="3"/>
    <x v="2"/>
    <x v="37"/>
    <n v="8.5"/>
    <n v="12"/>
    <n v="92.41"/>
    <n v="1056.5899999999999"/>
    <m/>
    <n v="92.41"/>
    <m/>
    <m/>
    <m/>
    <m/>
    <m/>
    <m/>
    <n v="1056.5899999999999"/>
    <x v="1"/>
    <n v="0"/>
    <x v="0"/>
    <x v="2"/>
  </r>
  <r>
    <d v="2025-04-28T00:00:00"/>
    <x v="231"/>
    <x v="1"/>
    <x v="0"/>
    <x v="9"/>
    <n v="9"/>
    <n v="11.5"/>
    <n v="91.09"/>
    <n v="1663.68"/>
    <m/>
    <n v="91.09"/>
    <m/>
    <m/>
    <m/>
    <m/>
    <m/>
    <m/>
    <n v="1663.68"/>
    <x v="1"/>
    <n v="0"/>
    <x v="0"/>
    <x v="1"/>
  </r>
  <r>
    <d v="2025-04-28T00:00:00"/>
    <x v="231"/>
    <x v="1"/>
    <x v="0"/>
    <x v="9"/>
    <n v="9"/>
    <n v="11.5"/>
    <n v="44.52"/>
    <n v="759.96"/>
    <m/>
    <n v="44.52"/>
    <m/>
    <m/>
    <m/>
    <m/>
    <m/>
    <m/>
    <n v="759.96"/>
    <x v="1"/>
    <n v="0"/>
    <x v="0"/>
    <x v="1"/>
  </r>
  <r>
    <d v="2026-02-19T00:00:00"/>
    <x v="232"/>
    <x v="1"/>
    <x v="1"/>
    <x v="14"/>
    <n v="9"/>
    <n v="10.5"/>
    <n v="290.61"/>
    <n v="948.02"/>
    <m/>
    <n v="290.61"/>
    <m/>
    <m/>
    <m/>
    <m/>
    <m/>
    <m/>
    <n v="948.02"/>
    <x v="1"/>
    <n v="0"/>
    <x v="0"/>
    <x v="6"/>
  </r>
  <r>
    <d v="2026-02-19T00:00:00"/>
    <x v="233"/>
    <x v="1"/>
    <x v="1"/>
    <x v="23"/>
    <n v="9"/>
    <n v="10.25"/>
    <n v="164.12"/>
    <n v="1570.16"/>
    <m/>
    <n v="164.12"/>
    <m/>
    <m/>
    <m/>
    <m/>
    <m/>
    <m/>
    <n v="1570.16"/>
    <x v="1"/>
    <n v="0"/>
    <x v="0"/>
    <x v="0"/>
  </r>
  <r>
    <d v="2025-05-16T00:00:00"/>
    <x v="234"/>
    <x v="1"/>
    <x v="1"/>
    <x v="33"/>
    <n v="9"/>
    <n v="11.5"/>
    <n v="102.52"/>
    <n v="1694.73"/>
    <m/>
    <n v="102.52"/>
    <m/>
    <m/>
    <m/>
    <m/>
    <m/>
    <m/>
    <n v="1694.73"/>
    <x v="1"/>
    <n v="0"/>
    <x v="0"/>
    <x v="5"/>
  </r>
  <r>
    <d v="2026-03-16T00:00:00"/>
    <x v="235"/>
    <x v="1"/>
    <x v="0"/>
    <x v="39"/>
    <n v="9"/>
    <n v="10.25"/>
    <n v="484.67"/>
    <n v="965"/>
    <m/>
    <n v="484.67"/>
    <m/>
    <m/>
    <m/>
    <m/>
    <m/>
    <m/>
    <n v="965"/>
    <x v="1"/>
    <n v="0"/>
    <x v="0"/>
    <x v="2"/>
  </r>
  <r>
    <d v="2026-03-24T00:00:00"/>
    <x v="235"/>
    <x v="1"/>
    <x v="0"/>
    <x v="39"/>
    <n v="9"/>
    <n v="10.25"/>
    <n v="80.06"/>
    <n v="159.4"/>
    <m/>
    <n v="80.06"/>
    <m/>
    <m/>
    <m/>
    <m/>
    <m/>
    <m/>
    <n v="159.4"/>
    <x v="1"/>
    <n v="0"/>
    <x v="0"/>
    <x v="2"/>
  </r>
  <r>
    <d v="2024-09-24T00:00:00"/>
    <x v="236"/>
    <x v="3"/>
    <x v="0"/>
    <x v="37"/>
    <n v="8.5"/>
    <n v="12"/>
    <n v="108.57"/>
    <n v="1670.53"/>
    <m/>
    <n v="108.57"/>
    <m/>
    <m/>
    <m/>
    <m/>
    <m/>
    <m/>
    <n v="1670.53"/>
    <x v="1"/>
    <n v="0"/>
    <x v="0"/>
    <x v="3"/>
  </r>
  <r>
    <d v="2024-09-24T00:00:00"/>
    <x v="236"/>
    <x v="3"/>
    <x v="1"/>
    <x v="37"/>
    <n v="8.5"/>
    <n v="12"/>
    <n v="17.22"/>
    <n v="264.95999999999998"/>
    <m/>
    <n v="17.22"/>
    <m/>
    <m/>
    <m/>
    <m/>
    <m/>
    <m/>
    <n v="264.95999999999998"/>
    <x v="1"/>
    <n v="0"/>
    <x v="0"/>
    <x v="3"/>
  </r>
  <r>
    <d v="2024-09-24T00:00:00"/>
    <x v="236"/>
    <x v="3"/>
    <x v="2"/>
    <x v="37"/>
    <n v="8.5"/>
    <n v="12"/>
    <n v="69.959999999999994"/>
    <n v="1076.43"/>
    <m/>
    <n v="69.959999999999994"/>
    <m/>
    <m/>
    <m/>
    <m/>
    <m/>
    <m/>
    <n v="1076.43"/>
    <x v="1"/>
    <n v="0"/>
    <x v="0"/>
    <x v="3"/>
  </r>
  <r>
    <d v="2026-02-19T00:00:00"/>
    <x v="237"/>
    <x v="1"/>
    <x v="1"/>
    <x v="14"/>
    <n v="9"/>
    <n v="10.5"/>
    <n v="268.67"/>
    <n v="948.02"/>
    <m/>
    <n v="268.67"/>
    <m/>
    <m/>
    <m/>
    <m/>
    <m/>
    <m/>
    <n v="948.02"/>
    <x v="1"/>
    <n v="0"/>
    <x v="0"/>
    <x v="6"/>
  </r>
  <r>
    <d v="2026-02-19T00:00:00"/>
    <x v="238"/>
    <x v="1"/>
    <x v="1"/>
    <x v="23"/>
    <n v="9"/>
    <n v="10.25"/>
    <n v="128.31"/>
    <n v="1570.16"/>
    <m/>
    <n v="128.31"/>
    <m/>
    <m/>
    <m/>
    <m/>
    <m/>
    <m/>
    <n v="1570.16"/>
    <x v="1"/>
    <n v="0"/>
    <x v="0"/>
    <x v="0"/>
  </r>
  <r>
    <d v="2026-03-16T00:00:00"/>
    <x v="239"/>
    <x v="1"/>
    <x v="0"/>
    <x v="39"/>
    <n v="9"/>
    <n v="10.25"/>
    <n v="462.18"/>
    <n v="965"/>
    <m/>
    <n v="462.18"/>
    <m/>
    <m/>
    <m/>
    <m/>
    <m/>
    <m/>
    <n v="965"/>
    <x v="1"/>
    <n v="0"/>
    <x v="0"/>
    <x v="3"/>
  </r>
  <r>
    <d v="2026-03-24T00:00:00"/>
    <x v="239"/>
    <x v="1"/>
    <x v="0"/>
    <x v="39"/>
    <n v="9"/>
    <n v="10.25"/>
    <n v="76.349999999999994"/>
    <n v="159.4"/>
    <m/>
    <n v="76.349999999999994"/>
    <m/>
    <m/>
    <m/>
    <m/>
    <m/>
    <m/>
    <n v="159.4"/>
    <x v="1"/>
    <n v="0"/>
    <x v="0"/>
    <x v="3"/>
  </r>
  <r>
    <d v="2024-09-24T00:00:00"/>
    <x v="240"/>
    <x v="3"/>
    <x v="0"/>
    <x v="37"/>
    <n v="8.5"/>
    <n v="12"/>
    <n v="73.069999999999993"/>
    <n v="1701.32"/>
    <m/>
    <n v="73.069999999999993"/>
    <m/>
    <m/>
    <m/>
    <m/>
    <m/>
    <m/>
    <n v="1701.32"/>
    <x v="1"/>
    <n v="0"/>
    <x v="0"/>
    <x v="5"/>
  </r>
  <r>
    <d v="2024-09-24T00:00:00"/>
    <x v="240"/>
    <x v="3"/>
    <x v="1"/>
    <x v="37"/>
    <n v="8.5"/>
    <n v="12"/>
    <n v="11.59"/>
    <n v="269.83999999999997"/>
    <m/>
    <n v="11.59"/>
    <m/>
    <m/>
    <m/>
    <m/>
    <m/>
    <m/>
    <n v="269.83999999999997"/>
    <x v="1"/>
    <n v="0"/>
    <x v="0"/>
    <x v="5"/>
  </r>
  <r>
    <d v="2024-09-24T00:00:00"/>
    <x v="240"/>
    <x v="3"/>
    <x v="2"/>
    <x v="37"/>
    <n v="8.5"/>
    <n v="12"/>
    <n v="47.08"/>
    <n v="1096.27"/>
    <m/>
    <n v="47.08"/>
    <m/>
    <m/>
    <m/>
    <m/>
    <m/>
    <m/>
    <n v="1096.27"/>
    <x v="1"/>
    <n v="0"/>
    <x v="0"/>
    <x v="5"/>
  </r>
  <r>
    <d v="2026-02-19T00:00:00"/>
    <x v="241"/>
    <x v="1"/>
    <x v="1"/>
    <x v="14"/>
    <n v="9"/>
    <n v="10.5"/>
    <n v="246.72"/>
    <n v="948.02"/>
    <m/>
    <n v="246.72"/>
    <m/>
    <m/>
    <m/>
    <m/>
    <m/>
    <m/>
    <n v="948.02"/>
    <x v="1"/>
    <n v="0"/>
    <x v="0"/>
    <x v="0"/>
  </r>
  <r>
    <d v="2026-02-19T00:00:00"/>
    <x v="242"/>
    <x v="1"/>
    <x v="1"/>
    <x v="23"/>
    <n v="9"/>
    <n v="10.25"/>
    <n v="92.490000000000009"/>
    <n v="1570.16"/>
    <m/>
    <n v="92.490000000000009"/>
    <m/>
    <m/>
    <m/>
    <m/>
    <m/>
    <m/>
    <n v="1570.16"/>
    <x v="1"/>
    <n v="0"/>
    <x v="0"/>
    <x v="1"/>
  </r>
  <r>
    <d v="2026-03-16T00:00:00"/>
    <x v="243"/>
    <x v="1"/>
    <x v="0"/>
    <x v="39"/>
    <n v="9"/>
    <n v="10.25"/>
    <n v="439.69"/>
    <n v="965"/>
    <m/>
    <n v="965"/>
    <m/>
    <m/>
    <m/>
    <m/>
    <m/>
    <m/>
    <n v="965"/>
    <x v="1"/>
    <n v="0"/>
    <x v="0"/>
    <x v="3"/>
  </r>
  <r>
    <d v="2026-03-24T00:00:00"/>
    <x v="243"/>
    <x v="1"/>
    <x v="0"/>
    <x v="39"/>
    <n v="9"/>
    <n v="10.25"/>
    <n v="72.63"/>
    <n v="159.4"/>
    <m/>
    <n v="72.63"/>
    <m/>
    <m/>
    <m/>
    <m/>
    <m/>
    <m/>
    <n v="159.4"/>
    <x v="1"/>
    <n v="0"/>
    <x v="0"/>
    <x v="3"/>
  </r>
  <r>
    <d v="2024-09-24T00:00:00"/>
    <x v="244"/>
    <x v="3"/>
    <x v="0"/>
    <x v="37"/>
    <n v="8.5"/>
    <n v="12"/>
    <n v="36.92"/>
    <n v="1737.24"/>
    <m/>
    <n v="36.92"/>
    <m/>
    <m/>
    <m/>
    <m/>
    <m/>
    <m/>
    <n v="1737.24"/>
    <x v="1"/>
    <n v="0"/>
    <x v="0"/>
    <x v="5"/>
  </r>
  <r>
    <d v="2024-09-24T00:00:00"/>
    <x v="244"/>
    <x v="3"/>
    <x v="1"/>
    <x v="37"/>
    <n v="8.5"/>
    <n v="12"/>
    <n v="5.86"/>
    <n v="275.56"/>
    <m/>
    <n v="5.86"/>
    <m/>
    <m/>
    <m/>
    <m/>
    <m/>
    <m/>
    <n v="275.56"/>
    <x v="1"/>
    <n v="0"/>
    <x v="0"/>
    <x v="5"/>
  </r>
  <r>
    <d v="2024-09-24T00:00:00"/>
    <x v="244"/>
    <x v="3"/>
    <x v="2"/>
    <x v="37"/>
    <n v="8.5"/>
    <n v="12"/>
    <n v="23.79"/>
    <n v="1119.4100000000001"/>
    <m/>
    <n v="23.79"/>
    <m/>
    <m/>
    <m/>
    <m/>
    <m/>
    <m/>
    <n v="1119.4100000000001"/>
    <x v="1"/>
    <n v="0"/>
    <x v="0"/>
    <x v="5"/>
  </r>
  <r>
    <d v="2026-02-19T00:00:00"/>
    <x v="245"/>
    <x v="1"/>
    <x v="1"/>
    <x v="14"/>
    <n v="9"/>
    <n v="10.5"/>
    <n v="224.78"/>
    <n v="948.02"/>
    <m/>
    <n v="224.78"/>
    <m/>
    <m/>
    <m/>
    <m/>
    <m/>
    <m/>
    <n v="948.02"/>
    <x v="1"/>
    <n v="0"/>
    <x v="0"/>
    <x v="1"/>
  </r>
  <r>
    <d v="2026-02-19T00:00:00"/>
    <x v="246"/>
    <x v="1"/>
    <x v="1"/>
    <x v="23"/>
    <n v="9"/>
    <n v="10.25"/>
    <n v="56.680000000000007"/>
    <n v="1570.16"/>
    <m/>
    <n v="56.680000000000007"/>
    <m/>
    <m/>
    <m/>
    <m/>
    <m/>
    <m/>
    <n v="1570.16"/>
    <x v="1"/>
    <n v="0"/>
    <x v="0"/>
    <x v="2"/>
  </r>
  <r>
    <d v="2026-03-16T00:00:00"/>
    <x v="247"/>
    <x v="1"/>
    <x v="0"/>
    <x v="39"/>
    <n v="9"/>
    <n v="10.25"/>
    <n v="417.2"/>
    <n v="965"/>
    <m/>
    <n v="417.2"/>
    <m/>
    <m/>
    <m/>
    <m/>
    <m/>
    <m/>
    <n v="965"/>
    <x v="1"/>
    <n v="0"/>
    <x v="0"/>
    <x v="2"/>
  </r>
  <r>
    <d v="2026-03-24T00:00:00"/>
    <x v="247"/>
    <x v="1"/>
    <x v="0"/>
    <x v="39"/>
    <n v="9"/>
    <n v="10.25"/>
    <n v="68.92"/>
    <n v="159.4"/>
    <m/>
    <n v="68.92"/>
    <m/>
    <m/>
    <m/>
    <m/>
    <m/>
    <m/>
    <n v="159.4"/>
    <x v="1"/>
    <n v="0"/>
    <x v="0"/>
    <x v="2"/>
  </r>
  <r>
    <d v="2026-02-19T00:00:00"/>
    <x v="248"/>
    <x v="1"/>
    <x v="1"/>
    <x v="14"/>
    <n v="9"/>
    <n v="10.5"/>
    <n v="202.83"/>
    <n v="948.02"/>
    <m/>
    <n v="202.83"/>
    <m/>
    <m/>
    <m/>
    <m/>
    <m/>
    <m/>
    <n v="948.02"/>
    <x v="1"/>
    <n v="0"/>
    <x v="0"/>
    <x v="0"/>
  </r>
  <r>
    <d v="2026-03-16T00:00:00"/>
    <x v="249"/>
    <x v="1"/>
    <x v="0"/>
    <x v="39"/>
    <n v="9"/>
    <n v="10.25"/>
    <n v="394.71"/>
    <n v="965"/>
    <m/>
    <n v="394.71"/>
    <m/>
    <m/>
    <m/>
    <m/>
    <m/>
    <m/>
    <n v="965"/>
    <x v="1"/>
    <n v="0"/>
    <x v="0"/>
    <x v="3"/>
  </r>
  <r>
    <d v="2026-03-24T00:00:00"/>
    <x v="249"/>
    <x v="1"/>
    <x v="0"/>
    <x v="39"/>
    <n v="9"/>
    <n v="10.25"/>
    <n v="65.2"/>
    <n v="159.4"/>
    <m/>
    <n v="65.2"/>
    <m/>
    <m/>
    <m/>
    <m/>
    <m/>
    <m/>
    <n v="159.4"/>
    <x v="1"/>
    <n v="0"/>
    <x v="0"/>
    <x v="3"/>
  </r>
  <r>
    <d v="2026-02-19T00:00:00"/>
    <x v="250"/>
    <x v="1"/>
    <x v="1"/>
    <x v="14"/>
    <n v="9"/>
    <n v="10.5"/>
    <n v="180.89"/>
    <n v="948.02"/>
    <m/>
    <n v="180.89"/>
    <m/>
    <m/>
    <m/>
    <m/>
    <m/>
    <m/>
    <n v="948.02"/>
    <x v="1"/>
    <n v="0"/>
    <x v="0"/>
    <x v="0"/>
  </r>
  <r>
    <d v="2026-03-16T00:00:00"/>
    <x v="251"/>
    <x v="1"/>
    <x v="0"/>
    <x v="39"/>
    <n v="9"/>
    <n v="10.25"/>
    <n v="372.22"/>
    <n v="965"/>
    <m/>
    <n v="372.22"/>
    <m/>
    <m/>
    <m/>
    <m/>
    <m/>
    <m/>
    <n v="965"/>
    <x v="1"/>
    <n v="0"/>
    <x v="0"/>
    <x v="5"/>
  </r>
  <r>
    <d v="2026-03-24T00:00:00"/>
    <x v="251"/>
    <x v="1"/>
    <x v="0"/>
    <x v="39"/>
    <n v="9"/>
    <n v="10.25"/>
    <n v="61.48"/>
    <n v="159.4"/>
    <m/>
    <n v="61.48"/>
    <m/>
    <m/>
    <m/>
    <m/>
    <m/>
    <m/>
    <n v="159.4"/>
    <x v="1"/>
    <n v="0"/>
    <x v="0"/>
    <x v="5"/>
  </r>
  <r>
    <d v="2026-02-19T00:00:00"/>
    <x v="252"/>
    <x v="1"/>
    <x v="1"/>
    <x v="14"/>
    <n v="9"/>
    <n v="10.5"/>
    <n v="158.94999999999999"/>
    <n v="948.02"/>
    <m/>
    <n v="158.94999999999999"/>
    <m/>
    <m/>
    <m/>
    <m/>
    <m/>
    <m/>
    <n v="948.02"/>
    <x v="1"/>
    <n v="0"/>
    <x v="0"/>
    <x v="1"/>
  </r>
  <r>
    <d v="2026-03-16T00:00:00"/>
    <x v="253"/>
    <x v="1"/>
    <x v="0"/>
    <x v="39"/>
    <n v="9"/>
    <n v="10.25"/>
    <n v="349.73"/>
    <n v="965"/>
    <m/>
    <n v="349.73"/>
    <m/>
    <m/>
    <m/>
    <m/>
    <m/>
    <m/>
    <n v="965"/>
    <x v="1"/>
    <n v="0"/>
    <x v="0"/>
    <x v="5"/>
  </r>
  <r>
    <d v="2026-03-24T00:00:00"/>
    <x v="253"/>
    <x v="1"/>
    <x v="0"/>
    <x v="39"/>
    <n v="9"/>
    <n v="10.25"/>
    <n v="57.77"/>
    <n v="159.4"/>
    <m/>
    <n v="57.77"/>
    <m/>
    <m/>
    <m/>
    <m/>
    <m/>
    <m/>
    <n v="159.4"/>
    <x v="1"/>
    <n v="0"/>
    <x v="0"/>
    <x v="5"/>
  </r>
  <r>
    <d v="2026-02-19T00:00:00"/>
    <x v="254"/>
    <x v="1"/>
    <x v="1"/>
    <x v="14"/>
    <n v="9"/>
    <n v="10.5"/>
    <n v="137"/>
    <n v="948.02"/>
    <m/>
    <n v="137"/>
    <m/>
    <m/>
    <m/>
    <m/>
    <m/>
    <m/>
    <n v="948.02"/>
    <x v="1"/>
    <n v="0"/>
    <x v="0"/>
    <x v="2"/>
  </r>
  <r>
    <d v="2026-03-16T00:00:00"/>
    <x v="255"/>
    <x v="1"/>
    <x v="0"/>
    <x v="39"/>
    <n v="9"/>
    <n v="10.25"/>
    <n v="327.24"/>
    <n v="965"/>
    <m/>
    <n v="327.24"/>
    <m/>
    <m/>
    <m/>
    <m/>
    <m/>
    <m/>
    <n v="965"/>
    <x v="1"/>
    <n v="0"/>
    <x v="0"/>
    <x v="3"/>
  </r>
  <r>
    <d v="2026-03-24T00:00:00"/>
    <x v="255"/>
    <x v="1"/>
    <x v="0"/>
    <x v="39"/>
    <n v="9"/>
    <n v="10.25"/>
    <n v="54.05"/>
    <n v="159.4"/>
    <m/>
    <n v="54.05"/>
    <m/>
    <m/>
    <m/>
    <m/>
    <m/>
    <m/>
    <n v="159.4"/>
    <x v="1"/>
    <n v="0"/>
    <x v="0"/>
    <x v="3"/>
  </r>
  <r>
    <d v="2026-02-19T00:00:00"/>
    <x v="256"/>
    <x v="1"/>
    <x v="1"/>
    <x v="14"/>
    <n v="9"/>
    <n v="10.5"/>
    <n v="115.06"/>
    <n v="948.02"/>
    <m/>
    <n v="115.06"/>
    <m/>
    <m/>
    <m/>
    <m/>
    <m/>
    <m/>
    <n v="948.02"/>
    <x v="1"/>
    <n v="0"/>
    <x v="0"/>
    <x v="1"/>
  </r>
  <r>
    <d v="2026-03-16T00:00:00"/>
    <x v="257"/>
    <x v="1"/>
    <x v="0"/>
    <x v="39"/>
    <n v="9"/>
    <n v="10.25"/>
    <n v="304.74"/>
    <n v="965"/>
    <m/>
    <n v="304.74"/>
    <m/>
    <m/>
    <m/>
    <m/>
    <m/>
    <m/>
    <n v="965"/>
    <x v="1"/>
    <n v="0"/>
    <x v="0"/>
    <x v="5"/>
  </r>
  <r>
    <d v="2026-03-24T00:00:00"/>
    <x v="257"/>
    <x v="1"/>
    <x v="0"/>
    <x v="39"/>
    <n v="9"/>
    <n v="10.25"/>
    <n v="50.34"/>
    <n v="159.4"/>
    <m/>
    <n v="50.34"/>
    <m/>
    <m/>
    <m/>
    <m/>
    <m/>
    <m/>
    <n v="159.4"/>
    <x v="1"/>
    <n v="0"/>
    <x v="0"/>
    <x v="5"/>
  </r>
  <r>
    <d v="2026-02-19T00:00:00"/>
    <x v="258"/>
    <x v="1"/>
    <x v="1"/>
    <x v="14"/>
    <n v="9"/>
    <n v="10.5"/>
    <n v="93.11"/>
    <n v="948.02"/>
    <m/>
    <n v="93.11"/>
    <m/>
    <m/>
    <m/>
    <m/>
    <m/>
    <m/>
    <n v="948.02"/>
    <x v="1"/>
    <n v="0"/>
    <x v="0"/>
    <x v="1"/>
  </r>
  <r>
    <d v="2026-03-16T00:00:00"/>
    <x v="259"/>
    <x v="1"/>
    <x v="0"/>
    <x v="39"/>
    <n v="9"/>
    <n v="10.25"/>
    <n v="282.25"/>
    <n v="965"/>
    <m/>
    <n v="282.25"/>
    <m/>
    <m/>
    <m/>
    <m/>
    <m/>
    <m/>
    <n v="965"/>
    <x v="1"/>
    <n v="0"/>
    <x v="0"/>
    <x v="4"/>
  </r>
  <r>
    <d v="2026-03-24T00:00:00"/>
    <x v="259"/>
    <x v="1"/>
    <x v="0"/>
    <x v="39"/>
    <n v="9"/>
    <n v="10.25"/>
    <n v="46.62"/>
    <n v="159.4"/>
    <m/>
    <n v="46.62"/>
    <m/>
    <m/>
    <m/>
    <m/>
    <m/>
    <m/>
    <n v="159.4"/>
    <x v="1"/>
    <n v="0"/>
    <x v="0"/>
    <x v="4"/>
  </r>
  <r>
    <d v="2026-02-19T00:00:00"/>
    <x v="260"/>
    <x v="1"/>
    <x v="1"/>
    <x v="14"/>
    <n v="9"/>
    <n v="10.5"/>
    <n v="71.17"/>
    <n v="948.02"/>
    <m/>
    <n v="71.17"/>
    <m/>
    <m/>
    <m/>
    <m/>
    <m/>
    <m/>
    <n v="948.02"/>
    <x v="1"/>
    <n v="0"/>
    <x v="0"/>
    <x v="2"/>
  </r>
  <r>
    <d v="2026-03-16T00:00:00"/>
    <x v="261"/>
    <x v="1"/>
    <x v="0"/>
    <x v="39"/>
    <n v="9"/>
    <n v="10.25"/>
    <n v="259.76"/>
    <n v="965"/>
    <m/>
    <n v="259.76"/>
    <m/>
    <m/>
    <m/>
    <m/>
    <m/>
    <m/>
    <n v="965"/>
    <x v="1"/>
    <n v="0"/>
    <x v="0"/>
    <x v="4"/>
  </r>
  <r>
    <d v="2026-03-24T00:00:00"/>
    <x v="261"/>
    <x v="1"/>
    <x v="0"/>
    <x v="39"/>
    <n v="9"/>
    <n v="10.25"/>
    <n v="42.91"/>
    <n v="159.4"/>
    <m/>
    <n v="42.91"/>
    <m/>
    <m/>
    <m/>
    <m/>
    <m/>
    <m/>
    <n v="159.4"/>
    <x v="1"/>
    <n v="0"/>
    <x v="0"/>
    <x v="4"/>
  </r>
  <r>
    <d v="2026-02-19T00:00:00"/>
    <x v="262"/>
    <x v="1"/>
    <x v="1"/>
    <x v="14"/>
    <n v="9"/>
    <n v="10.5"/>
    <n v="49.22"/>
    <n v="948.02"/>
    <m/>
    <n v="49.22"/>
    <m/>
    <m/>
    <m/>
    <m/>
    <m/>
    <m/>
    <n v="948.02"/>
    <x v="1"/>
    <n v="0"/>
    <x v="0"/>
    <x v="3"/>
  </r>
  <r>
    <d v="2026-03-16T00:00:00"/>
    <x v="263"/>
    <x v="1"/>
    <x v="0"/>
    <x v="39"/>
    <n v="9"/>
    <n v="10.25"/>
    <n v="237.27"/>
    <n v="965"/>
    <m/>
    <n v="965"/>
    <m/>
    <m/>
    <m/>
    <m/>
    <m/>
    <m/>
    <n v="965"/>
    <x v="1"/>
    <n v="0"/>
    <x v="0"/>
    <x v="5"/>
  </r>
  <r>
    <d v="2026-03-24T00:00:00"/>
    <x v="263"/>
    <x v="1"/>
    <x v="0"/>
    <x v="39"/>
    <n v="9"/>
    <n v="10.25"/>
    <n v="39.19"/>
    <n v="159.4"/>
    <m/>
    <n v="39.19"/>
    <m/>
    <m/>
    <m/>
    <m/>
    <m/>
    <m/>
    <n v="159.4"/>
    <x v="1"/>
    <n v="0"/>
    <x v="0"/>
    <x v="5"/>
  </r>
  <r>
    <d v="2026-03-16T00:00:00"/>
    <x v="264"/>
    <x v="1"/>
    <x v="0"/>
    <x v="39"/>
    <n v="9"/>
    <n v="10.25"/>
    <n v="214.78"/>
    <n v="965"/>
    <m/>
    <n v="965"/>
    <m/>
    <m/>
    <m/>
    <m/>
    <m/>
    <m/>
    <n v="965"/>
    <x v="1"/>
    <n v="0"/>
    <x v="0"/>
    <x v="4"/>
  </r>
  <r>
    <d v="2026-03-24T00:00:00"/>
    <x v="264"/>
    <x v="1"/>
    <x v="0"/>
    <x v="39"/>
    <n v="9"/>
    <n v="10.25"/>
    <n v="35.479999999999997"/>
    <n v="159.4"/>
    <m/>
    <n v="35.479999999999997"/>
    <m/>
    <m/>
    <m/>
    <m/>
    <m/>
    <m/>
    <n v="159.4"/>
    <x v="1"/>
    <n v="0"/>
    <x v="0"/>
    <x v="4"/>
  </r>
  <r>
    <d v="2026-03-16T00:00:00"/>
    <x v="265"/>
    <x v="1"/>
    <x v="0"/>
    <x v="39"/>
    <n v="9"/>
    <n v="10.25"/>
    <n v="192.29"/>
    <n v="965"/>
    <m/>
    <n v="965"/>
    <m/>
    <m/>
    <m/>
    <m/>
    <m/>
    <m/>
    <n v="965"/>
    <x v="1"/>
    <n v="0"/>
    <x v="0"/>
    <x v="6"/>
  </r>
  <r>
    <d v="2026-03-24T00:00:00"/>
    <x v="265"/>
    <x v="1"/>
    <x v="0"/>
    <x v="39"/>
    <n v="9"/>
    <n v="10.25"/>
    <n v="31.76"/>
    <n v="159.4"/>
    <m/>
    <n v="31.76"/>
    <m/>
    <m/>
    <m/>
    <m/>
    <m/>
    <m/>
    <n v="159.4"/>
    <x v="1"/>
    <n v="0"/>
    <x v="0"/>
    <x v="6"/>
  </r>
  <r>
    <d v="2026-03-16T00:00:00"/>
    <x v="266"/>
    <x v="1"/>
    <x v="0"/>
    <x v="39"/>
    <n v="9"/>
    <n v="10.25"/>
    <n v="169.8"/>
    <n v="965"/>
    <m/>
    <n v="169.8"/>
    <m/>
    <m/>
    <m/>
    <m/>
    <m/>
    <m/>
    <n v="965"/>
    <x v="1"/>
    <n v="0"/>
    <x v="0"/>
    <x v="6"/>
  </r>
  <r>
    <d v="2026-03-24T00:00:00"/>
    <x v="266"/>
    <x v="1"/>
    <x v="0"/>
    <x v="39"/>
    <n v="9"/>
    <n v="10.25"/>
    <n v="28.05"/>
    <n v="159.4"/>
    <m/>
    <n v="28.05"/>
    <m/>
    <m/>
    <m/>
    <m/>
    <m/>
    <m/>
    <n v="159.4"/>
    <x v="1"/>
    <n v="0"/>
    <x v="0"/>
    <x v="6"/>
  </r>
  <r>
    <d v="2026-03-16T00:00:00"/>
    <x v="267"/>
    <x v="1"/>
    <x v="0"/>
    <x v="39"/>
    <n v="9"/>
    <n v="10.25"/>
    <n v="147.31"/>
    <n v="965"/>
    <m/>
    <n v="147.31"/>
    <m/>
    <m/>
    <m/>
    <m/>
    <m/>
    <m/>
    <n v="965"/>
    <x v="1"/>
    <n v="0"/>
    <x v="0"/>
    <x v="6"/>
  </r>
  <r>
    <d v="2026-03-24T00:00:00"/>
    <x v="267"/>
    <x v="1"/>
    <x v="0"/>
    <x v="39"/>
    <n v="9"/>
    <n v="10.25"/>
    <n v="24.33"/>
    <n v="159.4"/>
    <m/>
    <n v="24.33"/>
    <m/>
    <m/>
    <m/>
    <m/>
    <m/>
    <m/>
    <n v="159.4"/>
    <x v="1"/>
    <n v="0"/>
    <x v="0"/>
    <x v="6"/>
  </r>
  <r>
    <d v="2026-03-16T00:00:00"/>
    <x v="268"/>
    <x v="1"/>
    <x v="0"/>
    <x v="39"/>
    <n v="9"/>
    <n v="10.25"/>
    <n v="124.82"/>
    <n v="965"/>
    <m/>
    <n v="124.82"/>
    <m/>
    <m/>
    <m/>
    <m/>
    <m/>
    <m/>
    <n v="965"/>
    <x v="1"/>
    <n v="0"/>
    <x v="0"/>
    <x v="0"/>
  </r>
  <r>
    <d v="2026-03-24T00:00:00"/>
    <x v="268"/>
    <x v="1"/>
    <x v="0"/>
    <x v="39"/>
    <n v="9"/>
    <n v="10.25"/>
    <n v="20.62"/>
    <n v="159.4"/>
    <m/>
    <n v="20.62"/>
    <m/>
    <m/>
    <m/>
    <m/>
    <m/>
    <m/>
    <n v="159.4"/>
    <x v="1"/>
    <n v="0"/>
    <x v="0"/>
    <x v="0"/>
  </r>
  <r>
    <d v="2026-03-16T00:00:00"/>
    <x v="269"/>
    <x v="1"/>
    <x v="0"/>
    <x v="39"/>
    <n v="9"/>
    <n v="10.25"/>
    <n v="102.33"/>
    <n v="965"/>
    <m/>
    <n v="102.33"/>
    <m/>
    <m/>
    <m/>
    <m/>
    <m/>
    <m/>
    <n v="965"/>
    <x v="1"/>
    <n v="0"/>
    <x v="0"/>
    <x v="1"/>
  </r>
  <r>
    <d v="2026-03-24T00:00:00"/>
    <x v="269"/>
    <x v="1"/>
    <x v="0"/>
    <x v="39"/>
    <n v="9"/>
    <n v="10.25"/>
    <n v="16.899999999999999"/>
    <n v="159.4"/>
    <m/>
    <n v="16.899999999999999"/>
    <m/>
    <m/>
    <m/>
    <m/>
    <m/>
    <m/>
    <n v="159.4"/>
    <x v="1"/>
    <n v="0"/>
    <x v="0"/>
    <x v="1"/>
  </r>
  <r>
    <d v="2026-03-16T00:00:00"/>
    <x v="270"/>
    <x v="1"/>
    <x v="0"/>
    <x v="39"/>
    <n v="9"/>
    <n v="10.25"/>
    <n v="79.83"/>
    <n v="965"/>
    <m/>
    <n v="79.83"/>
    <m/>
    <m/>
    <m/>
    <m/>
    <m/>
    <m/>
    <n v="965"/>
    <x v="1"/>
    <n v="0"/>
    <x v="0"/>
    <x v="1"/>
  </r>
  <r>
    <d v="2026-03-24T00:00:00"/>
    <x v="270"/>
    <x v="1"/>
    <x v="0"/>
    <x v="39"/>
    <n v="9"/>
    <n v="10.25"/>
    <n v="13.19"/>
    <n v="159.4"/>
    <m/>
    <n v="13.19"/>
    <m/>
    <m/>
    <m/>
    <m/>
    <m/>
    <m/>
    <n v="159.4"/>
    <x v="1"/>
    <n v="0"/>
    <x v="0"/>
    <x v="1"/>
  </r>
  <r>
    <d v="2026-03-16T00:00:00"/>
    <x v="271"/>
    <x v="1"/>
    <x v="0"/>
    <x v="39"/>
    <n v="9"/>
    <n v="10.25"/>
    <n v="68.540000000000006"/>
    <n v="965"/>
    <m/>
    <n v="68.540000000000006"/>
    <m/>
    <m/>
    <m/>
    <m/>
    <m/>
    <m/>
    <n v="965"/>
    <x v="1"/>
    <n v="0"/>
    <x v="0"/>
    <x v="0"/>
  </r>
  <r>
    <d v="2026-03-24T00:00:00"/>
    <x v="271"/>
    <x v="1"/>
    <x v="0"/>
    <x v="39"/>
    <n v="9"/>
    <n v="10.25"/>
    <n v="11.11"/>
    <n v="159.4"/>
    <m/>
    <n v="11.11"/>
    <m/>
    <m/>
    <m/>
    <m/>
    <m/>
    <m/>
    <n v="159.4"/>
    <x v="1"/>
    <n v="0"/>
    <x v="0"/>
    <x v="0"/>
  </r>
  <r>
    <d v="2026-04-10T00:00:00"/>
    <x v="12"/>
    <x v="0"/>
    <x v="0"/>
    <x v="21"/>
    <n v="6.21"/>
    <n v="9.5"/>
    <n v="62.89"/>
    <n v="172.97"/>
    <m/>
    <n v="62.89"/>
    <m/>
    <m/>
    <m/>
    <m/>
    <m/>
    <m/>
    <n v="235.86"/>
    <x v="0"/>
    <n v="62.89"/>
    <x v="0"/>
    <x v="1"/>
  </r>
  <r>
    <d v="2026-04-10T00:00:00"/>
    <x v="12"/>
    <x v="0"/>
    <x v="1"/>
    <x v="21"/>
    <n v="6.21"/>
    <n v="9.4499999999999993"/>
    <n v="73"/>
    <n v="368.29"/>
    <m/>
    <n v="73"/>
    <m/>
    <m/>
    <m/>
    <m/>
    <m/>
    <m/>
    <n v="441.29"/>
    <x v="0"/>
    <n v="73"/>
    <x v="0"/>
    <x v="1"/>
  </r>
  <r>
    <d v="2026-04-11T00:00:00"/>
    <x v="272"/>
    <x v="2"/>
    <x v="0"/>
    <x v="44"/>
    <n v="1"/>
    <n v="1"/>
    <n v="0"/>
    <n v="170"/>
    <m/>
    <n v="0"/>
    <m/>
    <m/>
    <m/>
    <m/>
    <m/>
    <m/>
    <n v="170"/>
    <x v="1"/>
    <n v="0"/>
    <x v="0"/>
    <x v="2"/>
  </r>
  <r>
    <d v="2026-04-11T00:00:00"/>
    <x v="272"/>
    <x v="2"/>
    <x v="1"/>
    <x v="44"/>
    <n v="1"/>
    <n v="1"/>
    <n v="0"/>
    <n v="170"/>
    <m/>
    <n v="0"/>
    <m/>
    <m/>
    <m/>
    <m/>
    <m/>
    <m/>
    <n v="170"/>
    <x v="1"/>
    <n v="0"/>
    <x v="0"/>
    <x v="2"/>
  </r>
  <r>
    <d v="2026-04-11T00:00:00"/>
    <x v="272"/>
    <x v="2"/>
    <x v="0"/>
    <x v="45"/>
    <n v="1"/>
    <n v="1"/>
    <n v="0"/>
    <n v="3452.95"/>
    <m/>
    <n v="0"/>
    <m/>
    <m/>
    <m/>
    <m/>
    <m/>
    <m/>
    <n v="3452.95"/>
    <x v="1"/>
    <n v="0"/>
    <x v="0"/>
    <x v="2"/>
  </r>
  <r>
    <d v="2026-04-11T00:00:00"/>
    <x v="272"/>
    <x v="5"/>
    <x v="0"/>
    <x v="46"/>
    <n v="1"/>
    <n v="1"/>
    <n v="0"/>
    <n v="20900.48"/>
    <m/>
    <n v="0"/>
    <m/>
    <m/>
    <m/>
    <m/>
    <m/>
    <m/>
    <n v="20900.48"/>
    <x v="1"/>
    <n v="0"/>
    <x v="0"/>
    <x v="2"/>
  </r>
  <r>
    <d v="2026-04-11T00:00:00"/>
    <x v="272"/>
    <x v="5"/>
    <x v="1"/>
    <x v="46"/>
    <n v="1"/>
    <n v="1"/>
    <n v="0"/>
    <n v="12046.8"/>
    <m/>
    <n v="0"/>
    <m/>
    <m/>
    <m/>
    <m/>
    <m/>
    <m/>
    <n v="12046.8"/>
    <x v="1"/>
    <n v="0"/>
    <x v="0"/>
    <x v="2"/>
  </r>
  <r>
    <d v="2026-04-11T00:00:00"/>
    <x v="272"/>
    <x v="2"/>
    <x v="1"/>
    <x v="47"/>
    <n v="1"/>
    <n v="1"/>
    <n v="0"/>
    <n v="319.58999999999997"/>
    <m/>
    <n v="0"/>
    <m/>
    <m/>
    <m/>
    <m/>
    <m/>
    <m/>
    <n v="319.58999999999997"/>
    <x v="1"/>
    <n v="0"/>
    <x v="0"/>
    <x v="2"/>
  </r>
  <r>
    <d v="2026-04-11T00:00:00"/>
    <x v="272"/>
    <x v="2"/>
    <x v="0"/>
    <x v="47"/>
    <n v="1"/>
    <n v="1"/>
    <n v="0"/>
    <n v="4801.6000000000004"/>
    <m/>
    <n v="0"/>
    <m/>
    <m/>
    <m/>
    <m/>
    <m/>
    <m/>
    <n v="4801.6000000000004"/>
    <x v="1"/>
    <n v="0"/>
    <x v="0"/>
    <x v="2"/>
  </r>
  <r>
    <d v="2026-04-11T00:00:00"/>
    <x v="272"/>
    <x v="2"/>
    <x v="0"/>
    <x v="48"/>
    <n v="1"/>
    <n v="1"/>
    <n v="0"/>
    <n v="1630"/>
    <m/>
    <n v="0"/>
    <m/>
    <m/>
    <m/>
    <m/>
    <m/>
    <s v="SUMA TR PREVIAS"/>
    <n v="1630"/>
    <x v="1"/>
    <n v="0"/>
    <x v="0"/>
    <x v="2"/>
  </r>
  <r>
    <d v="2026-04-11T00:00:00"/>
    <x v="272"/>
    <x v="2"/>
    <x v="1"/>
    <x v="49"/>
    <n v="1"/>
    <n v="1"/>
    <n v="0"/>
    <n v="2252.84"/>
    <m/>
    <n v="0"/>
    <m/>
    <m/>
    <m/>
    <m/>
    <m/>
    <m/>
    <n v="2252.84"/>
    <x v="1"/>
    <n v="0"/>
    <x v="0"/>
    <x v="2"/>
  </r>
  <r>
    <d v="2026-04-13T00:00:00"/>
    <x v="25"/>
    <x v="0"/>
    <x v="1"/>
    <x v="50"/>
    <n v="5.07"/>
    <n v="8.6999999999999993"/>
    <n v="65.349999999999994"/>
    <n v="2.25"/>
    <m/>
    <n v="65.349999999999994"/>
    <m/>
    <m/>
    <m/>
    <m/>
    <m/>
    <m/>
    <n v="67.599999999999994"/>
    <x v="0"/>
    <n v="65.349999999999994"/>
    <x v="0"/>
    <x v="5"/>
  </r>
  <r>
    <d v="2026-04-15T00:00:00"/>
    <x v="272"/>
    <x v="2"/>
    <x v="0"/>
    <x v="51"/>
    <n v="1"/>
    <n v="1"/>
    <n v="0"/>
    <n v="7466.8"/>
    <m/>
    <n v="0"/>
    <m/>
    <m/>
    <m/>
    <m/>
    <m/>
    <m/>
    <n v="7466.8"/>
    <x v="1"/>
    <n v="0"/>
    <x v="0"/>
    <x v="2"/>
  </r>
  <r>
    <d v="2026-04-17T00:00:00"/>
    <x v="273"/>
    <x v="4"/>
    <x v="0"/>
    <x v="52"/>
    <n v="1"/>
    <n v="1"/>
    <n v="3134.54"/>
    <n v="0"/>
    <m/>
    <n v="3134.54"/>
    <m/>
    <m/>
    <m/>
    <m/>
    <m/>
    <m/>
    <n v="3134.54"/>
    <x v="1"/>
    <n v="3134.54"/>
    <x v="0"/>
    <x v="0"/>
  </r>
  <r>
    <d v="2026-04-17T00:00:00"/>
    <x v="273"/>
    <x v="4"/>
    <x v="1"/>
    <x v="52"/>
    <n v="1"/>
    <n v="1"/>
    <n v="642"/>
    <n v="0"/>
    <m/>
    <n v="642"/>
    <m/>
    <m/>
    <m/>
    <m/>
    <m/>
    <m/>
    <n v="642"/>
    <x v="1"/>
    <n v="642"/>
    <x v="0"/>
    <x v="0"/>
  </r>
  <r>
    <d v="2026-04-17T00:00:00"/>
    <x v="273"/>
    <x v="4"/>
    <x v="2"/>
    <x v="52"/>
    <n v="1"/>
    <n v="1"/>
    <n v="526.44999999999982"/>
    <n v="0"/>
    <m/>
    <n v="526.44999999999982"/>
    <m/>
    <m/>
    <m/>
    <m/>
    <m/>
    <m/>
    <n v="526.44999999999982"/>
    <x v="1"/>
    <n v="526.44999999999982"/>
    <x v="0"/>
    <x v="0"/>
  </r>
  <r>
    <d v="2026-04-17T00:00:00"/>
    <x v="273"/>
    <x v="4"/>
    <x v="2"/>
    <x v="52"/>
    <n v="1"/>
    <n v="1"/>
    <n v="1142.700000000001"/>
    <n v="0"/>
    <m/>
    <n v="1142.700000000001"/>
    <m/>
    <m/>
    <m/>
    <m/>
    <m/>
    <m/>
    <n v="1142.700000000001"/>
    <x v="1"/>
    <n v="1142.700000000001"/>
    <x v="0"/>
    <x v="0"/>
  </r>
  <r>
    <d v="2026-04-22T00:00:00"/>
    <x v="274"/>
    <x v="4"/>
    <x v="3"/>
    <x v="53"/>
    <n v="1"/>
    <n v="1"/>
    <n v="2100"/>
    <n v="0"/>
    <m/>
    <n v="2100"/>
    <m/>
    <m/>
    <m/>
    <m/>
    <m/>
    <m/>
    <n v="2100"/>
    <x v="1"/>
    <n v="2100"/>
    <x v="0"/>
    <x v="0"/>
  </r>
  <r>
    <d v="2026-04-27T00:00:00"/>
    <x v="273"/>
    <x v="4"/>
    <x v="0"/>
    <x v="52"/>
    <n v="1"/>
    <n v="1"/>
    <n v="982.64372000000003"/>
    <n v="0"/>
    <m/>
    <n v="982.64372000000003"/>
    <m/>
    <m/>
    <m/>
    <m/>
    <m/>
    <n v="366433"/>
    <n v="982.64372000000003"/>
    <x v="1"/>
    <n v="982.64372000000003"/>
    <x v="0"/>
    <x v="0"/>
  </r>
  <r>
    <d v="2026-04-27T00:00:00"/>
    <x v="273"/>
    <x v="4"/>
    <x v="1"/>
    <x v="52"/>
    <n v="1"/>
    <n v="1"/>
    <n v="7843.71"/>
    <n v="0"/>
    <m/>
    <n v="7843.71"/>
    <m/>
    <m/>
    <m/>
    <m/>
    <m/>
    <m/>
    <n v="7843.71"/>
    <x v="1"/>
    <n v="7843.71"/>
    <x v="0"/>
    <x v="0"/>
  </r>
  <r>
    <d v="2026-04-28T00:00:00"/>
    <x v="272"/>
    <x v="2"/>
    <x v="0"/>
    <x v="54"/>
    <n v="1"/>
    <n v="1"/>
    <n v="0"/>
    <n v="3700.56"/>
    <m/>
    <n v="0"/>
    <m/>
    <m/>
    <m/>
    <m/>
    <m/>
    <s v="11973 - VAD20"/>
    <n v="3700.56"/>
    <x v="1"/>
    <n v="0"/>
    <x v="0"/>
    <x v="2"/>
  </r>
  <r>
    <d v="2026-04-27T00:00:00"/>
    <x v="273"/>
    <x v="4"/>
    <x v="1"/>
    <x v="52"/>
    <n v="1"/>
    <n v="1"/>
    <n v="471.35000000000042"/>
    <n v="0"/>
    <m/>
    <n v="471.35000000000042"/>
    <m/>
    <m/>
    <m/>
    <m/>
    <m/>
    <m/>
    <n v="471.35000000000042"/>
    <x v="1"/>
    <n v="471.35000000000042"/>
    <x v="0"/>
    <x v="0"/>
  </r>
  <r>
    <d v="2026-04-29T00:00:00"/>
    <x v="31"/>
    <x v="0"/>
    <x v="0"/>
    <x v="55"/>
    <n v="6.21"/>
    <n v="8.9"/>
    <n v="161.91"/>
    <n v="24.91"/>
    <m/>
    <n v="161.91"/>
    <m/>
    <m/>
    <m/>
    <m/>
    <m/>
    <m/>
    <n v="186.82"/>
    <x v="0"/>
    <n v="161.91"/>
    <x v="0"/>
    <x v="3"/>
  </r>
  <r>
    <d v="2026-04-29T00:00:00"/>
    <x v="48"/>
    <x v="0"/>
    <x v="0"/>
    <x v="56"/>
    <n v="6.21"/>
    <n v="8.9"/>
    <n v="186.82"/>
    <n v="0"/>
    <m/>
    <n v="186.82"/>
    <m/>
    <m/>
    <m/>
    <m/>
    <m/>
    <m/>
    <n v="186.82"/>
    <x v="0"/>
    <n v="186.82"/>
    <x v="0"/>
    <x v="6"/>
  </r>
  <r>
    <d v="2026-04-29T00:00:00"/>
    <x v="64"/>
    <x v="0"/>
    <x v="0"/>
    <x v="57"/>
    <n v="6.21"/>
    <n v="8.9"/>
    <n v="186.82"/>
    <n v="0"/>
    <m/>
    <n v="186.82"/>
    <m/>
    <m/>
    <m/>
    <m/>
    <m/>
    <m/>
    <n v="186.82"/>
    <x v="0"/>
    <n v="186.82"/>
    <x v="0"/>
    <x v="1"/>
  </r>
  <r>
    <d v="2026-04-29T00:00:00"/>
    <x v="80"/>
    <x v="0"/>
    <x v="0"/>
    <x v="58"/>
    <n v="6.21"/>
    <n v="8.9"/>
    <n v="186.82"/>
    <n v="0"/>
    <m/>
    <n v="186.82"/>
    <m/>
    <m/>
    <m/>
    <m/>
    <m/>
    <m/>
    <n v="186.82"/>
    <x v="0"/>
    <n v="186.82"/>
    <x v="0"/>
    <x v="5"/>
  </r>
  <r>
    <d v="2026-04-29T00:00:00"/>
    <x v="97"/>
    <x v="0"/>
    <x v="0"/>
    <x v="59"/>
    <n v="6.21"/>
    <n v="8.9"/>
    <n v="186.82"/>
    <n v="0"/>
    <m/>
    <n v="186.82"/>
    <m/>
    <m/>
    <m/>
    <m/>
    <m/>
    <m/>
    <n v="186.82"/>
    <x v="0"/>
    <n v="186.82"/>
    <x v="0"/>
    <x v="0"/>
  </r>
  <r>
    <d v="2026-04-29T00:00:00"/>
    <x v="113"/>
    <x v="0"/>
    <x v="0"/>
    <x v="60"/>
    <n v="6.21"/>
    <n v="8.9"/>
    <n v="186.82"/>
    <n v="0"/>
    <m/>
    <n v="186.82"/>
    <m/>
    <m/>
    <m/>
    <m/>
    <m/>
    <m/>
    <n v="186.82"/>
    <x v="1"/>
    <n v="186.82"/>
    <x v="0"/>
    <x v="2"/>
  </r>
  <r>
    <d v="2026-04-29T00:00:00"/>
    <x v="129"/>
    <x v="0"/>
    <x v="0"/>
    <x v="61"/>
    <n v="6.21"/>
    <n v="8.9"/>
    <n v="186.82"/>
    <n v="0"/>
    <m/>
    <n v="186.82"/>
    <m/>
    <m/>
    <m/>
    <m/>
    <m/>
    <m/>
    <n v="186.82"/>
    <x v="1"/>
    <n v="186.82"/>
    <x v="0"/>
    <x v="4"/>
  </r>
  <r>
    <d v="2026-04-29T00:00:00"/>
    <x v="145"/>
    <x v="0"/>
    <x v="0"/>
    <x v="62"/>
    <n v="6.21"/>
    <n v="8.9"/>
    <n v="186.82"/>
    <n v="0"/>
    <m/>
    <n v="186.82"/>
    <m/>
    <m/>
    <m/>
    <m/>
    <m/>
    <m/>
    <n v="186.82"/>
    <x v="1"/>
    <n v="186.82"/>
    <x v="0"/>
    <x v="0"/>
  </r>
  <r>
    <d v="2026-04-29T00:00:00"/>
    <x v="161"/>
    <x v="0"/>
    <x v="0"/>
    <x v="63"/>
    <n v="6.21"/>
    <n v="8.9"/>
    <n v="186.82"/>
    <n v="0"/>
    <m/>
    <n v="186.82"/>
    <m/>
    <m/>
    <m/>
    <m/>
    <m/>
    <m/>
    <n v="186.82"/>
    <x v="1"/>
    <n v="186.82"/>
    <x v="0"/>
    <x v="3"/>
  </r>
  <r>
    <d v="2026-04-29T00:00:00"/>
    <x v="178"/>
    <x v="0"/>
    <x v="0"/>
    <x v="64"/>
    <n v="6.21"/>
    <n v="8.9"/>
    <n v="186.82"/>
    <n v="0"/>
    <m/>
    <n v="186.82"/>
    <m/>
    <m/>
    <m/>
    <m/>
    <m/>
    <m/>
    <n v="186.82"/>
    <x v="1"/>
    <n v="186.82"/>
    <x v="0"/>
    <x v="6"/>
  </r>
  <r>
    <d v="2026-04-29T00:00:00"/>
    <x v="193"/>
    <x v="0"/>
    <x v="0"/>
    <x v="55"/>
    <n v="6.21"/>
    <n v="8.9"/>
    <n v="186.82"/>
    <n v="0"/>
    <m/>
    <n v="186.82"/>
    <m/>
    <m/>
    <m/>
    <m/>
    <m/>
    <m/>
    <n v="186.82"/>
    <x v="1"/>
    <n v="186.82"/>
    <x v="0"/>
    <x v="6"/>
  </r>
  <r>
    <d v="2026-04-29T00:00:00"/>
    <x v="275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2"/>
  </r>
  <r>
    <d v="2024-09-17T00:00:00"/>
    <x v="276"/>
    <x v="0"/>
    <x v="0"/>
    <x v="0"/>
    <n v="5.36"/>
    <n v="13.5"/>
    <n v="15.63"/>
    <m/>
    <m/>
    <n v="15.63"/>
    <m/>
    <m/>
    <m/>
    <m/>
    <m/>
    <m/>
    <n v="15.63"/>
    <x v="1"/>
    <n v="15.63"/>
    <x v="0"/>
    <x v="1"/>
  </r>
  <r>
    <d v="2024-09-25T00:00:00"/>
    <x v="276"/>
    <x v="0"/>
    <x v="0"/>
    <x v="0"/>
    <n v="5.36"/>
    <n v="12.5"/>
    <n v="12.51"/>
    <m/>
    <m/>
    <n v="12.51"/>
    <m/>
    <m/>
    <m/>
    <m/>
    <m/>
    <m/>
    <n v="12.51"/>
    <x v="1"/>
    <n v="12.51"/>
    <x v="0"/>
    <x v="1"/>
  </r>
  <r>
    <d v="2025-02-20T00:00:00"/>
    <x v="277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2"/>
  </r>
  <r>
    <d v="2026-02-04T00:00:00"/>
    <x v="278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5"/>
  </r>
  <r>
    <d v="2026-02-04T00:00:00"/>
    <x v="278"/>
    <x v="0"/>
    <x v="0"/>
    <x v="7"/>
    <n v="7.35"/>
    <n v="11"/>
    <n v="20.79"/>
    <m/>
    <m/>
    <n v="20.79"/>
    <m/>
    <m/>
    <m/>
    <m/>
    <m/>
    <m/>
    <n v="20.79"/>
    <x v="1"/>
    <n v="20.79"/>
    <x v="0"/>
    <x v="5"/>
  </r>
  <r>
    <d v="2025-12-10T00:00:00"/>
    <x v="278"/>
    <x v="0"/>
    <x v="1"/>
    <x v="8"/>
    <n v="7.54"/>
    <n v="11"/>
    <n v="7.79"/>
    <m/>
    <m/>
    <n v="7.79"/>
    <m/>
    <m/>
    <m/>
    <m/>
    <m/>
    <m/>
    <n v="7.79"/>
    <x v="1"/>
    <n v="7.79"/>
    <x v="0"/>
    <x v="5"/>
  </r>
  <r>
    <d v="2025-10-13T00:00:00"/>
    <x v="279"/>
    <x v="0"/>
    <x v="0"/>
    <x v="11"/>
    <n v="7.54"/>
    <n v="9.85"/>
    <n v="35.25"/>
    <m/>
    <m/>
    <n v="35.25"/>
    <m/>
    <m/>
    <m/>
    <m/>
    <m/>
    <m/>
    <n v="35.25"/>
    <x v="1"/>
    <n v="35.25"/>
    <x v="0"/>
    <x v="1"/>
  </r>
  <r>
    <d v="2026-04-09T00:00:00"/>
    <x v="280"/>
    <x v="0"/>
    <x v="0"/>
    <x v="13"/>
    <n v="4.71"/>
    <n v="9.5"/>
    <n v="3.53"/>
    <n v="0"/>
    <m/>
    <n v="3.53"/>
    <m/>
    <m/>
    <m/>
    <m/>
    <m/>
    <m/>
    <n v="3.53"/>
    <x v="1"/>
    <n v="3.53"/>
    <x v="0"/>
    <x v="3"/>
  </r>
  <r>
    <d v="2021-09-23T00:00:00"/>
    <x v="281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1"/>
  </r>
  <r>
    <d v="2023-12-04T00:00:00"/>
    <x v="281"/>
    <x v="0"/>
    <x v="1"/>
    <x v="18"/>
    <n v="5.64"/>
    <n v="13"/>
    <n v="14.1"/>
    <m/>
    <m/>
    <n v="14.1"/>
    <m/>
    <m/>
    <m/>
    <m/>
    <m/>
    <m/>
    <n v="14.1"/>
    <x v="1"/>
    <n v="14.1"/>
    <x v="0"/>
    <x v="1"/>
  </r>
  <r>
    <d v="2024-01-11T00:00:00"/>
    <x v="281"/>
    <x v="0"/>
    <x v="1"/>
    <x v="18"/>
    <n v="5.64"/>
    <n v="12.75"/>
    <n v="7.28"/>
    <m/>
    <m/>
    <n v="7.28"/>
    <m/>
    <m/>
    <m/>
    <m/>
    <m/>
    <m/>
    <n v="7.28"/>
    <x v="1"/>
    <n v="7.28"/>
    <x v="0"/>
    <x v="1"/>
  </r>
  <r>
    <d v="2025-12-15T00:00:00"/>
    <x v="282"/>
    <x v="0"/>
    <x v="1"/>
    <x v="19"/>
    <n v="5.93"/>
    <n v="8.5"/>
    <n v="23.09"/>
    <m/>
    <m/>
    <n v="23.09"/>
    <m/>
    <m/>
    <m/>
    <m/>
    <m/>
    <m/>
    <n v="23.09"/>
    <x v="1"/>
    <n v="23.09"/>
    <x v="0"/>
    <x v="2"/>
  </r>
  <r>
    <d v="2025-03-18T00:00:00"/>
    <x v="282"/>
    <x v="0"/>
    <x v="0"/>
    <x v="20"/>
    <n v="5.93"/>
    <n v="12"/>
    <n v="8.94"/>
    <m/>
    <m/>
    <n v="8.94"/>
    <m/>
    <m/>
    <m/>
    <m/>
    <m/>
    <m/>
    <n v="8.94"/>
    <x v="1"/>
    <n v="8.94"/>
    <x v="0"/>
    <x v="2"/>
  </r>
  <r>
    <d v="2023-12-04T00:00:00"/>
    <x v="199"/>
    <x v="0"/>
    <x v="1"/>
    <x v="22"/>
    <n v="5.36"/>
    <n v="13"/>
    <n v="5.58"/>
    <m/>
    <m/>
    <n v="5.58"/>
    <m/>
    <m/>
    <m/>
    <m/>
    <m/>
    <m/>
    <n v="5.58"/>
    <x v="1"/>
    <n v="5.58"/>
    <x v="0"/>
    <x v="4"/>
  </r>
  <r>
    <d v="2023-12-19T00:00:00"/>
    <x v="199"/>
    <x v="0"/>
    <x v="1"/>
    <x v="22"/>
    <n v="5.36"/>
    <n v="13"/>
    <n v="3.13"/>
    <m/>
    <m/>
    <n v="3.13"/>
    <m/>
    <m/>
    <m/>
    <m/>
    <m/>
    <m/>
    <n v="3.13"/>
    <x v="1"/>
    <n v="3.13"/>
    <x v="0"/>
    <x v="4"/>
  </r>
  <r>
    <d v="2024-09-17T00:00:00"/>
    <x v="199"/>
    <x v="0"/>
    <x v="0"/>
    <x v="22"/>
    <n v="5.36"/>
    <n v="13.75"/>
    <n v="4.47"/>
    <m/>
    <m/>
    <n v="4.47"/>
    <m/>
    <m/>
    <m/>
    <m/>
    <m/>
    <m/>
    <n v="4.47"/>
    <x v="1"/>
    <n v="4.47"/>
    <x v="0"/>
    <x v="4"/>
  </r>
  <r>
    <d v="2024-06-04T00:00:00"/>
    <x v="283"/>
    <x v="0"/>
    <x v="0"/>
    <x v="24"/>
    <n v="5.93"/>
    <n v="13.25"/>
    <n v="29.65"/>
    <m/>
    <m/>
    <n v="29.65"/>
    <m/>
    <m/>
    <m/>
    <m/>
    <m/>
    <m/>
    <n v="29.65"/>
    <x v="1"/>
    <n v="29.65"/>
    <x v="0"/>
    <x v="1"/>
  </r>
  <r>
    <d v="2025-06-24T00:00:00"/>
    <x v="275"/>
    <x v="0"/>
    <x v="0"/>
    <x v="25"/>
    <n v="5.93"/>
    <n v="11"/>
    <n v="22.41"/>
    <m/>
    <m/>
    <n v="22.41"/>
    <m/>
    <m/>
    <m/>
    <m/>
    <m/>
    <m/>
    <n v="22.41"/>
    <x v="1"/>
    <n v="22.41"/>
    <x v="0"/>
    <x v="2"/>
  </r>
  <r>
    <d v="2025-08-20T00:00:00"/>
    <x v="275"/>
    <x v="0"/>
    <x v="0"/>
    <x v="25"/>
    <n v="6.21"/>
    <n v="9.75"/>
    <n v="4.5"/>
    <m/>
    <m/>
    <n v="4.5"/>
    <m/>
    <m/>
    <m/>
    <m/>
    <m/>
    <m/>
    <n v="4.5"/>
    <x v="1"/>
    <n v="4.5"/>
    <x v="0"/>
    <x v="2"/>
  </r>
  <r>
    <d v="2025-08-20T00:00:00"/>
    <x v="275"/>
    <x v="0"/>
    <x v="1"/>
    <x v="25"/>
    <n v="6.21"/>
    <n v="10.75"/>
    <n v="25.88"/>
    <m/>
    <m/>
    <n v="25.88"/>
    <m/>
    <m/>
    <m/>
    <m/>
    <m/>
    <m/>
    <n v="25.88"/>
    <x v="1"/>
    <n v="25.88"/>
    <x v="0"/>
    <x v="2"/>
  </r>
  <r>
    <d v="2024-10-28T00:00:00"/>
    <x v="284"/>
    <x v="0"/>
    <x v="0"/>
    <x v="26"/>
    <n v="5.07"/>
    <n v="13"/>
    <n v="11.41"/>
    <m/>
    <m/>
    <n v="11.41"/>
    <m/>
    <m/>
    <m/>
    <m/>
    <m/>
    <m/>
    <n v="11.41"/>
    <x v="1"/>
    <n v="11.41"/>
    <x v="0"/>
    <x v="3"/>
  </r>
  <r>
    <d v="2022-09-26T00:00:00"/>
    <x v="285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5"/>
  </r>
  <r>
    <d v="2026-02-04T00:00:00"/>
    <x v="285"/>
    <x v="0"/>
    <x v="0"/>
    <x v="28"/>
    <n v="6.21"/>
    <n v="11"/>
    <n v="15.61"/>
    <m/>
    <m/>
    <n v="15.61"/>
    <m/>
    <m/>
    <m/>
    <m/>
    <m/>
    <m/>
    <n v="15.61"/>
    <x v="1"/>
    <n v="15.61"/>
    <x v="0"/>
    <x v="5"/>
  </r>
  <r>
    <d v="2026-02-27T00:00:00"/>
    <x v="285"/>
    <x v="0"/>
    <x v="1"/>
    <x v="29"/>
    <n v="6.21"/>
    <n v="10.6"/>
    <n v="17.79"/>
    <m/>
    <m/>
    <n v="17.79"/>
    <m/>
    <m/>
    <m/>
    <m/>
    <m/>
    <m/>
    <n v="17.79"/>
    <x v="1"/>
    <n v="17.79"/>
    <x v="0"/>
    <x v="5"/>
  </r>
  <r>
    <d v="2025-11-26T00:00:00"/>
    <x v="286"/>
    <x v="0"/>
    <x v="1"/>
    <x v="30"/>
    <n v="6.82"/>
    <n v="11"/>
    <n v="6.82"/>
    <n v="0"/>
    <m/>
    <n v="6.82"/>
    <m/>
    <m/>
    <m/>
    <m/>
    <m/>
    <m/>
    <n v="6.82"/>
    <x v="1"/>
    <n v="6.82"/>
    <x v="0"/>
    <x v="4"/>
  </r>
  <r>
    <d v="2024-02-01T00:00:00"/>
    <x v="28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4-03-05T00:00:00"/>
    <x v="287"/>
    <x v="2"/>
    <x v="0"/>
    <x v="16"/>
    <n v="6"/>
    <n v="12"/>
    <n v="108.33"/>
    <m/>
    <m/>
    <n v="108.33"/>
    <m/>
    <m/>
    <m/>
    <m/>
    <m/>
    <m/>
    <n v="108.33"/>
    <x v="1"/>
    <n v="108.33"/>
    <x v="0"/>
    <x v="6"/>
  </r>
  <r>
    <d v="2023-03-21T00:00:00"/>
    <x v="287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5T00:00:00"/>
    <x v="287"/>
    <x v="2"/>
    <x v="0"/>
    <x v="16"/>
    <n v="6"/>
    <n v="12"/>
    <n v="54.16"/>
    <m/>
    <m/>
    <n v="54.16"/>
    <m/>
    <m/>
    <m/>
    <m/>
    <m/>
    <m/>
    <n v="54.16"/>
    <x v="1"/>
    <n v="54.16"/>
    <x v="0"/>
    <x v="6"/>
  </r>
  <r>
    <d v="2024-04-15T00:00:00"/>
    <x v="287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6T00:00:00"/>
    <x v="28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6-03-24T00:00:00"/>
    <x v="287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6"/>
  </r>
  <r>
    <d v="2026-05-07T00:00:00"/>
    <x v="288"/>
    <x v="0"/>
    <x v="3"/>
    <x v="66"/>
    <n v="7.72"/>
    <n v="9"/>
    <n v="2.25"/>
    <n v="65.3"/>
    <m/>
    <n v="2.25"/>
    <m/>
    <m/>
    <m/>
    <m/>
    <m/>
    <m/>
    <n v="67.55"/>
    <x v="0"/>
    <n v="2.25"/>
    <x v="0"/>
    <x v="0"/>
  </r>
  <r>
    <d v="2026-05-07T00:00:00"/>
    <x v="289"/>
    <x v="0"/>
    <x v="3"/>
    <x v="66"/>
    <n v="7.72"/>
    <n v="9"/>
    <n v="67.55"/>
    <m/>
    <m/>
    <n v="67.55"/>
    <m/>
    <m/>
    <m/>
    <m/>
    <m/>
    <m/>
    <n v="67.55"/>
    <x v="0"/>
    <n v="67.55"/>
    <x v="0"/>
    <x v="3"/>
  </r>
  <r>
    <d v="2026-05-07T00:00:00"/>
    <x v="52"/>
    <x v="0"/>
    <x v="3"/>
    <x v="66"/>
    <n v="7.72"/>
    <n v="9"/>
    <n v="67.55"/>
    <m/>
    <m/>
    <n v="67.55"/>
    <m/>
    <m/>
    <m/>
    <m/>
    <m/>
    <m/>
    <n v="67.55"/>
    <x v="0"/>
    <n v="67.55"/>
    <x v="0"/>
    <x v="4"/>
  </r>
  <r>
    <d v="2026-05-07T00:00:00"/>
    <x v="290"/>
    <x v="0"/>
    <x v="3"/>
    <x v="66"/>
    <n v="7.72"/>
    <n v="9"/>
    <n v="67.55"/>
    <m/>
    <m/>
    <n v="67.55"/>
    <m/>
    <m/>
    <m/>
    <m/>
    <m/>
    <m/>
    <n v="67.55"/>
    <x v="0"/>
    <n v="67.55"/>
    <x v="0"/>
    <x v="1"/>
  </r>
  <r>
    <d v="2026-05-07T00:00:00"/>
    <x v="291"/>
    <x v="0"/>
    <x v="3"/>
    <x v="66"/>
    <n v="7.72"/>
    <n v="9"/>
    <n v="67.55"/>
    <m/>
    <m/>
    <n v="67.55"/>
    <m/>
    <m/>
    <m/>
    <m/>
    <m/>
    <m/>
    <n v="67.55"/>
    <x v="0"/>
    <n v="67.55"/>
    <x v="0"/>
    <x v="5"/>
  </r>
  <r>
    <d v="2026-05-07T00:00:00"/>
    <x v="101"/>
    <x v="0"/>
    <x v="3"/>
    <x v="66"/>
    <n v="7.72"/>
    <n v="9"/>
    <n v="67.55"/>
    <m/>
    <m/>
    <n v="67.55"/>
    <m/>
    <m/>
    <m/>
    <m/>
    <m/>
    <m/>
    <n v="67.55"/>
    <x v="0"/>
    <n v="67.55"/>
    <x v="1"/>
    <x v="6"/>
  </r>
  <r>
    <d v="2026-05-07T00:00:00"/>
    <x v="292"/>
    <x v="0"/>
    <x v="3"/>
    <x v="66"/>
    <n v="7.72"/>
    <n v="9"/>
    <n v="67.55"/>
    <m/>
    <m/>
    <n v="67.55"/>
    <m/>
    <m/>
    <m/>
    <m/>
    <m/>
    <m/>
    <n v="67.55"/>
    <x v="1"/>
    <n v="67.55"/>
    <x v="0"/>
    <x v="2"/>
  </r>
  <r>
    <d v="2026-05-07T00:00:00"/>
    <x v="293"/>
    <x v="0"/>
    <x v="3"/>
    <x v="66"/>
    <n v="7.72"/>
    <n v="9"/>
    <n v="67.55"/>
    <m/>
    <m/>
    <n v="67.55"/>
    <m/>
    <m/>
    <m/>
    <m/>
    <m/>
    <m/>
    <n v="67.55"/>
    <x v="1"/>
    <n v="67.55"/>
    <x v="0"/>
    <x v="5"/>
  </r>
  <r>
    <d v="2026-05-07T00:00:00"/>
    <x v="149"/>
    <x v="0"/>
    <x v="3"/>
    <x v="66"/>
    <n v="7.72"/>
    <n v="9"/>
    <n v="67.55"/>
    <m/>
    <m/>
    <n v="67.55"/>
    <m/>
    <m/>
    <m/>
    <m/>
    <m/>
    <m/>
    <n v="67.55"/>
    <x v="1"/>
    <n v="67.55"/>
    <x v="0"/>
    <x v="0"/>
  </r>
  <r>
    <d v="2026-05-07T00:00:00"/>
    <x v="294"/>
    <x v="0"/>
    <x v="3"/>
    <x v="66"/>
    <n v="7.72"/>
    <n v="9"/>
    <n v="67.55"/>
    <m/>
    <m/>
    <n v="67.55"/>
    <m/>
    <m/>
    <m/>
    <m/>
    <m/>
    <m/>
    <n v="67.55"/>
    <x v="1"/>
    <n v="67.55"/>
    <x v="0"/>
    <x v="3"/>
  </r>
  <r>
    <d v="2026-05-07T00:00:00"/>
    <x v="295"/>
    <x v="0"/>
    <x v="3"/>
    <x v="66"/>
    <n v="7.72"/>
    <n v="9"/>
    <n v="67.55"/>
    <m/>
    <m/>
    <n v="67.55"/>
    <m/>
    <m/>
    <m/>
    <m/>
    <m/>
    <m/>
    <n v="67.55"/>
    <x v="1"/>
    <n v="67.55"/>
    <x v="0"/>
    <x v="3"/>
  </r>
  <r>
    <d v="2026-05-07T00:00:00"/>
    <x v="197"/>
    <x v="0"/>
    <x v="3"/>
    <x v="66"/>
    <n v="7.72"/>
    <n v="9"/>
    <n v="67.55"/>
    <m/>
    <m/>
    <n v="67.55"/>
    <m/>
    <m/>
    <m/>
    <m/>
    <m/>
    <m/>
    <n v="67.55"/>
    <x v="1"/>
    <n v="67.55"/>
    <x v="0"/>
    <x v="6"/>
  </r>
  <r>
    <d v="2026-05-07T00:00:00"/>
    <x v="288"/>
    <x v="0"/>
    <x v="0"/>
    <x v="66"/>
    <n v="7.72"/>
    <n v="9"/>
    <n v="4.08"/>
    <n v="118.38"/>
    <m/>
    <n v="4.08"/>
    <m/>
    <m/>
    <m/>
    <m/>
    <m/>
    <m/>
    <n v="122.46"/>
    <x v="0"/>
    <n v="4.08"/>
    <x v="0"/>
    <x v="0"/>
  </r>
  <r>
    <d v="2026-05-07T00:00:00"/>
    <x v="289"/>
    <x v="0"/>
    <x v="0"/>
    <x v="66"/>
    <n v="7.72"/>
    <n v="9"/>
    <n v="122.46"/>
    <m/>
    <m/>
    <n v="122.46"/>
    <m/>
    <m/>
    <m/>
    <m/>
    <m/>
    <m/>
    <n v="122.46"/>
    <x v="0"/>
    <n v="122.46"/>
    <x v="0"/>
    <x v="3"/>
  </r>
  <r>
    <d v="2026-05-07T00:00:00"/>
    <x v="52"/>
    <x v="0"/>
    <x v="0"/>
    <x v="66"/>
    <n v="7.72"/>
    <n v="9"/>
    <n v="122.46"/>
    <m/>
    <m/>
    <n v="122.46"/>
    <m/>
    <m/>
    <m/>
    <m/>
    <m/>
    <m/>
    <n v="122.46"/>
    <x v="0"/>
    <n v="122.46"/>
    <x v="0"/>
    <x v="4"/>
  </r>
  <r>
    <d v="2026-05-07T00:00:00"/>
    <x v="290"/>
    <x v="0"/>
    <x v="0"/>
    <x v="66"/>
    <n v="7.72"/>
    <n v="9"/>
    <n v="122.46"/>
    <m/>
    <m/>
    <n v="122.46"/>
    <m/>
    <m/>
    <m/>
    <m/>
    <m/>
    <m/>
    <n v="122.46"/>
    <x v="0"/>
    <n v="122.46"/>
    <x v="0"/>
    <x v="1"/>
  </r>
  <r>
    <d v="2026-05-07T00:00:00"/>
    <x v="291"/>
    <x v="0"/>
    <x v="0"/>
    <x v="66"/>
    <n v="7.72"/>
    <n v="9"/>
    <n v="122.46"/>
    <m/>
    <m/>
    <n v="122.46"/>
    <m/>
    <m/>
    <m/>
    <m/>
    <m/>
    <m/>
    <n v="122.46"/>
    <x v="0"/>
    <n v="122.46"/>
    <x v="0"/>
    <x v="5"/>
  </r>
  <r>
    <d v="2026-05-07T00:00:00"/>
    <x v="101"/>
    <x v="0"/>
    <x v="0"/>
    <x v="66"/>
    <n v="7.72"/>
    <n v="9"/>
    <n v="122.46"/>
    <m/>
    <m/>
    <n v="122.46"/>
    <m/>
    <m/>
    <m/>
    <m/>
    <m/>
    <m/>
    <n v="122.46"/>
    <x v="0"/>
    <n v="122.46"/>
    <x v="1"/>
    <x v="6"/>
  </r>
  <r>
    <d v="2026-05-07T00:00:00"/>
    <x v="292"/>
    <x v="0"/>
    <x v="0"/>
    <x v="66"/>
    <n v="7.72"/>
    <n v="9"/>
    <n v="122.46"/>
    <m/>
    <m/>
    <n v="122.46"/>
    <m/>
    <m/>
    <m/>
    <m/>
    <m/>
    <m/>
    <n v="122.46"/>
    <x v="1"/>
    <n v="122.46"/>
    <x v="0"/>
    <x v="2"/>
  </r>
  <r>
    <d v="2026-05-07T00:00:00"/>
    <x v="293"/>
    <x v="0"/>
    <x v="0"/>
    <x v="66"/>
    <n v="7.72"/>
    <n v="9"/>
    <n v="122.46"/>
    <m/>
    <m/>
    <n v="122.46"/>
    <m/>
    <m/>
    <m/>
    <m/>
    <m/>
    <m/>
    <n v="122.46"/>
    <x v="1"/>
    <n v="122.46"/>
    <x v="0"/>
    <x v="5"/>
  </r>
  <r>
    <d v="2026-05-07T00:00:00"/>
    <x v="149"/>
    <x v="0"/>
    <x v="0"/>
    <x v="66"/>
    <n v="7.72"/>
    <n v="9"/>
    <n v="122.46"/>
    <m/>
    <m/>
    <n v="122.46"/>
    <m/>
    <m/>
    <m/>
    <m/>
    <m/>
    <m/>
    <n v="122.46"/>
    <x v="1"/>
    <n v="122.46"/>
    <x v="0"/>
    <x v="0"/>
  </r>
  <r>
    <d v="2026-05-07T00:00:00"/>
    <x v="294"/>
    <x v="0"/>
    <x v="0"/>
    <x v="66"/>
    <n v="7.72"/>
    <n v="9"/>
    <n v="122.46"/>
    <m/>
    <m/>
    <n v="122.46"/>
    <m/>
    <m/>
    <m/>
    <m/>
    <m/>
    <m/>
    <n v="122.46"/>
    <x v="1"/>
    <n v="122.46"/>
    <x v="0"/>
    <x v="3"/>
  </r>
  <r>
    <d v="2026-05-07T00:00:00"/>
    <x v="295"/>
    <x v="0"/>
    <x v="0"/>
    <x v="66"/>
    <n v="7.72"/>
    <n v="9"/>
    <n v="122.46"/>
    <m/>
    <m/>
    <n v="122.46"/>
    <m/>
    <m/>
    <m/>
    <m/>
    <m/>
    <m/>
    <n v="122.46"/>
    <x v="1"/>
    <n v="122.46"/>
    <x v="0"/>
    <x v="3"/>
  </r>
  <r>
    <d v="2026-05-07T00:00:00"/>
    <x v="197"/>
    <x v="0"/>
    <x v="0"/>
    <x v="66"/>
    <n v="7.72"/>
    <n v="9"/>
    <n v="122.46"/>
    <m/>
    <m/>
    <n v="122.46"/>
    <m/>
    <m/>
    <m/>
    <m/>
    <m/>
    <m/>
    <n v="122.46"/>
    <x v="1"/>
    <n v="122.46"/>
    <x v="0"/>
    <x v="6"/>
  </r>
  <r>
    <d v="2026-05-07T00:00:00"/>
    <x v="28"/>
    <x v="0"/>
    <x v="0"/>
    <x v="67"/>
    <n v="6.21"/>
    <n v="9"/>
    <n v="68.97"/>
    <n v="119.14"/>
    <m/>
    <n v="68.97"/>
    <m/>
    <m/>
    <m/>
    <m/>
    <m/>
    <m/>
    <n v="188.11"/>
    <x v="0"/>
    <n v="68.97"/>
    <x v="0"/>
    <x v="3"/>
  </r>
  <r>
    <d v="2026-05-07T00:00:00"/>
    <x v="45"/>
    <x v="0"/>
    <x v="0"/>
    <x v="67"/>
    <n v="6.21"/>
    <n v="9"/>
    <n v="188.11"/>
    <m/>
    <m/>
    <n v="188.11"/>
    <m/>
    <m/>
    <m/>
    <m/>
    <m/>
    <m/>
    <n v="188.11"/>
    <x v="0"/>
    <n v="188.11"/>
    <x v="0"/>
    <x v="6"/>
  </r>
  <r>
    <d v="2026-05-07T00:00:00"/>
    <x v="62"/>
    <x v="0"/>
    <x v="0"/>
    <x v="67"/>
    <n v="6.21"/>
    <n v="9"/>
    <n v="188.11"/>
    <m/>
    <m/>
    <n v="188.11"/>
    <m/>
    <m/>
    <m/>
    <m/>
    <m/>
    <m/>
    <n v="188.11"/>
    <x v="0"/>
    <n v="188.11"/>
    <x v="0"/>
    <x v="1"/>
  </r>
  <r>
    <d v="2026-05-07T00:00:00"/>
    <x v="78"/>
    <x v="0"/>
    <x v="0"/>
    <x v="67"/>
    <n v="6.21"/>
    <n v="9"/>
    <n v="188.11"/>
    <m/>
    <m/>
    <n v="188.11"/>
    <m/>
    <m/>
    <m/>
    <m/>
    <m/>
    <m/>
    <n v="188.11"/>
    <x v="0"/>
    <n v="188.11"/>
    <x v="0"/>
    <x v="5"/>
  </r>
  <r>
    <d v="2026-05-07T00:00:00"/>
    <x v="94"/>
    <x v="0"/>
    <x v="0"/>
    <x v="67"/>
    <n v="6.21"/>
    <n v="9"/>
    <n v="188.11"/>
    <m/>
    <m/>
    <n v="188.11"/>
    <m/>
    <m/>
    <m/>
    <m/>
    <m/>
    <m/>
    <n v="188.11"/>
    <x v="0"/>
    <n v="188.11"/>
    <x v="0"/>
    <x v="0"/>
  </r>
  <r>
    <d v="2026-05-07T00:00:00"/>
    <x v="111"/>
    <x v="0"/>
    <x v="0"/>
    <x v="67"/>
    <n v="6.21"/>
    <n v="9"/>
    <n v="188.11"/>
    <m/>
    <m/>
    <n v="188.11"/>
    <m/>
    <m/>
    <m/>
    <m/>
    <m/>
    <m/>
    <n v="188.11"/>
    <x v="1"/>
    <n v="188.11"/>
    <x v="0"/>
    <x v="2"/>
  </r>
  <r>
    <d v="2026-05-07T00:00:00"/>
    <x v="126"/>
    <x v="0"/>
    <x v="0"/>
    <x v="67"/>
    <n v="6.21"/>
    <n v="9"/>
    <n v="188.11"/>
    <m/>
    <m/>
    <n v="188.11"/>
    <m/>
    <m/>
    <m/>
    <m/>
    <m/>
    <m/>
    <n v="188.11"/>
    <x v="1"/>
    <n v="188.11"/>
    <x v="0"/>
    <x v="4"/>
  </r>
  <r>
    <d v="2026-05-07T00:00:00"/>
    <x v="142"/>
    <x v="0"/>
    <x v="0"/>
    <x v="67"/>
    <n v="6.21"/>
    <n v="9"/>
    <n v="188.11"/>
    <m/>
    <m/>
    <n v="188.11"/>
    <m/>
    <m/>
    <m/>
    <m/>
    <m/>
    <m/>
    <n v="188.11"/>
    <x v="1"/>
    <n v="188.11"/>
    <x v="0"/>
    <x v="0"/>
  </r>
  <r>
    <d v="2026-05-07T00:00:00"/>
    <x v="159"/>
    <x v="0"/>
    <x v="0"/>
    <x v="67"/>
    <n v="6.21"/>
    <n v="9"/>
    <n v="188.11"/>
    <m/>
    <m/>
    <n v="188.11"/>
    <m/>
    <m/>
    <m/>
    <m/>
    <m/>
    <m/>
    <n v="188.11"/>
    <x v="1"/>
    <n v="188.11"/>
    <x v="0"/>
    <x v="3"/>
  </r>
  <r>
    <d v="2026-05-07T00:00:00"/>
    <x v="175"/>
    <x v="0"/>
    <x v="0"/>
    <x v="67"/>
    <n v="6.21"/>
    <n v="9"/>
    <n v="188.11"/>
    <m/>
    <m/>
    <n v="188.11"/>
    <m/>
    <m/>
    <m/>
    <m/>
    <m/>
    <m/>
    <n v="188.11"/>
    <x v="1"/>
    <n v="188.11"/>
    <x v="0"/>
    <x v="6"/>
  </r>
  <r>
    <d v="2026-05-07T00:00:00"/>
    <x v="190"/>
    <x v="0"/>
    <x v="0"/>
    <x v="67"/>
    <n v="6.21"/>
    <n v="9"/>
    <n v="188.11"/>
    <m/>
    <m/>
    <n v="188.11"/>
    <m/>
    <m/>
    <m/>
    <m/>
    <m/>
    <m/>
    <n v="188.11"/>
    <x v="1"/>
    <n v="188.11"/>
    <x v="0"/>
    <x v="6"/>
  </r>
  <r>
    <d v="2026-05-07T00:00:00"/>
    <x v="282"/>
    <x v="0"/>
    <x v="0"/>
    <x v="67"/>
    <n v="6.21"/>
    <n v="9"/>
    <n v="188.11"/>
    <m/>
    <m/>
    <n v="188.11"/>
    <m/>
    <m/>
    <m/>
    <m/>
    <m/>
    <m/>
    <n v="188.11"/>
    <x v="1"/>
    <n v="188.11"/>
    <x v="0"/>
    <x v="2"/>
  </r>
  <r>
    <d v="2026-05-12T00:00:00"/>
    <x v="30"/>
    <x v="0"/>
    <x v="1"/>
    <x v="68"/>
    <n v="9.25"/>
    <n v="9.5"/>
    <n v="69.91"/>
    <n v="978.73"/>
    <m/>
    <n v="69.91"/>
    <m/>
    <m/>
    <m/>
    <m/>
    <m/>
    <m/>
    <n v="1048.6400000000001"/>
    <x v="0"/>
    <n v="69.91"/>
    <x v="0"/>
    <x v="2"/>
  </r>
  <r>
    <d v="2026-05-12T00:00:00"/>
    <x v="128"/>
    <x v="0"/>
    <x v="1"/>
    <x v="68"/>
    <n v="9.25"/>
    <n v="9.5"/>
    <n v="1048.6400000000001"/>
    <m/>
    <m/>
    <n v="1048.6400000000001"/>
    <m/>
    <m/>
    <m/>
    <m/>
    <m/>
    <m/>
    <n v="1048.6400000000001"/>
    <x v="1"/>
    <n v="1048.6400000000001"/>
    <x v="0"/>
    <x v="5"/>
  </r>
  <r>
    <d v="2026-05-15T00:00:00"/>
    <x v="296"/>
    <x v="0"/>
    <x v="0"/>
    <x v="69"/>
    <n v="7.93"/>
    <n v="9.9247584100000008"/>
    <n v="96.1328125"/>
    <n v="34.96"/>
    <m/>
    <n v="96.1328125"/>
    <m/>
    <m/>
    <m/>
    <m/>
    <m/>
    <m/>
    <n v="131.09281250000001"/>
    <x v="0"/>
    <n v="96.1328125"/>
    <x v="0"/>
    <x v="2"/>
  </r>
  <r>
    <d v="2026-05-15T00:00:00"/>
    <x v="297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0"/>
    <x v="5"/>
  </r>
  <r>
    <d v="2026-05-15T00:00:00"/>
    <x v="298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0"/>
    <x v="0"/>
  </r>
  <r>
    <d v="2026-05-15T00:00:00"/>
    <x v="299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0"/>
    <x v="3"/>
  </r>
  <r>
    <d v="2026-05-15T00:00:00"/>
    <x v="300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1"/>
    <x v="4"/>
  </r>
  <r>
    <d v="2026-05-15T00:00:00"/>
    <x v="301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1"/>
  </r>
  <r>
    <d v="2026-05-15T00:00:00"/>
    <x v="302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3"/>
  </r>
  <r>
    <d v="2026-05-15T00:00:00"/>
    <x v="303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6"/>
  </r>
  <r>
    <d v="2026-05-15T00:00:00"/>
    <x v="304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2"/>
  </r>
  <r>
    <d v="2026-05-15T00:00:00"/>
    <x v="305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2"/>
  </r>
  <r>
    <d v="2026-05-15T00:00:00"/>
    <x v="306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4"/>
  </r>
  <r>
    <d v="2026-05-18T00:00:00"/>
    <x v="272"/>
    <x v="2"/>
    <x v="0"/>
    <x v="48"/>
    <n v="1"/>
    <n v="1"/>
    <n v="0"/>
    <n v="1882.37"/>
    <m/>
    <n v="0"/>
    <m/>
    <m/>
    <m/>
    <m/>
    <m/>
    <n v="367646"/>
    <n v="1882.37"/>
    <x v="1"/>
    <n v="0"/>
    <x v="0"/>
    <x v="2"/>
  </r>
  <r>
    <d v="2026-05-19T00:00:00"/>
    <x v="272"/>
    <x v="2"/>
    <x v="0"/>
    <x v="48"/>
    <n v="1"/>
    <n v="1"/>
    <n v="0"/>
    <n v="3489.14"/>
    <m/>
    <n v="0"/>
    <m/>
    <m/>
    <m/>
    <m/>
    <m/>
    <n v="367646"/>
    <n v="3489.14"/>
    <x v="1"/>
    <n v="0"/>
    <x v="0"/>
    <x v="2"/>
  </r>
  <r>
    <d v="2026-05-19T00:00:00"/>
    <x v="296"/>
    <x v="0"/>
    <x v="0"/>
    <x v="70"/>
    <n v="7.13"/>
    <n v="9.7885091800000001"/>
    <n v="46.799229166666663"/>
    <n v="31.2"/>
    <m/>
    <n v="46.799229166666663"/>
    <m/>
    <m/>
    <m/>
    <m/>
    <m/>
    <n v="367635"/>
    <n v="77.999229166666666"/>
    <x v="0"/>
    <n v="46.799229166666663"/>
    <x v="0"/>
    <x v="2"/>
  </r>
  <r>
    <d v="2026-05-20T00:00:00"/>
    <x v="32"/>
    <x v="0"/>
    <x v="0"/>
    <x v="71"/>
    <n v="5.36"/>
    <n v="9"/>
    <n v="2.554666666666666"/>
    <n v="10.220000000000001"/>
    <m/>
    <n v="2.554666666666666"/>
    <m/>
    <m/>
    <m/>
    <m/>
    <m/>
    <n v="367706"/>
    <n v="12.774666666666667"/>
    <x v="0"/>
    <n v="2.554666666666666"/>
    <x v="0"/>
    <x v="5"/>
  </r>
  <r>
    <d v="2026-05-20T00:00:00"/>
    <x v="49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0"/>
  </r>
  <r>
    <d v="2026-05-20T00:00:00"/>
    <x v="65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2"/>
  </r>
  <r>
    <d v="2026-05-20T00:00:00"/>
    <x v="81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4"/>
  </r>
  <r>
    <d v="2026-05-20T00:00:00"/>
    <x v="98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1"/>
  </r>
  <r>
    <d v="2026-05-20T00:00:00"/>
    <x v="114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3"/>
  </r>
  <r>
    <d v="2026-05-20T00:00:00"/>
    <x v="130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6"/>
  </r>
  <r>
    <d v="2026-05-20T00:00:00"/>
    <x v="146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1"/>
  </r>
  <r>
    <d v="2026-05-20T00:00:00"/>
    <x v="162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5"/>
  </r>
  <r>
    <d v="2026-05-20T00:00:00"/>
    <x v="179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0"/>
  </r>
  <r>
    <d v="2026-05-20T00:00:00"/>
    <x v="194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0"/>
  </r>
  <r>
    <d v="2026-05-20T00:00:00"/>
    <x v="284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3"/>
  </r>
  <r>
    <d v="2026-05-21T00:00:00"/>
    <x v="272"/>
    <x v="2"/>
    <x v="0"/>
    <x v="49"/>
    <n v="1"/>
    <n v="1"/>
    <n v="0"/>
    <n v="902.69"/>
    <m/>
    <n v="0"/>
    <m/>
    <m/>
    <m/>
    <m/>
    <m/>
    <s v="14034 - VAD14"/>
    <n v="902.69"/>
    <x v="1"/>
    <n v="0"/>
    <x v="0"/>
    <x v="2"/>
  </r>
  <r>
    <d v="2026-05-21T00:00:00"/>
    <x v="272"/>
    <x v="2"/>
    <x v="0"/>
    <x v="49"/>
    <n v="1"/>
    <n v="1"/>
    <n v="0"/>
    <n v="5648.33"/>
    <m/>
    <n v="0"/>
    <m/>
    <m/>
    <m/>
    <m/>
    <m/>
    <s v="14035 - VAD15"/>
    <n v="5648.33"/>
    <x v="1"/>
    <n v="0"/>
    <x v="0"/>
    <x v="2"/>
  </r>
  <r>
    <d v="2026-05-21T00:00:00"/>
    <x v="42"/>
    <x v="1"/>
    <x v="0"/>
    <x v="39"/>
    <n v="9"/>
    <n v="9.75"/>
    <n v="20.99"/>
    <n v="220.31"/>
    <m/>
    <n v="20.99"/>
    <m/>
    <m/>
    <m/>
    <m/>
    <m/>
    <m/>
    <n v="241.3"/>
    <x v="0"/>
    <n v="20.99"/>
    <x v="0"/>
    <x v="6"/>
  </r>
  <r>
    <d v="2026-05-21T00:00:00"/>
    <x v="87"/>
    <x v="1"/>
    <x v="0"/>
    <x v="39"/>
    <n v="9"/>
    <n v="9.75"/>
    <n v="95.01"/>
    <n v="146.63"/>
    <m/>
    <n v="95.01"/>
    <m/>
    <m/>
    <m/>
    <m/>
    <m/>
    <m/>
    <n v="241.64"/>
    <x v="0"/>
    <n v="95.01"/>
    <x v="0"/>
    <x v="0"/>
  </r>
  <r>
    <d v="2026-05-21T00:00:00"/>
    <x v="136"/>
    <x v="1"/>
    <x v="0"/>
    <x v="39"/>
    <n v="9"/>
    <n v="9.75"/>
    <n v="91.63"/>
    <n v="146.63"/>
    <m/>
    <n v="91.63"/>
    <m/>
    <m/>
    <m/>
    <m/>
    <m/>
    <m/>
    <n v="238.26"/>
    <x v="1"/>
    <n v="91.63"/>
    <x v="0"/>
    <x v="0"/>
  </r>
  <r>
    <d v="2026-05-21T00:00:00"/>
    <x v="183"/>
    <x v="1"/>
    <x v="0"/>
    <x v="39"/>
    <n v="9"/>
    <n v="9.75"/>
    <n v="88.25"/>
    <n v="146.63"/>
    <m/>
    <n v="88.25"/>
    <m/>
    <m/>
    <m/>
    <m/>
    <m/>
    <m/>
    <n v="234.88"/>
    <x v="1"/>
    <n v="88.25"/>
    <x v="0"/>
    <x v="6"/>
  </r>
  <r>
    <d v="2026-05-21T00:00:00"/>
    <x v="205"/>
    <x v="1"/>
    <x v="0"/>
    <x v="39"/>
    <n v="9"/>
    <n v="9.75"/>
    <n v="84.87"/>
    <n v="146.63"/>
    <m/>
    <n v="84.87"/>
    <m/>
    <m/>
    <m/>
    <m/>
    <m/>
    <m/>
    <n v="231.5"/>
    <x v="1"/>
    <n v="84.87"/>
    <x v="0"/>
    <x v="0"/>
  </r>
  <r>
    <d v="2026-05-21T00:00:00"/>
    <x v="214"/>
    <x v="1"/>
    <x v="0"/>
    <x v="39"/>
    <n v="9"/>
    <n v="9.75"/>
    <n v="81.489999999999995"/>
    <n v="146.63"/>
    <m/>
    <n v="81.489999999999995"/>
    <m/>
    <m/>
    <m/>
    <m/>
    <m/>
    <m/>
    <n v="228.12"/>
    <x v="1"/>
    <n v="81.489999999999995"/>
    <x v="0"/>
    <x v="1"/>
  </r>
  <r>
    <d v="2026-05-21T00:00:00"/>
    <x v="222"/>
    <x v="1"/>
    <x v="0"/>
    <x v="39"/>
    <n v="9"/>
    <n v="9.75"/>
    <n v="78.099999999999994"/>
    <n v="146.63"/>
    <m/>
    <n v="78.099999999999994"/>
    <m/>
    <m/>
    <m/>
    <m/>
    <m/>
    <m/>
    <n v="146.63"/>
    <x v="1"/>
    <n v="0"/>
    <x v="0"/>
    <x v="1"/>
  </r>
  <r>
    <d v="2026-05-21T00:00:00"/>
    <x v="229"/>
    <x v="1"/>
    <x v="0"/>
    <x v="39"/>
    <n v="9"/>
    <n v="9.75"/>
    <n v="74.72"/>
    <n v="146.63"/>
    <m/>
    <n v="74.72"/>
    <m/>
    <m/>
    <m/>
    <m/>
    <m/>
    <m/>
    <n v="146.63"/>
    <x v="1"/>
    <n v="0"/>
    <x v="0"/>
    <x v="1"/>
  </r>
  <r>
    <d v="2026-05-21T00:00:00"/>
    <x v="235"/>
    <x v="1"/>
    <x v="0"/>
    <x v="39"/>
    <n v="9"/>
    <n v="9.75"/>
    <n v="71.34"/>
    <n v="146.63"/>
    <m/>
    <n v="71.34"/>
    <m/>
    <m/>
    <m/>
    <m/>
    <m/>
    <m/>
    <n v="146.63"/>
    <x v="1"/>
    <n v="0"/>
    <x v="0"/>
    <x v="2"/>
  </r>
  <r>
    <d v="2026-05-21T00:00:00"/>
    <x v="239"/>
    <x v="1"/>
    <x v="0"/>
    <x v="39"/>
    <n v="9"/>
    <n v="9.75"/>
    <n v="67.959999999999994"/>
    <n v="146.63"/>
    <m/>
    <n v="67.959999999999994"/>
    <m/>
    <m/>
    <m/>
    <m/>
    <m/>
    <m/>
    <n v="146.63"/>
    <x v="1"/>
    <n v="0"/>
    <x v="0"/>
    <x v="3"/>
  </r>
  <r>
    <d v="2026-05-21T00:00:00"/>
    <x v="243"/>
    <x v="1"/>
    <x v="0"/>
    <x v="39"/>
    <n v="9"/>
    <n v="9.75"/>
    <n v="64.58"/>
    <n v="146.63"/>
    <m/>
    <n v="64.58"/>
    <m/>
    <m/>
    <m/>
    <m/>
    <m/>
    <m/>
    <n v="146.63"/>
    <x v="1"/>
    <n v="0"/>
    <x v="0"/>
    <x v="3"/>
  </r>
  <r>
    <d v="2026-05-21T00:00:00"/>
    <x v="247"/>
    <x v="1"/>
    <x v="0"/>
    <x v="39"/>
    <n v="9"/>
    <n v="9.75"/>
    <n v="61.2"/>
    <n v="146.63"/>
    <m/>
    <n v="61.2"/>
    <m/>
    <m/>
    <m/>
    <m/>
    <m/>
    <m/>
    <n v="146.63"/>
    <x v="1"/>
    <n v="0"/>
    <x v="0"/>
    <x v="2"/>
  </r>
  <r>
    <d v="2026-05-21T00:00:00"/>
    <x v="249"/>
    <x v="1"/>
    <x v="0"/>
    <x v="39"/>
    <n v="9"/>
    <n v="9.75"/>
    <n v="57.81"/>
    <n v="146.63"/>
    <m/>
    <n v="57.81"/>
    <m/>
    <m/>
    <m/>
    <m/>
    <m/>
    <m/>
    <n v="146.63"/>
    <x v="1"/>
    <n v="0"/>
    <x v="0"/>
    <x v="3"/>
  </r>
  <r>
    <d v="2026-05-21T00:00:00"/>
    <x v="251"/>
    <x v="1"/>
    <x v="0"/>
    <x v="39"/>
    <n v="9"/>
    <n v="9.75"/>
    <n v="54.43"/>
    <n v="146.63"/>
    <m/>
    <n v="54.43"/>
    <m/>
    <m/>
    <m/>
    <m/>
    <m/>
    <m/>
    <n v="146.63"/>
    <x v="1"/>
    <n v="0"/>
    <x v="0"/>
    <x v="5"/>
  </r>
  <r>
    <d v="2026-05-21T00:00:00"/>
    <x v="253"/>
    <x v="1"/>
    <x v="0"/>
    <x v="39"/>
    <n v="9"/>
    <n v="9.75"/>
    <n v="51.05"/>
    <n v="146.63"/>
    <m/>
    <n v="51.05"/>
    <m/>
    <m/>
    <m/>
    <m/>
    <m/>
    <m/>
    <n v="146.63"/>
    <x v="1"/>
    <n v="0"/>
    <x v="0"/>
    <x v="5"/>
  </r>
  <r>
    <d v="2026-05-21T00:00:00"/>
    <x v="255"/>
    <x v="1"/>
    <x v="0"/>
    <x v="39"/>
    <n v="9"/>
    <n v="9.75"/>
    <n v="47.67"/>
    <n v="146.63"/>
    <m/>
    <n v="47.67"/>
    <m/>
    <m/>
    <m/>
    <m/>
    <m/>
    <m/>
    <n v="146.63"/>
    <x v="1"/>
    <n v="0"/>
    <x v="0"/>
    <x v="3"/>
  </r>
  <r>
    <d v="2026-05-21T00:00:00"/>
    <x v="257"/>
    <x v="1"/>
    <x v="0"/>
    <x v="39"/>
    <n v="9"/>
    <n v="9.75"/>
    <n v="44.29"/>
    <n v="146.63"/>
    <m/>
    <n v="44.29"/>
    <m/>
    <m/>
    <m/>
    <m/>
    <m/>
    <m/>
    <n v="146.63"/>
    <x v="1"/>
    <n v="0"/>
    <x v="0"/>
    <x v="5"/>
  </r>
  <r>
    <d v="2026-05-21T00:00:00"/>
    <x v="259"/>
    <x v="1"/>
    <x v="0"/>
    <x v="39"/>
    <n v="9"/>
    <n v="9.75"/>
    <n v="40.909999999999997"/>
    <n v="146.63"/>
    <m/>
    <n v="40.909999999999997"/>
    <m/>
    <m/>
    <m/>
    <m/>
    <m/>
    <m/>
    <n v="146.63"/>
    <x v="1"/>
    <n v="0"/>
    <x v="0"/>
    <x v="4"/>
  </r>
  <r>
    <d v="2026-05-21T00:00:00"/>
    <x v="261"/>
    <x v="1"/>
    <x v="0"/>
    <x v="39"/>
    <n v="9"/>
    <n v="9.75"/>
    <n v="37.520000000000003"/>
    <n v="146.63"/>
    <m/>
    <n v="37.520000000000003"/>
    <m/>
    <m/>
    <m/>
    <m/>
    <m/>
    <m/>
    <n v="146.63"/>
    <x v="1"/>
    <n v="0"/>
    <x v="0"/>
    <x v="4"/>
  </r>
  <r>
    <d v="2026-05-21T00:00:00"/>
    <x v="263"/>
    <x v="1"/>
    <x v="0"/>
    <x v="39"/>
    <n v="9"/>
    <n v="9.75"/>
    <n v="34.14"/>
    <n v="146.63"/>
    <m/>
    <n v="34.14"/>
    <m/>
    <m/>
    <m/>
    <m/>
    <m/>
    <m/>
    <n v="146.63"/>
    <x v="1"/>
    <n v="0"/>
    <x v="0"/>
    <x v="5"/>
  </r>
  <r>
    <d v="2026-05-21T00:00:00"/>
    <x v="264"/>
    <x v="1"/>
    <x v="0"/>
    <x v="39"/>
    <n v="9"/>
    <n v="9.75"/>
    <n v="30.76"/>
    <n v="146.63"/>
    <m/>
    <n v="30.76"/>
    <m/>
    <m/>
    <m/>
    <m/>
    <m/>
    <m/>
    <n v="146.63"/>
    <x v="1"/>
    <n v="0"/>
    <x v="0"/>
    <x v="4"/>
  </r>
  <r>
    <d v="2026-05-21T00:00:00"/>
    <x v="265"/>
    <x v="1"/>
    <x v="0"/>
    <x v="39"/>
    <n v="9"/>
    <n v="9.75"/>
    <n v="27.38"/>
    <n v="146.63"/>
    <m/>
    <n v="27.38"/>
    <m/>
    <m/>
    <m/>
    <m/>
    <m/>
    <m/>
    <n v="146.63"/>
    <x v="1"/>
    <n v="0"/>
    <x v="0"/>
    <x v="6"/>
  </r>
  <r>
    <d v="2026-05-21T00:00:00"/>
    <x v="266"/>
    <x v="1"/>
    <x v="0"/>
    <x v="39"/>
    <n v="9"/>
    <n v="9.75"/>
    <n v="24"/>
    <n v="146.63"/>
    <m/>
    <n v="24"/>
    <m/>
    <m/>
    <m/>
    <m/>
    <m/>
    <m/>
    <n v="146.63"/>
    <x v="1"/>
    <n v="0"/>
    <x v="0"/>
    <x v="6"/>
  </r>
  <r>
    <d v="2026-05-21T00:00:00"/>
    <x v="267"/>
    <x v="1"/>
    <x v="0"/>
    <x v="39"/>
    <n v="9"/>
    <n v="9.75"/>
    <n v="20.61"/>
    <n v="146.63"/>
    <m/>
    <n v="20.61"/>
    <m/>
    <m/>
    <m/>
    <m/>
    <m/>
    <m/>
    <n v="146.63"/>
    <x v="1"/>
    <n v="0"/>
    <x v="0"/>
    <x v="6"/>
  </r>
  <r>
    <d v="2026-05-21T00:00:00"/>
    <x v="268"/>
    <x v="1"/>
    <x v="0"/>
    <x v="39"/>
    <n v="9"/>
    <n v="9.75"/>
    <n v="17.23"/>
    <n v="146.63"/>
    <m/>
    <n v="17.23"/>
    <m/>
    <m/>
    <m/>
    <m/>
    <m/>
    <m/>
    <n v="146.63"/>
    <x v="1"/>
    <n v="0"/>
    <x v="0"/>
    <x v="0"/>
  </r>
  <r>
    <d v="2026-05-21T00:00:00"/>
    <x v="269"/>
    <x v="1"/>
    <x v="0"/>
    <x v="39"/>
    <n v="9"/>
    <n v="9.75"/>
    <n v="13.85"/>
    <n v="146.63"/>
    <m/>
    <n v="13.85"/>
    <m/>
    <m/>
    <m/>
    <m/>
    <m/>
    <m/>
    <n v="146.63"/>
    <x v="1"/>
    <n v="0"/>
    <x v="0"/>
    <x v="1"/>
  </r>
  <r>
    <d v="2026-05-21T00:00:00"/>
    <x v="270"/>
    <x v="1"/>
    <x v="0"/>
    <x v="39"/>
    <n v="9"/>
    <n v="9.75"/>
    <n v="10.47"/>
    <n v="146.63"/>
    <m/>
    <n v="10.47"/>
    <m/>
    <m/>
    <m/>
    <m/>
    <m/>
    <m/>
    <n v="146.63"/>
    <x v="1"/>
    <n v="0"/>
    <x v="0"/>
    <x v="1"/>
  </r>
  <r>
    <d v="2026-05-21T00:00:00"/>
    <x v="271"/>
    <x v="1"/>
    <x v="0"/>
    <x v="39"/>
    <n v="9"/>
    <n v="9.75"/>
    <n v="8.69"/>
    <n v="146.63"/>
    <m/>
    <n v="8.69"/>
    <m/>
    <m/>
    <m/>
    <m/>
    <m/>
    <m/>
    <n v="146.63"/>
    <x v="1"/>
    <n v="0"/>
    <x v="0"/>
    <x v="0"/>
  </r>
  <r>
    <d v="2026-05-21T00:00:00"/>
    <x v="42"/>
    <x v="1"/>
    <x v="0"/>
    <x v="39"/>
    <n v="9"/>
    <n v="9.75"/>
    <n v="91.18"/>
    <n v="810.92"/>
    <m/>
    <n v="91.18"/>
    <m/>
    <m/>
    <m/>
    <m/>
    <m/>
    <m/>
    <n v="902.09999999999991"/>
    <x v="0"/>
    <n v="91.18"/>
    <x v="0"/>
    <x v="6"/>
  </r>
  <r>
    <d v="2026-05-21T00:00:00"/>
    <x v="87"/>
    <x v="1"/>
    <x v="0"/>
    <x v="39"/>
    <n v="9"/>
    <n v="9.75"/>
    <n v="349.98"/>
    <n v="539.66999999999996"/>
    <m/>
    <n v="349.98"/>
    <m/>
    <m/>
    <m/>
    <m/>
    <m/>
    <m/>
    <n v="889.65"/>
    <x v="0"/>
    <n v="349.98"/>
    <x v="0"/>
    <x v="0"/>
  </r>
  <r>
    <d v="2026-05-21T00:00:00"/>
    <x v="136"/>
    <x v="1"/>
    <x v="0"/>
    <x v="39"/>
    <n v="9"/>
    <n v="9.75"/>
    <n v="337.53"/>
    <n v="539.66999999999996"/>
    <m/>
    <n v="337.53"/>
    <m/>
    <m/>
    <m/>
    <m/>
    <m/>
    <m/>
    <n v="877.19999999999993"/>
    <x v="1"/>
    <n v="337.53"/>
    <x v="0"/>
    <x v="0"/>
  </r>
  <r>
    <d v="2026-05-21T00:00:00"/>
    <x v="183"/>
    <x v="1"/>
    <x v="0"/>
    <x v="39"/>
    <n v="9"/>
    <n v="9.75"/>
    <n v="325.08"/>
    <n v="539.66999999999996"/>
    <m/>
    <n v="325.08"/>
    <m/>
    <m/>
    <m/>
    <m/>
    <m/>
    <m/>
    <n v="864.75"/>
    <x v="1"/>
    <n v="325.08"/>
    <x v="0"/>
    <x v="6"/>
  </r>
  <r>
    <d v="2026-05-21T00:00:00"/>
    <x v="205"/>
    <x v="1"/>
    <x v="0"/>
    <x v="39"/>
    <n v="9"/>
    <n v="9.75"/>
    <n v="312.63"/>
    <n v="539.66999999999996"/>
    <m/>
    <n v="312.63"/>
    <m/>
    <m/>
    <m/>
    <m/>
    <m/>
    <m/>
    <n v="852.3"/>
    <x v="1"/>
    <n v="312.63"/>
    <x v="0"/>
    <x v="0"/>
  </r>
  <r>
    <d v="2026-05-21T00:00:00"/>
    <x v="214"/>
    <x v="1"/>
    <x v="0"/>
    <x v="39"/>
    <n v="9"/>
    <n v="9.75"/>
    <n v="300.18"/>
    <n v="539.66999999999996"/>
    <m/>
    <n v="300.18"/>
    <m/>
    <m/>
    <m/>
    <m/>
    <m/>
    <m/>
    <n v="839.84999999999991"/>
    <x v="1"/>
    <n v="300.18"/>
    <x v="0"/>
    <x v="1"/>
  </r>
  <r>
    <d v="2026-05-21T00:00:00"/>
    <x v="222"/>
    <x v="1"/>
    <x v="0"/>
    <x v="39"/>
    <n v="9"/>
    <n v="9.75"/>
    <n v="287.73"/>
    <n v="539.66999999999996"/>
    <m/>
    <n v="287.73"/>
    <m/>
    <m/>
    <m/>
    <m/>
    <m/>
    <m/>
    <n v="539.66999999999996"/>
    <x v="1"/>
    <n v="0"/>
    <x v="0"/>
    <x v="1"/>
  </r>
  <r>
    <d v="2026-05-21T00:00:00"/>
    <x v="229"/>
    <x v="1"/>
    <x v="0"/>
    <x v="39"/>
    <n v="9"/>
    <n v="9.75"/>
    <n v="275.27999999999997"/>
    <n v="539.66999999999996"/>
    <m/>
    <n v="275.27999999999997"/>
    <m/>
    <m/>
    <m/>
    <m/>
    <m/>
    <m/>
    <n v="539.66999999999996"/>
    <x v="1"/>
    <n v="0"/>
    <x v="0"/>
    <x v="1"/>
  </r>
  <r>
    <d v="2026-05-21T00:00:00"/>
    <x v="235"/>
    <x v="1"/>
    <x v="0"/>
    <x v="39"/>
    <n v="9"/>
    <n v="9.75"/>
    <n v="262.83"/>
    <n v="539.66999999999996"/>
    <m/>
    <n v="262.83"/>
    <m/>
    <m/>
    <m/>
    <m/>
    <m/>
    <m/>
    <n v="539.66999999999996"/>
    <x v="1"/>
    <n v="0"/>
    <x v="0"/>
    <x v="2"/>
  </r>
  <r>
    <d v="2026-05-21T00:00:00"/>
    <x v="239"/>
    <x v="1"/>
    <x v="0"/>
    <x v="39"/>
    <n v="9"/>
    <n v="9.75"/>
    <n v="250.38"/>
    <n v="539.66999999999996"/>
    <m/>
    <n v="250.38"/>
    <m/>
    <m/>
    <m/>
    <m/>
    <m/>
    <m/>
    <n v="539.66999999999996"/>
    <x v="1"/>
    <n v="0"/>
    <x v="0"/>
    <x v="3"/>
  </r>
  <r>
    <d v="2026-05-21T00:00:00"/>
    <x v="243"/>
    <x v="1"/>
    <x v="0"/>
    <x v="39"/>
    <n v="9"/>
    <n v="9.75"/>
    <n v="237.93"/>
    <n v="539.66999999999996"/>
    <m/>
    <n v="237.93"/>
    <m/>
    <m/>
    <m/>
    <m/>
    <m/>
    <m/>
    <n v="539.66999999999996"/>
    <x v="1"/>
    <n v="0"/>
    <x v="0"/>
    <x v="3"/>
  </r>
  <r>
    <d v="2026-05-21T00:00:00"/>
    <x v="247"/>
    <x v="1"/>
    <x v="0"/>
    <x v="39"/>
    <n v="9"/>
    <n v="9.75"/>
    <n v="225.48"/>
    <n v="539.66999999999996"/>
    <m/>
    <n v="225.48"/>
    <m/>
    <m/>
    <m/>
    <m/>
    <m/>
    <m/>
    <n v="539.66999999999996"/>
    <x v="1"/>
    <n v="0"/>
    <x v="0"/>
    <x v="2"/>
  </r>
  <r>
    <d v="2026-05-21T00:00:00"/>
    <x v="249"/>
    <x v="1"/>
    <x v="0"/>
    <x v="39"/>
    <n v="9"/>
    <n v="9.75"/>
    <n v="213.03"/>
    <n v="539.66999999999996"/>
    <m/>
    <n v="213.03"/>
    <m/>
    <m/>
    <m/>
    <m/>
    <m/>
    <m/>
    <n v="539.66999999999996"/>
    <x v="1"/>
    <n v="0"/>
    <x v="0"/>
    <x v="3"/>
  </r>
  <r>
    <d v="2026-05-21T00:00:00"/>
    <x v="251"/>
    <x v="1"/>
    <x v="0"/>
    <x v="39"/>
    <n v="9"/>
    <n v="9.75"/>
    <n v="200.58"/>
    <n v="539.66999999999996"/>
    <m/>
    <n v="200.58"/>
    <m/>
    <m/>
    <m/>
    <m/>
    <m/>
    <m/>
    <n v="539.66999999999996"/>
    <x v="1"/>
    <n v="0"/>
    <x v="0"/>
    <x v="5"/>
  </r>
  <r>
    <d v="2026-05-21T00:00:00"/>
    <x v="253"/>
    <x v="1"/>
    <x v="0"/>
    <x v="39"/>
    <n v="9"/>
    <n v="9.75"/>
    <n v="188.12"/>
    <n v="539.66999999999996"/>
    <m/>
    <n v="188.12"/>
    <m/>
    <m/>
    <m/>
    <m/>
    <m/>
    <m/>
    <n v="539.66999999999996"/>
    <x v="1"/>
    <n v="0"/>
    <x v="0"/>
    <x v="5"/>
  </r>
  <r>
    <d v="2026-05-21T00:00:00"/>
    <x v="255"/>
    <x v="1"/>
    <x v="0"/>
    <x v="39"/>
    <n v="9"/>
    <n v="9.75"/>
    <n v="175.67"/>
    <n v="539.66999999999996"/>
    <m/>
    <n v="175.67"/>
    <m/>
    <m/>
    <m/>
    <m/>
    <m/>
    <m/>
    <n v="539.66999999999996"/>
    <x v="1"/>
    <n v="0"/>
    <x v="0"/>
    <x v="3"/>
  </r>
  <r>
    <d v="2026-05-21T00:00:00"/>
    <x v="257"/>
    <x v="1"/>
    <x v="0"/>
    <x v="39"/>
    <n v="9"/>
    <n v="9.75"/>
    <n v="163.22"/>
    <n v="539.66999999999996"/>
    <m/>
    <n v="163.22"/>
    <m/>
    <m/>
    <m/>
    <m/>
    <m/>
    <m/>
    <n v="539.66999999999996"/>
    <x v="1"/>
    <n v="0"/>
    <x v="0"/>
    <x v="5"/>
  </r>
  <r>
    <d v="2026-05-21T00:00:00"/>
    <x v="259"/>
    <x v="1"/>
    <x v="0"/>
    <x v="39"/>
    <n v="9"/>
    <n v="9.75"/>
    <n v="150.77000000000001"/>
    <n v="539.66999999999996"/>
    <m/>
    <n v="150.77000000000001"/>
    <m/>
    <m/>
    <m/>
    <m/>
    <m/>
    <m/>
    <n v="539.66999999999996"/>
    <x v="1"/>
    <n v="0"/>
    <x v="0"/>
    <x v="4"/>
  </r>
  <r>
    <d v="2026-05-21T00:00:00"/>
    <x v="261"/>
    <x v="1"/>
    <x v="0"/>
    <x v="39"/>
    <n v="9"/>
    <n v="9.75"/>
    <n v="138.32"/>
    <n v="539.66999999999996"/>
    <m/>
    <n v="138.32"/>
    <m/>
    <m/>
    <m/>
    <m/>
    <m/>
    <m/>
    <n v="539.66999999999996"/>
    <x v="1"/>
    <n v="0"/>
    <x v="0"/>
    <x v="4"/>
  </r>
  <r>
    <d v="2026-05-21T00:00:00"/>
    <x v="263"/>
    <x v="1"/>
    <x v="0"/>
    <x v="39"/>
    <n v="9"/>
    <n v="9.75"/>
    <n v="125.87"/>
    <n v="539.66999999999996"/>
    <m/>
    <n v="125.87"/>
    <m/>
    <m/>
    <m/>
    <m/>
    <m/>
    <m/>
    <n v="539.66999999999996"/>
    <x v="1"/>
    <n v="0"/>
    <x v="0"/>
    <x v="5"/>
  </r>
  <r>
    <d v="2026-05-21T00:00:00"/>
    <x v="264"/>
    <x v="1"/>
    <x v="0"/>
    <x v="39"/>
    <n v="9"/>
    <n v="9.75"/>
    <n v="113.42"/>
    <n v="539.66999999999996"/>
    <m/>
    <n v="113.42"/>
    <m/>
    <m/>
    <m/>
    <m/>
    <m/>
    <m/>
    <n v="539.66999999999996"/>
    <x v="1"/>
    <n v="0"/>
    <x v="0"/>
    <x v="4"/>
  </r>
  <r>
    <d v="2026-05-21T00:00:00"/>
    <x v="265"/>
    <x v="1"/>
    <x v="0"/>
    <x v="39"/>
    <n v="9"/>
    <n v="9.75"/>
    <n v="100.97"/>
    <n v="539.66999999999996"/>
    <m/>
    <n v="100.97"/>
    <m/>
    <m/>
    <m/>
    <m/>
    <m/>
    <m/>
    <n v="539.66999999999996"/>
    <x v="1"/>
    <n v="0"/>
    <x v="0"/>
    <x v="6"/>
  </r>
  <r>
    <d v="2026-05-21T00:00:00"/>
    <x v="266"/>
    <x v="1"/>
    <x v="0"/>
    <x v="39"/>
    <n v="9"/>
    <n v="9.75"/>
    <n v="88.52"/>
    <n v="539.66999999999996"/>
    <m/>
    <n v="88.52"/>
    <m/>
    <m/>
    <m/>
    <m/>
    <m/>
    <m/>
    <n v="539.66999999999996"/>
    <x v="1"/>
    <n v="0"/>
    <x v="0"/>
    <x v="6"/>
  </r>
  <r>
    <d v="2026-05-21T00:00:00"/>
    <x v="267"/>
    <x v="1"/>
    <x v="0"/>
    <x v="39"/>
    <n v="9"/>
    <n v="9.75"/>
    <n v="76.069999999999993"/>
    <n v="539.66999999999996"/>
    <m/>
    <n v="76.069999999999993"/>
    <m/>
    <m/>
    <m/>
    <m/>
    <m/>
    <m/>
    <n v="539.66999999999996"/>
    <x v="1"/>
    <n v="0"/>
    <x v="0"/>
    <x v="6"/>
  </r>
  <r>
    <d v="2026-05-21T00:00:00"/>
    <x v="268"/>
    <x v="1"/>
    <x v="0"/>
    <x v="39"/>
    <n v="9"/>
    <n v="9.75"/>
    <n v="63.62"/>
    <n v="539.66999999999996"/>
    <m/>
    <n v="63.62"/>
    <m/>
    <m/>
    <m/>
    <m/>
    <m/>
    <m/>
    <n v="539.66999999999996"/>
    <x v="1"/>
    <n v="0"/>
    <x v="0"/>
    <x v="0"/>
  </r>
  <r>
    <d v="2026-05-21T00:00:00"/>
    <x v="269"/>
    <x v="1"/>
    <x v="0"/>
    <x v="39"/>
    <n v="9"/>
    <n v="9.75"/>
    <n v="51.17"/>
    <n v="539.66999999999996"/>
    <m/>
    <n v="51.17"/>
    <m/>
    <m/>
    <m/>
    <m/>
    <m/>
    <m/>
    <n v="539.66999999999996"/>
    <x v="1"/>
    <n v="0"/>
    <x v="0"/>
    <x v="1"/>
  </r>
  <r>
    <d v="2026-05-21T00:00:00"/>
    <x v="270"/>
    <x v="1"/>
    <x v="0"/>
    <x v="39"/>
    <n v="9"/>
    <n v="9.75"/>
    <n v="38.72"/>
    <n v="539.66999999999996"/>
    <m/>
    <n v="38.72"/>
    <m/>
    <m/>
    <m/>
    <m/>
    <m/>
    <m/>
    <n v="539.66999999999996"/>
    <x v="1"/>
    <n v="0"/>
    <x v="0"/>
    <x v="1"/>
  </r>
  <r>
    <d v="2026-05-21T00:00:00"/>
    <x v="271"/>
    <x v="1"/>
    <x v="0"/>
    <x v="39"/>
    <n v="9"/>
    <n v="9.75"/>
    <n v="32.47"/>
    <n v="539.66999999999996"/>
    <m/>
    <n v="32.47"/>
    <m/>
    <m/>
    <m/>
    <m/>
    <m/>
    <m/>
    <n v="539.66999999999996"/>
    <x v="1"/>
    <n v="0"/>
    <x v="0"/>
    <x v="0"/>
  </r>
  <r>
    <d v="2026-05-27T00:00:00"/>
    <x v="289"/>
    <x v="0"/>
    <x v="0"/>
    <x v="72"/>
    <n v="8.5"/>
    <n v="8.8803114631274749"/>
    <n v="51.188750000000013"/>
    <n v="88.42"/>
    <m/>
    <n v="51.188750000000013"/>
    <m/>
    <m/>
    <m/>
    <m/>
    <m/>
    <m/>
    <n v="139.60875000000001"/>
    <x v="0"/>
    <n v="51.188750000000013"/>
    <x v="0"/>
    <x v="3"/>
  </r>
  <r>
    <d v="2026-05-29T00:00:00"/>
    <x v="272"/>
    <x v="2"/>
    <x v="0"/>
    <x v="49"/>
    <n v="1"/>
    <n v="1"/>
    <n v="0"/>
    <n v="525.04"/>
    <m/>
    <n v="0"/>
    <m/>
    <m/>
    <m/>
    <m/>
    <m/>
    <s v="14698 - VAD02"/>
    <n v="525.04"/>
    <x v="1"/>
    <n v="0"/>
    <x v="0"/>
    <x v="2"/>
  </r>
  <r>
    <d v="2026-04-29T00:00:00"/>
    <x v="307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5"/>
  </r>
  <r>
    <d v="2024-09-17T00:00:00"/>
    <x v="308"/>
    <x v="0"/>
    <x v="0"/>
    <x v="0"/>
    <n v="5.36"/>
    <n v="13.5"/>
    <n v="15.63"/>
    <m/>
    <m/>
    <n v="15.63"/>
    <m/>
    <m/>
    <m/>
    <m/>
    <m/>
    <m/>
    <n v="15.63"/>
    <x v="1"/>
    <n v="15.63"/>
    <x v="0"/>
    <x v="3"/>
  </r>
  <r>
    <d v="2024-09-25T00:00:00"/>
    <x v="308"/>
    <x v="0"/>
    <x v="0"/>
    <x v="0"/>
    <n v="5.36"/>
    <n v="12.5"/>
    <n v="12.51"/>
    <m/>
    <m/>
    <n v="12.51"/>
    <m/>
    <m/>
    <m/>
    <m/>
    <m/>
    <m/>
    <n v="12.51"/>
    <x v="1"/>
    <n v="12.51"/>
    <x v="0"/>
    <x v="3"/>
  </r>
  <r>
    <d v="2025-02-20T00:00:00"/>
    <x v="309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5"/>
  </r>
  <r>
    <d v="2026-02-04T00:00:00"/>
    <x v="310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6"/>
  </r>
  <r>
    <d v="2026-02-04T00:00:00"/>
    <x v="310"/>
    <x v="0"/>
    <x v="0"/>
    <x v="7"/>
    <n v="7.35"/>
    <n v="11"/>
    <n v="20.79"/>
    <m/>
    <m/>
    <n v="20.79"/>
    <m/>
    <m/>
    <m/>
    <m/>
    <m/>
    <m/>
    <n v="20.79"/>
    <x v="1"/>
    <n v="20.79"/>
    <x v="0"/>
    <x v="6"/>
  </r>
  <r>
    <d v="2025-12-10T00:00:00"/>
    <x v="310"/>
    <x v="0"/>
    <x v="1"/>
    <x v="8"/>
    <n v="7.54"/>
    <n v="11"/>
    <n v="7.79"/>
    <m/>
    <m/>
    <n v="7.79"/>
    <m/>
    <m/>
    <m/>
    <m/>
    <m/>
    <m/>
    <n v="7.79"/>
    <x v="1"/>
    <n v="7.79"/>
    <x v="0"/>
    <x v="6"/>
  </r>
  <r>
    <d v="2025-10-13T00:00:00"/>
    <x v="311"/>
    <x v="0"/>
    <x v="0"/>
    <x v="11"/>
    <n v="7.54"/>
    <n v="9.85"/>
    <n v="35.25"/>
    <m/>
    <m/>
    <n v="35.25"/>
    <m/>
    <m/>
    <m/>
    <m/>
    <m/>
    <m/>
    <n v="35.25"/>
    <x v="1"/>
    <n v="35.25"/>
    <x v="0"/>
    <x v="3"/>
  </r>
  <r>
    <d v="2026-04-09T00:00:00"/>
    <x v="312"/>
    <x v="0"/>
    <x v="0"/>
    <x v="13"/>
    <n v="4.71"/>
    <n v="9.5"/>
    <n v="3.53"/>
    <n v="0"/>
    <m/>
    <n v="3.53"/>
    <m/>
    <m/>
    <m/>
    <m/>
    <m/>
    <m/>
    <n v="3.53"/>
    <x v="1"/>
    <n v="3.53"/>
    <x v="0"/>
    <x v="4"/>
  </r>
  <r>
    <d v="2021-09-23T00:00:00"/>
    <x v="313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3"/>
  </r>
  <r>
    <d v="2023-12-04T00:00:00"/>
    <x v="313"/>
    <x v="0"/>
    <x v="1"/>
    <x v="18"/>
    <n v="5.64"/>
    <n v="13"/>
    <n v="14.1"/>
    <m/>
    <m/>
    <n v="14.1"/>
    <m/>
    <m/>
    <m/>
    <m/>
    <m/>
    <m/>
    <n v="14.1"/>
    <x v="1"/>
    <n v="14.1"/>
    <x v="0"/>
    <x v="3"/>
  </r>
  <r>
    <d v="2024-01-11T00:00:00"/>
    <x v="313"/>
    <x v="0"/>
    <x v="1"/>
    <x v="18"/>
    <n v="5.64"/>
    <n v="12.75"/>
    <n v="7.28"/>
    <m/>
    <m/>
    <n v="7.28"/>
    <m/>
    <m/>
    <m/>
    <m/>
    <m/>
    <m/>
    <n v="7.28"/>
    <x v="1"/>
    <n v="7.28"/>
    <x v="0"/>
    <x v="3"/>
  </r>
  <r>
    <d v="2025-12-15T00:00:00"/>
    <x v="314"/>
    <x v="0"/>
    <x v="1"/>
    <x v="19"/>
    <n v="5.93"/>
    <n v="8.5"/>
    <n v="23.09"/>
    <m/>
    <m/>
    <n v="23.09"/>
    <m/>
    <m/>
    <m/>
    <m/>
    <m/>
    <m/>
    <n v="23.09"/>
    <x v="1"/>
    <n v="23.09"/>
    <x v="0"/>
    <x v="5"/>
  </r>
  <r>
    <d v="2025-03-18T00:00:00"/>
    <x v="314"/>
    <x v="0"/>
    <x v="0"/>
    <x v="20"/>
    <n v="5.93"/>
    <n v="12"/>
    <n v="8.94"/>
    <m/>
    <m/>
    <n v="8.94"/>
    <m/>
    <m/>
    <m/>
    <m/>
    <m/>
    <m/>
    <n v="8.94"/>
    <x v="1"/>
    <n v="8.94"/>
    <x v="0"/>
    <x v="5"/>
  </r>
  <r>
    <d v="2023-12-04T00:00:00"/>
    <x v="315"/>
    <x v="0"/>
    <x v="1"/>
    <x v="22"/>
    <n v="5.36"/>
    <n v="13"/>
    <n v="5.58"/>
    <m/>
    <m/>
    <n v="5.58"/>
    <m/>
    <m/>
    <m/>
    <m/>
    <m/>
    <m/>
    <n v="5.58"/>
    <x v="1"/>
    <n v="5.58"/>
    <x v="0"/>
    <x v="0"/>
  </r>
  <r>
    <d v="2023-12-19T00:00:00"/>
    <x v="315"/>
    <x v="0"/>
    <x v="1"/>
    <x v="22"/>
    <n v="5.36"/>
    <n v="13"/>
    <n v="3.13"/>
    <m/>
    <m/>
    <n v="3.13"/>
    <m/>
    <m/>
    <m/>
    <m/>
    <m/>
    <m/>
    <n v="3.13"/>
    <x v="1"/>
    <n v="3.13"/>
    <x v="0"/>
    <x v="0"/>
  </r>
  <r>
    <d v="2024-09-17T00:00:00"/>
    <x v="315"/>
    <x v="0"/>
    <x v="0"/>
    <x v="22"/>
    <n v="5.36"/>
    <n v="13.75"/>
    <n v="4.47"/>
    <m/>
    <m/>
    <n v="4.47"/>
    <m/>
    <m/>
    <m/>
    <m/>
    <m/>
    <m/>
    <n v="4.47"/>
    <x v="1"/>
    <n v="4.47"/>
    <x v="0"/>
    <x v="0"/>
  </r>
  <r>
    <d v="2024-06-04T00:00:00"/>
    <x v="316"/>
    <x v="0"/>
    <x v="0"/>
    <x v="24"/>
    <n v="5.93"/>
    <n v="13.25"/>
    <n v="29.65"/>
    <m/>
    <m/>
    <n v="29.65"/>
    <m/>
    <m/>
    <m/>
    <m/>
    <m/>
    <m/>
    <n v="29.65"/>
    <x v="1"/>
    <n v="29.65"/>
    <x v="0"/>
    <x v="3"/>
  </r>
  <r>
    <d v="2025-06-24T00:00:00"/>
    <x v="307"/>
    <x v="0"/>
    <x v="0"/>
    <x v="25"/>
    <n v="5.93"/>
    <n v="11"/>
    <n v="22.41"/>
    <m/>
    <m/>
    <n v="22.41"/>
    <m/>
    <m/>
    <m/>
    <m/>
    <m/>
    <m/>
    <n v="22.41"/>
    <x v="1"/>
    <n v="22.41"/>
    <x v="0"/>
    <x v="5"/>
  </r>
  <r>
    <d v="2025-08-20T00:00:00"/>
    <x v="307"/>
    <x v="0"/>
    <x v="0"/>
    <x v="25"/>
    <n v="6.21"/>
    <n v="9.75"/>
    <n v="4.5"/>
    <m/>
    <m/>
    <n v="4.5"/>
    <m/>
    <m/>
    <m/>
    <m/>
    <m/>
    <m/>
    <n v="4.5"/>
    <x v="1"/>
    <n v="4.5"/>
    <x v="0"/>
    <x v="5"/>
  </r>
  <r>
    <d v="2025-08-20T00:00:00"/>
    <x v="307"/>
    <x v="0"/>
    <x v="1"/>
    <x v="25"/>
    <n v="6.21"/>
    <n v="10.75"/>
    <n v="25.88"/>
    <m/>
    <m/>
    <n v="25.88"/>
    <m/>
    <m/>
    <m/>
    <m/>
    <m/>
    <m/>
    <n v="25.88"/>
    <x v="1"/>
    <n v="25.88"/>
    <x v="0"/>
    <x v="5"/>
  </r>
  <r>
    <d v="2024-10-28T00:00:00"/>
    <x v="317"/>
    <x v="0"/>
    <x v="0"/>
    <x v="26"/>
    <n v="5.07"/>
    <n v="13"/>
    <n v="11.41"/>
    <m/>
    <m/>
    <n v="11.41"/>
    <m/>
    <m/>
    <m/>
    <m/>
    <m/>
    <m/>
    <n v="11.41"/>
    <x v="1"/>
    <n v="11.41"/>
    <x v="0"/>
    <x v="4"/>
  </r>
  <r>
    <d v="2022-09-26T00:00:00"/>
    <x v="318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6"/>
  </r>
  <r>
    <d v="2026-02-04T00:00:00"/>
    <x v="318"/>
    <x v="0"/>
    <x v="0"/>
    <x v="28"/>
    <n v="6.21"/>
    <n v="11"/>
    <n v="15.61"/>
    <m/>
    <m/>
    <n v="15.61"/>
    <m/>
    <m/>
    <m/>
    <m/>
    <m/>
    <m/>
    <n v="15.61"/>
    <x v="1"/>
    <n v="15.61"/>
    <x v="0"/>
    <x v="6"/>
  </r>
  <r>
    <d v="2026-02-27T00:00:00"/>
    <x v="318"/>
    <x v="0"/>
    <x v="1"/>
    <x v="29"/>
    <n v="6.21"/>
    <n v="10.6"/>
    <n v="17.79"/>
    <m/>
    <m/>
    <n v="17.79"/>
    <m/>
    <m/>
    <m/>
    <m/>
    <m/>
    <m/>
    <n v="17.79"/>
    <x v="1"/>
    <n v="17.79"/>
    <x v="0"/>
    <x v="6"/>
  </r>
  <r>
    <d v="2025-11-26T00:00:00"/>
    <x v="202"/>
    <x v="0"/>
    <x v="1"/>
    <x v="30"/>
    <n v="6.82"/>
    <n v="11"/>
    <n v="6.82"/>
    <n v="0"/>
    <m/>
    <n v="6.82"/>
    <m/>
    <m/>
    <m/>
    <m/>
    <m/>
    <m/>
    <n v="6.82"/>
    <x v="1"/>
    <n v="6.82"/>
    <x v="0"/>
    <x v="0"/>
  </r>
  <r>
    <d v="2026-05-07T00:00:00"/>
    <x v="319"/>
    <x v="0"/>
    <x v="3"/>
    <x v="66"/>
    <n v="7.72"/>
    <n v="9"/>
    <n v="67.55"/>
    <m/>
    <m/>
    <n v="67.55"/>
    <m/>
    <m/>
    <m/>
    <m/>
    <m/>
    <m/>
    <n v="67.55"/>
    <x v="1"/>
    <n v="67.55"/>
    <x v="0"/>
    <x v="1"/>
  </r>
  <r>
    <d v="2026-05-07T00:00:00"/>
    <x v="319"/>
    <x v="0"/>
    <x v="0"/>
    <x v="66"/>
    <n v="7.72"/>
    <n v="9"/>
    <n v="122.46"/>
    <m/>
    <m/>
    <n v="122.46"/>
    <m/>
    <m/>
    <m/>
    <m/>
    <m/>
    <m/>
    <n v="122.46"/>
    <x v="1"/>
    <n v="122.46"/>
    <x v="0"/>
    <x v="1"/>
  </r>
  <r>
    <d v="2026-05-07T00:00:00"/>
    <x v="314"/>
    <x v="0"/>
    <x v="0"/>
    <x v="67"/>
    <n v="6.21"/>
    <n v="9"/>
    <n v="188.11"/>
    <m/>
    <m/>
    <n v="188.11"/>
    <m/>
    <m/>
    <m/>
    <m/>
    <m/>
    <m/>
    <n v="188.11"/>
    <x v="1"/>
    <n v="188.11"/>
    <x v="0"/>
    <x v="5"/>
  </r>
  <r>
    <d v="2026-05-15T00:00:00"/>
    <x v="320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0"/>
  </r>
  <r>
    <d v="2026-05-20T00:00:00"/>
    <x v="317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4"/>
  </r>
  <r>
    <d v="2024-02-01T00:00:00"/>
    <x v="32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1"/>
  </r>
  <r>
    <d v="2024-03-05T00:00:00"/>
    <x v="321"/>
    <x v="2"/>
    <x v="0"/>
    <x v="16"/>
    <n v="6"/>
    <n v="12"/>
    <n v="108.33"/>
    <m/>
    <m/>
    <n v="108.33"/>
    <m/>
    <m/>
    <m/>
    <m/>
    <m/>
    <m/>
    <n v="108.33"/>
    <x v="1"/>
    <n v="108.33"/>
    <x v="0"/>
    <x v="1"/>
  </r>
  <r>
    <d v="2023-03-21T00:00:00"/>
    <x v="321"/>
    <x v="2"/>
    <x v="1"/>
    <x v="16"/>
    <n v="6"/>
    <n v="12"/>
    <n v="62.5"/>
    <m/>
    <m/>
    <n v="62.5"/>
    <m/>
    <m/>
    <m/>
    <m/>
    <m/>
    <m/>
    <n v="62.5"/>
    <x v="1"/>
    <n v="62.5"/>
    <x v="0"/>
    <x v="1"/>
  </r>
  <r>
    <d v="2024-04-15T00:00:00"/>
    <x v="321"/>
    <x v="2"/>
    <x v="0"/>
    <x v="16"/>
    <n v="6"/>
    <n v="12"/>
    <n v="54.16"/>
    <m/>
    <m/>
    <n v="54.16"/>
    <m/>
    <m/>
    <m/>
    <m/>
    <m/>
    <m/>
    <n v="54.16"/>
    <x v="1"/>
    <n v="54.16"/>
    <x v="0"/>
    <x v="1"/>
  </r>
  <r>
    <d v="2024-04-15T00:00:00"/>
    <x v="321"/>
    <x v="2"/>
    <x v="1"/>
    <x v="16"/>
    <n v="6"/>
    <n v="12"/>
    <n v="62.5"/>
    <m/>
    <m/>
    <n v="62.5"/>
    <m/>
    <m/>
    <m/>
    <m/>
    <m/>
    <m/>
    <n v="62.5"/>
    <x v="1"/>
    <n v="62.5"/>
    <x v="0"/>
    <x v="1"/>
  </r>
  <r>
    <d v="2024-04-16T00:00:00"/>
    <x v="32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1"/>
  </r>
  <r>
    <d v="2026-03-24T00:00:00"/>
    <x v="321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1"/>
  </r>
  <r>
    <d v="2021-09-23T00:00:00"/>
    <x v="313"/>
    <x v="0"/>
    <x v="1"/>
    <x v="17"/>
    <n v="5.64"/>
    <n v="8.1999999999999993"/>
    <n v="61.76"/>
    <n v="475.81"/>
    <m/>
    <n v="61.76"/>
    <m/>
    <m/>
    <m/>
    <m/>
    <m/>
    <m/>
    <n v="537.57000000000005"/>
    <x v="1"/>
    <n v="61.76"/>
    <x v="0"/>
    <x v="3"/>
  </r>
  <r>
    <d v="2026-05-12T00:00:00"/>
    <x v="316"/>
    <x v="0"/>
    <x v="1"/>
    <x v="68"/>
    <n v="9.25"/>
    <n v="9.5"/>
    <n v="1048.6400000000001"/>
    <m/>
    <m/>
    <n v="1048.6400000000001"/>
    <m/>
    <m/>
    <m/>
    <m/>
    <m/>
    <m/>
    <n v="1048.6400000000001"/>
    <x v="1"/>
    <n v="1048.6400000000001"/>
    <x v="0"/>
    <x v="3"/>
  </r>
  <r>
    <d v="2024-09-24T00:00:00"/>
    <x v="58"/>
    <x v="3"/>
    <x v="0"/>
    <x v="37"/>
    <n v="8.5"/>
    <n v="12"/>
    <n v="0"/>
    <n v="257.11"/>
    <m/>
    <n v="0"/>
    <m/>
    <m/>
    <m/>
    <m/>
    <m/>
    <m/>
    <n v="257.11"/>
    <x v="0"/>
    <n v="0"/>
    <x v="0"/>
    <x v="0"/>
  </r>
  <r>
    <d v="2024-09-24T00:00:00"/>
    <x v="58"/>
    <x v="3"/>
    <x v="1"/>
    <x v="37"/>
    <n v="8.5"/>
    <n v="12"/>
    <n v="0"/>
    <n v="40.78"/>
    <m/>
    <n v="0"/>
    <m/>
    <m/>
    <m/>
    <m/>
    <m/>
    <m/>
    <n v="40.78"/>
    <x v="0"/>
    <n v="0"/>
    <x v="0"/>
    <x v="0"/>
  </r>
  <r>
    <d v="2024-09-24T00:00:00"/>
    <x v="58"/>
    <x v="3"/>
    <x v="2"/>
    <x v="37"/>
    <n v="8.5"/>
    <n v="12"/>
    <n v="0"/>
    <n v="165.67"/>
    <m/>
    <n v="0"/>
    <m/>
    <m/>
    <m/>
    <m/>
    <m/>
    <m/>
    <n v="165.67"/>
    <x v="0"/>
    <n v="0"/>
    <x v="0"/>
    <x v="0"/>
  </r>
  <r>
    <d v="2026-05-20T00:00:00"/>
    <x v="49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0"/>
  </r>
  <r>
    <d v="2026-05-20T00:00:00"/>
    <x v="65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2"/>
  </r>
  <r>
    <d v="2026-05-20T00:00:00"/>
    <x v="81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4"/>
  </r>
  <r>
    <d v="2026-05-20T00:00:00"/>
    <x v="98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1"/>
  </r>
  <r>
    <d v="2026-05-20T00:00:00"/>
    <x v="114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3"/>
  </r>
  <r>
    <d v="2026-05-20T00:00:00"/>
    <x v="130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6"/>
  </r>
  <r>
    <d v="2026-05-20T00:00:00"/>
    <x v="146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1"/>
  </r>
  <r>
    <d v="2026-05-20T00:00:00"/>
    <x v="162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5"/>
  </r>
  <r>
    <d v="2026-05-20T00:00:00"/>
    <x v="179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0"/>
  </r>
  <r>
    <d v="2026-05-20T00:00:00"/>
    <x v="194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0"/>
  </r>
  <r>
    <d v="2026-05-20T00:00:00"/>
    <x v="284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3"/>
  </r>
  <r>
    <d v="2026-05-20T00:00:00"/>
    <x v="317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4"/>
  </r>
  <r>
    <d v="2026-06-15T00:00:00"/>
    <x v="44"/>
    <x v="0"/>
    <x v="2"/>
    <x v="73"/>
    <n v="6.21"/>
    <n v="9"/>
    <n v="48.44"/>
    <n v="3.47"/>
    <m/>
    <n v="48.44"/>
    <m/>
    <m/>
    <m/>
    <m/>
    <m/>
    <m/>
    <n v="51.91"/>
    <x v="0"/>
    <n v="48.44"/>
    <x v="0"/>
    <x v="4"/>
  </r>
  <r>
    <d v="2026-06-15T00:00:00"/>
    <x v="61"/>
    <x v="0"/>
    <x v="2"/>
    <x v="73"/>
    <n v="6.21"/>
    <n v="9"/>
    <n v="51.91"/>
    <m/>
    <m/>
    <n v="51.91"/>
    <m/>
    <m/>
    <m/>
    <m/>
    <m/>
    <m/>
    <n v="51.91"/>
    <x v="0"/>
    <n v="51.91"/>
    <x v="0"/>
    <x v="0"/>
  </r>
  <r>
    <d v="2026-06-15T00:00:00"/>
    <x v="77"/>
    <x v="0"/>
    <x v="2"/>
    <x v="73"/>
    <n v="6.21"/>
    <n v="9"/>
    <n v="51.91"/>
    <m/>
    <m/>
    <n v="51.91"/>
    <m/>
    <m/>
    <m/>
    <m/>
    <m/>
    <m/>
    <n v="51.91"/>
    <x v="0"/>
    <n v="51.91"/>
    <x v="0"/>
    <x v="3"/>
  </r>
  <r>
    <d v="2026-06-15T00:00:00"/>
    <x v="93"/>
    <x v="0"/>
    <x v="2"/>
    <x v="73"/>
    <n v="6.21"/>
    <n v="9"/>
    <n v="51.91"/>
    <m/>
    <m/>
    <n v="51.91"/>
    <m/>
    <m/>
    <m/>
    <m/>
    <m/>
    <m/>
    <n v="51.91"/>
    <x v="0"/>
    <n v="51.91"/>
    <x v="0"/>
    <x v="6"/>
  </r>
  <r>
    <d v="2026-06-15T00:00:00"/>
    <x v="110"/>
    <x v="0"/>
    <x v="2"/>
    <x v="73"/>
    <n v="6.21"/>
    <n v="9"/>
    <n v="51.91"/>
    <m/>
    <m/>
    <n v="51.91"/>
    <m/>
    <m/>
    <m/>
    <m/>
    <m/>
    <m/>
    <n v="51.91"/>
    <x v="1"/>
    <n v="51.91"/>
    <x v="0"/>
    <x v="1"/>
  </r>
  <r>
    <d v="2026-06-15T00:00:00"/>
    <x v="125"/>
    <x v="0"/>
    <x v="2"/>
    <x v="73"/>
    <n v="6.21"/>
    <n v="9"/>
    <n v="51.91"/>
    <m/>
    <m/>
    <n v="51.91"/>
    <m/>
    <m/>
    <m/>
    <m/>
    <m/>
    <m/>
    <n v="51.91"/>
    <x v="1"/>
    <n v="51.91"/>
    <x v="0"/>
    <x v="5"/>
  </r>
  <r>
    <d v="2026-06-15T00:00:00"/>
    <x v="141"/>
    <x v="0"/>
    <x v="2"/>
    <x v="73"/>
    <n v="6.21"/>
    <n v="9"/>
    <n v="51.91"/>
    <m/>
    <m/>
    <n v="51.91"/>
    <m/>
    <m/>
    <m/>
    <m/>
    <m/>
    <m/>
    <n v="51.91"/>
    <x v="1"/>
    <n v="51.91"/>
    <x v="0"/>
    <x v="6"/>
  </r>
  <r>
    <d v="2026-06-15T00:00:00"/>
    <x v="158"/>
    <x v="0"/>
    <x v="2"/>
    <x v="73"/>
    <n v="6.21"/>
    <n v="9"/>
    <n v="51.91"/>
    <m/>
    <m/>
    <n v="51.91"/>
    <m/>
    <m/>
    <m/>
    <m/>
    <m/>
    <m/>
    <n v="51.91"/>
    <x v="1"/>
    <n v="51.91"/>
    <x v="0"/>
    <x v="2"/>
  </r>
  <r>
    <d v="2026-06-15T00:00:00"/>
    <x v="174"/>
    <x v="0"/>
    <x v="2"/>
    <x v="73"/>
    <n v="6.21"/>
    <n v="9"/>
    <n v="51.91"/>
    <m/>
    <m/>
    <n v="51.91"/>
    <m/>
    <m/>
    <m/>
    <m/>
    <m/>
    <m/>
    <n v="51.91"/>
    <x v="1"/>
    <n v="51.91"/>
    <x v="0"/>
    <x v="4"/>
  </r>
  <r>
    <d v="2026-06-15T00:00:00"/>
    <x v="189"/>
    <x v="0"/>
    <x v="2"/>
    <x v="73"/>
    <n v="6.21"/>
    <n v="9"/>
    <n v="51.91"/>
    <m/>
    <m/>
    <n v="51.91"/>
    <m/>
    <m/>
    <m/>
    <m/>
    <m/>
    <m/>
    <n v="51.91"/>
    <x v="1"/>
    <n v="51.91"/>
    <x v="0"/>
    <x v="4"/>
  </r>
  <r>
    <d v="2026-06-15T00:00:00"/>
    <x v="281"/>
    <x v="0"/>
    <x v="2"/>
    <x v="73"/>
    <n v="6.21"/>
    <n v="9"/>
    <n v="51.91"/>
    <m/>
    <m/>
    <n v="51.91"/>
    <m/>
    <m/>
    <m/>
    <m/>
    <m/>
    <m/>
    <n v="51.91"/>
    <x v="1"/>
    <n v="51.91"/>
    <x v="0"/>
    <x v="1"/>
  </r>
  <r>
    <d v="2026-06-15T00:00:00"/>
    <x v="313"/>
    <x v="0"/>
    <x v="2"/>
    <x v="73"/>
    <n v="6.21"/>
    <n v="9"/>
    <n v="51.91"/>
    <m/>
    <m/>
    <n v="51.91"/>
    <m/>
    <m/>
    <m/>
    <m/>
    <m/>
    <m/>
    <n v="51.91"/>
    <x v="1"/>
    <n v="51.91"/>
    <x v="0"/>
    <x v="3"/>
  </r>
  <r>
    <d v="2026-06-15T00:00:00"/>
    <x v="297"/>
    <x v="0"/>
    <x v="2"/>
    <x v="74"/>
    <n v="6.82"/>
    <n v="8.5"/>
    <n v="57.68"/>
    <n v="20.98"/>
    <m/>
    <n v="57.68"/>
    <m/>
    <m/>
    <m/>
    <m/>
    <m/>
    <m/>
    <n v="78.66"/>
    <x v="0"/>
    <n v="57.68"/>
    <x v="0"/>
    <x v="5"/>
  </r>
  <r>
    <d v="2026-06-15T00:00:00"/>
    <x v="298"/>
    <x v="0"/>
    <x v="2"/>
    <x v="74"/>
    <n v="6.82"/>
    <n v="8.5"/>
    <n v="78.66"/>
    <m/>
    <m/>
    <n v="78.66"/>
    <m/>
    <m/>
    <m/>
    <m/>
    <m/>
    <m/>
    <n v="78.66"/>
    <x v="0"/>
    <n v="78.66"/>
    <x v="0"/>
    <x v="0"/>
  </r>
  <r>
    <d v="2026-06-15T00:00:00"/>
    <x v="299"/>
    <x v="0"/>
    <x v="2"/>
    <x v="74"/>
    <n v="6.82"/>
    <n v="8.5"/>
    <n v="78.66"/>
    <m/>
    <m/>
    <n v="78.66"/>
    <m/>
    <m/>
    <m/>
    <m/>
    <m/>
    <m/>
    <n v="78.66"/>
    <x v="0"/>
    <n v="78.66"/>
    <x v="0"/>
    <x v="3"/>
  </r>
  <r>
    <d v="2026-06-15T00:00:00"/>
    <x v="300"/>
    <x v="0"/>
    <x v="2"/>
    <x v="74"/>
    <n v="6.82"/>
    <n v="8.5"/>
    <n v="78.66"/>
    <m/>
    <m/>
    <n v="78.66"/>
    <m/>
    <m/>
    <m/>
    <m/>
    <m/>
    <m/>
    <n v="78.66"/>
    <x v="0"/>
    <n v="78.66"/>
    <x v="1"/>
    <x v="4"/>
  </r>
  <r>
    <d v="2026-06-15T00:00:00"/>
    <x v="301"/>
    <x v="0"/>
    <x v="2"/>
    <x v="74"/>
    <n v="6.82"/>
    <n v="8.5"/>
    <n v="78.66"/>
    <m/>
    <m/>
    <n v="78.66"/>
    <m/>
    <m/>
    <m/>
    <m/>
    <m/>
    <m/>
    <n v="78.66"/>
    <x v="1"/>
    <n v="78.66"/>
    <x v="0"/>
    <x v="1"/>
  </r>
  <r>
    <d v="2026-06-15T00:00:00"/>
    <x v="302"/>
    <x v="0"/>
    <x v="2"/>
    <x v="74"/>
    <n v="6.82"/>
    <n v="8.5"/>
    <n v="78.66"/>
    <m/>
    <m/>
    <n v="78.66"/>
    <m/>
    <m/>
    <m/>
    <m/>
    <m/>
    <m/>
    <n v="78.66"/>
    <x v="1"/>
    <n v="78.66"/>
    <x v="0"/>
    <x v="3"/>
  </r>
  <r>
    <d v="2026-06-15T00:00:00"/>
    <x v="303"/>
    <x v="0"/>
    <x v="2"/>
    <x v="74"/>
    <n v="6.82"/>
    <n v="8.5"/>
    <n v="78.66"/>
    <m/>
    <m/>
    <n v="78.66"/>
    <m/>
    <m/>
    <m/>
    <m/>
    <m/>
    <m/>
    <n v="78.66"/>
    <x v="1"/>
    <n v="78.66"/>
    <x v="0"/>
    <x v="6"/>
  </r>
  <r>
    <d v="2026-06-15T00:00:00"/>
    <x v="304"/>
    <x v="0"/>
    <x v="2"/>
    <x v="74"/>
    <n v="6.82"/>
    <n v="8.5"/>
    <n v="78.66"/>
    <m/>
    <m/>
    <n v="78.66"/>
    <m/>
    <m/>
    <m/>
    <m/>
    <m/>
    <m/>
    <n v="78.66"/>
    <x v="1"/>
    <n v="78.66"/>
    <x v="0"/>
    <x v="2"/>
  </r>
  <r>
    <d v="2026-06-15T00:00:00"/>
    <x v="305"/>
    <x v="0"/>
    <x v="2"/>
    <x v="74"/>
    <n v="6.82"/>
    <n v="8.5"/>
    <n v="78.66"/>
    <m/>
    <m/>
    <n v="78.66"/>
    <m/>
    <m/>
    <m/>
    <m/>
    <m/>
    <m/>
    <n v="78.66"/>
    <x v="1"/>
    <n v="78.66"/>
    <x v="0"/>
    <x v="2"/>
  </r>
  <r>
    <d v="2026-06-15T00:00:00"/>
    <x v="306"/>
    <x v="0"/>
    <x v="2"/>
    <x v="74"/>
    <n v="6.82"/>
    <n v="8.5"/>
    <n v="78.66"/>
    <m/>
    <m/>
    <n v="78.66"/>
    <m/>
    <m/>
    <m/>
    <m/>
    <m/>
    <m/>
    <n v="78.66"/>
    <x v="1"/>
    <n v="78.66"/>
    <x v="0"/>
    <x v="4"/>
  </r>
  <r>
    <d v="2026-06-15T00:00:00"/>
    <x v="320"/>
    <x v="0"/>
    <x v="2"/>
    <x v="74"/>
    <n v="6.82"/>
    <n v="8.5"/>
    <n v="78.66"/>
    <m/>
    <m/>
    <n v="78.66"/>
    <m/>
    <m/>
    <m/>
    <m/>
    <m/>
    <m/>
    <n v="78.66"/>
    <x v="1"/>
    <n v="78.66"/>
    <x v="0"/>
    <x v="0"/>
  </r>
  <r>
    <d v="2026-06-15T00:00:00"/>
    <x v="272"/>
    <x v="2"/>
    <x v="0"/>
    <x v="49"/>
    <n v="1"/>
    <n v="1"/>
    <n v="0"/>
    <n v="14472.99"/>
    <m/>
    <n v="0"/>
    <m/>
    <m/>
    <m/>
    <m/>
    <m/>
    <s v="16087_05 - VAD16"/>
    <n v="14472.99"/>
    <x v="1"/>
    <n v="0"/>
    <x v="0"/>
    <x v="2"/>
  </r>
  <r>
    <d v="2026-06-16T00:00:00"/>
    <x v="272"/>
    <x v="2"/>
    <x v="0"/>
    <x v="48"/>
    <n v="1"/>
    <n v="1"/>
    <m/>
    <n v="1586.91"/>
    <m/>
    <n v="0"/>
    <m/>
    <m/>
    <m/>
    <m/>
    <m/>
    <n v="3693062"/>
    <n v="1586.91"/>
    <x v="1"/>
    <n v="0"/>
    <x v="0"/>
    <x v="2"/>
  </r>
  <r>
    <d v="2026-07-01T00:00:00"/>
    <x v="274"/>
    <x v="4"/>
    <x v="0"/>
    <x v="53"/>
    <n v="1"/>
    <n v="1"/>
    <n v="196.98"/>
    <n v="0"/>
    <m/>
    <n v="196.98"/>
    <m/>
    <m/>
    <m/>
    <m/>
    <m/>
    <n v="370100"/>
    <n v="196.98"/>
    <x v="1"/>
    <n v="196.98"/>
    <x v="0"/>
    <x v="0"/>
  </r>
  <r>
    <d v="2026-04-29T00:00:00"/>
    <x v="322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0"/>
  </r>
  <r>
    <d v="2024-09-17T00:00:00"/>
    <x v="323"/>
    <x v="0"/>
    <x v="0"/>
    <x v="0"/>
    <n v="5.36"/>
    <n v="13.5"/>
    <n v="15.63"/>
    <m/>
    <m/>
    <n v="15.63"/>
    <m/>
    <m/>
    <m/>
    <m/>
    <m/>
    <m/>
    <n v="15.63"/>
    <x v="1"/>
    <n v="15.63"/>
    <x v="0"/>
    <x v="6"/>
  </r>
  <r>
    <d v="2024-09-25T00:00:00"/>
    <x v="323"/>
    <x v="0"/>
    <x v="0"/>
    <x v="0"/>
    <n v="5.36"/>
    <n v="12.5"/>
    <n v="12.51"/>
    <m/>
    <m/>
    <n v="12.51"/>
    <m/>
    <m/>
    <m/>
    <m/>
    <m/>
    <m/>
    <n v="12.51"/>
    <x v="1"/>
    <n v="12.51"/>
    <x v="0"/>
    <x v="6"/>
  </r>
  <r>
    <d v="2025-02-20T00:00:00"/>
    <x v="324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0"/>
  </r>
  <r>
    <d v="2026-02-04T00:00:00"/>
    <x v="325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2"/>
  </r>
  <r>
    <d v="2026-02-04T00:00:00"/>
    <x v="325"/>
    <x v="0"/>
    <x v="0"/>
    <x v="7"/>
    <n v="7.35"/>
    <n v="11"/>
    <n v="20.79"/>
    <m/>
    <m/>
    <n v="20.79"/>
    <m/>
    <m/>
    <m/>
    <m/>
    <m/>
    <m/>
    <n v="20.79"/>
    <x v="1"/>
    <n v="20.79"/>
    <x v="0"/>
    <x v="2"/>
  </r>
  <r>
    <d v="2025-12-10T00:00:00"/>
    <x v="325"/>
    <x v="0"/>
    <x v="1"/>
    <x v="8"/>
    <n v="7.54"/>
    <n v="11"/>
    <n v="7.79"/>
    <m/>
    <m/>
    <n v="7.79"/>
    <m/>
    <m/>
    <m/>
    <m/>
    <m/>
    <m/>
    <n v="7.79"/>
    <x v="1"/>
    <n v="7.79"/>
    <x v="0"/>
    <x v="2"/>
  </r>
  <r>
    <d v="2025-10-13T00:00:00"/>
    <x v="204"/>
    <x v="0"/>
    <x v="0"/>
    <x v="11"/>
    <n v="7.54"/>
    <n v="9.85"/>
    <n v="35.25"/>
    <m/>
    <m/>
    <n v="35.25"/>
    <m/>
    <m/>
    <m/>
    <m/>
    <m/>
    <m/>
    <n v="35.25"/>
    <x v="1"/>
    <n v="35.25"/>
    <x v="0"/>
    <x v="6"/>
  </r>
  <r>
    <d v="2026-04-09T00:00:00"/>
    <x v="206"/>
    <x v="0"/>
    <x v="0"/>
    <x v="13"/>
    <n v="4.71"/>
    <n v="9.5"/>
    <n v="3.53"/>
    <n v="0"/>
    <m/>
    <n v="3.53"/>
    <m/>
    <m/>
    <m/>
    <m/>
    <m/>
    <m/>
    <n v="3.53"/>
    <x v="1"/>
    <n v="3.53"/>
    <x v="0"/>
    <x v="1"/>
  </r>
  <r>
    <d v="2023-12-04T00:00:00"/>
    <x v="326"/>
    <x v="0"/>
    <x v="1"/>
    <x v="18"/>
    <n v="5.64"/>
    <n v="13"/>
    <n v="14.1"/>
    <m/>
    <m/>
    <n v="14.1"/>
    <m/>
    <m/>
    <m/>
    <m/>
    <m/>
    <m/>
    <n v="14.1"/>
    <x v="1"/>
    <n v="14.1"/>
    <x v="0"/>
    <x v="6"/>
  </r>
  <r>
    <d v="2024-01-11T00:00:00"/>
    <x v="326"/>
    <x v="0"/>
    <x v="1"/>
    <x v="18"/>
    <n v="5.64"/>
    <n v="12.75"/>
    <n v="7.28"/>
    <m/>
    <m/>
    <n v="7.28"/>
    <m/>
    <m/>
    <m/>
    <m/>
    <m/>
    <m/>
    <n v="7.28"/>
    <x v="1"/>
    <n v="7.28"/>
    <x v="0"/>
    <x v="6"/>
  </r>
  <r>
    <d v="2025-12-15T00:00:00"/>
    <x v="327"/>
    <x v="0"/>
    <x v="1"/>
    <x v="19"/>
    <n v="5.93"/>
    <n v="8.5"/>
    <n v="23.09"/>
    <m/>
    <m/>
    <n v="23.09"/>
    <m/>
    <m/>
    <m/>
    <m/>
    <m/>
    <m/>
    <n v="23.09"/>
    <x v="1"/>
    <n v="23.09"/>
    <x v="0"/>
    <x v="0"/>
  </r>
  <r>
    <d v="2025-03-18T00:00:00"/>
    <x v="327"/>
    <x v="0"/>
    <x v="0"/>
    <x v="20"/>
    <n v="5.93"/>
    <n v="12"/>
    <n v="8.94"/>
    <m/>
    <m/>
    <n v="8.94"/>
    <m/>
    <m/>
    <m/>
    <m/>
    <m/>
    <m/>
    <n v="8.94"/>
    <x v="1"/>
    <n v="8.94"/>
    <x v="0"/>
    <x v="0"/>
  </r>
  <r>
    <d v="2023-12-04T00:00:00"/>
    <x v="328"/>
    <x v="0"/>
    <x v="1"/>
    <x v="22"/>
    <n v="5.36"/>
    <n v="13"/>
    <n v="5.58"/>
    <m/>
    <m/>
    <n v="5.58"/>
    <m/>
    <m/>
    <m/>
    <m/>
    <m/>
    <m/>
    <n v="5.58"/>
    <x v="1"/>
    <n v="5.58"/>
    <x v="0"/>
    <x v="3"/>
  </r>
  <r>
    <d v="2023-12-19T00:00:00"/>
    <x v="328"/>
    <x v="0"/>
    <x v="1"/>
    <x v="22"/>
    <n v="5.36"/>
    <n v="13"/>
    <n v="3.13"/>
    <m/>
    <m/>
    <n v="3.13"/>
    <m/>
    <m/>
    <m/>
    <m/>
    <m/>
    <m/>
    <n v="3.13"/>
    <x v="1"/>
    <n v="3.13"/>
    <x v="0"/>
    <x v="3"/>
  </r>
  <r>
    <d v="2024-09-17T00:00:00"/>
    <x v="328"/>
    <x v="0"/>
    <x v="0"/>
    <x v="22"/>
    <n v="5.36"/>
    <n v="13.75"/>
    <n v="4.47"/>
    <m/>
    <m/>
    <n v="4.47"/>
    <m/>
    <m/>
    <m/>
    <m/>
    <m/>
    <m/>
    <n v="4.47"/>
    <x v="1"/>
    <n v="4.47"/>
    <x v="0"/>
    <x v="3"/>
  </r>
  <r>
    <d v="2024-06-04T00:00:00"/>
    <x v="329"/>
    <x v="0"/>
    <x v="0"/>
    <x v="24"/>
    <n v="5.93"/>
    <n v="13.25"/>
    <n v="29.65"/>
    <m/>
    <m/>
    <n v="29.65"/>
    <m/>
    <m/>
    <m/>
    <m/>
    <m/>
    <m/>
    <n v="29.65"/>
    <x v="1"/>
    <n v="29.65"/>
    <x v="0"/>
    <x v="6"/>
  </r>
  <r>
    <d v="2025-06-24T00:00:00"/>
    <x v="322"/>
    <x v="0"/>
    <x v="0"/>
    <x v="25"/>
    <n v="5.93"/>
    <n v="11"/>
    <n v="22.41"/>
    <m/>
    <m/>
    <n v="22.41"/>
    <m/>
    <m/>
    <m/>
    <m/>
    <m/>
    <m/>
    <n v="22.41"/>
    <x v="1"/>
    <n v="22.41"/>
    <x v="0"/>
    <x v="0"/>
  </r>
  <r>
    <d v="2025-08-20T00:00:00"/>
    <x v="322"/>
    <x v="0"/>
    <x v="0"/>
    <x v="25"/>
    <n v="6.21"/>
    <n v="9.75"/>
    <n v="4.5"/>
    <m/>
    <m/>
    <n v="4.5"/>
    <m/>
    <m/>
    <m/>
    <m/>
    <m/>
    <m/>
    <n v="4.5"/>
    <x v="1"/>
    <n v="4.5"/>
    <x v="0"/>
    <x v="0"/>
  </r>
  <r>
    <d v="2025-08-20T00:00:00"/>
    <x v="322"/>
    <x v="0"/>
    <x v="1"/>
    <x v="25"/>
    <n v="6.21"/>
    <n v="10.75"/>
    <n v="25.88"/>
    <m/>
    <m/>
    <n v="25.88"/>
    <m/>
    <m/>
    <m/>
    <m/>
    <m/>
    <m/>
    <n v="25.88"/>
    <x v="1"/>
    <n v="25.88"/>
    <x v="0"/>
    <x v="0"/>
  </r>
  <r>
    <d v="2024-10-28T00:00:00"/>
    <x v="330"/>
    <x v="0"/>
    <x v="0"/>
    <x v="26"/>
    <n v="5.07"/>
    <n v="13"/>
    <n v="11.41"/>
    <m/>
    <m/>
    <n v="11.41"/>
    <m/>
    <m/>
    <m/>
    <m/>
    <m/>
    <m/>
    <n v="11.41"/>
    <x v="1"/>
    <n v="11.41"/>
    <x v="0"/>
    <x v="1"/>
  </r>
  <r>
    <d v="2022-09-26T00:00:00"/>
    <x v="331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2"/>
  </r>
  <r>
    <d v="2026-02-04T00:00:00"/>
    <x v="331"/>
    <x v="0"/>
    <x v="0"/>
    <x v="28"/>
    <n v="6.21"/>
    <n v="11"/>
    <n v="15.61"/>
    <m/>
    <m/>
    <n v="15.61"/>
    <m/>
    <m/>
    <m/>
    <m/>
    <m/>
    <m/>
    <n v="15.61"/>
    <x v="1"/>
    <n v="15.61"/>
    <x v="0"/>
    <x v="2"/>
  </r>
  <r>
    <d v="2026-02-27T00:00:00"/>
    <x v="331"/>
    <x v="0"/>
    <x v="1"/>
    <x v="29"/>
    <n v="6.21"/>
    <n v="10.6"/>
    <n v="17.79"/>
    <m/>
    <m/>
    <n v="17.79"/>
    <m/>
    <m/>
    <m/>
    <m/>
    <m/>
    <m/>
    <n v="17.79"/>
    <x v="1"/>
    <n v="17.79"/>
    <x v="0"/>
    <x v="2"/>
  </r>
  <r>
    <d v="2025-11-26T00:00:00"/>
    <x v="332"/>
    <x v="0"/>
    <x v="1"/>
    <x v="30"/>
    <n v="6.82"/>
    <n v="11"/>
    <n v="6.82"/>
    <n v="0"/>
    <m/>
    <n v="6.82"/>
    <m/>
    <m/>
    <m/>
    <m/>
    <m/>
    <m/>
    <n v="6.82"/>
    <x v="1"/>
    <n v="6.82"/>
    <x v="0"/>
    <x v="3"/>
  </r>
  <r>
    <d v="2026-05-07T00:00:00"/>
    <x v="333"/>
    <x v="0"/>
    <x v="3"/>
    <x v="66"/>
    <n v="7.72"/>
    <n v="9"/>
    <n v="67.55"/>
    <m/>
    <m/>
    <n v="67.55"/>
    <m/>
    <m/>
    <m/>
    <m/>
    <m/>
    <m/>
    <n v="67.55"/>
    <x v="1"/>
    <n v="67.55"/>
    <x v="0"/>
    <x v="5"/>
  </r>
  <r>
    <d v="2026-05-07T00:00:00"/>
    <x v="333"/>
    <x v="0"/>
    <x v="0"/>
    <x v="66"/>
    <n v="7.72"/>
    <n v="9"/>
    <n v="122.46"/>
    <m/>
    <m/>
    <n v="122.46"/>
    <m/>
    <m/>
    <m/>
    <m/>
    <m/>
    <m/>
    <n v="122.46"/>
    <x v="1"/>
    <n v="122.46"/>
    <x v="0"/>
    <x v="5"/>
  </r>
  <r>
    <d v="2026-05-07T00:00:00"/>
    <x v="327"/>
    <x v="0"/>
    <x v="0"/>
    <x v="67"/>
    <n v="6.21"/>
    <n v="9"/>
    <n v="188.11"/>
    <m/>
    <m/>
    <n v="188.11"/>
    <m/>
    <m/>
    <m/>
    <m/>
    <m/>
    <m/>
    <n v="188.11"/>
    <x v="1"/>
    <n v="188.11"/>
    <x v="0"/>
    <x v="0"/>
  </r>
  <r>
    <d v="2026-05-15T00:00:00"/>
    <x v="334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3"/>
  </r>
  <r>
    <d v="2026-05-20T00:00:00"/>
    <x v="330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1"/>
  </r>
  <r>
    <d v="2024-02-01T00:00:00"/>
    <x v="335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4-03-05T00:00:00"/>
    <x v="335"/>
    <x v="2"/>
    <x v="0"/>
    <x v="16"/>
    <n v="6"/>
    <n v="12"/>
    <n v="108.33"/>
    <m/>
    <m/>
    <n v="108.33"/>
    <m/>
    <m/>
    <m/>
    <m/>
    <m/>
    <m/>
    <n v="108.33"/>
    <x v="1"/>
    <n v="108.33"/>
    <x v="0"/>
    <x v="5"/>
  </r>
  <r>
    <d v="2023-03-21T00:00:00"/>
    <x v="335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5T00:00:00"/>
    <x v="335"/>
    <x v="2"/>
    <x v="0"/>
    <x v="16"/>
    <n v="6"/>
    <n v="12"/>
    <n v="54.16"/>
    <m/>
    <m/>
    <n v="54.16"/>
    <m/>
    <m/>
    <m/>
    <m/>
    <m/>
    <m/>
    <n v="54.16"/>
    <x v="1"/>
    <n v="54.16"/>
    <x v="0"/>
    <x v="5"/>
  </r>
  <r>
    <d v="2024-04-15T00:00:00"/>
    <x v="335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6T00:00:00"/>
    <x v="335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6-03-24T00:00:00"/>
    <x v="335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5"/>
  </r>
  <r>
    <d v="2021-09-23T00:00:00"/>
    <x v="326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6"/>
  </r>
  <r>
    <d v="2026-05-20T00:00:00"/>
    <x v="330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1"/>
  </r>
  <r>
    <d v="2026-06-15T00:00:00"/>
    <x v="326"/>
    <x v="0"/>
    <x v="2"/>
    <x v="73"/>
    <n v="6.21"/>
    <n v="9"/>
    <n v="51.91"/>
    <m/>
    <m/>
    <n v="51.91"/>
    <m/>
    <m/>
    <m/>
    <m/>
    <m/>
    <m/>
    <n v="51.91"/>
    <x v="1"/>
    <n v="51.91"/>
    <x v="0"/>
    <x v="6"/>
  </r>
  <r>
    <d v="2026-06-15T00:00:00"/>
    <x v="334"/>
    <x v="0"/>
    <x v="2"/>
    <x v="74"/>
    <n v="6.82"/>
    <n v="8.5"/>
    <n v="78.66"/>
    <m/>
    <m/>
    <n v="78.66"/>
    <m/>
    <m/>
    <m/>
    <m/>
    <m/>
    <m/>
    <n v="78.66"/>
    <x v="1"/>
    <n v="78.66"/>
    <x v="0"/>
    <x v="3"/>
  </r>
  <r>
    <d v="2026-07-08T00:00:00"/>
    <x v="336"/>
    <x v="0"/>
    <x v="0"/>
    <x v="75"/>
    <n v="7.93"/>
    <n v="9.6999999999999993"/>
    <n v="264.33999999999997"/>
    <n v="66.08"/>
    <m/>
    <n v="264.33999999999997"/>
    <m/>
    <m/>
    <m/>
    <m/>
    <m/>
    <m/>
    <n v="330.41999999999996"/>
    <x v="0"/>
    <n v="264.33999999999997"/>
    <x v="0"/>
    <x v="2"/>
  </r>
  <r>
    <d v="2026-07-08T00:00:00"/>
    <x v="337"/>
    <x v="0"/>
    <x v="0"/>
    <x v="75"/>
    <n v="7.93"/>
    <n v="9.6999999999999993"/>
    <n v="330.42"/>
    <m/>
    <m/>
    <n v="330.42"/>
    <m/>
    <m/>
    <m/>
    <m/>
    <m/>
    <m/>
    <n v="330.42"/>
    <x v="0"/>
    <n v="330.42"/>
    <x v="0"/>
    <x v="4"/>
  </r>
  <r>
    <d v="2026-07-08T00:00:00"/>
    <x v="336"/>
    <x v="0"/>
    <x v="0"/>
    <x v="76"/>
    <n v="7.72"/>
    <n v="9.25"/>
    <n v="12.35"/>
    <n v="3.09"/>
    <m/>
    <n v="12.35"/>
    <m/>
    <m/>
    <m/>
    <m/>
    <m/>
    <m/>
    <n v="15.44"/>
    <x v="0"/>
    <n v="12.35"/>
    <x v="0"/>
    <x v="2"/>
  </r>
  <r>
    <d v="2026-07-08T00:00:00"/>
    <x v="337"/>
    <x v="0"/>
    <x v="0"/>
    <x v="76"/>
    <n v="7.72"/>
    <n v="9.25"/>
    <n v="15.44"/>
    <m/>
    <m/>
    <n v="15.44"/>
    <m/>
    <m/>
    <m/>
    <m/>
    <m/>
    <m/>
    <n v="15.44"/>
    <x v="0"/>
    <n v="15.44"/>
    <x v="0"/>
    <x v="4"/>
  </r>
  <r>
    <d v="2026-07-08T00:00:00"/>
    <x v="338"/>
    <x v="0"/>
    <x v="0"/>
    <x v="76"/>
    <n v="7.72"/>
    <n v="9.25"/>
    <n v="15.44"/>
    <m/>
    <m/>
    <n v="15.44"/>
    <m/>
    <m/>
    <m/>
    <m/>
    <m/>
    <m/>
    <n v="15.44"/>
    <x v="0"/>
    <n v="15.44"/>
    <x v="0"/>
    <x v="0"/>
  </r>
  <r>
    <d v="2026-07-08T00:00:00"/>
    <x v="339"/>
    <x v="0"/>
    <x v="0"/>
    <x v="76"/>
    <n v="7.72"/>
    <n v="9.25"/>
    <n v="15.44"/>
    <m/>
    <m/>
    <n v="15.44"/>
    <m/>
    <m/>
    <m/>
    <m/>
    <m/>
    <m/>
    <n v="15.44"/>
    <x v="1"/>
    <n v="15.44"/>
    <x v="0"/>
    <x v="3"/>
  </r>
  <r>
    <d v="2026-07-08T00:00:00"/>
    <x v="340"/>
    <x v="0"/>
    <x v="0"/>
    <x v="76"/>
    <n v="7.72"/>
    <n v="9.25"/>
    <n v="15.44"/>
    <m/>
    <m/>
    <n v="15.44"/>
    <m/>
    <m/>
    <m/>
    <m/>
    <m/>
    <m/>
    <n v="15.44"/>
    <x v="1"/>
    <n v="15.44"/>
    <x v="0"/>
    <x v="4"/>
  </r>
  <r>
    <d v="2026-07-08T00:00:00"/>
    <x v="341"/>
    <x v="0"/>
    <x v="0"/>
    <x v="76"/>
    <n v="7.72"/>
    <n v="9.25"/>
    <n v="15.44"/>
    <m/>
    <m/>
    <n v="15.44"/>
    <m/>
    <m/>
    <m/>
    <m/>
    <m/>
    <m/>
    <n v="15.44"/>
    <x v="1"/>
    <n v="15.44"/>
    <x v="0"/>
    <x v="1"/>
  </r>
  <r>
    <d v="2026-07-08T00:00:00"/>
    <x v="342"/>
    <x v="0"/>
    <x v="0"/>
    <x v="76"/>
    <n v="7.72"/>
    <n v="9.25"/>
    <n v="15.44"/>
    <m/>
    <m/>
    <n v="15.44"/>
    <m/>
    <m/>
    <m/>
    <m/>
    <m/>
    <m/>
    <n v="15.44"/>
    <x v="1"/>
    <n v="15.44"/>
    <x v="0"/>
    <x v="5"/>
  </r>
  <r>
    <d v="2026-07-08T00:00:00"/>
    <x v="343"/>
    <x v="0"/>
    <x v="0"/>
    <x v="76"/>
    <n v="7.72"/>
    <n v="9.25"/>
    <n v="15.44"/>
    <m/>
    <m/>
    <n v="15.44"/>
    <m/>
    <m/>
    <m/>
    <m/>
    <m/>
    <m/>
    <n v="15.44"/>
    <x v="1"/>
    <n v="15.44"/>
    <x v="0"/>
    <x v="5"/>
  </r>
  <r>
    <d v="2026-07-08T00:00:00"/>
    <x v="344"/>
    <x v="0"/>
    <x v="0"/>
    <x v="76"/>
    <n v="7.72"/>
    <n v="9.25"/>
    <n v="15.44"/>
    <m/>
    <m/>
    <n v="15.44"/>
    <m/>
    <m/>
    <m/>
    <m/>
    <m/>
    <m/>
    <n v="15.44"/>
    <x v="1"/>
    <n v="15.44"/>
    <x v="0"/>
    <x v="0"/>
  </r>
  <r>
    <d v="2026-07-08T00:00:00"/>
    <x v="345"/>
    <x v="0"/>
    <x v="0"/>
    <x v="76"/>
    <n v="7.72"/>
    <n v="9.25"/>
    <n v="15.44"/>
    <m/>
    <m/>
    <n v="15.44"/>
    <m/>
    <m/>
    <m/>
    <m/>
    <m/>
    <m/>
    <n v="15.44"/>
    <x v="1"/>
    <n v="15.44"/>
    <x v="0"/>
    <x v="2"/>
  </r>
  <r>
    <d v="2026-07-08T00:00:00"/>
    <x v="346"/>
    <x v="0"/>
    <x v="0"/>
    <x v="76"/>
    <n v="7.72"/>
    <n v="9.25"/>
    <n v="15.44"/>
    <m/>
    <m/>
    <n v="15.44"/>
    <m/>
    <m/>
    <m/>
    <m/>
    <m/>
    <m/>
    <n v="15.44"/>
    <x v="1"/>
    <n v="15.44"/>
    <x v="0"/>
    <x v="4"/>
  </r>
  <r>
    <d v="2026-07-08T00:00:00"/>
    <x v="272"/>
    <x v="2"/>
    <x v="0"/>
    <x v="48"/>
    <n v="1"/>
    <n v="1"/>
    <n v="0"/>
    <n v="1754.1"/>
    <m/>
    <n v="0"/>
    <m/>
    <m/>
    <m/>
    <m/>
    <m/>
    <n v="3705034"/>
    <n v="1754.1"/>
    <x v="1"/>
    <n v="0"/>
    <x v="0"/>
    <x v="2"/>
  </r>
  <r>
    <d v="2024-09-24T00:00:00"/>
    <x v="347"/>
    <x v="3"/>
    <x v="0"/>
    <x v="37"/>
    <n v="8.5"/>
    <n v="12"/>
    <n v="0"/>
    <n v="117.29"/>
    <m/>
    <n v="0"/>
    <m/>
    <m/>
    <m/>
    <m/>
    <m/>
    <m/>
    <n v="117.29"/>
    <x v="0"/>
    <n v="0"/>
    <x v="0"/>
    <x v="6"/>
  </r>
  <r>
    <d v="2024-09-24T00:00:00"/>
    <x v="347"/>
    <x v="3"/>
    <x v="1"/>
    <x v="37"/>
    <n v="8.5"/>
    <n v="12"/>
    <n v="0"/>
    <n v="18.600000000000001"/>
    <m/>
    <n v="0"/>
    <m/>
    <m/>
    <m/>
    <m/>
    <m/>
    <m/>
    <n v="18.600000000000001"/>
    <x v="0"/>
    <n v="0"/>
    <x v="0"/>
    <x v="6"/>
  </r>
  <r>
    <d v="2024-09-24T00:00:00"/>
    <x v="347"/>
    <x v="3"/>
    <x v="2"/>
    <x v="37"/>
    <n v="8.5"/>
    <n v="12"/>
    <n v="0"/>
    <n v="75.58"/>
    <m/>
    <n v="0"/>
    <m/>
    <m/>
    <m/>
    <m/>
    <m/>
    <m/>
    <n v="75.58"/>
    <x v="0"/>
    <n v="0"/>
    <x v="0"/>
    <x v="6"/>
  </r>
  <r>
    <d v="2026-07-08T00:00:00"/>
    <x v="336"/>
    <x v="0"/>
    <x v="0"/>
    <x v="77"/>
    <n v="7.54"/>
    <n v="9.25"/>
    <n v="10.55"/>
    <n v="9.24"/>
    <m/>
    <n v="10.55"/>
    <m/>
    <m/>
    <m/>
    <m/>
    <m/>
    <m/>
    <n v="19.79"/>
    <x v="0"/>
    <n v="10.55"/>
    <x v="0"/>
    <x v="2"/>
  </r>
  <r>
    <d v="2026-07-08T00:00:00"/>
    <x v="337"/>
    <x v="0"/>
    <x v="0"/>
    <x v="77"/>
    <n v="7.54"/>
    <n v="9.25"/>
    <n v="19.79"/>
    <m/>
    <m/>
    <n v="19.79"/>
    <m/>
    <m/>
    <m/>
    <m/>
    <m/>
    <m/>
    <n v="19.79"/>
    <x v="0"/>
    <n v="19.79"/>
    <x v="0"/>
    <x v="4"/>
  </r>
  <r>
    <d v="2026-07-08T00:00:00"/>
    <x v="338"/>
    <x v="0"/>
    <x v="0"/>
    <x v="77"/>
    <n v="7.54"/>
    <n v="9.25"/>
    <n v="19.79"/>
    <m/>
    <m/>
    <n v="19.79"/>
    <m/>
    <m/>
    <m/>
    <m/>
    <m/>
    <m/>
    <n v="19.79"/>
    <x v="0"/>
    <n v="19.79"/>
    <x v="0"/>
    <x v="0"/>
  </r>
  <r>
    <d v="2026-07-08T00:00:00"/>
    <x v="339"/>
    <x v="0"/>
    <x v="0"/>
    <x v="77"/>
    <n v="7.54"/>
    <n v="9.25"/>
    <n v="19.79"/>
    <m/>
    <m/>
    <n v="19.79"/>
    <m/>
    <m/>
    <m/>
    <m/>
    <m/>
    <m/>
    <n v="19.79"/>
    <x v="1"/>
    <n v="19.79"/>
    <x v="0"/>
    <x v="3"/>
  </r>
  <r>
    <d v="2026-07-08T00:00:00"/>
    <x v="340"/>
    <x v="0"/>
    <x v="0"/>
    <x v="77"/>
    <n v="7.54"/>
    <n v="9.25"/>
    <n v="19.79"/>
    <m/>
    <m/>
    <n v="19.79"/>
    <m/>
    <m/>
    <m/>
    <m/>
    <m/>
    <m/>
    <n v="19.79"/>
    <x v="1"/>
    <n v="19.79"/>
    <x v="0"/>
    <x v="4"/>
  </r>
  <r>
    <d v="2026-07-08T00:00:00"/>
    <x v="341"/>
    <x v="0"/>
    <x v="0"/>
    <x v="77"/>
    <n v="7.54"/>
    <n v="9.25"/>
    <n v="19.79"/>
    <m/>
    <m/>
    <n v="19.79"/>
    <m/>
    <m/>
    <m/>
    <m/>
    <m/>
    <m/>
    <n v="19.79"/>
    <x v="1"/>
    <n v="19.79"/>
    <x v="0"/>
    <x v="1"/>
  </r>
  <r>
    <d v="2026-07-08T00:00:00"/>
    <x v="342"/>
    <x v="0"/>
    <x v="0"/>
    <x v="77"/>
    <n v="7.54"/>
    <n v="9.25"/>
    <n v="19.79"/>
    <m/>
    <m/>
    <n v="19.79"/>
    <m/>
    <m/>
    <m/>
    <m/>
    <m/>
    <m/>
    <n v="19.79"/>
    <x v="1"/>
    <n v="19.79"/>
    <x v="0"/>
    <x v="5"/>
  </r>
  <r>
    <d v="2026-07-08T00:00:00"/>
    <x v="343"/>
    <x v="0"/>
    <x v="0"/>
    <x v="77"/>
    <n v="7.54"/>
    <n v="9.25"/>
    <n v="19.79"/>
    <m/>
    <m/>
    <n v="19.79"/>
    <m/>
    <m/>
    <m/>
    <m/>
    <m/>
    <m/>
    <n v="19.79"/>
    <x v="1"/>
    <n v="19.79"/>
    <x v="0"/>
    <x v="5"/>
  </r>
  <r>
    <d v="2026-07-08T00:00:00"/>
    <x v="344"/>
    <x v="0"/>
    <x v="0"/>
    <x v="77"/>
    <n v="7.54"/>
    <n v="9.25"/>
    <n v="19.79"/>
    <m/>
    <m/>
    <n v="19.79"/>
    <m/>
    <m/>
    <m/>
    <m/>
    <m/>
    <m/>
    <n v="19.79"/>
    <x v="1"/>
    <n v="19.79"/>
    <x v="0"/>
    <x v="0"/>
  </r>
  <r>
    <d v="2026-07-08T00:00:00"/>
    <x v="345"/>
    <x v="0"/>
    <x v="0"/>
    <x v="77"/>
    <n v="7.54"/>
    <n v="9.25"/>
    <n v="19.79"/>
    <m/>
    <m/>
    <n v="19.79"/>
    <m/>
    <m/>
    <m/>
    <m/>
    <m/>
    <m/>
    <n v="19.79"/>
    <x v="1"/>
    <n v="19.79"/>
    <x v="0"/>
    <x v="2"/>
  </r>
  <r>
    <d v="2026-07-08T00:00:00"/>
    <x v="346"/>
    <x v="0"/>
    <x v="0"/>
    <x v="77"/>
    <n v="7.54"/>
    <n v="9.25"/>
    <n v="19.79"/>
    <m/>
    <m/>
    <n v="19.79"/>
    <m/>
    <m/>
    <m/>
    <m/>
    <m/>
    <m/>
    <n v="19.79"/>
    <x v="1"/>
    <n v="19.79"/>
    <x v="0"/>
    <x v="4"/>
  </r>
  <r>
    <d v="2024-09-24T00:00:00"/>
    <x v="89"/>
    <x v="3"/>
    <x v="0"/>
    <x v="37"/>
    <n v="8.5"/>
    <n v="12"/>
    <n v="0"/>
    <n v="364.39"/>
    <m/>
    <n v="0"/>
    <m/>
    <m/>
    <m/>
    <m/>
    <m/>
    <m/>
    <n v="364.39"/>
    <x v="0"/>
    <n v="0"/>
    <x v="0"/>
    <x v="0"/>
  </r>
  <r>
    <d v="2024-09-24T00:00:00"/>
    <x v="89"/>
    <x v="3"/>
    <x v="1"/>
    <x v="37"/>
    <n v="8.5"/>
    <n v="12"/>
    <n v="0"/>
    <n v="57.79"/>
    <m/>
    <n v="0"/>
    <m/>
    <m/>
    <m/>
    <m/>
    <m/>
    <m/>
    <n v="57.79"/>
    <x v="0"/>
    <n v="0"/>
    <x v="0"/>
    <x v="0"/>
  </r>
  <r>
    <d v="2024-09-24T00:00:00"/>
    <x v="89"/>
    <x v="3"/>
    <x v="2"/>
    <x v="37"/>
    <n v="8.5"/>
    <n v="12"/>
    <n v="0"/>
    <n v="234.8"/>
    <m/>
    <n v="0"/>
    <m/>
    <m/>
    <m/>
    <m/>
    <m/>
    <m/>
    <n v="234.8"/>
    <x v="0"/>
    <n v="0"/>
    <x v="0"/>
    <x v="0"/>
  </r>
  <r>
    <d v="2026-07-28T00:00:00"/>
    <x v="272"/>
    <x v="2"/>
    <x v="0"/>
    <x v="49"/>
    <n v="1"/>
    <n v="1"/>
    <n v="0"/>
    <n v="6500"/>
    <m/>
    <n v="0"/>
    <m/>
    <m/>
    <m/>
    <m/>
    <m/>
    <s v="20425_05 - VAD13"/>
    <n v="6500"/>
    <x v="1"/>
    <n v="0"/>
    <x v="0"/>
    <x v="2"/>
  </r>
  <r>
    <d v="2026-07-29T00:00:00"/>
    <x v="272"/>
    <x v="2"/>
    <x v="0"/>
    <x v="48"/>
    <n v="1"/>
    <n v="1"/>
    <n v="0"/>
    <n v="1972.53"/>
    <m/>
    <n v="0"/>
    <m/>
    <m/>
    <m/>
    <m/>
    <m/>
    <n v="3718852"/>
    <n v="1972.53"/>
    <x v="1"/>
    <n v="0"/>
    <x v="0"/>
    <x v="2"/>
  </r>
  <r>
    <d v="2026-07-29T00:00:00"/>
    <x v="272"/>
    <x v="2"/>
    <x v="0"/>
    <x v="48"/>
    <n v="1"/>
    <n v="1"/>
    <n v="0"/>
    <n v="3922.92"/>
    <m/>
    <n v="0"/>
    <m/>
    <m/>
    <m/>
    <m/>
    <m/>
    <s v="20473 - VAD05"/>
    <n v="3922.92"/>
    <x v="1"/>
    <n v="0"/>
    <x v="0"/>
    <x v="2"/>
  </r>
  <r>
    <d v="2026-07-29T00:00:00"/>
    <x v="272"/>
    <x v="2"/>
    <x v="0"/>
    <x v="49"/>
    <n v="1"/>
    <n v="1"/>
    <n v="0"/>
    <n v="1157.1500000000001"/>
    <m/>
    <n v="0"/>
    <m/>
    <m/>
    <m/>
    <m/>
    <m/>
    <n v="371902"/>
    <n v="1157.1500000000001"/>
    <x v="1"/>
    <n v="0"/>
    <x v="0"/>
    <x v="2"/>
  </r>
  <r>
    <d v="2026-07-30T00:00:00"/>
    <x v="272"/>
    <x v="2"/>
    <x v="0"/>
    <x v="49"/>
    <n v="1"/>
    <n v="1"/>
    <n v="0"/>
    <n v="5529.99"/>
    <m/>
    <n v="0"/>
    <m/>
    <m/>
    <m/>
    <m/>
    <m/>
    <n v="371996"/>
    <n v="5529.99"/>
    <x v="1"/>
    <n v="0"/>
    <x v="0"/>
    <x v="2"/>
  </r>
  <r>
    <d v="2026-07-30T00:00:00"/>
    <x v="272"/>
    <x v="2"/>
    <x v="0"/>
    <x v="47"/>
    <n v="1"/>
    <n v="1"/>
    <n v="0"/>
    <n v="7751.75"/>
    <m/>
    <n v="0"/>
    <m/>
    <m/>
    <m/>
    <m/>
    <m/>
    <s v="20697_04 - VAD37"/>
    <n v="7751.75"/>
    <x v="1"/>
    <n v="0"/>
    <x v="0"/>
    <x v="2"/>
  </r>
  <r>
    <d v="2026-04-29T00:00:00"/>
    <x v="348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2"/>
  </r>
  <r>
    <d v="2024-09-17T00:00:00"/>
    <x v="349"/>
    <x v="0"/>
    <x v="0"/>
    <x v="0"/>
    <n v="5.36"/>
    <n v="13.5"/>
    <n v="15.63"/>
    <m/>
    <m/>
    <n v="15.63"/>
    <m/>
    <m/>
    <m/>
    <m/>
    <m/>
    <m/>
    <n v="15.63"/>
    <x v="1"/>
    <n v="15.63"/>
    <x v="0"/>
    <x v="1"/>
  </r>
  <r>
    <d v="2024-09-25T00:00:00"/>
    <x v="349"/>
    <x v="0"/>
    <x v="0"/>
    <x v="0"/>
    <n v="5.36"/>
    <n v="12.5"/>
    <n v="12.51"/>
    <m/>
    <m/>
    <n v="12.51"/>
    <m/>
    <m/>
    <m/>
    <m/>
    <m/>
    <m/>
    <n v="12.51"/>
    <x v="1"/>
    <n v="12.51"/>
    <x v="0"/>
    <x v="1"/>
  </r>
  <r>
    <d v="2025-02-20T00:00:00"/>
    <x v="350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2"/>
  </r>
  <r>
    <d v="2026-02-04T00:00:00"/>
    <x v="351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5"/>
  </r>
  <r>
    <d v="2026-02-04T00:00:00"/>
    <x v="351"/>
    <x v="0"/>
    <x v="0"/>
    <x v="7"/>
    <n v="7.35"/>
    <n v="11"/>
    <n v="20.79"/>
    <m/>
    <m/>
    <n v="20.79"/>
    <m/>
    <m/>
    <m/>
    <m/>
    <m/>
    <m/>
    <n v="20.79"/>
    <x v="1"/>
    <n v="20.79"/>
    <x v="0"/>
    <x v="5"/>
  </r>
  <r>
    <d v="2025-12-10T00:00:00"/>
    <x v="351"/>
    <x v="0"/>
    <x v="1"/>
    <x v="8"/>
    <n v="7.54"/>
    <n v="11"/>
    <n v="7.79"/>
    <m/>
    <m/>
    <n v="7.79"/>
    <m/>
    <m/>
    <m/>
    <m/>
    <m/>
    <m/>
    <n v="7.79"/>
    <x v="1"/>
    <n v="7.79"/>
    <x v="0"/>
    <x v="5"/>
  </r>
  <r>
    <d v="2025-10-13T00:00:00"/>
    <x v="352"/>
    <x v="0"/>
    <x v="0"/>
    <x v="11"/>
    <n v="7.54"/>
    <n v="9.85"/>
    <n v="35.25"/>
    <m/>
    <m/>
    <n v="35.25"/>
    <m/>
    <m/>
    <m/>
    <m/>
    <m/>
    <m/>
    <n v="35.25"/>
    <x v="1"/>
    <n v="35.25"/>
    <x v="0"/>
    <x v="1"/>
  </r>
  <r>
    <d v="2026-04-09T00:00:00"/>
    <x v="353"/>
    <x v="0"/>
    <x v="0"/>
    <x v="13"/>
    <n v="4.71"/>
    <n v="9.5"/>
    <n v="3.53"/>
    <n v="0"/>
    <m/>
    <n v="3.53"/>
    <m/>
    <m/>
    <m/>
    <m/>
    <m/>
    <m/>
    <n v="3.53"/>
    <x v="1"/>
    <n v="3.53"/>
    <x v="0"/>
    <x v="3"/>
  </r>
  <r>
    <d v="2023-12-04T00:00:00"/>
    <x v="354"/>
    <x v="0"/>
    <x v="1"/>
    <x v="18"/>
    <n v="5.64"/>
    <n v="13"/>
    <n v="14.1"/>
    <m/>
    <m/>
    <n v="14.1"/>
    <m/>
    <m/>
    <m/>
    <m/>
    <m/>
    <m/>
    <n v="14.1"/>
    <x v="1"/>
    <n v="14.1"/>
    <x v="0"/>
    <x v="1"/>
  </r>
  <r>
    <d v="2024-01-11T00:00:00"/>
    <x v="354"/>
    <x v="0"/>
    <x v="1"/>
    <x v="18"/>
    <n v="5.64"/>
    <n v="12.75"/>
    <n v="7.28"/>
    <m/>
    <m/>
    <n v="7.28"/>
    <m/>
    <m/>
    <m/>
    <m/>
    <m/>
    <m/>
    <n v="7.28"/>
    <x v="1"/>
    <n v="7.28"/>
    <x v="0"/>
    <x v="1"/>
  </r>
  <r>
    <d v="2025-12-15T00:00:00"/>
    <x v="355"/>
    <x v="0"/>
    <x v="1"/>
    <x v="19"/>
    <n v="5.93"/>
    <n v="8.5"/>
    <n v="23.09"/>
    <m/>
    <m/>
    <n v="23.09"/>
    <m/>
    <m/>
    <m/>
    <m/>
    <m/>
    <m/>
    <n v="23.09"/>
    <x v="1"/>
    <n v="23.09"/>
    <x v="0"/>
    <x v="2"/>
  </r>
  <r>
    <d v="2025-03-18T00:00:00"/>
    <x v="355"/>
    <x v="0"/>
    <x v="0"/>
    <x v="20"/>
    <n v="5.93"/>
    <n v="12"/>
    <n v="8.94"/>
    <m/>
    <m/>
    <n v="8.94"/>
    <m/>
    <m/>
    <m/>
    <m/>
    <m/>
    <m/>
    <n v="8.94"/>
    <x v="1"/>
    <n v="8.94"/>
    <x v="0"/>
    <x v="2"/>
  </r>
  <r>
    <d v="2023-12-04T00:00:00"/>
    <x v="209"/>
    <x v="0"/>
    <x v="1"/>
    <x v="22"/>
    <n v="5.36"/>
    <n v="13"/>
    <n v="5.58"/>
    <m/>
    <m/>
    <n v="5.58"/>
    <m/>
    <m/>
    <m/>
    <m/>
    <m/>
    <m/>
    <n v="5.58"/>
    <x v="1"/>
    <n v="5.58"/>
    <x v="0"/>
    <x v="4"/>
  </r>
  <r>
    <d v="2023-12-19T00:00:00"/>
    <x v="209"/>
    <x v="0"/>
    <x v="1"/>
    <x v="22"/>
    <n v="5.36"/>
    <n v="13"/>
    <n v="3.13"/>
    <m/>
    <m/>
    <n v="3.13"/>
    <m/>
    <m/>
    <m/>
    <m/>
    <m/>
    <m/>
    <n v="3.13"/>
    <x v="1"/>
    <n v="3.13"/>
    <x v="0"/>
    <x v="4"/>
  </r>
  <r>
    <d v="2024-09-17T00:00:00"/>
    <x v="209"/>
    <x v="0"/>
    <x v="0"/>
    <x v="22"/>
    <n v="5.36"/>
    <n v="13.75"/>
    <n v="4.47"/>
    <m/>
    <m/>
    <n v="4.47"/>
    <m/>
    <m/>
    <m/>
    <m/>
    <m/>
    <m/>
    <n v="4.47"/>
    <x v="1"/>
    <n v="4.47"/>
    <x v="0"/>
    <x v="4"/>
  </r>
  <r>
    <d v="2024-06-04T00:00:00"/>
    <x v="356"/>
    <x v="0"/>
    <x v="0"/>
    <x v="24"/>
    <n v="5.93"/>
    <n v="13.25"/>
    <n v="29.65"/>
    <m/>
    <m/>
    <n v="29.65"/>
    <m/>
    <m/>
    <m/>
    <m/>
    <m/>
    <m/>
    <n v="29.65"/>
    <x v="1"/>
    <n v="29.65"/>
    <x v="0"/>
    <x v="1"/>
  </r>
  <r>
    <d v="2025-06-24T00:00:00"/>
    <x v="348"/>
    <x v="0"/>
    <x v="0"/>
    <x v="25"/>
    <n v="5.93"/>
    <n v="11"/>
    <n v="22.41"/>
    <m/>
    <m/>
    <n v="22.41"/>
    <m/>
    <m/>
    <m/>
    <m/>
    <m/>
    <m/>
    <n v="22.41"/>
    <x v="1"/>
    <n v="22.41"/>
    <x v="0"/>
    <x v="2"/>
  </r>
  <r>
    <d v="2025-08-20T00:00:00"/>
    <x v="348"/>
    <x v="0"/>
    <x v="0"/>
    <x v="25"/>
    <n v="6.21"/>
    <n v="9.75"/>
    <n v="4.5"/>
    <m/>
    <m/>
    <n v="4.5"/>
    <m/>
    <m/>
    <m/>
    <m/>
    <m/>
    <m/>
    <n v="4.5"/>
    <x v="1"/>
    <n v="4.5"/>
    <x v="0"/>
    <x v="2"/>
  </r>
  <r>
    <d v="2025-08-20T00:00:00"/>
    <x v="348"/>
    <x v="0"/>
    <x v="1"/>
    <x v="25"/>
    <n v="6.21"/>
    <n v="10.75"/>
    <n v="25.88"/>
    <m/>
    <m/>
    <n v="25.88"/>
    <m/>
    <m/>
    <m/>
    <m/>
    <m/>
    <m/>
    <n v="25.88"/>
    <x v="1"/>
    <n v="25.88"/>
    <x v="0"/>
    <x v="2"/>
  </r>
  <r>
    <d v="2024-10-28T00:00:00"/>
    <x v="357"/>
    <x v="0"/>
    <x v="0"/>
    <x v="26"/>
    <n v="5.07"/>
    <n v="13"/>
    <n v="11.41"/>
    <m/>
    <m/>
    <n v="11.41"/>
    <m/>
    <m/>
    <m/>
    <m/>
    <m/>
    <m/>
    <n v="11.41"/>
    <x v="1"/>
    <n v="11.41"/>
    <x v="0"/>
    <x v="3"/>
  </r>
  <r>
    <d v="2022-09-26T00:00:00"/>
    <x v="358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5"/>
  </r>
  <r>
    <d v="2026-02-04T00:00:00"/>
    <x v="358"/>
    <x v="0"/>
    <x v="0"/>
    <x v="28"/>
    <n v="6.21"/>
    <n v="11"/>
    <n v="15.61"/>
    <m/>
    <m/>
    <n v="15.61"/>
    <m/>
    <m/>
    <m/>
    <m/>
    <m/>
    <m/>
    <n v="15.61"/>
    <x v="1"/>
    <n v="15.61"/>
    <x v="0"/>
    <x v="5"/>
  </r>
  <r>
    <d v="2026-02-27T00:00:00"/>
    <x v="358"/>
    <x v="0"/>
    <x v="1"/>
    <x v="29"/>
    <n v="6.21"/>
    <n v="10.6"/>
    <n v="17.79"/>
    <m/>
    <m/>
    <n v="17.79"/>
    <m/>
    <m/>
    <m/>
    <m/>
    <m/>
    <m/>
    <n v="17.79"/>
    <x v="1"/>
    <n v="17.79"/>
    <x v="0"/>
    <x v="5"/>
  </r>
  <r>
    <d v="2025-11-26T00:00:00"/>
    <x v="359"/>
    <x v="0"/>
    <x v="1"/>
    <x v="30"/>
    <n v="6.82"/>
    <n v="11"/>
    <n v="6.82"/>
    <n v="0"/>
    <m/>
    <n v="6.82"/>
    <m/>
    <m/>
    <m/>
    <m/>
    <m/>
    <m/>
    <n v="6.82"/>
    <x v="1"/>
    <n v="6.82"/>
    <x v="0"/>
    <x v="4"/>
  </r>
  <r>
    <d v="2026-05-07T00:00:00"/>
    <x v="207"/>
    <x v="0"/>
    <x v="3"/>
    <x v="66"/>
    <n v="7.72"/>
    <n v="9"/>
    <n v="67.55"/>
    <m/>
    <m/>
    <n v="67.55"/>
    <m/>
    <m/>
    <m/>
    <m/>
    <m/>
    <m/>
    <n v="67.55"/>
    <x v="1"/>
    <n v="67.55"/>
    <x v="0"/>
    <x v="6"/>
  </r>
  <r>
    <d v="2026-05-07T00:00:00"/>
    <x v="207"/>
    <x v="0"/>
    <x v="0"/>
    <x v="66"/>
    <n v="7.72"/>
    <n v="9"/>
    <n v="122.46"/>
    <m/>
    <m/>
    <n v="122.46"/>
    <m/>
    <m/>
    <m/>
    <m/>
    <m/>
    <m/>
    <n v="122.46"/>
    <x v="1"/>
    <n v="122.46"/>
    <x v="0"/>
    <x v="6"/>
  </r>
  <r>
    <d v="2026-05-07T00:00:00"/>
    <x v="355"/>
    <x v="0"/>
    <x v="0"/>
    <x v="67"/>
    <n v="6.21"/>
    <n v="9"/>
    <n v="188.11"/>
    <m/>
    <m/>
    <n v="188.11"/>
    <m/>
    <m/>
    <m/>
    <m/>
    <m/>
    <m/>
    <n v="188.11"/>
    <x v="1"/>
    <n v="188.11"/>
    <x v="0"/>
    <x v="2"/>
  </r>
  <r>
    <d v="2026-05-15T00:00:00"/>
    <x v="360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4"/>
  </r>
  <r>
    <d v="2026-05-20T00:00:00"/>
    <x v="357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3"/>
  </r>
  <r>
    <d v="2024-02-01T00:00:00"/>
    <x v="36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4-03-05T00:00:00"/>
    <x v="361"/>
    <x v="2"/>
    <x v="0"/>
    <x v="16"/>
    <n v="6"/>
    <n v="12"/>
    <n v="108.33"/>
    <m/>
    <m/>
    <n v="108.33"/>
    <m/>
    <m/>
    <m/>
    <m/>
    <m/>
    <m/>
    <n v="108.33"/>
    <x v="1"/>
    <n v="108.33"/>
    <x v="0"/>
    <x v="6"/>
  </r>
  <r>
    <d v="2023-03-21T00:00:00"/>
    <x v="361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5T00:00:00"/>
    <x v="361"/>
    <x v="2"/>
    <x v="0"/>
    <x v="16"/>
    <n v="6"/>
    <n v="12"/>
    <n v="54.16"/>
    <m/>
    <m/>
    <n v="54.16"/>
    <m/>
    <m/>
    <m/>
    <m/>
    <m/>
    <m/>
    <n v="54.16"/>
    <x v="1"/>
    <n v="54.16"/>
    <x v="0"/>
    <x v="6"/>
  </r>
  <r>
    <d v="2024-04-15T00:00:00"/>
    <x v="361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6T00:00:00"/>
    <x v="36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6-03-24T00:00:00"/>
    <x v="361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6"/>
  </r>
  <r>
    <d v="2021-09-23T00:00:00"/>
    <x v="354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1"/>
  </r>
  <r>
    <d v="2026-05-20T00:00:00"/>
    <x v="357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3"/>
  </r>
  <r>
    <d v="2026-06-15T00:00:00"/>
    <x v="354"/>
    <x v="0"/>
    <x v="2"/>
    <x v="73"/>
    <n v="6.21"/>
    <n v="9"/>
    <n v="51.91"/>
    <m/>
    <m/>
    <n v="51.91"/>
    <m/>
    <m/>
    <m/>
    <m/>
    <m/>
    <m/>
    <n v="51.91"/>
    <x v="1"/>
    <n v="51.91"/>
    <x v="0"/>
    <x v="1"/>
  </r>
  <r>
    <d v="2026-06-15T00:00:00"/>
    <x v="360"/>
    <x v="0"/>
    <x v="2"/>
    <x v="74"/>
    <n v="6.82"/>
    <n v="8.5"/>
    <n v="78.66"/>
    <m/>
    <m/>
    <n v="78.66"/>
    <m/>
    <m/>
    <m/>
    <m/>
    <m/>
    <m/>
    <n v="78.66"/>
    <x v="1"/>
    <n v="78.66"/>
    <x v="0"/>
    <x v="4"/>
  </r>
  <r>
    <d v="2026-07-08T00:00:00"/>
    <x v="362"/>
    <x v="0"/>
    <x v="0"/>
    <x v="76"/>
    <n v="7.72"/>
    <n v="9.25"/>
    <n v="15.44"/>
    <m/>
    <m/>
    <n v="15.44"/>
    <m/>
    <m/>
    <m/>
    <m/>
    <m/>
    <m/>
    <n v="15.44"/>
    <x v="1"/>
    <n v="15.44"/>
    <x v="0"/>
    <x v="0"/>
  </r>
  <r>
    <d v="2026-07-08T00:00:00"/>
    <x v="362"/>
    <x v="0"/>
    <x v="0"/>
    <x v="77"/>
    <n v="7.54"/>
    <n v="9.25"/>
    <n v="19.79"/>
    <m/>
    <m/>
    <n v="19.79"/>
    <m/>
    <m/>
    <m/>
    <m/>
    <m/>
    <m/>
    <n v="19.79"/>
    <x v="1"/>
    <n v="19.79"/>
    <x v="0"/>
    <x v="0"/>
  </r>
  <r>
    <d v="2026-08-04T00:00:00"/>
    <x v="272"/>
    <x v="2"/>
    <x v="0"/>
    <x v="49"/>
    <n v="1"/>
    <n v="1"/>
    <n v="0"/>
    <n v="146.5"/>
    <m/>
    <n v="0"/>
    <m/>
    <m/>
    <m/>
    <m/>
    <m/>
    <n v="372241"/>
    <n v="146.5"/>
    <x v="1"/>
    <n v="0"/>
    <x v="0"/>
    <x v="2"/>
  </r>
  <r>
    <d v="2026-08-04T00:00:00"/>
    <x v="272"/>
    <x v="2"/>
    <x v="0"/>
    <x v="49"/>
    <n v="1"/>
    <n v="1"/>
    <n v="0"/>
    <n v="3061.18"/>
    <m/>
    <n v="0"/>
    <m/>
    <m/>
    <m/>
    <m/>
    <m/>
    <n v="372253"/>
    <n v="3061.18"/>
    <x v="1"/>
    <n v="0"/>
    <x v="0"/>
    <x v="2"/>
  </r>
  <r>
    <d v="2026-08-05T00:00:00"/>
    <x v="272"/>
    <x v="2"/>
    <x v="0"/>
    <x v="48"/>
    <n v="1"/>
    <n v="1"/>
    <n v="0"/>
    <n v="2041.67"/>
    <m/>
    <n v="0"/>
    <m/>
    <m/>
    <m/>
    <m/>
    <m/>
    <s v="21163 - VAD07"/>
    <n v="2041.67"/>
    <x v="1"/>
    <n v="0"/>
    <x v="0"/>
    <x v="2"/>
  </r>
  <r>
    <d v="2026-08-05T00:00:00"/>
    <x v="272"/>
    <x v="2"/>
    <x v="0"/>
    <x v="47"/>
    <n v="1"/>
    <n v="1"/>
    <n v="0"/>
    <n v="2439.04"/>
    <m/>
    <n v="0"/>
    <m/>
    <m/>
    <m/>
    <m/>
    <m/>
    <s v="21164 - VAD08"/>
    <n v="2439.04"/>
    <x v="1"/>
    <n v="0"/>
    <x v="0"/>
    <x v="2"/>
  </r>
  <r>
    <d v="2026-08-05T00:00:00"/>
    <x v="272"/>
    <x v="2"/>
    <x v="0"/>
    <x v="47"/>
    <n v="1"/>
    <n v="1"/>
    <n v="0"/>
    <n v="13600"/>
    <m/>
    <n v="0"/>
    <m/>
    <m/>
    <m/>
    <m/>
    <m/>
    <n v="3723541"/>
    <n v="13600"/>
    <x v="1"/>
    <n v="0"/>
    <x v="0"/>
    <x v="2"/>
  </r>
  <r>
    <d v="2026-08-13T00:00:00"/>
    <x v="272"/>
    <x v="2"/>
    <x v="0"/>
    <x v="48"/>
    <n v="1"/>
    <n v="1"/>
    <n v="0"/>
    <n v="957"/>
    <m/>
    <n v="0"/>
    <m/>
    <m/>
    <m/>
    <m/>
    <m/>
    <s v="Suscripcion"/>
    <n v="957"/>
    <x v="1"/>
    <n v="0"/>
    <x v="0"/>
    <x v="2"/>
  </r>
  <r>
    <d v="2026-04-29T00:00:00"/>
    <x v="363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4"/>
  </r>
  <r>
    <d v="2024-09-17T00:00:00"/>
    <x v="364"/>
    <x v="0"/>
    <x v="0"/>
    <x v="0"/>
    <n v="5.36"/>
    <n v="13.5"/>
    <n v="15.63"/>
    <m/>
    <m/>
    <n v="15.63"/>
    <m/>
    <m/>
    <m/>
    <m/>
    <m/>
    <m/>
    <n v="15.63"/>
    <x v="1"/>
    <n v="15.63"/>
    <x v="0"/>
    <x v="5"/>
  </r>
  <r>
    <d v="2024-09-25T00:00:00"/>
    <x v="364"/>
    <x v="0"/>
    <x v="0"/>
    <x v="0"/>
    <n v="5.36"/>
    <n v="12.5"/>
    <n v="12.51"/>
    <m/>
    <m/>
    <n v="12.51"/>
    <m/>
    <m/>
    <m/>
    <m/>
    <m/>
    <m/>
    <n v="12.51"/>
    <x v="1"/>
    <n v="12.51"/>
    <x v="0"/>
    <x v="5"/>
  </r>
  <r>
    <d v="2025-02-20T00:00:00"/>
    <x v="365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4"/>
  </r>
  <r>
    <d v="2026-02-04T00:00:00"/>
    <x v="366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0"/>
  </r>
  <r>
    <d v="2026-02-04T00:00:00"/>
    <x v="366"/>
    <x v="0"/>
    <x v="0"/>
    <x v="7"/>
    <n v="7.35"/>
    <n v="11"/>
    <n v="20.79"/>
    <m/>
    <m/>
    <n v="20.79"/>
    <m/>
    <m/>
    <m/>
    <m/>
    <m/>
    <m/>
    <n v="20.79"/>
    <x v="1"/>
    <n v="20.79"/>
    <x v="0"/>
    <x v="0"/>
  </r>
  <r>
    <d v="2025-12-10T00:00:00"/>
    <x v="366"/>
    <x v="0"/>
    <x v="1"/>
    <x v="8"/>
    <n v="7.54"/>
    <n v="11"/>
    <n v="7.79"/>
    <m/>
    <m/>
    <n v="7.79"/>
    <m/>
    <m/>
    <m/>
    <m/>
    <m/>
    <m/>
    <n v="7.79"/>
    <x v="1"/>
    <n v="7.79"/>
    <x v="0"/>
    <x v="0"/>
  </r>
  <r>
    <d v="2025-10-13T00:00:00"/>
    <x v="367"/>
    <x v="0"/>
    <x v="0"/>
    <x v="11"/>
    <n v="7.54"/>
    <n v="9.85"/>
    <n v="35.25"/>
    <m/>
    <m/>
    <n v="35.25"/>
    <m/>
    <m/>
    <m/>
    <m/>
    <m/>
    <m/>
    <n v="35.25"/>
    <x v="1"/>
    <n v="35.25"/>
    <x v="0"/>
    <x v="5"/>
  </r>
  <r>
    <d v="2026-04-09T00:00:00"/>
    <x v="368"/>
    <x v="0"/>
    <x v="0"/>
    <x v="13"/>
    <n v="4.71"/>
    <n v="9.5"/>
    <n v="3.53"/>
    <n v="0"/>
    <m/>
    <n v="3.53"/>
    <m/>
    <m/>
    <m/>
    <m/>
    <m/>
    <m/>
    <n v="3.53"/>
    <x v="1"/>
    <n v="3.53"/>
    <x v="0"/>
    <x v="6"/>
  </r>
  <r>
    <d v="2023-12-04T00:00:00"/>
    <x v="369"/>
    <x v="0"/>
    <x v="1"/>
    <x v="18"/>
    <n v="5.64"/>
    <n v="13"/>
    <n v="14.1"/>
    <m/>
    <m/>
    <n v="14.1"/>
    <m/>
    <m/>
    <m/>
    <m/>
    <m/>
    <m/>
    <n v="14.1"/>
    <x v="1"/>
    <n v="14.1"/>
    <x v="0"/>
    <x v="5"/>
  </r>
  <r>
    <d v="2024-01-11T00:00:00"/>
    <x v="369"/>
    <x v="0"/>
    <x v="1"/>
    <x v="18"/>
    <n v="5.64"/>
    <n v="12.75"/>
    <n v="7.28"/>
    <m/>
    <m/>
    <n v="7.28"/>
    <m/>
    <m/>
    <m/>
    <m/>
    <m/>
    <m/>
    <n v="7.28"/>
    <x v="1"/>
    <n v="7.28"/>
    <x v="0"/>
    <x v="5"/>
  </r>
  <r>
    <d v="2025-12-15T00:00:00"/>
    <x v="370"/>
    <x v="0"/>
    <x v="1"/>
    <x v="19"/>
    <n v="5.93"/>
    <n v="8.5"/>
    <n v="23.09"/>
    <m/>
    <m/>
    <n v="23.09"/>
    <m/>
    <m/>
    <m/>
    <m/>
    <m/>
    <m/>
    <n v="23.09"/>
    <x v="1"/>
    <n v="23.09"/>
    <x v="0"/>
    <x v="4"/>
  </r>
  <r>
    <d v="2025-03-18T00:00:00"/>
    <x v="370"/>
    <x v="0"/>
    <x v="0"/>
    <x v="20"/>
    <n v="5.93"/>
    <n v="12"/>
    <n v="8.94"/>
    <m/>
    <m/>
    <n v="8.94"/>
    <m/>
    <m/>
    <m/>
    <m/>
    <m/>
    <m/>
    <n v="8.94"/>
    <x v="1"/>
    <n v="8.94"/>
    <x v="0"/>
    <x v="4"/>
  </r>
  <r>
    <d v="2023-12-04T00:00:00"/>
    <x v="371"/>
    <x v="0"/>
    <x v="1"/>
    <x v="22"/>
    <n v="5.36"/>
    <n v="13"/>
    <n v="5.58"/>
    <m/>
    <m/>
    <n v="5.58"/>
    <m/>
    <m/>
    <m/>
    <m/>
    <m/>
    <m/>
    <n v="5.58"/>
    <x v="1"/>
    <n v="5.58"/>
    <x v="0"/>
    <x v="1"/>
  </r>
  <r>
    <d v="2023-12-19T00:00:00"/>
    <x v="371"/>
    <x v="0"/>
    <x v="1"/>
    <x v="22"/>
    <n v="5.36"/>
    <n v="13"/>
    <n v="3.13"/>
    <m/>
    <m/>
    <n v="3.13"/>
    <m/>
    <m/>
    <m/>
    <m/>
    <m/>
    <m/>
    <n v="3.13"/>
    <x v="1"/>
    <n v="3.13"/>
    <x v="0"/>
    <x v="1"/>
  </r>
  <r>
    <d v="2024-09-17T00:00:00"/>
    <x v="371"/>
    <x v="0"/>
    <x v="0"/>
    <x v="22"/>
    <n v="5.36"/>
    <n v="13.75"/>
    <n v="4.47"/>
    <m/>
    <m/>
    <n v="4.47"/>
    <m/>
    <m/>
    <m/>
    <m/>
    <m/>
    <m/>
    <n v="4.47"/>
    <x v="1"/>
    <n v="4.47"/>
    <x v="0"/>
    <x v="1"/>
  </r>
  <r>
    <d v="2024-06-04T00:00:00"/>
    <x v="372"/>
    <x v="0"/>
    <x v="0"/>
    <x v="24"/>
    <n v="5.93"/>
    <n v="13.25"/>
    <n v="29.65"/>
    <m/>
    <m/>
    <n v="29.65"/>
    <m/>
    <m/>
    <m/>
    <m/>
    <m/>
    <m/>
    <n v="29.65"/>
    <x v="1"/>
    <n v="29.65"/>
    <x v="0"/>
    <x v="5"/>
  </r>
  <r>
    <d v="2025-06-24T00:00:00"/>
    <x v="363"/>
    <x v="0"/>
    <x v="0"/>
    <x v="25"/>
    <n v="5.93"/>
    <n v="11"/>
    <n v="22.41"/>
    <m/>
    <m/>
    <n v="22.41"/>
    <m/>
    <m/>
    <m/>
    <m/>
    <m/>
    <m/>
    <n v="22.41"/>
    <x v="1"/>
    <n v="22.41"/>
    <x v="0"/>
    <x v="4"/>
  </r>
  <r>
    <d v="2025-08-20T00:00:00"/>
    <x v="363"/>
    <x v="0"/>
    <x v="0"/>
    <x v="25"/>
    <n v="6.21"/>
    <n v="9.75"/>
    <n v="4.5"/>
    <m/>
    <m/>
    <n v="4.5"/>
    <m/>
    <m/>
    <m/>
    <m/>
    <m/>
    <m/>
    <n v="4.5"/>
    <x v="1"/>
    <n v="4.5"/>
    <x v="0"/>
    <x v="4"/>
  </r>
  <r>
    <d v="2025-08-20T00:00:00"/>
    <x v="363"/>
    <x v="0"/>
    <x v="1"/>
    <x v="25"/>
    <n v="6.21"/>
    <n v="10.75"/>
    <n v="25.88"/>
    <m/>
    <m/>
    <n v="25.88"/>
    <m/>
    <m/>
    <m/>
    <m/>
    <m/>
    <m/>
    <n v="25.88"/>
    <x v="1"/>
    <n v="25.88"/>
    <x v="0"/>
    <x v="4"/>
  </r>
  <r>
    <d v="2024-10-28T00:00:00"/>
    <x v="373"/>
    <x v="0"/>
    <x v="0"/>
    <x v="26"/>
    <n v="5.07"/>
    <n v="13"/>
    <n v="11.41"/>
    <m/>
    <m/>
    <n v="11.41"/>
    <m/>
    <m/>
    <m/>
    <m/>
    <m/>
    <m/>
    <n v="11.41"/>
    <x v="1"/>
    <n v="11.41"/>
    <x v="0"/>
    <x v="6"/>
  </r>
  <r>
    <d v="2022-09-26T00:00:00"/>
    <x v="374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0"/>
  </r>
  <r>
    <d v="2026-02-04T00:00:00"/>
    <x v="374"/>
    <x v="0"/>
    <x v="0"/>
    <x v="28"/>
    <n v="6.21"/>
    <n v="11"/>
    <n v="15.61"/>
    <m/>
    <m/>
    <n v="15.61"/>
    <m/>
    <m/>
    <m/>
    <m/>
    <m/>
    <m/>
    <n v="15.61"/>
    <x v="1"/>
    <n v="15.61"/>
    <x v="0"/>
    <x v="0"/>
  </r>
  <r>
    <d v="2026-02-27T00:00:00"/>
    <x v="374"/>
    <x v="0"/>
    <x v="1"/>
    <x v="29"/>
    <n v="6.21"/>
    <n v="10.6"/>
    <n v="17.79"/>
    <m/>
    <m/>
    <n v="17.79"/>
    <m/>
    <m/>
    <m/>
    <m/>
    <m/>
    <m/>
    <n v="17.79"/>
    <x v="1"/>
    <n v="17.79"/>
    <x v="0"/>
    <x v="0"/>
  </r>
  <r>
    <d v="2025-11-26T00:00:00"/>
    <x v="375"/>
    <x v="0"/>
    <x v="1"/>
    <x v="30"/>
    <n v="6.82"/>
    <n v="11"/>
    <n v="6.82"/>
    <n v="0"/>
    <m/>
    <n v="6.82"/>
    <m/>
    <m/>
    <m/>
    <m/>
    <m/>
    <m/>
    <n v="6.82"/>
    <x v="1"/>
    <n v="6.82"/>
    <x v="0"/>
    <x v="1"/>
  </r>
  <r>
    <d v="2026-05-07T00:00:00"/>
    <x v="376"/>
    <x v="0"/>
    <x v="3"/>
    <x v="66"/>
    <n v="7.72"/>
    <n v="9"/>
    <n v="67.55"/>
    <m/>
    <m/>
    <n v="67.55"/>
    <m/>
    <m/>
    <m/>
    <m/>
    <m/>
    <m/>
    <n v="67.55"/>
    <x v="1"/>
    <n v="67.55"/>
    <x v="0"/>
    <x v="2"/>
  </r>
  <r>
    <d v="2026-05-07T00:00:00"/>
    <x v="376"/>
    <x v="0"/>
    <x v="0"/>
    <x v="66"/>
    <n v="7.72"/>
    <n v="9"/>
    <n v="122.46"/>
    <m/>
    <m/>
    <n v="122.46"/>
    <m/>
    <m/>
    <m/>
    <m/>
    <m/>
    <m/>
    <n v="122.46"/>
    <x v="1"/>
    <n v="122.46"/>
    <x v="0"/>
    <x v="2"/>
  </r>
  <r>
    <d v="2026-05-07T00:00:00"/>
    <x v="370"/>
    <x v="0"/>
    <x v="0"/>
    <x v="67"/>
    <n v="6.21"/>
    <n v="9"/>
    <n v="188.11"/>
    <m/>
    <m/>
    <n v="188.11"/>
    <m/>
    <m/>
    <m/>
    <m/>
    <m/>
    <m/>
    <n v="188.11"/>
    <x v="1"/>
    <n v="188.11"/>
    <x v="0"/>
    <x v="4"/>
  </r>
  <r>
    <d v="2026-05-15T00:00:00"/>
    <x v="377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1"/>
  </r>
  <r>
    <d v="2026-05-20T00:00:00"/>
    <x v="373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6"/>
  </r>
  <r>
    <d v="2024-02-01T00:00:00"/>
    <x v="37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4-03-05T00:00:00"/>
    <x v="378"/>
    <x v="2"/>
    <x v="0"/>
    <x v="16"/>
    <n v="6"/>
    <n v="12"/>
    <n v="108.33"/>
    <m/>
    <m/>
    <n v="108.33"/>
    <m/>
    <m/>
    <m/>
    <m/>
    <m/>
    <m/>
    <n v="108.33"/>
    <x v="1"/>
    <n v="108.33"/>
    <x v="0"/>
    <x v="2"/>
  </r>
  <r>
    <d v="2023-03-21T00:00:00"/>
    <x v="378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5T00:00:00"/>
    <x v="378"/>
    <x v="2"/>
    <x v="0"/>
    <x v="16"/>
    <n v="6"/>
    <n v="12"/>
    <n v="54.16"/>
    <m/>
    <m/>
    <n v="54.16"/>
    <m/>
    <m/>
    <m/>
    <m/>
    <m/>
    <m/>
    <n v="54.16"/>
    <x v="1"/>
    <n v="54.16"/>
    <x v="0"/>
    <x v="2"/>
  </r>
  <r>
    <d v="2024-04-15T00:00:00"/>
    <x v="378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6T00:00:00"/>
    <x v="37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6-03-24T00:00:00"/>
    <x v="378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2"/>
  </r>
  <r>
    <d v="2021-09-23T00:00:00"/>
    <x v="369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5"/>
  </r>
  <r>
    <d v="2026-05-20T00:00:00"/>
    <x v="373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6"/>
  </r>
  <r>
    <d v="2026-06-15T00:00:00"/>
    <x v="369"/>
    <x v="0"/>
    <x v="2"/>
    <x v="73"/>
    <n v="6.21"/>
    <n v="9"/>
    <n v="51.91"/>
    <m/>
    <m/>
    <n v="51.91"/>
    <m/>
    <m/>
    <m/>
    <m/>
    <m/>
    <m/>
    <n v="51.91"/>
    <x v="1"/>
    <n v="51.91"/>
    <x v="0"/>
    <x v="5"/>
  </r>
  <r>
    <d v="2026-06-15T00:00:00"/>
    <x v="377"/>
    <x v="0"/>
    <x v="2"/>
    <x v="74"/>
    <n v="6.82"/>
    <n v="8.5"/>
    <n v="78.66"/>
    <m/>
    <m/>
    <n v="78.66"/>
    <m/>
    <m/>
    <m/>
    <m/>
    <m/>
    <m/>
    <n v="78.66"/>
    <x v="1"/>
    <n v="78.66"/>
    <x v="0"/>
    <x v="1"/>
  </r>
  <r>
    <d v="2026-07-08T00:00:00"/>
    <x v="379"/>
    <x v="0"/>
    <x v="0"/>
    <x v="76"/>
    <n v="7.72"/>
    <n v="9.25"/>
    <n v="15.44"/>
    <m/>
    <m/>
    <n v="15.44"/>
    <m/>
    <m/>
    <m/>
    <m/>
    <m/>
    <m/>
    <n v="15.44"/>
    <x v="1"/>
    <n v="15.44"/>
    <x v="0"/>
    <x v="3"/>
  </r>
  <r>
    <d v="2026-07-08T00:00:00"/>
    <x v="379"/>
    <x v="0"/>
    <x v="0"/>
    <x v="77"/>
    <n v="7.54"/>
    <n v="9.25"/>
    <n v="19.79"/>
    <m/>
    <m/>
    <n v="19.79"/>
    <m/>
    <m/>
    <m/>
    <m/>
    <m/>
    <m/>
    <n v="19.79"/>
    <x v="1"/>
    <n v="19.79"/>
    <x v="0"/>
    <x v="3"/>
  </r>
  <r>
    <d v="2026-09-01T00:00:00"/>
    <x v="272"/>
    <x v="2"/>
    <x v="0"/>
    <x v="47"/>
    <n v="1"/>
    <n v="1"/>
    <n v="0"/>
    <n v="4792.97"/>
    <m/>
    <n v="0"/>
    <m/>
    <m/>
    <m/>
    <m/>
    <m/>
    <s v="23076_05 - VAD07"/>
    <n v="4792.97"/>
    <x v="1"/>
    <n v="0"/>
    <x v="0"/>
    <x v="2"/>
  </r>
  <r>
    <d v="2026-09-03T00:00:00"/>
    <x v="272"/>
    <x v="2"/>
    <x v="0"/>
    <x v="49"/>
    <n v="1"/>
    <n v="1"/>
    <n v="0"/>
    <n v="6654.45"/>
    <m/>
    <n v="0"/>
    <m/>
    <m/>
    <m/>
    <m/>
    <m/>
    <n v="372253"/>
    <n v="6654.45"/>
    <x v="1"/>
    <n v="0"/>
    <x v="0"/>
    <x v="2"/>
  </r>
  <r>
    <d v="2024-09-24T00:00:00"/>
    <x v="380"/>
    <x v="3"/>
    <x v="0"/>
    <x v="37"/>
    <n v="8.5"/>
    <n v="12"/>
    <n v="0"/>
    <n v="133.85"/>
    <m/>
    <n v="0"/>
    <m/>
    <m/>
    <m/>
    <m/>
    <m/>
    <m/>
    <n v="133.85"/>
    <x v="0"/>
    <n v="0"/>
    <x v="0"/>
    <x v="4"/>
  </r>
  <r>
    <d v="2024-09-24T00:00:00"/>
    <x v="380"/>
    <x v="3"/>
    <x v="1"/>
    <x v="37"/>
    <n v="8.5"/>
    <n v="12"/>
    <n v="0"/>
    <n v="21.23"/>
    <m/>
    <n v="0"/>
    <m/>
    <m/>
    <m/>
    <m/>
    <m/>
    <m/>
    <n v="21.23"/>
    <x v="0"/>
    <n v="0"/>
    <x v="0"/>
    <x v="4"/>
  </r>
  <r>
    <d v="2024-09-24T00:00:00"/>
    <x v="380"/>
    <x v="3"/>
    <x v="2"/>
    <x v="37"/>
    <n v="8.5"/>
    <n v="12"/>
    <n v="0"/>
    <n v="86.25"/>
    <m/>
    <n v="0"/>
    <m/>
    <m/>
    <m/>
    <m/>
    <m/>
    <m/>
    <n v="86.25"/>
    <x v="0"/>
    <n v="0"/>
    <x v="0"/>
    <x v="4"/>
  </r>
  <r>
    <d v="2026-09-11T00:00:00"/>
    <x v="272"/>
    <x v="2"/>
    <x v="0"/>
    <x v="48"/>
    <n v="1"/>
    <n v="1"/>
    <n v="0"/>
    <n v="323.60000000000002"/>
    <m/>
    <n v="0"/>
    <m/>
    <m/>
    <m/>
    <m/>
    <m/>
    <s v="23890 - VAD02"/>
    <n v="323.60000000000002"/>
    <x v="1"/>
    <n v="0"/>
    <x v="0"/>
    <x v="2"/>
  </r>
  <r>
    <d v="2026-09-11T00:00:00"/>
    <x v="272"/>
    <x v="2"/>
    <x v="0"/>
    <x v="47"/>
    <n v="1"/>
    <n v="1"/>
    <n v="0"/>
    <n v="802.65"/>
    <m/>
    <n v="0"/>
    <m/>
    <m/>
    <m/>
    <m/>
    <m/>
    <n v="3746592"/>
    <n v="802.65"/>
    <x v="1"/>
    <n v="0"/>
    <x v="0"/>
    <x v="2"/>
  </r>
  <r>
    <d v="2026-09-14T00:00:00"/>
    <x v="272"/>
    <x v="2"/>
    <x v="0"/>
    <x v="47"/>
    <n v="1"/>
    <n v="1"/>
    <n v="0"/>
    <n v="376.13"/>
    <m/>
    <n v="0"/>
    <m/>
    <m/>
    <m/>
    <m/>
    <m/>
    <n v="374678"/>
    <n v="376.13"/>
    <x v="1"/>
    <n v="0"/>
    <x v="0"/>
    <x v="2"/>
  </r>
  <r>
    <d v="2026-09-15T00:00:00"/>
    <x v="272"/>
    <x v="2"/>
    <x v="0"/>
    <x v="47"/>
    <n v="1"/>
    <n v="1"/>
    <n v="0"/>
    <n v="12486.2"/>
    <m/>
    <n v="0"/>
    <m/>
    <m/>
    <m/>
    <m/>
    <m/>
    <s v="24176_01 - VAD23"/>
    <n v="12486.2"/>
    <x v="1"/>
    <n v="0"/>
    <x v="0"/>
    <x v="2"/>
  </r>
  <r>
    <d v="2026-09-16T00:00:00"/>
    <x v="272"/>
    <x v="2"/>
    <x v="0"/>
    <x v="47"/>
    <n v="1"/>
    <n v="1"/>
    <n v="0"/>
    <n v="2017.52"/>
    <m/>
    <n v="0"/>
    <m/>
    <m/>
    <m/>
    <m/>
    <m/>
    <s v="24199_03 - VAD05"/>
    <n v="2017.52"/>
    <x v="1"/>
    <n v="0"/>
    <x v="0"/>
    <x v="2"/>
  </r>
  <r>
    <d v="2026-09-18T00:00:00"/>
    <x v="272"/>
    <x v="2"/>
    <x v="0"/>
    <x v="47"/>
    <n v="1"/>
    <n v="1"/>
    <n v="0"/>
    <n v="11146.52"/>
    <m/>
    <n v="0"/>
    <m/>
    <m/>
    <m/>
    <m/>
    <m/>
    <s v="24455_02 - VAD12"/>
    <n v="11146.52"/>
    <x v="1"/>
    <n v="0"/>
    <x v="0"/>
    <x v="2"/>
  </r>
  <r>
    <d v="2026-09-21T00:00:00"/>
    <x v="272"/>
    <x v="2"/>
    <x v="0"/>
    <x v="45"/>
    <n v="1"/>
    <n v="1"/>
    <n v="0"/>
    <n v="263.75"/>
    <m/>
    <n v="0"/>
    <m/>
    <m/>
    <m/>
    <m/>
    <m/>
    <n v="375044"/>
    <n v="263.75"/>
    <x v="1"/>
    <n v="0"/>
    <x v="0"/>
    <x v="2"/>
  </r>
  <r>
    <d v="2026-09-22T00:00:00"/>
    <x v="272"/>
    <x v="2"/>
    <x v="0"/>
    <x v="48"/>
    <n v="1"/>
    <n v="1"/>
    <n v="0"/>
    <n v="6245.5500000000011"/>
    <m/>
    <n v="0"/>
    <m/>
    <m/>
    <m/>
    <m/>
    <m/>
    <n v="375105"/>
    <n v="6245.5500000000011"/>
    <x v="1"/>
    <n v="0"/>
    <x v="0"/>
    <x v="2"/>
  </r>
  <r>
    <d v="2026-09-23T00:00:00"/>
    <x v="272"/>
    <x v="2"/>
    <x v="0"/>
    <x v="54"/>
    <n v="1"/>
    <n v="1"/>
    <n v="0"/>
    <n v="1559.8"/>
    <m/>
    <n v="0"/>
    <m/>
    <m/>
    <m/>
    <m/>
    <m/>
    <s v="24815_02 - VAD20"/>
    <n v="1559.8"/>
    <x v="1"/>
    <n v="0"/>
    <x v="0"/>
    <x v="2"/>
  </r>
  <r>
    <d v="2026-09-24T00:00:00"/>
    <x v="272"/>
    <x v="2"/>
    <x v="0"/>
    <x v="78"/>
    <n v="1"/>
    <n v="1"/>
    <n v="0"/>
    <n v="6095.47"/>
    <m/>
    <n v="0"/>
    <m/>
    <m/>
    <m/>
    <m/>
    <m/>
    <s v="24885_01 - VAD07"/>
    <n v="6095.47"/>
    <x v="1"/>
    <n v="0"/>
    <x v="0"/>
    <x v="2"/>
  </r>
  <r>
    <d v="2026-09-24T00:00:00"/>
    <x v="272"/>
    <x v="2"/>
    <x v="0"/>
    <x v="47"/>
    <n v="1"/>
    <n v="1"/>
    <n v="0"/>
    <n v="6064.12"/>
    <m/>
    <n v="0"/>
    <m/>
    <m/>
    <m/>
    <m/>
    <m/>
    <s v="24961 - VAD16"/>
    <n v="6064.12"/>
    <x v="1"/>
    <n v="0"/>
    <x v="0"/>
    <x v="2"/>
  </r>
  <r>
    <d v="2026-09-24T00:00:00"/>
    <x v="272"/>
    <x v="2"/>
    <x v="0"/>
    <x v="54"/>
    <n v="1"/>
    <n v="1"/>
    <n v="0"/>
    <n v="2431.85"/>
    <m/>
    <n v="0"/>
    <m/>
    <m/>
    <m/>
    <m/>
    <m/>
    <n v="3752452"/>
    <n v="2431.85"/>
    <x v="1"/>
    <n v="0"/>
    <x v="0"/>
    <x v="2"/>
  </r>
  <r>
    <d v="2026-09-25T00:00:00"/>
    <x v="272"/>
    <x v="2"/>
    <x v="0"/>
    <x v="54"/>
    <n v="1"/>
    <n v="1"/>
    <n v="0"/>
    <n v="4601.67"/>
    <m/>
    <n v="0"/>
    <m/>
    <m/>
    <m/>
    <m/>
    <m/>
    <n v="3753242"/>
    <n v="4601.67"/>
    <x v="1"/>
    <n v="0"/>
    <x v="0"/>
    <x v="2"/>
  </r>
  <r>
    <d v="2026-04-29T00:00:00"/>
    <x v="381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1"/>
  </r>
  <r>
    <d v="2024-09-17T00:00:00"/>
    <x v="382"/>
    <x v="0"/>
    <x v="0"/>
    <x v="0"/>
    <n v="5.36"/>
    <n v="13.5"/>
    <n v="15.63"/>
    <m/>
    <m/>
    <n v="15.63"/>
    <m/>
    <m/>
    <m/>
    <m/>
    <m/>
    <m/>
    <n v="15.63"/>
    <x v="1"/>
    <n v="15.63"/>
    <x v="0"/>
    <x v="0"/>
  </r>
  <r>
    <d v="2024-09-25T00:00:00"/>
    <x v="382"/>
    <x v="0"/>
    <x v="0"/>
    <x v="0"/>
    <n v="5.36"/>
    <n v="12.5"/>
    <n v="12.51"/>
    <m/>
    <m/>
    <n v="12.51"/>
    <m/>
    <m/>
    <m/>
    <m/>
    <m/>
    <m/>
    <n v="12.51"/>
    <x v="1"/>
    <n v="12.51"/>
    <x v="0"/>
    <x v="0"/>
  </r>
  <r>
    <d v="2025-02-20T00:00:00"/>
    <x v="383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1"/>
  </r>
  <r>
    <d v="2026-02-04T00:00:00"/>
    <x v="384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3"/>
  </r>
  <r>
    <d v="2026-02-04T00:00:00"/>
    <x v="384"/>
    <x v="0"/>
    <x v="0"/>
    <x v="7"/>
    <n v="7.35"/>
    <n v="11"/>
    <n v="20.79"/>
    <m/>
    <m/>
    <n v="20.79"/>
    <m/>
    <m/>
    <m/>
    <m/>
    <m/>
    <m/>
    <n v="20.79"/>
    <x v="1"/>
    <n v="20.79"/>
    <x v="0"/>
    <x v="3"/>
  </r>
  <r>
    <d v="2025-12-10T00:00:00"/>
    <x v="384"/>
    <x v="0"/>
    <x v="1"/>
    <x v="8"/>
    <n v="7.54"/>
    <n v="11"/>
    <n v="7.79"/>
    <m/>
    <m/>
    <n v="7.79"/>
    <m/>
    <m/>
    <m/>
    <m/>
    <m/>
    <m/>
    <n v="7.79"/>
    <x v="1"/>
    <n v="7.79"/>
    <x v="0"/>
    <x v="3"/>
  </r>
  <r>
    <d v="2025-10-13T00:00:00"/>
    <x v="213"/>
    <x v="0"/>
    <x v="0"/>
    <x v="11"/>
    <n v="7.54"/>
    <n v="9.85"/>
    <n v="35.25"/>
    <m/>
    <m/>
    <n v="35.25"/>
    <m/>
    <m/>
    <m/>
    <m/>
    <m/>
    <m/>
    <n v="35.25"/>
    <x v="1"/>
    <n v="35.25"/>
    <x v="0"/>
    <x v="0"/>
  </r>
  <r>
    <d v="2026-04-09T00:00:00"/>
    <x v="215"/>
    <x v="0"/>
    <x v="0"/>
    <x v="13"/>
    <n v="4.71"/>
    <n v="9.5"/>
    <n v="3.53"/>
    <n v="0"/>
    <m/>
    <n v="3.53"/>
    <m/>
    <m/>
    <m/>
    <m/>
    <m/>
    <m/>
    <n v="3.53"/>
    <x v="1"/>
    <n v="3.53"/>
    <x v="0"/>
    <x v="2"/>
  </r>
  <r>
    <d v="2023-12-04T00:00:00"/>
    <x v="385"/>
    <x v="0"/>
    <x v="1"/>
    <x v="18"/>
    <n v="5.64"/>
    <n v="13"/>
    <n v="14.1"/>
    <m/>
    <m/>
    <n v="14.1"/>
    <m/>
    <m/>
    <m/>
    <m/>
    <m/>
    <m/>
    <n v="14.1"/>
    <x v="1"/>
    <n v="14.1"/>
    <x v="0"/>
    <x v="0"/>
  </r>
  <r>
    <d v="2024-01-11T00:00:00"/>
    <x v="385"/>
    <x v="0"/>
    <x v="1"/>
    <x v="18"/>
    <n v="5.64"/>
    <n v="12.75"/>
    <n v="7.28"/>
    <m/>
    <m/>
    <n v="7.28"/>
    <m/>
    <m/>
    <m/>
    <m/>
    <m/>
    <m/>
    <n v="7.28"/>
    <x v="1"/>
    <n v="7.28"/>
    <x v="0"/>
    <x v="0"/>
  </r>
  <r>
    <d v="2025-12-15T00:00:00"/>
    <x v="386"/>
    <x v="0"/>
    <x v="1"/>
    <x v="19"/>
    <n v="5.93"/>
    <n v="8.5"/>
    <n v="23.09"/>
    <m/>
    <m/>
    <n v="23.09"/>
    <m/>
    <m/>
    <m/>
    <m/>
    <m/>
    <m/>
    <n v="23.09"/>
    <x v="1"/>
    <n v="23.09"/>
    <x v="0"/>
    <x v="1"/>
  </r>
  <r>
    <d v="2025-03-18T00:00:00"/>
    <x v="386"/>
    <x v="0"/>
    <x v="0"/>
    <x v="20"/>
    <n v="5.93"/>
    <n v="12"/>
    <n v="8.94"/>
    <m/>
    <m/>
    <n v="8.94"/>
    <m/>
    <m/>
    <m/>
    <m/>
    <m/>
    <m/>
    <n v="8.94"/>
    <x v="1"/>
    <n v="8.94"/>
    <x v="0"/>
    <x v="1"/>
  </r>
  <r>
    <d v="2023-12-04T00:00:00"/>
    <x v="387"/>
    <x v="0"/>
    <x v="1"/>
    <x v="22"/>
    <n v="5.36"/>
    <n v="13"/>
    <n v="5.58"/>
    <m/>
    <m/>
    <n v="5.58"/>
    <m/>
    <m/>
    <m/>
    <m/>
    <m/>
    <m/>
    <n v="5.58"/>
    <x v="1"/>
    <n v="5.58"/>
    <x v="0"/>
    <x v="5"/>
  </r>
  <r>
    <d v="2023-12-19T00:00:00"/>
    <x v="387"/>
    <x v="0"/>
    <x v="1"/>
    <x v="22"/>
    <n v="5.36"/>
    <n v="13"/>
    <n v="3.13"/>
    <m/>
    <m/>
    <n v="3.13"/>
    <m/>
    <m/>
    <m/>
    <m/>
    <m/>
    <m/>
    <n v="3.13"/>
    <x v="1"/>
    <n v="3.13"/>
    <x v="0"/>
    <x v="5"/>
  </r>
  <r>
    <d v="2024-09-17T00:00:00"/>
    <x v="387"/>
    <x v="0"/>
    <x v="0"/>
    <x v="22"/>
    <n v="5.36"/>
    <n v="13.75"/>
    <n v="4.47"/>
    <m/>
    <m/>
    <n v="4.47"/>
    <m/>
    <m/>
    <m/>
    <m/>
    <m/>
    <m/>
    <n v="4.47"/>
    <x v="1"/>
    <n v="4.47"/>
    <x v="0"/>
    <x v="5"/>
  </r>
  <r>
    <d v="2024-06-04T00:00:00"/>
    <x v="388"/>
    <x v="0"/>
    <x v="0"/>
    <x v="24"/>
    <n v="5.93"/>
    <n v="13.25"/>
    <n v="29.65"/>
    <m/>
    <m/>
    <n v="29.65"/>
    <m/>
    <m/>
    <m/>
    <m/>
    <m/>
    <m/>
    <n v="29.65"/>
    <x v="1"/>
    <n v="29.65"/>
    <x v="0"/>
    <x v="0"/>
  </r>
  <r>
    <d v="2025-06-24T00:00:00"/>
    <x v="381"/>
    <x v="0"/>
    <x v="0"/>
    <x v="25"/>
    <n v="5.93"/>
    <n v="11"/>
    <n v="22.41"/>
    <m/>
    <m/>
    <n v="22.41"/>
    <m/>
    <m/>
    <m/>
    <m/>
    <m/>
    <m/>
    <n v="22.41"/>
    <x v="1"/>
    <n v="22.41"/>
    <x v="0"/>
    <x v="1"/>
  </r>
  <r>
    <d v="2025-08-20T00:00:00"/>
    <x v="381"/>
    <x v="0"/>
    <x v="0"/>
    <x v="25"/>
    <n v="6.21"/>
    <n v="9.75"/>
    <n v="4.5"/>
    <m/>
    <m/>
    <n v="4.5"/>
    <m/>
    <m/>
    <m/>
    <m/>
    <m/>
    <m/>
    <n v="4.5"/>
    <x v="1"/>
    <n v="4.5"/>
    <x v="0"/>
    <x v="1"/>
  </r>
  <r>
    <d v="2025-08-20T00:00:00"/>
    <x v="381"/>
    <x v="0"/>
    <x v="1"/>
    <x v="25"/>
    <n v="6.21"/>
    <n v="10.75"/>
    <n v="25.88"/>
    <m/>
    <m/>
    <n v="25.88"/>
    <m/>
    <m/>
    <m/>
    <m/>
    <m/>
    <m/>
    <n v="25.88"/>
    <x v="1"/>
    <n v="25.88"/>
    <x v="0"/>
    <x v="1"/>
  </r>
  <r>
    <d v="2024-10-28T00:00:00"/>
    <x v="389"/>
    <x v="0"/>
    <x v="0"/>
    <x v="26"/>
    <n v="5.07"/>
    <n v="13"/>
    <n v="11.41"/>
    <m/>
    <m/>
    <n v="11.41"/>
    <m/>
    <m/>
    <m/>
    <m/>
    <m/>
    <m/>
    <n v="11.41"/>
    <x v="1"/>
    <n v="11.41"/>
    <x v="0"/>
    <x v="2"/>
  </r>
  <r>
    <d v="2022-09-26T00:00:00"/>
    <x v="390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3"/>
  </r>
  <r>
    <d v="2026-02-04T00:00:00"/>
    <x v="390"/>
    <x v="0"/>
    <x v="0"/>
    <x v="28"/>
    <n v="6.21"/>
    <n v="11"/>
    <n v="15.61"/>
    <m/>
    <m/>
    <n v="15.61"/>
    <m/>
    <m/>
    <m/>
    <m/>
    <m/>
    <m/>
    <n v="15.61"/>
    <x v="1"/>
    <n v="15.61"/>
    <x v="0"/>
    <x v="3"/>
  </r>
  <r>
    <d v="2026-02-27T00:00:00"/>
    <x v="390"/>
    <x v="0"/>
    <x v="1"/>
    <x v="29"/>
    <n v="6.21"/>
    <n v="10.6"/>
    <n v="17.79"/>
    <m/>
    <m/>
    <n v="17.79"/>
    <m/>
    <m/>
    <m/>
    <m/>
    <m/>
    <m/>
    <n v="17.79"/>
    <x v="1"/>
    <n v="17.79"/>
    <x v="0"/>
    <x v="3"/>
  </r>
  <r>
    <d v="2025-11-26T00:00:00"/>
    <x v="391"/>
    <x v="0"/>
    <x v="1"/>
    <x v="30"/>
    <n v="6.82"/>
    <n v="11"/>
    <n v="6.82"/>
    <n v="0"/>
    <m/>
    <n v="6.82"/>
    <m/>
    <m/>
    <m/>
    <m/>
    <m/>
    <m/>
    <n v="6.82"/>
    <x v="1"/>
    <n v="6.82"/>
    <x v="0"/>
    <x v="5"/>
  </r>
  <r>
    <d v="2026-05-07T00:00:00"/>
    <x v="392"/>
    <x v="0"/>
    <x v="3"/>
    <x v="66"/>
    <n v="7.72"/>
    <n v="9"/>
    <n v="67.55"/>
    <m/>
    <m/>
    <n v="67.55"/>
    <m/>
    <m/>
    <m/>
    <m/>
    <m/>
    <m/>
    <n v="67.55"/>
    <x v="1"/>
    <n v="67.55"/>
    <x v="0"/>
    <x v="4"/>
  </r>
  <r>
    <d v="2026-05-07T00:00:00"/>
    <x v="392"/>
    <x v="0"/>
    <x v="0"/>
    <x v="66"/>
    <n v="7.72"/>
    <n v="9"/>
    <n v="122.46"/>
    <m/>
    <m/>
    <n v="122.46"/>
    <m/>
    <m/>
    <m/>
    <m/>
    <m/>
    <m/>
    <n v="122.46"/>
    <x v="1"/>
    <n v="122.46"/>
    <x v="0"/>
    <x v="4"/>
  </r>
  <r>
    <d v="2026-05-07T00:00:00"/>
    <x v="386"/>
    <x v="0"/>
    <x v="0"/>
    <x v="67"/>
    <n v="6.21"/>
    <n v="9"/>
    <n v="188.11"/>
    <m/>
    <m/>
    <n v="188.11"/>
    <m/>
    <m/>
    <m/>
    <m/>
    <m/>
    <m/>
    <n v="188.11"/>
    <x v="1"/>
    <n v="188.11"/>
    <x v="0"/>
    <x v="1"/>
  </r>
  <r>
    <d v="2026-05-15T00:00:00"/>
    <x v="393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5"/>
  </r>
  <r>
    <d v="2026-05-20T00:00:00"/>
    <x v="389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2"/>
  </r>
  <r>
    <d v="2024-02-01T00:00:00"/>
    <x v="39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4"/>
  </r>
  <r>
    <d v="2024-03-05T00:00:00"/>
    <x v="394"/>
    <x v="2"/>
    <x v="0"/>
    <x v="16"/>
    <n v="6"/>
    <n v="12"/>
    <n v="108.33"/>
    <m/>
    <m/>
    <n v="108.33"/>
    <m/>
    <m/>
    <m/>
    <m/>
    <m/>
    <m/>
    <n v="108.33"/>
    <x v="1"/>
    <n v="108.33"/>
    <x v="0"/>
    <x v="4"/>
  </r>
  <r>
    <d v="2023-03-21T00:00:00"/>
    <x v="394"/>
    <x v="2"/>
    <x v="1"/>
    <x v="16"/>
    <n v="6"/>
    <n v="12"/>
    <n v="62.5"/>
    <m/>
    <m/>
    <n v="62.5"/>
    <m/>
    <m/>
    <m/>
    <m/>
    <m/>
    <m/>
    <n v="62.5"/>
    <x v="1"/>
    <n v="62.5"/>
    <x v="0"/>
    <x v="4"/>
  </r>
  <r>
    <d v="2024-04-15T00:00:00"/>
    <x v="394"/>
    <x v="2"/>
    <x v="0"/>
    <x v="16"/>
    <n v="6"/>
    <n v="12"/>
    <n v="54.16"/>
    <m/>
    <m/>
    <n v="54.16"/>
    <m/>
    <m/>
    <m/>
    <m/>
    <m/>
    <m/>
    <n v="54.16"/>
    <x v="1"/>
    <n v="54.16"/>
    <x v="0"/>
    <x v="4"/>
  </r>
  <r>
    <d v="2024-04-15T00:00:00"/>
    <x v="394"/>
    <x v="2"/>
    <x v="1"/>
    <x v="16"/>
    <n v="6"/>
    <n v="12"/>
    <n v="62.5"/>
    <m/>
    <m/>
    <n v="62.5"/>
    <m/>
    <m/>
    <m/>
    <m/>
    <m/>
    <m/>
    <n v="62.5"/>
    <x v="1"/>
    <n v="62.5"/>
    <x v="0"/>
    <x v="4"/>
  </r>
  <r>
    <d v="2024-04-16T00:00:00"/>
    <x v="39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4"/>
  </r>
  <r>
    <d v="2026-03-24T00:00:00"/>
    <x v="394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4"/>
  </r>
  <r>
    <d v="2021-09-23T00:00:00"/>
    <x v="385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0"/>
  </r>
  <r>
    <d v="2026-05-20T00:00:00"/>
    <x v="389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2"/>
  </r>
  <r>
    <d v="2026-06-15T00:00:00"/>
    <x v="385"/>
    <x v="0"/>
    <x v="2"/>
    <x v="73"/>
    <n v="6.21"/>
    <n v="9"/>
    <n v="51.91"/>
    <m/>
    <m/>
    <n v="51.91"/>
    <m/>
    <m/>
    <m/>
    <m/>
    <m/>
    <m/>
    <n v="51.91"/>
    <x v="1"/>
    <n v="51.91"/>
    <x v="0"/>
    <x v="0"/>
  </r>
  <r>
    <d v="2026-06-15T00:00:00"/>
    <x v="393"/>
    <x v="0"/>
    <x v="2"/>
    <x v="74"/>
    <n v="6.82"/>
    <n v="8.5"/>
    <n v="78.66"/>
    <m/>
    <m/>
    <n v="78.66"/>
    <m/>
    <m/>
    <m/>
    <m/>
    <m/>
    <m/>
    <n v="78.66"/>
    <x v="1"/>
    <n v="78.66"/>
    <x v="0"/>
    <x v="5"/>
  </r>
  <r>
    <d v="2026-07-08T00:00:00"/>
    <x v="395"/>
    <x v="0"/>
    <x v="0"/>
    <x v="76"/>
    <n v="7.72"/>
    <n v="9.25"/>
    <n v="15.44"/>
    <m/>
    <m/>
    <n v="15.44"/>
    <m/>
    <m/>
    <m/>
    <m/>
    <m/>
    <m/>
    <n v="15.44"/>
    <x v="1"/>
    <n v="15.44"/>
    <x v="0"/>
    <x v="6"/>
  </r>
  <r>
    <d v="2026-07-08T00:00:00"/>
    <x v="395"/>
    <x v="0"/>
    <x v="0"/>
    <x v="77"/>
    <n v="7.54"/>
    <n v="9.25"/>
    <n v="19.79"/>
    <m/>
    <m/>
    <n v="19.79"/>
    <m/>
    <m/>
    <m/>
    <m/>
    <m/>
    <m/>
    <n v="19.79"/>
    <x v="1"/>
    <n v="19.79"/>
    <x v="0"/>
    <x v="6"/>
  </r>
  <r>
    <d v="2026-10-05T00:00:00"/>
    <x v="396"/>
    <x v="0"/>
    <x v="3"/>
    <x v="79"/>
    <n v="4.91"/>
    <n v="8"/>
    <n v="5.14"/>
    <n v="12"/>
    <m/>
    <n v="5.14"/>
    <m/>
    <m/>
    <m/>
    <m/>
    <m/>
    <n v="375852"/>
    <n v="17.14"/>
    <x v="1"/>
    <n v="5.14"/>
    <x v="0"/>
    <x v="6"/>
  </r>
  <r>
    <d v="2026-10-05T00:00:00"/>
    <x v="124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2"/>
  </r>
  <r>
    <d v="2026-10-05T00:00:00"/>
    <x v="140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5"/>
  </r>
  <r>
    <d v="2026-10-05T00:00:00"/>
    <x v="157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0"/>
  </r>
  <r>
    <d v="2026-10-05T00:00:00"/>
    <x v="173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3"/>
  </r>
  <r>
    <d v="2026-10-05T00:00:00"/>
    <x v="188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3"/>
  </r>
  <r>
    <d v="2026-10-05T00:00:00"/>
    <x v="287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6"/>
  </r>
  <r>
    <d v="2026-10-05T00:00:00"/>
    <x v="321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1"/>
  </r>
  <r>
    <d v="2026-10-05T00:00:00"/>
    <x v="335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5"/>
  </r>
  <r>
    <d v="2026-10-05T00:00:00"/>
    <x v="361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6"/>
  </r>
  <r>
    <d v="2026-10-05T00:00:00"/>
    <x v="378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2"/>
  </r>
  <r>
    <d v="2026-10-05T00:00:00"/>
    <x v="394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4"/>
  </r>
  <r>
    <d v="2026-10-08T00:00:00"/>
    <x v="272"/>
    <x v="2"/>
    <x v="0"/>
    <x v="54"/>
    <n v="1"/>
    <n v="1"/>
    <n v="0"/>
    <n v="5521.57"/>
    <m/>
    <n v="0"/>
    <m/>
    <m/>
    <m/>
    <m/>
    <m/>
    <n v="3753242"/>
    <n v="5521.57"/>
    <x v="1"/>
    <n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InteresSemana" cacheId="64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Titular" colHeaderCaption="Vencimiento">
  <location ref="B8:H25" firstHeaderRow="1" firstDataRow="3" firstDataCol="1" rowPageCount="1" colPageCount="1"/>
  <pivotFields count="25">
    <pivotField numFmtId="15" showAll="0"/>
    <pivotField axis="axisCol" numFmtId="14" showAll="0" sortType="ascending" defaultSubtotal="0">
      <items count="403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22"/>
        <item x="10"/>
        <item x="19"/>
        <item x="23"/>
        <item x="288"/>
        <item x="20"/>
        <item x="24"/>
        <item x="25"/>
        <item x="27"/>
        <item x="28"/>
        <item x="29"/>
        <item x="30"/>
        <item x="31"/>
        <item x="32"/>
        <item x="33"/>
        <item x="34"/>
        <item x="26"/>
        <item x="21"/>
        <item x="39"/>
        <item x="40"/>
        <item x="41"/>
        <item x="296"/>
        <item x="289"/>
        <item x="36"/>
        <item x="42"/>
        <item x="37"/>
        <item x="35"/>
        <item m="1" x="402"/>
        <item x="44"/>
        <item x="45"/>
        <item x="46"/>
        <item x="38"/>
        <item x="47"/>
        <item x="48"/>
        <item x="49"/>
        <item x="50"/>
        <item x="51"/>
        <item x="43"/>
        <item x="55"/>
        <item x="56"/>
        <item x="57"/>
        <item x="297"/>
        <item x="52"/>
        <item x="58"/>
        <item x="59"/>
        <item x="53"/>
        <item m="1" x="401"/>
        <item x="61"/>
        <item x="62"/>
        <item x="54"/>
        <item x="347"/>
        <item x="63"/>
        <item x="64"/>
        <item x="65"/>
        <item x="66"/>
        <item x="67"/>
        <item m="1" x="400"/>
        <item x="336"/>
        <item x="60"/>
        <item x="72"/>
        <item x="68"/>
        <item x="73"/>
        <item x="298"/>
        <item x="290"/>
        <item x="69"/>
        <item x="74"/>
        <item x="75"/>
        <item m="1" x="399"/>
        <item x="77"/>
        <item x="78"/>
        <item x="70"/>
        <item x="79"/>
        <item x="80"/>
        <item x="81"/>
        <item x="82"/>
        <item x="83"/>
        <item x="71"/>
        <item m="1" x="398"/>
        <item x="76"/>
        <item x="337"/>
        <item x="88"/>
        <item x="89"/>
        <item x="90"/>
        <item x="299"/>
        <item x="291"/>
        <item x="85"/>
        <item x="87"/>
        <item x="91"/>
        <item x="84"/>
        <item m="1" x="397"/>
        <item x="380"/>
        <item x="93"/>
        <item x="94"/>
        <item x="95"/>
        <item x="96"/>
        <item x="97"/>
        <item x="98"/>
        <item x="99"/>
        <item x="100"/>
        <item x="92"/>
        <item x="338"/>
        <item x="104"/>
        <item x="105"/>
        <item x="106"/>
        <item x="300"/>
        <item x="101"/>
        <item x="107"/>
        <item x="108"/>
        <item x="102"/>
        <item x="396"/>
        <item x="110"/>
        <item x="111"/>
        <item x="103"/>
        <item x="112"/>
        <item x="113"/>
        <item x="114"/>
        <item x="115"/>
        <item x="116"/>
        <item x="109"/>
        <item x="339"/>
        <item x="120"/>
        <item x="121"/>
        <item x="117"/>
        <item x="122"/>
        <item x="301"/>
        <item x="292"/>
        <item x="118"/>
        <item x="123"/>
        <item x="86"/>
        <item x="124"/>
        <item x="125"/>
        <item x="126"/>
        <item x="127"/>
        <item x="128"/>
        <item x="129"/>
        <item x="130"/>
        <item x="131"/>
        <item x="132"/>
        <item x="119"/>
        <item x="340"/>
        <item x="137"/>
        <item x="138"/>
        <item x="139"/>
        <item x="302"/>
        <item x="293"/>
        <item x="134"/>
        <item x="136"/>
        <item x="135"/>
        <item x="133"/>
        <item x="140"/>
        <item x="141"/>
        <item x="142"/>
        <item x="143"/>
        <item x="144"/>
        <item x="145"/>
        <item x="146"/>
        <item x="147"/>
        <item x="148"/>
        <item x="341"/>
        <item x="152"/>
        <item x="153"/>
        <item x="154"/>
        <item x="303"/>
        <item x="149"/>
        <item x="155"/>
        <item x="156"/>
        <item x="150"/>
        <item x="157"/>
        <item x="158"/>
        <item x="159"/>
        <item x="151"/>
        <item x="160"/>
        <item x="161"/>
        <item x="162"/>
        <item x="163"/>
        <item x="164"/>
        <item x="342"/>
        <item x="168"/>
        <item x="169"/>
        <item x="165"/>
        <item x="170"/>
        <item x="304"/>
        <item x="294"/>
        <item x="166"/>
        <item x="171"/>
        <item x="172"/>
        <item x="173"/>
        <item x="174"/>
        <item x="175"/>
        <item x="176"/>
        <item x="177"/>
        <item x="178"/>
        <item x="179"/>
        <item x="180"/>
        <item x="167"/>
        <item x="343"/>
        <item x="185"/>
        <item x="186"/>
        <item x="187"/>
        <item x="305"/>
        <item x="295"/>
        <item x="182"/>
        <item x="183"/>
        <item x="184"/>
        <item x="181"/>
        <item x="188"/>
        <item x="189"/>
        <item x="190"/>
        <item x="191"/>
        <item x="192"/>
        <item x="193"/>
        <item x="194"/>
        <item x="195"/>
        <item x="196"/>
        <item x="344"/>
        <item x="276"/>
        <item x="277"/>
        <item x="278"/>
        <item x="306"/>
        <item x="197"/>
        <item x="273"/>
        <item x="279"/>
        <item x="280"/>
        <item x="198"/>
        <item x="287"/>
        <item x="274"/>
        <item x="281"/>
        <item x="282"/>
        <item x="199"/>
        <item x="283"/>
        <item x="275"/>
        <item x="284"/>
        <item x="285"/>
        <item x="286"/>
        <item x="345"/>
        <item x="308"/>
        <item x="309"/>
        <item x="200"/>
        <item x="310"/>
        <item x="320"/>
        <item x="319"/>
        <item x="201"/>
        <item x="311"/>
        <item x="312"/>
        <item x="321"/>
        <item x="313"/>
        <item x="314"/>
        <item x="315"/>
        <item x="316"/>
        <item x="307"/>
        <item x="317"/>
        <item x="318"/>
        <item x="202"/>
        <item x="203"/>
        <item x="346"/>
        <item x="323"/>
        <item x="324"/>
        <item x="325"/>
        <item x="334"/>
        <item x="333"/>
        <item x="204"/>
        <item x="205"/>
        <item x="206"/>
        <item x="335"/>
        <item x="326"/>
        <item x="327"/>
        <item x="328"/>
        <item x="329"/>
        <item x="322"/>
        <item x="330"/>
        <item x="331"/>
        <item x="332"/>
        <item x="362"/>
        <item x="349"/>
        <item x="350"/>
        <item x="351"/>
        <item x="360"/>
        <item x="207"/>
        <item x="352"/>
        <item x="353"/>
        <item x="208"/>
        <item x="361"/>
        <item x="354"/>
        <item x="355"/>
        <item x="209"/>
        <item x="356"/>
        <item x="348"/>
        <item x="357"/>
        <item x="358"/>
        <item x="359"/>
        <item x="379"/>
        <item x="364"/>
        <item x="365"/>
        <item x="210"/>
        <item x="366"/>
        <item x="377"/>
        <item x="376"/>
        <item x="211"/>
        <item x="367"/>
        <item x="368"/>
        <item x="378"/>
        <item x="369"/>
        <item x="370"/>
        <item x="371"/>
        <item x="372"/>
        <item x="363"/>
        <item x="373"/>
        <item x="374"/>
        <item x="375"/>
        <item x="212"/>
        <item x="395"/>
        <item x="382"/>
        <item x="383"/>
        <item x="384"/>
        <item x="393"/>
        <item x="392"/>
        <item x="213"/>
        <item x="214"/>
        <item x="215"/>
        <item x="394"/>
        <item x="385"/>
        <item x="386"/>
        <item x="387"/>
        <item x="388"/>
        <item x="381"/>
        <item x="389"/>
        <item x="390"/>
        <item x="391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</items>
    </pivotField>
    <pivotField showAll="0"/>
    <pivotField name="Titular" axis="axisRow" showAll="0">
      <items count="6">
        <item x="1"/>
        <item x="2"/>
        <item x="0"/>
        <item x="3"/>
        <item m="1" x="4"/>
        <item t="default"/>
      </items>
    </pivotField>
    <pivotField axis="axisRow" showAll="0">
      <items count="91">
        <item x="45"/>
        <item x="48"/>
        <item x="46"/>
        <item x="44"/>
        <item m="1" x="89"/>
        <item x="47"/>
        <item x="34"/>
        <item x="39"/>
        <item x="2"/>
        <item x="1"/>
        <item x="4"/>
        <item x="5"/>
        <item x="3"/>
        <item x="8"/>
        <item x="10"/>
        <item x="11"/>
        <item x="12"/>
        <item x="13"/>
        <item x="15"/>
        <item x="17"/>
        <item x="18"/>
        <item x="20"/>
        <item x="21"/>
        <item x="7"/>
        <item x="29"/>
        <item x="19"/>
        <item x="28"/>
        <item x="25"/>
        <item x="6"/>
        <item x="22"/>
        <item x="24"/>
        <item x="26"/>
        <item x="27"/>
        <item x="30"/>
        <item x="0"/>
        <item m="1" x="84"/>
        <item m="1" x="85"/>
        <item x="9"/>
        <item x="36"/>
        <item m="1" x="83"/>
        <item m="1" x="86"/>
        <item x="37"/>
        <item x="32"/>
        <item x="31"/>
        <item x="40"/>
        <item x="42"/>
        <item x="43"/>
        <item x="33"/>
        <item x="14"/>
        <item x="23"/>
        <item x="50"/>
        <item x="49"/>
        <item x="51"/>
        <item m="1" x="88"/>
        <item m="1" x="80"/>
        <item m="1" x="81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m="1" x="87"/>
        <item x="16"/>
        <item x="35"/>
        <item x="38"/>
        <item x="41"/>
        <item x="66"/>
        <item x="67"/>
        <item x="68"/>
        <item x="69"/>
        <item x="70"/>
        <item m="1" x="82"/>
        <item x="71"/>
        <item x="52"/>
        <item x="53"/>
        <item x="72"/>
        <item x="73"/>
        <item x="74"/>
        <item x="75"/>
        <item x="76"/>
        <item x="77"/>
        <item x="78"/>
        <item x="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" showAll="0"/>
    <pivotField showAll="0"/>
    <pivotField numFmtId="4" showAll="0"/>
    <pivotField axis="axisPage" showAll="0">
      <items count="4">
        <item x="0"/>
        <item x="1"/>
        <item m="1" x="2"/>
        <item t="default"/>
      </items>
    </pivotField>
    <pivotField axis="axisCol" showAll="0">
      <items count="8">
        <item x="3"/>
        <item x="5"/>
        <item x="4"/>
        <item x="6"/>
        <item x="0"/>
        <item x="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2">
    <field x="3"/>
    <field x="4"/>
  </rowFields>
  <rowItems count="15">
    <i>
      <x/>
    </i>
    <i r="1">
      <x v="8"/>
    </i>
    <i r="1">
      <x v="13"/>
    </i>
    <i>
      <x v="1"/>
    </i>
    <i r="1">
      <x v="84"/>
    </i>
    <i>
      <x v="2"/>
    </i>
    <i r="1">
      <x v="23"/>
    </i>
    <i r="1">
      <x v="28"/>
    </i>
    <i r="1">
      <x v="34"/>
    </i>
    <i r="1">
      <x v="37"/>
    </i>
    <i r="1">
      <x v="73"/>
    </i>
    <i r="1">
      <x v="76"/>
    </i>
    <i>
      <x v="3"/>
    </i>
    <i r="1">
      <x v="73"/>
    </i>
    <i t="grand">
      <x/>
    </i>
  </rowItems>
  <colFields count="2">
    <field x="1"/>
    <field x="21"/>
  </colFields>
  <colItems count="6">
    <i>
      <x v="119"/>
      <x v="5"/>
    </i>
    <i>
      <x v="120"/>
      <x v="6"/>
    </i>
    <i>
      <x v="121"/>
      <x v="1"/>
    </i>
    <i>
      <x v="122"/>
      <x v="2"/>
    </i>
    <i>
      <x v="123"/>
      <x v="3"/>
    </i>
    <i t="grand">
      <x/>
    </i>
  </colItems>
  <pageFields count="1">
    <pageField fld="20" item="1" hier="-1"/>
  </pageFields>
  <dataFields count="1">
    <dataField name="Suma de CAPITAL + INTERES al Corte" fld="17" baseField="0" baseItem="0" numFmtId="4"/>
  </dataFields>
  <formats count="5">
    <format dxfId="199">
      <pivotArea outline="0" collapsedLevelsAreSubtotals="1" fieldPosition="0"/>
    </format>
    <format dxfId="198">
      <pivotArea field="1" type="button" dataOnly="0" labelOnly="1" outline="0" axis="axisCol" fieldPosition="0"/>
    </format>
    <format dxfId="197">
      <pivotArea field="1" type="button" dataOnly="0" labelOnly="1" outline="0" axis="axisCol" fieldPosition="0"/>
    </format>
    <format dxfId="196">
      <pivotArea field="3" type="button" dataOnly="0" labelOnly="1" outline="0" axis="axisRow" fieldPosition="0"/>
    </format>
    <format dxfId="19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Bonos" cacheId="64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Bonos">
  <location ref="H8:I14" firstHeaderRow="1" firstDataRow="1" firstDataCol="1"/>
  <pivotFields count="26">
    <pivotField numFmtId="8" showAll="0"/>
    <pivotField axis="axisRow" showAll="0">
      <items count="2">
        <item x="0"/>
        <item t="default"/>
      </items>
    </pivotField>
    <pivotField axis="axisRow" showAll="0">
      <items count="5">
        <item x="1"/>
        <item x="0"/>
        <item x="2"/>
        <item x="3"/>
        <item t="default"/>
      </items>
    </pivotField>
    <pivotField numFmtId="8" showAll="0"/>
    <pivotField showAll="0"/>
    <pivotField showAll="0"/>
    <pivotField showAll="0"/>
    <pivotField showAll="0"/>
    <pivotField numFmtId="2" showAll="0"/>
    <pivotField showAll="0"/>
    <pivotField numFmtId="164" showAll="0"/>
    <pivotField showAll="0"/>
    <pivotField showAll="0"/>
    <pivotField showAll="0"/>
    <pivotField numFmtId="164" showAll="0"/>
    <pivotField numFmtId="164" showAll="0"/>
    <pivotField numFmtId="2" showAll="0"/>
    <pivotField numFmtId="2" showAll="0"/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</pivotFields>
  <rowFields count="2">
    <field x="1"/>
    <field x="2"/>
  </rowFields>
  <rowItems count="6">
    <i>
      <x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a de Valor Comprado Con Comisión" fld="19" baseField="1" baseItem="0" numFmtId="44"/>
  </dataFields>
  <formats count="10">
    <format dxfId="168">
      <pivotArea type="all" dataOnly="0" outline="0" fieldPosition="0"/>
    </format>
    <format dxfId="167">
      <pivotArea outline="0" collapsedLevelsAreSubtotals="1" fieldPosition="0"/>
    </format>
    <format dxfId="166">
      <pivotArea field="2" type="button" dataOnly="0" labelOnly="1" outline="0" axis="axisRow" fieldPosition="1"/>
    </format>
    <format dxfId="165">
      <pivotArea dataOnly="0" labelOnly="1" fieldPosition="0">
        <references count="1">
          <reference field="2" count="0"/>
        </references>
      </pivotArea>
    </format>
    <format dxfId="164">
      <pivotArea dataOnly="0" labelOnly="1" grandRow="1" outline="0" fieldPosition="0"/>
    </format>
    <format dxfId="163">
      <pivotArea dataOnly="0" labelOnly="1" outline="0" axis="axisValues" fieldPosition="0"/>
    </format>
    <format dxfId="162">
      <pivotArea dataOnly="0" labelOnly="1" outline="0" axis="axisValues" fieldPosition="0"/>
    </format>
    <format dxfId="161">
      <pivotArea field="1" type="button" dataOnly="0" labelOnly="1" outline="0" axis="axisRow" fieldPosition="0"/>
    </format>
    <format dxfId="160">
      <pivotArea dataOnly="0" labelOnly="1" outline="0" axis="axisValues" fieldPosition="0"/>
    </format>
    <format dxfId="15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itulos" cacheId="64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TIPO">
  <location ref="O8:Q16" firstHeaderRow="1" firstDataRow="2" firstDataCol="1" rowPageCount="1" colPageCount="1"/>
  <pivotFields count="25">
    <pivotField numFmtId="15" showAll="0"/>
    <pivotField numFmtId="14" showAll="0" sortType="ascending">
      <items count="404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22"/>
        <item x="10"/>
        <item x="19"/>
        <item x="23"/>
        <item x="288"/>
        <item x="20"/>
        <item x="24"/>
        <item x="25"/>
        <item x="27"/>
        <item x="28"/>
        <item x="29"/>
        <item x="30"/>
        <item x="31"/>
        <item x="32"/>
        <item x="33"/>
        <item x="34"/>
        <item x="26"/>
        <item x="21"/>
        <item x="39"/>
        <item x="40"/>
        <item x="41"/>
        <item x="296"/>
        <item x="289"/>
        <item x="36"/>
        <item x="42"/>
        <item x="37"/>
        <item x="35"/>
        <item m="1" x="402"/>
        <item x="44"/>
        <item x="45"/>
        <item x="46"/>
        <item x="38"/>
        <item x="47"/>
        <item x="48"/>
        <item x="49"/>
        <item x="50"/>
        <item x="51"/>
        <item x="43"/>
        <item x="55"/>
        <item x="56"/>
        <item x="57"/>
        <item x="297"/>
        <item x="52"/>
        <item x="58"/>
        <item x="59"/>
        <item x="53"/>
        <item m="1" x="401"/>
        <item x="61"/>
        <item x="62"/>
        <item x="54"/>
        <item x="347"/>
        <item x="63"/>
        <item x="64"/>
        <item x="65"/>
        <item x="66"/>
        <item x="67"/>
        <item m="1" x="400"/>
        <item x="336"/>
        <item x="60"/>
        <item x="72"/>
        <item x="68"/>
        <item x="73"/>
        <item x="298"/>
        <item x="290"/>
        <item x="69"/>
        <item x="74"/>
        <item x="75"/>
        <item m="1" x="399"/>
        <item x="77"/>
        <item x="78"/>
        <item x="70"/>
        <item x="79"/>
        <item x="80"/>
        <item x="81"/>
        <item x="82"/>
        <item x="83"/>
        <item x="71"/>
        <item m="1" x="398"/>
        <item x="76"/>
        <item x="337"/>
        <item x="88"/>
        <item x="89"/>
        <item x="90"/>
        <item x="299"/>
        <item x="291"/>
        <item x="85"/>
        <item x="87"/>
        <item x="91"/>
        <item x="84"/>
        <item m="1" x="397"/>
        <item x="380"/>
        <item x="93"/>
        <item x="94"/>
        <item x="95"/>
        <item x="96"/>
        <item x="97"/>
        <item x="98"/>
        <item x="99"/>
        <item x="100"/>
        <item x="92"/>
        <item x="338"/>
        <item x="104"/>
        <item x="105"/>
        <item x="106"/>
        <item x="300"/>
        <item x="101"/>
        <item x="107"/>
        <item x="108"/>
        <item x="102"/>
        <item x="396"/>
        <item x="110"/>
        <item x="111"/>
        <item x="103"/>
        <item x="112"/>
        <item x="113"/>
        <item x="114"/>
        <item x="115"/>
        <item x="116"/>
        <item x="109"/>
        <item x="339"/>
        <item x="120"/>
        <item x="121"/>
        <item x="117"/>
        <item x="122"/>
        <item x="301"/>
        <item x="292"/>
        <item x="118"/>
        <item x="123"/>
        <item x="86"/>
        <item x="124"/>
        <item x="125"/>
        <item x="126"/>
        <item x="127"/>
        <item x="128"/>
        <item x="129"/>
        <item x="130"/>
        <item x="131"/>
        <item x="132"/>
        <item x="119"/>
        <item x="340"/>
        <item x="137"/>
        <item x="138"/>
        <item x="139"/>
        <item x="302"/>
        <item x="293"/>
        <item x="134"/>
        <item x="136"/>
        <item x="135"/>
        <item x="133"/>
        <item x="140"/>
        <item x="141"/>
        <item x="142"/>
        <item x="143"/>
        <item x="144"/>
        <item x="145"/>
        <item x="146"/>
        <item x="147"/>
        <item x="148"/>
        <item x="341"/>
        <item x="152"/>
        <item x="153"/>
        <item x="154"/>
        <item x="303"/>
        <item x="149"/>
        <item x="155"/>
        <item x="156"/>
        <item x="150"/>
        <item x="157"/>
        <item x="158"/>
        <item x="159"/>
        <item x="151"/>
        <item x="160"/>
        <item x="161"/>
        <item x="162"/>
        <item x="163"/>
        <item x="164"/>
        <item x="342"/>
        <item x="168"/>
        <item x="169"/>
        <item x="165"/>
        <item x="170"/>
        <item x="304"/>
        <item x="294"/>
        <item x="166"/>
        <item x="171"/>
        <item x="172"/>
        <item x="173"/>
        <item x="174"/>
        <item x="175"/>
        <item x="176"/>
        <item x="177"/>
        <item x="178"/>
        <item x="179"/>
        <item x="180"/>
        <item x="167"/>
        <item x="343"/>
        <item x="185"/>
        <item x="186"/>
        <item x="187"/>
        <item x="305"/>
        <item x="295"/>
        <item x="182"/>
        <item x="183"/>
        <item x="184"/>
        <item x="181"/>
        <item x="188"/>
        <item x="189"/>
        <item x="190"/>
        <item x="191"/>
        <item x="192"/>
        <item x="193"/>
        <item x="194"/>
        <item x="195"/>
        <item x="196"/>
        <item x="344"/>
        <item x="276"/>
        <item x="277"/>
        <item x="278"/>
        <item x="306"/>
        <item x="197"/>
        <item x="273"/>
        <item x="279"/>
        <item x="280"/>
        <item x="198"/>
        <item x="287"/>
        <item x="274"/>
        <item x="281"/>
        <item x="282"/>
        <item x="199"/>
        <item x="283"/>
        <item x="275"/>
        <item x="284"/>
        <item x="285"/>
        <item x="286"/>
        <item x="345"/>
        <item x="308"/>
        <item x="309"/>
        <item x="200"/>
        <item x="310"/>
        <item x="320"/>
        <item x="319"/>
        <item x="201"/>
        <item x="311"/>
        <item x="312"/>
        <item x="321"/>
        <item x="313"/>
        <item x="314"/>
        <item x="315"/>
        <item x="316"/>
        <item x="307"/>
        <item x="317"/>
        <item x="318"/>
        <item x="202"/>
        <item x="203"/>
        <item x="346"/>
        <item x="323"/>
        <item x="324"/>
        <item x="325"/>
        <item x="334"/>
        <item x="333"/>
        <item x="204"/>
        <item x="205"/>
        <item x="206"/>
        <item x="335"/>
        <item x="326"/>
        <item x="327"/>
        <item x="328"/>
        <item x="329"/>
        <item x="322"/>
        <item x="330"/>
        <item x="331"/>
        <item x="332"/>
        <item x="362"/>
        <item x="349"/>
        <item x="350"/>
        <item x="351"/>
        <item x="360"/>
        <item x="207"/>
        <item x="352"/>
        <item x="353"/>
        <item x="208"/>
        <item x="361"/>
        <item x="354"/>
        <item x="355"/>
        <item x="209"/>
        <item x="356"/>
        <item x="348"/>
        <item x="357"/>
        <item x="358"/>
        <item x="359"/>
        <item x="379"/>
        <item x="364"/>
        <item x="365"/>
        <item x="210"/>
        <item x="366"/>
        <item x="377"/>
        <item x="376"/>
        <item x="211"/>
        <item x="367"/>
        <item x="368"/>
        <item x="378"/>
        <item x="369"/>
        <item x="370"/>
        <item x="371"/>
        <item x="372"/>
        <item x="363"/>
        <item x="373"/>
        <item x="374"/>
        <item x="375"/>
        <item x="212"/>
        <item x="395"/>
        <item x="382"/>
        <item x="383"/>
        <item x="384"/>
        <item x="393"/>
        <item x="392"/>
        <item x="213"/>
        <item x="214"/>
        <item x="215"/>
        <item x="394"/>
        <item x="385"/>
        <item x="386"/>
        <item x="387"/>
        <item x="388"/>
        <item x="381"/>
        <item x="389"/>
        <item x="390"/>
        <item x="391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t="default"/>
      </items>
    </pivotField>
    <pivotField axis="axisRow" showAll="0" sortType="ascending">
      <items count="9">
        <item m="1" x="6"/>
        <item x="5"/>
        <item x="2"/>
        <item x="0"/>
        <item x="1"/>
        <item x="4"/>
        <item x="3"/>
        <item m="1" x="7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axis="axisPage" showAll="0">
      <items count="3">
        <item x="0"/>
        <item x="1"/>
        <item t="default"/>
      </items>
    </pivotField>
    <pivotField numFmtId="4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2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1">
    <pageField fld="18" item="1" hier="-1"/>
  </pageFields>
  <dataFields count="2">
    <dataField name="Suma de CAPITAL" fld="8" baseField="0" baseItem="0"/>
    <dataField name="Suma de INTERES" fld="7" baseField="0" baseItem="0" numFmtId="164"/>
  </dataFields>
  <formats count="7">
    <format dxfId="175">
      <pivotArea type="all" dataOnly="0" outline="0" fieldPosition="0"/>
    </format>
    <format dxfId="174">
      <pivotArea outline="0" collapsedLevelsAreSubtotals="1" fieldPosition="0"/>
    </format>
    <format dxfId="173">
      <pivotArea dataOnly="0" labelOnly="1" grandRow="1" outline="0" fieldPosition="0"/>
    </format>
    <format dxfId="17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0">
      <pivotArea dataOnly="0" outline="0" fieldPosition="0">
        <references count="2">
          <reference field="4294967294" count="1">
            <x v="0"/>
          </reference>
          <reference field="18" count="1" selected="0">
            <x v="1"/>
          </reference>
        </references>
      </pivotArea>
    </format>
    <format dxfId="169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NotasCredito" cacheId="646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Otros Títulos">
  <location ref="H17:I22" firstHeaderRow="1" firstDataRow="1" firstDataCol="1" rowPageCount="1" colPageCount="1"/>
  <pivotFields count="29">
    <pivotField numFmtId="8" showAll="0"/>
    <pivotField axis="axisRow" showAll="0">
      <items count="4">
        <item x="0"/>
        <item x="1"/>
        <item x="2"/>
        <item t="default"/>
      </items>
    </pivotField>
    <pivotField axis="axisRow" showAll="0">
      <items count="6">
        <item x="0"/>
        <item x="1"/>
        <item x="2"/>
        <item m="1" x="4"/>
        <item x="3"/>
        <item t="default"/>
      </items>
    </pivotField>
    <pivotField numFmtId="8" showAll="0"/>
    <pivotField showAll="0"/>
    <pivotField showAll="0"/>
    <pivotField showAll="0"/>
    <pivotField showAll="0"/>
    <pivotField numFmtId="2" showAll="0"/>
    <pivotField showAll="0"/>
    <pivotField numFmtId="164" showAll="0"/>
    <pivotField showAll="0"/>
    <pivotField showAll="0"/>
    <pivotField showAll="0"/>
    <pivotField numFmtId="164" showAll="0"/>
    <pivotField numFmtId="164" showAll="0"/>
    <pivotField showAll="0"/>
    <pivotField showAll="0"/>
    <pivotField numFmtId="164" showAll="0"/>
    <pivotField dataField="1" numFmtId="164" showAll="0"/>
    <pivotField numFmtId="164" showAll="0"/>
    <pivotField numFmtId="164" showAll="0"/>
    <pivotField showAll="0"/>
    <pivotField showAll="0"/>
    <pivotField numFmtId="164" showAll="0"/>
    <pivotField showAll="0"/>
    <pivotField name="Estado NC" axis="axisPage" multipleItemSelectionAllowed="1" showAll="0">
      <items count="7">
        <item x="3"/>
        <item h="1" x="2"/>
        <item m="1" x="5"/>
        <item h="1" m="1" x="4"/>
        <item h="1" x="0"/>
        <item h="1" x="1"/>
        <item t="default"/>
      </items>
    </pivotField>
    <pivotField numFmtId="14" multipleItemSelectionAllowed="1" showAll="0">
      <items count="31">
        <item x="0"/>
        <item x="5"/>
        <item x="1"/>
        <item x="3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4"/>
        <item x="23"/>
        <item x="24"/>
        <item x="25"/>
        <item x="26"/>
        <item x="27"/>
        <item x="28"/>
        <item x="29"/>
        <item t="default"/>
      </items>
    </pivotField>
    <pivotField showAll="0"/>
  </pivotFields>
  <rowFields count="2">
    <field x="1"/>
    <field x="2"/>
  </rowFields>
  <rowItems count="5">
    <i>
      <x/>
    </i>
    <i r="1">
      <x/>
    </i>
    <i>
      <x v="1"/>
    </i>
    <i r="1">
      <x/>
    </i>
    <i t="grand">
      <x/>
    </i>
  </rowItems>
  <colItems count="1">
    <i/>
  </colItems>
  <pageFields count="1">
    <pageField fld="26" hier="-1"/>
  </pageFields>
  <dataFields count="1">
    <dataField name="Suma de Valor Comprado Con Comisión" fld="19" baseField="1" baseItem="0" numFmtId="44"/>
  </dataFields>
  <formats count="4">
    <format dxfId="179">
      <pivotArea field="27" type="button" dataOnly="0" labelOnly="1" outline="0"/>
    </format>
    <format dxfId="178">
      <pivotArea dataOnly="0" labelOnly="1" outline="0" fieldPosition="0">
        <references count="1">
          <reference field="26" count="0"/>
        </references>
      </pivotArea>
    </format>
    <format dxfId="177">
      <pivotArea field="26" type="button" dataOnly="0" labelOnly="1" outline="0" axis="axisPage" fieldPosition="0"/>
    </format>
    <format dxfId="17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Inversiones" cacheId="646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VENCIMIENTO">
  <location ref="B8:F20" firstHeaderRow="1" firstDataRow="2" firstDataCol="1" rowPageCount="1" colPageCount="1"/>
  <pivotFields count="25">
    <pivotField numFmtId="15" showAll="0"/>
    <pivotField axis="axisRow" numFmtId="14" showAll="0" sortType="ascending">
      <items count="404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22"/>
        <item x="10"/>
        <item x="19"/>
        <item x="23"/>
        <item x="288"/>
        <item x="20"/>
        <item x="24"/>
        <item x="25"/>
        <item x="27"/>
        <item x="28"/>
        <item x="29"/>
        <item x="30"/>
        <item x="31"/>
        <item x="32"/>
        <item x="33"/>
        <item x="34"/>
        <item x="26"/>
        <item x="21"/>
        <item x="39"/>
        <item x="40"/>
        <item x="41"/>
        <item x="296"/>
        <item x="289"/>
        <item x="36"/>
        <item x="42"/>
        <item x="37"/>
        <item x="35"/>
        <item m="1" x="402"/>
        <item x="44"/>
        <item x="45"/>
        <item x="46"/>
        <item x="38"/>
        <item x="47"/>
        <item x="48"/>
        <item x="49"/>
        <item x="50"/>
        <item x="51"/>
        <item x="43"/>
        <item x="55"/>
        <item x="56"/>
        <item x="57"/>
        <item x="297"/>
        <item x="52"/>
        <item x="58"/>
        <item x="59"/>
        <item x="53"/>
        <item m="1" x="401"/>
        <item x="61"/>
        <item x="62"/>
        <item x="54"/>
        <item x="347"/>
        <item x="63"/>
        <item x="64"/>
        <item x="65"/>
        <item x="66"/>
        <item x="67"/>
        <item m="1" x="400"/>
        <item x="336"/>
        <item x="60"/>
        <item x="72"/>
        <item x="68"/>
        <item x="73"/>
        <item x="298"/>
        <item x="290"/>
        <item x="69"/>
        <item x="74"/>
        <item x="75"/>
        <item m="1" x="399"/>
        <item x="77"/>
        <item x="78"/>
        <item x="70"/>
        <item x="79"/>
        <item x="80"/>
        <item x="81"/>
        <item x="82"/>
        <item x="83"/>
        <item x="71"/>
        <item m="1" x="398"/>
        <item x="76"/>
        <item x="337"/>
        <item x="88"/>
        <item x="89"/>
        <item x="90"/>
        <item x="299"/>
        <item x="291"/>
        <item x="85"/>
        <item x="87"/>
        <item x="91"/>
        <item x="84"/>
        <item m="1" x="397"/>
        <item x="380"/>
        <item x="93"/>
        <item x="94"/>
        <item x="95"/>
        <item x="96"/>
        <item x="97"/>
        <item x="98"/>
        <item x="99"/>
        <item x="100"/>
        <item x="92"/>
        <item x="338"/>
        <item x="104"/>
        <item x="105"/>
        <item x="106"/>
        <item x="300"/>
        <item x="101"/>
        <item x="107"/>
        <item x="108"/>
        <item x="102"/>
        <item x="396"/>
        <item x="110"/>
        <item x="111"/>
        <item x="103"/>
        <item x="112"/>
        <item x="113"/>
        <item x="114"/>
        <item x="115"/>
        <item x="116"/>
        <item x="109"/>
        <item x="339"/>
        <item x="120"/>
        <item x="121"/>
        <item x="117"/>
        <item x="122"/>
        <item x="301"/>
        <item x="292"/>
        <item x="118"/>
        <item x="123"/>
        <item x="86"/>
        <item x="124"/>
        <item x="125"/>
        <item x="126"/>
        <item x="127"/>
        <item x="128"/>
        <item x="129"/>
        <item x="130"/>
        <item x="131"/>
        <item x="132"/>
        <item x="119"/>
        <item x="340"/>
        <item x="137"/>
        <item x="138"/>
        <item x="139"/>
        <item x="302"/>
        <item x="293"/>
        <item x="134"/>
        <item x="136"/>
        <item x="135"/>
        <item x="133"/>
        <item x="140"/>
        <item x="141"/>
        <item x="142"/>
        <item x="143"/>
        <item x="144"/>
        <item x="145"/>
        <item x="146"/>
        <item x="147"/>
        <item x="148"/>
        <item x="341"/>
        <item x="152"/>
        <item x="153"/>
        <item x="154"/>
        <item x="303"/>
        <item x="149"/>
        <item x="155"/>
        <item x="156"/>
        <item x="150"/>
        <item x="157"/>
        <item x="158"/>
        <item x="159"/>
        <item x="151"/>
        <item x="160"/>
        <item x="161"/>
        <item x="162"/>
        <item x="163"/>
        <item x="164"/>
        <item x="342"/>
        <item x="168"/>
        <item x="169"/>
        <item x="165"/>
        <item x="170"/>
        <item x="304"/>
        <item x="294"/>
        <item x="166"/>
        <item x="171"/>
        <item x="172"/>
        <item x="173"/>
        <item x="174"/>
        <item x="175"/>
        <item x="176"/>
        <item x="177"/>
        <item x="178"/>
        <item x="179"/>
        <item x="180"/>
        <item x="167"/>
        <item x="343"/>
        <item x="185"/>
        <item x="186"/>
        <item x="187"/>
        <item x="305"/>
        <item x="295"/>
        <item x="182"/>
        <item x="183"/>
        <item x="184"/>
        <item x="181"/>
        <item x="188"/>
        <item x="189"/>
        <item x="190"/>
        <item x="191"/>
        <item x="192"/>
        <item x="193"/>
        <item x="194"/>
        <item x="195"/>
        <item x="196"/>
        <item x="344"/>
        <item x="276"/>
        <item x="277"/>
        <item x="278"/>
        <item x="306"/>
        <item x="197"/>
        <item x="273"/>
        <item x="279"/>
        <item x="280"/>
        <item x="198"/>
        <item x="287"/>
        <item x="274"/>
        <item x="281"/>
        <item x="282"/>
        <item x="199"/>
        <item x="283"/>
        <item x="275"/>
        <item x="284"/>
        <item x="285"/>
        <item x="286"/>
        <item x="345"/>
        <item x="308"/>
        <item x="309"/>
        <item x="200"/>
        <item x="310"/>
        <item x="320"/>
        <item x="319"/>
        <item x="201"/>
        <item x="311"/>
        <item x="312"/>
        <item x="321"/>
        <item x="313"/>
        <item x="314"/>
        <item x="315"/>
        <item x="316"/>
        <item x="307"/>
        <item x="317"/>
        <item x="318"/>
        <item x="202"/>
        <item x="203"/>
        <item x="346"/>
        <item x="323"/>
        <item x="324"/>
        <item x="325"/>
        <item x="334"/>
        <item x="333"/>
        <item x="204"/>
        <item x="205"/>
        <item x="206"/>
        <item x="335"/>
        <item x="326"/>
        <item x="327"/>
        <item x="328"/>
        <item x="329"/>
        <item x="322"/>
        <item x="330"/>
        <item x="331"/>
        <item x="332"/>
        <item x="362"/>
        <item x="349"/>
        <item x="350"/>
        <item x="351"/>
        <item x="360"/>
        <item x="207"/>
        <item x="352"/>
        <item x="353"/>
        <item x="208"/>
        <item x="361"/>
        <item x="354"/>
        <item x="355"/>
        <item x="209"/>
        <item x="356"/>
        <item x="348"/>
        <item x="357"/>
        <item x="358"/>
        <item x="359"/>
        <item x="379"/>
        <item x="364"/>
        <item x="365"/>
        <item x="210"/>
        <item x="366"/>
        <item x="377"/>
        <item x="376"/>
        <item x="211"/>
        <item x="367"/>
        <item x="368"/>
        <item x="378"/>
        <item x="369"/>
        <item x="370"/>
        <item x="371"/>
        <item x="372"/>
        <item x="363"/>
        <item x="373"/>
        <item x="374"/>
        <item x="375"/>
        <item x="212"/>
        <item x="395"/>
        <item x="382"/>
        <item x="383"/>
        <item x="384"/>
        <item x="393"/>
        <item x="392"/>
        <item x="213"/>
        <item x="214"/>
        <item x="215"/>
        <item x="394"/>
        <item x="385"/>
        <item x="386"/>
        <item x="387"/>
        <item x="388"/>
        <item x="381"/>
        <item x="389"/>
        <item x="390"/>
        <item x="391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" showAll="0"/>
    <pivotField axis="axisPage" showAll="0">
      <items count="3">
        <item x="0"/>
        <item x="1"/>
        <item t="default"/>
      </items>
    </pivotField>
    <pivotField dataField="1" numFmtId="4"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x="6"/>
        <item sd="0" x="7"/>
        <item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Row" showAll="0">
      <items count="13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</pivotFields>
  <rowFields count="4">
    <field x="24"/>
    <field x="23"/>
    <field x="22"/>
    <field x="1"/>
  </rowFields>
  <rowItems count="11">
    <i>
      <x v="1"/>
    </i>
    <i r="1">
      <x v="4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8" item="1" hier="-1"/>
  </pageFields>
  <dataFields count="4">
    <dataField name="Suma de CAPITAL + INTERES al Corte" fld="17" baseField="0" baseItem="0" numFmtId="4"/>
    <dataField name="Suma de CAPITAL" fld="8" baseField="0" baseItem="0"/>
    <dataField name="Suma de INTERES  al Corte" fld="19" baseField="0" baseItem="0" numFmtId="4"/>
    <dataField name="Suma de INTERES" fld="7" baseField="0" baseItem="0"/>
  </dataFields>
  <formats count="7">
    <format dxfId="186">
      <pivotArea dataOnly="0" outline="0" fieldPosition="0">
        <references count="1">
          <reference field="4294967294" count="1">
            <x v="3"/>
          </reference>
        </references>
      </pivotArea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dataOnly="0" labelOnly="1" grandRow="1" outline="0" fieldPosition="0"/>
    </format>
    <format dxfId="18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8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80">
      <pivotArea dataOnly="0" outline="0" fieldPosition="0">
        <references count="2">
          <reference field="4294967294" count="4">
            <x v="0"/>
            <x v="1"/>
            <x v="2"/>
            <x v="3"/>
          </reference>
          <reference field="1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OtrosFondos" cacheId="646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K8:K9" firstHeaderRow="1" firstDataRow="1" firstDataCol="0"/>
  <pivotFields count="3">
    <pivotField showAll="0"/>
    <pivotField dataField="1" numFmtId="44" showAll="0"/>
    <pivotField showAll="0"/>
  </pivotFields>
  <rowItems count="1">
    <i/>
  </rowItems>
  <colItems count="1">
    <i/>
  </colItems>
  <dataFields count="1">
    <dataField name="Suma de Valor" fld="1" baseField="0" baseItem="0" numFmtId="44"/>
  </dataFields>
  <formats count="6">
    <format dxfId="192">
      <pivotArea type="all" dataOnly="0" outline="0" fieldPosition="0"/>
    </format>
    <format dxfId="191">
      <pivotArea outline="0" collapsedLevelsAreSubtotals="1" fieldPosition="0"/>
    </format>
    <format dxfId="190">
      <pivotArea dataOnly="0" labelOnly="1" outline="0" axis="axisValues" fieldPosition="0"/>
    </format>
    <format dxfId="189">
      <pivotArea dataOnly="0" labelOnly="1" outline="0" axis="axisValues" fieldPosition="0"/>
    </format>
    <format dxfId="188">
      <pivotArea outline="0" collapsedLevelsAreSubtotals="1" fieldPosition="0"/>
    </format>
    <format dxfId="18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VentasTotales" cacheId="64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Fecha Venta">
  <location ref="B3:E9" firstHeaderRow="1" firstDataRow="2" firstDataCol="1"/>
  <pivotFields count="45">
    <pivotField axis="axisRow" numFmtId="170" showAll="0">
      <items count="67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36"/>
        <item x="2"/>
        <item x="1"/>
        <item x="0"/>
        <item x="35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m="1" x="65"/>
        <item t="default"/>
      </items>
    </pivotField>
    <pivotField axis="axisRow" showAll="0">
      <items count="7">
        <item sd="0" x="0"/>
        <item sd="0" x="1"/>
        <item m="1" x="5"/>
        <item sd="0" x="2"/>
        <item m="1" x="4"/>
        <item sd="0" x="3"/>
        <item t="default"/>
      </items>
    </pivotField>
    <pivotField showAll="0"/>
    <pivotField numFmtId="8" showAll="0"/>
    <pivotField numFmtId="8" showAll="0"/>
    <pivotField numFmtId="8" showAll="0"/>
    <pivotField numFmtId="8" showAll="0"/>
    <pivotField numFmtId="2" showAll="0"/>
    <pivotField numFmtId="2" showAll="0"/>
    <pivotField numFmtId="2" showAll="0"/>
    <pivotField numFmtId="164" showAll="0"/>
    <pivotField numFmtId="164" showAll="0"/>
    <pivotField showAll="0"/>
    <pivotField showAll="0"/>
    <pivotField numFmtId="164" showAll="0"/>
    <pivotField numFmtId="164" showAll="0"/>
    <pivotField numFmtId="2" showAll="0"/>
    <pivotField numFmtId="2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numFmtId="2"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numFmtId="164" showAll="0"/>
    <pivotField showAll="0"/>
    <pivotField numFmtId="10" showAll="0"/>
    <pivotField dataField="1" numFmtId="10" showAll="0"/>
    <pivotField numFmtId="10" showAll="0"/>
    <pivotField dataField="1" numFmtId="4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sd="0" x="2"/>
        <item sd="0" x="3"/>
        <item sd="0" x="4"/>
        <item x="5"/>
        <item t="default"/>
      </items>
    </pivotField>
    <pivotField axis="axisRow" showAll="0" sortType="descending">
      <items count="8">
        <item x="5"/>
        <item sd="0" x="4"/>
        <item sd="0" x="3"/>
        <item sd="0" x="2"/>
        <item sd="0" x="1"/>
        <item x="6"/>
        <item sd="0" x="0"/>
        <item t="default"/>
      </items>
    </pivotField>
  </pivotFields>
  <rowFields count="5">
    <field x="1"/>
    <field x="44"/>
    <field x="43"/>
    <field x="42"/>
    <field x="0"/>
  </rowFields>
  <rowItems count="5">
    <i>
      <x/>
    </i>
    <i>
      <x v="1"/>
    </i>
    <i>
      <x v="3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Utilidad Considera " fld="34" baseField="1" baseItem="0" numFmtId="44"/>
    <dataField name="Suma de Total Comisiones Santa Fe" fld="40" baseField="0" baseItem="0" numFmtId="44"/>
    <dataField name="Promedio de % Ganancia Anual estimado" fld="38" subtotal="average" baseField="1" baseItem="0" numFmtId="10"/>
  </dataFields>
  <formats count="9">
    <format dxfId="53">
      <pivotArea field="1" type="button" dataOnly="0" labelOnly="1" outline="0" axis="axisRow" fieldPosition="0"/>
    </format>
    <format dxfId="52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51">
      <pivotArea field="1" type="button" dataOnly="0" labelOnly="1" outline="0" axis="axisRow" fieldPosition="0"/>
    </format>
    <format dxfId="50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49">
      <pivotArea field="1" type="button" dataOnly="0" labelOnly="1" outline="0" axis="axisRow" fieldPosition="0"/>
    </format>
    <format dxfId="48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47">
      <pivotArea outline="0" fieldPosition="0">
        <references count="1">
          <reference field="4294967294" count="1">
            <x v="0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7000000}" name="OperacionesReales" cacheId="646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Titular/Operación">
  <location ref="B4:E10" firstHeaderRow="1" firstDataRow="2" firstDataCol="1" rowPageCount="1" colPageCount="1"/>
  <pivotFields count="7">
    <pivotField axis="axisPage" numFmtId="14" multipleItemSelectionAllowed="1" showAll="0">
      <items count="120">
        <item x="0"/>
        <item x="2"/>
        <item x="1"/>
        <item x="3"/>
        <item x="4"/>
        <item x="5"/>
        <item x="6"/>
        <item x="7"/>
        <item x="9"/>
        <item x="8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m="1" x="118"/>
        <item x="42"/>
        <item x="43"/>
        <item x="44"/>
        <item x="45"/>
        <item x="46"/>
        <item x="48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t="default"/>
      </items>
    </pivotField>
    <pivotField axis="axisRow" showAll="0" sortType="ascending">
      <items count="7">
        <item sd="0" x="3"/>
        <item sd="0" x="0"/>
        <item sd="0" x="1"/>
        <item sd="0" x="2"/>
        <item m="1" x="4"/>
        <item m="1" x="5"/>
        <item t="default"/>
      </items>
    </pivotField>
    <pivotField axis="axisRow" dataField="1" showAll="0" sortType="ascending">
      <items count="40">
        <item x="20"/>
        <item x="31"/>
        <item x="15"/>
        <item x="32"/>
        <item x="8"/>
        <item x="5"/>
        <item x="7"/>
        <item x="29"/>
        <item x="4"/>
        <item x="9"/>
        <item x="23"/>
        <item x="11"/>
        <item m="1" x="36"/>
        <item x="27"/>
        <item x="13"/>
        <item x="12"/>
        <item x="6"/>
        <item x="26"/>
        <item x="22"/>
        <item m="1" x="34"/>
        <item m="1" x="35"/>
        <item x="2"/>
        <item x="16"/>
        <item x="14"/>
        <item x="18"/>
        <item x="3"/>
        <item x="24"/>
        <item x="28"/>
        <item x="1"/>
        <item x="25"/>
        <item x="17"/>
        <item x="30"/>
        <item x="33"/>
        <item x="0"/>
        <item x="19"/>
        <item x="10"/>
        <item m="1" x="37"/>
        <item x="21"/>
        <item m="1" x="38"/>
        <item t="default"/>
      </items>
    </pivotField>
    <pivotField dataField="1" numFmtId="44" showAll="0"/>
    <pivotField dataField="1" showAll="0"/>
    <pivotField showAll="0"/>
    <pivotField numFmtId="44" showAll="0"/>
  </pivotFields>
  <rowFields count="2"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a de Valor" fld="3" baseField="0" baseItem="0" numFmtId="44"/>
    <dataField name="Suma de Utilidad" fld="4" baseField="1" baseItem="0" numFmtId="164"/>
    <dataField name="# Operaciones" fld="2" subtotal="count" baseField="0" baseItem="0"/>
  </dataFields>
  <formats count="1">
    <format dxfId="14">
      <pivotArea dataOnly="0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Inversiones" displayName="BaseInversiones" ref="B2:W1121" totalsRowShown="0" headerRowDxfId="223" dataDxfId="222">
  <autoFilter ref="B2:W1121" xr:uid="{00000000-000C-0000-FFFF-FFFF00000000}">
    <filterColumn colId="4">
      <filters>
        <filter val="Acciones Banco GUAYAQUIL 31/12/2034"/>
      </filters>
    </filterColumn>
  </autoFilter>
  <tableColumns count="22">
    <tableColumn id="1" xr3:uid="{00000000-0010-0000-0000-000001000000}" name="DESDE" dataDxfId="221"/>
    <tableColumn id="2" xr3:uid="{00000000-0010-0000-0000-000002000000}" name="VENCIMIENTO" dataDxfId="220"/>
    <tableColumn id="21" xr3:uid="{00000000-0010-0000-0000-000015000000}" name="Título" dataDxfId="219"/>
    <tableColumn id="3" xr3:uid="{00000000-0010-0000-0000-000003000000}" name="Titular" dataDxfId="218"/>
    <tableColumn id="4" xr3:uid="{00000000-0010-0000-0000-000004000000}" name="Tipo Inversión" dataDxfId="217"/>
    <tableColumn id="7" xr3:uid="{00000000-0010-0000-0000-000007000000}" name="TASA" dataDxfId="216"/>
    <tableColumn id="8" xr3:uid="{00000000-0010-0000-0000-000008000000}" name="Rendimiento" dataDxfId="215"/>
    <tableColumn id="9" xr3:uid="{00000000-0010-0000-0000-000009000000}" name="INTERES" dataDxfId="214"/>
    <tableColumn id="10" xr3:uid="{00000000-0010-0000-0000-00000A000000}" name="CAPITAL" dataDxfId="213"/>
    <tableColumn id="11" xr3:uid="{00000000-0010-0000-0000-00000B000000}" name="Retención" dataDxfId="212"/>
    <tableColumn id="12" xr3:uid="{00000000-0010-0000-0000-00000C000000}" name="Interés total" dataDxfId="211">
      <calculatedColumnFormula>I3</calculatedColumnFormula>
    </tableColumn>
    <tableColumn id="13" xr3:uid="{00000000-0010-0000-0000-00000D000000}" name="Retención año" dataDxfId="210"/>
    <tableColumn id="14" xr3:uid="{00000000-0010-0000-0000-00000E000000}" name="Interes año" dataDxfId="209"/>
    <tableColumn id="15" xr3:uid="{00000000-0010-0000-0000-00000F000000}" name="Mensual" dataDxfId="208"/>
    <tableColumn id="16" xr3:uid="{00000000-0010-0000-0000-000010000000}" name="Retención año2" dataDxfId="207"/>
    <tableColumn id="17" xr3:uid="{00000000-0010-0000-0000-000011000000}" name="Interes año3" dataDxfId="206"/>
    <tableColumn id="22" xr3:uid="{00000000-0010-0000-0000-000016000000}" name="Operación Compra No." dataDxfId="205"/>
    <tableColumn id="18" xr3:uid="{00000000-0010-0000-0000-000012000000}" name="CAPITAL + INTERES al Corte" dataDxfId="204">
      <calculatedColumnFormula>IF(C3&lt;=EOMONTH('&gt;&gt;Vistas Consolidadas'!$D$2, '&gt;&gt;Vistas Consolidadas'!$F$2),J3+I3,J3)</calculatedColumnFormula>
    </tableColumn>
    <tableColumn id="19" xr3:uid="{00000000-0010-0000-0000-000013000000}" name="VIGENTE" dataDxfId="203">
      <calculatedColumnFormula>IF(C3&gt;='&gt;&gt;Vistas Consolidadas'!$D$2,"SI","NO")</calculatedColumnFormula>
    </tableColumn>
    <tableColumn id="6" xr3:uid="{00000000-0010-0000-0000-000006000000}" name="INTERES  al Corte" dataDxfId="202">
      <calculatedColumnFormula>IF(C3&lt;=EOMONTH('&gt;&gt;Vistas Consolidadas'!$D$2, '&gt;&gt;Vistas Consolidadas'!$F$2),I3,0)</calculatedColumnFormula>
    </tableColumn>
    <tableColumn id="5" xr3:uid="{00000000-0010-0000-0000-000005000000}" name="SEMANA" dataDxfId="201">
      <calculatedColumnFormula>AND(C3&gt;='Interes Por Semana'!$C$4, C3&lt;='Interes Por Semana'!$E$4)</calculatedColumnFormula>
    </tableColumn>
    <tableColumn id="20" xr3:uid="{00000000-0010-0000-0000-000014000000}" name="Día Semana" dataDxfId="200">
      <calculatedColumnFormula>TEXT(C3, "dddd")</calculatedColumnFormula>
    </tableColumn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aseOtrosFondos" displayName="BaseOtrosFondos" ref="B2:D23" totalsRowShown="0" headerRowDxfId="194">
  <autoFilter ref="B2:D23" xr:uid="{00000000-0009-0000-0100-000002000000}"/>
  <tableColumns count="3">
    <tableColumn id="1" xr3:uid="{00000000-0010-0000-0100-000001000000}" name="Origen Fondo"/>
    <tableColumn id="2" xr3:uid="{00000000-0010-0000-0100-000002000000}" name="Valor" dataDxfId="193"/>
    <tableColumn id="3" xr3:uid="{00000000-0010-0000-0100-000003000000}" name="Origen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itulosActivos" displayName="TitulosActivos" ref="B2:AA40" totalsRowShown="0" headerRowDxfId="158">
  <autoFilter ref="B2:AA40" xr:uid="{00000000-0009-0000-0100-000003000000}"/>
  <tableColumns count="26">
    <tableColumn id="1" xr3:uid="{00000000-0010-0000-0200-000001000000}" name="Fecha Actual" dataDxfId="157">
      <calculatedColumnFormula>TODAY()</calculatedColumnFormula>
    </tableColumn>
    <tableColumn id="25" xr3:uid="{00000000-0010-0000-0200-000019000000}" name="Título" dataDxfId="156"/>
    <tableColumn id="2" xr3:uid="{00000000-0010-0000-0200-000002000000}" name="Titular"/>
    <tableColumn id="3" xr3:uid="{00000000-0010-0000-0200-000003000000}" name="Fecha de _x000a_Compra" dataDxfId="155"/>
    <tableColumn id="4" xr3:uid="{00000000-0010-0000-0200-000004000000}" name="Fecha Primer Pago" dataDxfId="154"/>
    <tableColumn id="5" xr3:uid="{00000000-0010-0000-0200-000005000000}" name="Fecha de _x000a_Emisión" dataDxfId="153"/>
    <tableColumn id="6" xr3:uid="{00000000-0010-0000-0200-000006000000}" name="Fecha de _x000a_Vencim." dataDxfId="152"/>
    <tableColumn id="7" xr3:uid="{00000000-0010-0000-0200-000007000000}" name="Tasa _x000a_Mensual"/>
    <tableColumn id="8" xr3:uid="{00000000-0010-0000-0200-000008000000}" name="Tasa Mensual Real" dataDxfId="151">
      <calculatedColumnFormula>L3*12/U3*100</calculatedColumnFormula>
    </tableColumn>
    <tableColumn id="9" xr3:uid="{00000000-0010-0000-0200-000009000000}" name="Rendim." dataDxfId="150"/>
    <tableColumn id="10" xr3:uid="{00000000-0010-0000-0200-00000A000000}" name="Interés_x000a_Mensual" dataDxfId="149">
      <calculatedColumnFormula>Q3*I3/100/12</calculatedColumnFormula>
    </tableColumn>
    <tableColumn id="11" xr3:uid="{00000000-0010-0000-0200-00000B000000}" name="Interés Primer Mes" dataDxfId="148"/>
    <tableColumn id="12" xr3:uid="{00000000-0010-0000-0200-00000C000000}" name="Períodos Recibidos" dataDxfId="147">
      <calculatedColumnFormula>IF(F3="", 0, IF(B3&gt;F3,INT((B3-F3)/30),0))</calculatedColumnFormula>
    </tableColumn>
    <tableColumn id="13" xr3:uid="{00000000-0010-0000-0200-00000D000000}" name="Interés al Vencimiento"/>
    <tableColumn id="14" xr3:uid="{00000000-0010-0000-0200-00000E000000}" name="Interés _x000a_Recibido" dataDxfId="146">
      <calculatedColumnFormula>L3*N3+M3+IF(B3&gt;F3,O3,0)</calculatedColumnFormula>
    </tableColumn>
    <tableColumn id="15" xr3:uid="{00000000-0010-0000-0200-00000F000000}" name="Valor _x000a_Nominal" dataDxfId="145"/>
    <tableColumn id="16" xr3:uid="{00000000-0010-0000-0200-000010000000}" name="% Precio Comprado" dataDxfId="144"/>
    <tableColumn id="17" xr3:uid="{00000000-0010-0000-0200-000011000000}" name="% Precio Neto Comprado" dataDxfId="143"/>
    <tableColumn id="18" xr3:uid="{00000000-0010-0000-0200-000012000000}" name="Valor _x000a_Comprado Sin Comisión" dataDxfId="142">
      <calculatedColumnFormula>Q3*R3/100</calculatedColumnFormula>
    </tableColumn>
    <tableColumn id="19" xr3:uid="{00000000-0010-0000-0200-000013000000}" name="Valor Comprado Con Comisión" dataDxfId="141">
      <calculatedColumnFormula>ROUND(TitulosActivos[[#This Row],[Valor 
Comprado Sin Comisión]]+TitulosActivos[[#This Row],[Total 
Comisiones]],2)</calculatedColumnFormula>
    </tableColumn>
    <tableColumn id="20" xr3:uid="{00000000-0010-0000-0200-000014000000}" name="PAGADO_x000a_incluye interés acumulado" dataDxfId="140">
      <calculatedColumnFormula>U3+W3</calculatedColumnFormula>
    </tableColumn>
    <tableColumn id="21" xr3:uid="{00000000-0010-0000-0200-000015000000}" name="Interés_x000a_Acumulado _x000a_Previo" dataDxfId="139"/>
    <tableColumn id="22" xr3:uid="{00000000-0010-0000-0200-000016000000}" name="Comisión Santa Fé_x000a_Compra" dataDxfId="138"/>
    <tableColumn id="23" xr3:uid="{00000000-0010-0000-0200-000017000000}" name="Comisión_x000a_Bolsa Compra" dataDxfId="137"/>
    <tableColumn id="24" xr3:uid="{00000000-0010-0000-0200-000018000000}" name="Total _x000a_Comisiones" dataDxfId="136">
      <calculatedColumnFormula>X3+Y3</calculatedColumnFormula>
    </tableColumn>
    <tableColumn id="26" xr3:uid="{00000000-0010-0000-0200-00001A000000}" name="Operación Compra No." dataDxfId="135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itulosVendidos" displayName="TitulosVendidos" ref="B2:AQ158" totalsRowShown="0" headerRowDxfId="134">
  <autoFilter ref="B2:AQ158" xr:uid="{00000000-0009-0000-0100-000004000000}"/>
  <tableColumns count="42">
    <tableColumn id="1" xr3:uid="{00000000-0010-0000-0300-000001000000}" name="Fecha Venta" dataDxfId="133" totalsRowDxfId="132"/>
    <tableColumn id="39" xr3:uid="{00000000-0010-0000-0300-000027000000}" name="Título" dataDxfId="131" totalsRowDxfId="130"/>
    <tableColumn id="2" xr3:uid="{00000000-0010-0000-0300-000002000000}" name="Titular"/>
    <tableColumn id="3" xr3:uid="{00000000-0010-0000-0300-000003000000}" name="Fecha de _x000a_Compra" dataDxfId="129" totalsRowDxfId="128"/>
    <tableColumn id="4" xr3:uid="{00000000-0010-0000-0300-000004000000}" name="Fecha Primer Pago" dataDxfId="127" totalsRowDxfId="126"/>
    <tableColumn id="5" xr3:uid="{00000000-0010-0000-0300-000005000000}" name="Fecha de _x000a_Emisión" dataDxfId="125" totalsRowDxfId="124"/>
    <tableColumn id="6" xr3:uid="{00000000-0010-0000-0300-000006000000}" name="Fecha de _x000a_Vencim." dataDxfId="123" totalsRowDxfId="122"/>
    <tableColumn id="7" xr3:uid="{00000000-0010-0000-0300-000007000000}" name="Tasa _x000a_Mensual" dataDxfId="121" totalsRowDxfId="120"/>
    <tableColumn id="8" xr3:uid="{00000000-0010-0000-0300-000008000000}" name="Tasa Mensual Real" dataDxfId="119" totalsRowDxfId="118">
      <calculatedColumnFormula>L3*12/U3*100</calculatedColumnFormula>
    </tableColumn>
    <tableColumn id="9" xr3:uid="{00000000-0010-0000-0300-000009000000}" name="Rendim." dataDxfId="117" totalsRowDxfId="116"/>
    <tableColumn id="10" xr3:uid="{00000000-0010-0000-0300-00000A000000}" name="Interés_x000a_Mensual" dataDxfId="115" totalsRowDxfId="114">
      <calculatedColumnFormula>Q3*I3/100/12</calculatedColumnFormula>
    </tableColumn>
    <tableColumn id="11" xr3:uid="{00000000-0010-0000-0300-00000B000000}" name="Interés Primer Mes" dataDxfId="113" totalsRowDxfId="112">
      <calculatedColumnFormula>L3-W3</calculatedColumnFormula>
    </tableColumn>
    <tableColumn id="12" xr3:uid="{00000000-0010-0000-0300-00000C000000}" name="Períodos Recibidos" dataDxfId="111" totalsRowDxfId="110">
      <calculatedColumnFormula>IF(F3="", 0, IF(B3&gt;F3,INT((B3-F3)/30),0))</calculatedColumnFormula>
    </tableColumn>
    <tableColumn id="13" xr3:uid="{00000000-0010-0000-0300-00000D000000}" name="Interés al Vencimiento" dataDxfId="109" totalsRowDxfId="108"/>
    <tableColumn id="14" xr3:uid="{00000000-0010-0000-0300-00000E000000}" name="Interés _x000a_Recibido" dataDxfId="107" totalsRowDxfId="106">
      <calculatedColumnFormula>L3*N3+M3+IF(B3&gt;F3,O3,0)</calculatedColumnFormula>
    </tableColumn>
    <tableColumn id="15" xr3:uid="{00000000-0010-0000-0300-00000F000000}" name="Valor _x000a_Nominal" dataDxfId="105" totalsRowDxfId="104"/>
    <tableColumn id="16" xr3:uid="{00000000-0010-0000-0300-000010000000}" name="% Precio Comprado" dataDxfId="103" totalsRowDxfId="102"/>
    <tableColumn id="17" xr3:uid="{00000000-0010-0000-0300-000011000000}" name="% Precio Neto Comprado" dataDxfId="101" totalsRowDxfId="100"/>
    <tableColumn id="18" xr3:uid="{00000000-0010-0000-0300-000012000000}" name="Valor _x000a_Comprado Sin Comisión" dataDxfId="99" totalsRowDxfId="98">
      <calculatedColumnFormula>Q3*R3/100</calculatedColumnFormula>
    </tableColumn>
    <tableColumn id="19" xr3:uid="{00000000-0010-0000-0300-000013000000}" name="Valor Comprado Con Comisión" dataDxfId="97" totalsRowDxfId="96">
      <calculatedColumnFormula>Q3*S3/100</calculatedColumnFormula>
    </tableColumn>
    <tableColumn id="20" xr3:uid="{00000000-0010-0000-0300-000014000000}" name="PAGADO_x000a_incluye interés acumulado" dataDxfId="95" totalsRowDxfId="94">
      <calculatedColumnFormula>U3+W3</calculatedColumnFormula>
    </tableColumn>
    <tableColumn id="21" xr3:uid="{00000000-0010-0000-0300-000015000000}" name="Interés_x000a_Acumulado _x000a_Previo" dataDxfId="93" totalsRowDxfId="92"/>
    <tableColumn id="22" xr3:uid="{00000000-0010-0000-0300-000016000000}" name="Comisión Santa Fé_x000a_Compra" dataDxfId="91" totalsRowDxfId="90"/>
    <tableColumn id="23" xr3:uid="{00000000-0010-0000-0300-000017000000}" name="Comisión_x000a_Bolsa Compra" dataDxfId="89" totalsRowDxfId="88"/>
    <tableColumn id="24" xr3:uid="{00000000-0010-0000-0300-000018000000}" name="Total _x000a_Comisiones" dataDxfId="87" totalsRowDxfId="86">
      <calculatedColumnFormula>X3+Y3</calculatedColumnFormula>
    </tableColumn>
    <tableColumn id="42" xr3:uid="{00000000-0010-0000-0300-00002A000000}" name="Operación Compra No." dataDxfId="85" totalsRowDxfId="84"/>
    <tableColumn id="25" xr3:uid="{00000000-0010-0000-0300-000019000000}" name="% Precio Vendido" dataDxfId="83" totalsRowDxfId="82"/>
    <tableColumn id="26" xr3:uid="{00000000-0010-0000-0300-00001A000000}" name="% Precio Neto Vendido" dataDxfId="81" totalsRowDxfId="80"/>
    <tableColumn id="27" xr3:uid="{00000000-0010-0000-0300-00001B000000}" name="Interes Previo Transacción " dataDxfId="79" totalsRowDxfId="78"/>
    <tableColumn id="28" xr3:uid="{00000000-0010-0000-0300-00001C000000}" name="Valor venta _x000a_sin comisión" dataDxfId="77" totalsRowDxfId="76">
      <calculatedColumnFormula>AB3*Q3/100</calculatedColumnFormula>
    </tableColumn>
    <tableColumn id="29" xr3:uid="{00000000-0010-0000-0300-00001D000000}" name="Comisión Santa Fe_x000a_Venta" dataDxfId="75" totalsRowDxfId="74"/>
    <tableColumn id="30" xr3:uid="{00000000-0010-0000-0300-00001E000000}" name="Comisión_x000a_Bolsa Venta" dataDxfId="73" totalsRowDxfId="72"/>
    <tableColumn id="31" xr3:uid="{00000000-0010-0000-0300-00001F000000}" name="Valor Venta Con Comisión" dataDxfId="71" totalsRowDxfId="70">
      <calculatedColumnFormula>AE3-AF3-AG3</calculatedColumnFormula>
    </tableColumn>
    <tableColumn id="32" xr3:uid="{00000000-0010-0000-0300-000020000000}" name="Utilidad Sin _x000a_Considerar Comisión" dataDxfId="69" totalsRowDxfId="68">
      <calculatedColumnFormula>AE3-T3</calculatedColumnFormula>
    </tableColumn>
    <tableColumn id="33" xr3:uid="{00000000-0010-0000-0300-000021000000}" name="Utilidad Considera _x000a_Comisión_x000a_(Ganancia de Capital)" dataDxfId="67" totalsRowDxfId="66">
      <calculatedColumnFormula>AH3-U3</calculatedColumnFormula>
    </tableColumn>
    <tableColumn id="34" xr3:uid="{00000000-0010-0000-0300-000022000000}" name="Utilidad / Pérdida_x000a_(Rendimiento Total)" dataDxfId="65" totalsRowDxfId="64">
      <calculatedColumnFormula>AJ3+P3+AD3</calculatedColumnFormula>
    </tableColumn>
    <tableColumn id="35" xr3:uid="{00000000-0010-0000-0300-000023000000}" name="Dias _x000a_Transcurridos">
      <calculatedColumnFormula>B3-E3</calculatedColumnFormula>
    </tableColumn>
    <tableColumn id="37" xr3:uid="{00000000-0010-0000-0300-000025000000}" name="Tasa de Rentabilidad Porcentual (ROI)" dataDxfId="63" totalsRowDxfId="62" dataCellStyle="Porcentaje" totalsRowCellStyle="Porcentaje">
      <calculatedColumnFormula>AK3/U3</calculatedColumnFormula>
    </tableColumn>
    <tableColumn id="36" xr3:uid="{00000000-0010-0000-0300-000024000000}" name="% Ganancia Anual estimado" dataDxfId="61" totalsRowDxfId="60" dataCellStyle="Porcentaje" totalsRowCellStyle="Porcentaje">
      <calculatedColumnFormula>AK3/U3*365/AL3</calculatedColumnFormula>
    </tableColumn>
    <tableColumn id="38" xr3:uid="{00000000-0010-0000-0300-000026000000}" name="Tasa Anualizada" dataDxfId="59" totalsRowDxfId="58" dataCellStyle="Porcentaje" totalsRowCellStyle="Porcentaje">
      <calculatedColumnFormula>POWER((1+AM3),(365/AL3))-1</calculatedColumnFormula>
    </tableColumn>
    <tableColumn id="40" xr3:uid="{00000000-0010-0000-0300-000028000000}" name="Total Comisiones Santa Fe" dataDxfId="57" totalsRowDxfId="56" dataCellStyle="Porcentaje" totalsRowCellStyle="Porcentaje">
      <calculatedColumnFormula>TitulosVendidos[[#This Row],[Comisión Santa Fe
Venta]]+TitulosVendidos[[#This Row],[Comisión Santa Fé
Compra]]</calculatedColumnFormula>
    </tableColumn>
    <tableColumn id="41" xr3:uid="{00000000-0010-0000-0300-000029000000}" name="Operación Venta No." dataDxfId="55" totalsRowDxfId="54" dataCellStyle="Porcentaje" totalsRowCellStyle="Porcentaje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itulosActivos8" displayName="TitulosActivos8" ref="B2:AD377" totalsRowShown="0" headerRowDxfId="44">
  <autoFilter ref="B2:AD377" xr:uid="{00000000-0009-0000-0100-000005000000}"/>
  <tableColumns count="29">
    <tableColumn id="1" xr3:uid="{00000000-0010-0000-0400-000001000000}" name="Fecha Actual" dataDxfId="43">
      <calculatedColumnFormula>TODAY()</calculatedColumnFormula>
    </tableColumn>
    <tableColumn id="25" xr3:uid="{00000000-0010-0000-0400-000019000000}" name="Título" dataDxfId="42"/>
    <tableColumn id="2" xr3:uid="{00000000-0010-0000-0400-000002000000}" name="Titular"/>
    <tableColumn id="3" xr3:uid="{00000000-0010-0000-0400-000003000000}" name="Fecha de _x000a_Compra" dataDxfId="41"/>
    <tableColumn id="4" xr3:uid="{00000000-0010-0000-0400-000004000000}" name="Fecha Primer Pago" dataDxfId="40"/>
    <tableColumn id="5" xr3:uid="{00000000-0010-0000-0400-000005000000}" name="Fecha de _x000a_Emisión" dataDxfId="39"/>
    <tableColumn id="6" xr3:uid="{00000000-0010-0000-0400-000006000000}" name="Fecha de _x000a_Vencim." dataDxfId="38"/>
    <tableColumn id="7" xr3:uid="{00000000-0010-0000-0400-000007000000}" name="Tasa _x000a_Mensual"/>
    <tableColumn id="8" xr3:uid="{00000000-0010-0000-0400-000008000000}" name="Tasa Mensual Real" dataDxfId="37">
      <calculatedColumnFormula>L3*12/U3*100</calculatedColumnFormula>
    </tableColumn>
    <tableColumn id="9" xr3:uid="{00000000-0010-0000-0400-000009000000}" name="Rendim." dataDxfId="36"/>
    <tableColumn id="10" xr3:uid="{00000000-0010-0000-0400-00000A000000}" name="Interés_x000a_Mensual" dataDxfId="35">
      <calculatedColumnFormula>Q3*I3/100/12</calculatedColumnFormula>
    </tableColumn>
    <tableColumn id="11" xr3:uid="{00000000-0010-0000-0400-00000B000000}" name="Interés Primer Mes" dataDxfId="34"/>
    <tableColumn id="12" xr3:uid="{00000000-0010-0000-0400-00000C000000}" name="Períodos Recibidos" dataDxfId="33">
      <calculatedColumnFormula>IF(F3="", 0, IF(B3&gt;F3,INT((B3-F3)/30),0))</calculatedColumnFormula>
    </tableColumn>
    <tableColumn id="13" xr3:uid="{00000000-0010-0000-0400-00000D000000}" name="Interés al Vencimiento"/>
    <tableColumn id="14" xr3:uid="{00000000-0010-0000-0400-00000E000000}" name="Interés _x000a_Recibido" dataDxfId="32">
      <calculatedColumnFormula>L3*N3+M3+IF(B3&gt;H3,O3,0)</calculatedColumnFormula>
    </tableColumn>
    <tableColumn id="15" xr3:uid="{00000000-0010-0000-0400-00000F000000}" name="Valor _x000a_Nominal" dataDxfId="31"/>
    <tableColumn id="16" xr3:uid="{00000000-0010-0000-0400-000010000000}" name="% Precio Comprado" dataDxfId="30"/>
    <tableColumn id="17" xr3:uid="{00000000-0010-0000-0400-000011000000}" name="% Precio Neto Comprado" dataDxfId="29"/>
    <tableColumn id="18" xr3:uid="{00000000-0010-0000-0400-000012000000}" name="Valor _x000a_Comprado Sin Comisión" dataDxfId="28">
      <calculatedColumnFormula>Q3*R3/100</calculatedColumnFormula>
    </tableColumn>
    <tableColumn id="19" xr3:uid="{00000000-0010-0000-0400-000013000000}" name="Valor Comprado Con Comisión" dataDxfId="27">
      <calculatedColumnFormula>Q3*S3/100</calculatedColumnFormula>
    </tableColumn>
    <tableColumn id="20" xr3:uid="{00000000-0010-0000-0400-000014000000}" name="PAGADO_x000a_incluye interés acumulado" dataDxfId="26">
      <calculatedColumnFormula>U3+W3</calculatedColumnFormula>
    </tableColumn>
    <tableColumn id="21" xr3:uid="{00000000-0010-0000-0400-000015000000}" name="Interés_x000a_Acumulado _x000a_Previo" dataDxfId="25"/>
    <tableColumn id="22" xr3:uid="{00000000-0010-0000-0400-000016000000}" name="Comisión Santa Fé_x000a_Compra" dataDxfId="24"/>
    <tableColumn id="23" xr3:uid="{00000000-0010-0000-0400-000017000000}" name="Comisión_x000a_Bolsa Compra" dataDxfId="23"/>
    <tableColumn id="24" xr3:uid="{00000000-0010-0000-0400-000018000000}" name="Total _x000a_Comisiones" dataDxfId="22">
      <calculatedColumnFormula>X3+Y3</calculatedColumnFormula>
    </tableColumn>
    <tableColumn id="26" xr3:uid="{00000000-0010-0000-0400-00001A000000}" name="Operación Compra No." dataDxfId="21"/>
    <tableColumn id="29" xr3:uid="{00000000-0010-0000-0400-00001D000000}" name="Estado" dataDxfId="20"/>
    <tableColumn id="27" xr3:uid="{00000000-0010-0000-0400-00001B000000}" name="Fecha Venta" dataDxfId="19"/>
    <tableColumn id="28" xr3:uid="{00000000-0010-0000-0400-00001C000000}" name="Operación Venta No." dataDxfId="18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BaseOperacionesReales" displayName="BaseOperacionesReales" ref="B2:H574" totalsRowShown="0" headerRowDxfId="13">
  <autoFilter ref="B2:H574" xr:uid="{00000000-0009-0000-0100-000006000000}"/>
  <tableColumns count="7">
    <tableColumn id="1" xr3:uid="{00000000-0010-0000-0500-000001000000}" name="Fecha" dataDxfId="12"/>
    <tableColumn id="2" xr3:uid="{00000000-0010-0000-0500-000002000000}" name="Titular" dataDxfId="11"/>
    <tableColumn id="3" xr3:uid="{00000000-0010-0000-0500-000003000000}" name="Operación"/>
    <tableColumn id="4" xr3:uid="{00000000-0010-0000-0500-000004000000}" name="Valor" dataDxfId="10"/>
    <tableColumn id="5" xr3:uid="{00000000-0010-0000-0500-000005000000}" name="Utilidad" dataDxfId="9"/>
    <tableColumn id="7" xr3:uid="{00000000-0010-0000-0500-000007000000}" name="Dato PDF" dataDxfId="8"/>
    <tableColumn id="8" xr3:uid="{00000000-0010-0000-0500-000008000000}" name="Diferencias" dataDxfId="7">
      <calculatedColumnFormula>IF(BaseOperacionesReales[[#This Row],[Dato PDF]]&lt;&gt;"",BaseOperacionesReales[[#This Row],[Dato PDF]]-BaseOperacionesReales[[#This Row],[Valor]],0)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lasificados" displayName="Clasificados" ref="B2:H322" totalsRowShown="0">
  <autoFilter ref="B2:H322" xr:uid="{00000000-0009-0000-0100-000007000000}"/>
  <tableColumns count="7">
    <tableColumn id="1" xr3:uid="{00000000-0010-0000-0600-000001000000}" name="Fecha" dataDxfId="6"/>
    <tableColumn id="3" xr3:uid="{00000000-0010-0000-0600-000003000000}" name="Jaime" dataDxfId="5"/>
    <tableColumn id="4" xr3:uid="{00000000-0010-0000-0600-000004000000}" name="Argentina" dataDxfId="4"/>
    <tableColumn id="5" xr3:uid="{00000000-0010-0000-0600-000005000000}" name="Cristian" dataDxfId="3"/>
    <tableColumn id="6" xr3:uid="{00000000-0010-0000-0600-000006000000}" name="Saldo Total" dataDxfId="2"/>
    <tableColumn id="7" xr3:uid="{00000000-0010-0000-0600-000007000000}" name="Importación" dataDxfId="1"/>
    <tableColumn id="8" xr3:uid="{00000000-0010-0000-0600-000008000000}" name="Total Propio" dataDxfId="0">
      <calculatedColumnFormula>Clasificados[[#This Row],[Saldo Total]]-Clasificados[[#This Row],[Jaime]]-Clasificados[[#This Row],[Argentina]]-Clasificados[[#This Row],[Cristian]]+Clasificados[[#This Row],[Importación]]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ighcharts.com/demo/highcharts/pictorial" TargetMode="External"/><Relationship Id="rId2" Type="http://schemas.openxmlformats.org/officeDocument/2006/relationships/hyperlink" Target="https://www.highcharts.com/products/grid/" TargetMode="External"/><Relationship Id="rId1" Type="http://schemas.openxmlformats.org/officeDocument/2006/relationships/hyperlink" Target="https://es.tradingview.com/" TargetMode="External"/><Relationship Id="rId5" Type="http://schemas.openxmlformats.org/officeDocument/2006/relationships/hyperlink" Target="https://www.tradingview.com/chart/" TargetMode="External"/><Relationship Id="rId4" Type="http://schemas.openxmlformats.org/officeDocument/2006/relationships/hyperlink" Target="https://www.tradingview.com/char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18"/>
  <sheetViews>
    <sheetView workbookViewId="0">
      <selection activeCell="E25" sqref="E25"/>
    </sheetView>
  </sheetViews>
  <sheetFormatPr baseColWidth="10" defaultColWidth="11.42578125" defaultRowHeight="15" x14ac:dyDescent="0.25"/>
  <cols>
    <col min="1" max="1" width="3" bestFit="1" customWidth="1"/>
    <col min="2" max="2" width="22.42578125" bestFit="1" customWidth="1"/>
    <col min="3" max="3" width="11.140625" bestFit="1" customWidth="1"/>
    <col min="4" max="4" width="11" bestFit="1" customWidth="1"/>
    <col min="5" max="5" width="10.5703125" bestFit="1" customWidth="1"/>
    <col min="6" max="6" width="11.85546875" bestFit="1" customWidth="1"/>
    <col min="7" max="7" width="12.140625" bestFit="1" customWidth="1"/>
    <col min="8" max="8" width="7.5703125" bestFit="1" customWidth="1"/>
    <col min="9" max="9" width="10.28515625" bestFit="1" customWidth="1"/>
    <col min="11" max="11" width="9.140625" bestFit="1" customWidth="1"/>
    <col min="12" max="12" width="10.5703125" bestFit="1" customWidth="1"/>
    <col min="13" max="13" width="9.140625" bestFit="1" customWidth="1"/>
    <col min="14" max="14" width="10.5703125" bestFit="1" customWidth="1"/>
    <col min="15" max="15" width="10.85546875" bestFit="1" customWidth="1"/>
    <col min="16" max="16" width="16.140625" bestFit="1" customWidth="1"/>
    <col min="17" max="17" width="17.140625" bestFit="1" customWidth="1"/>
    <col min="18" max="18" width="11.85546875" bestFit="1" customWidth="1"/>
    <col min="19" max="19" width="12" bestFit="1" customWidth="1"/>
  </cols>
  <sheetData>
    <row r="1" spans="1:22" x14ac:dyDescent="0.25">
      <c r="A1" s="62"/>
      <c r="B1" s="62"/>
      <c r="C1" s="62"/>
      <c r="D1" s="63"/>
      <c r="E1" s="63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</row>
    <row r="2" spans="1:22" x14ac:dyDescent="0.25">
      <c r="A2" s="62"/>
      <c r="B2" s="62"/>
      <c r="C2" s="62"/>
      <c r="D2" s="64">
        <v>43825</v>
      </c>
      <c r="E2" s="63"/>
      <c r="F2" s="62"/>
      <c r="G2" s="62"/>
      <c r="H2" s="62"/>
      <c r="I2" s="62"/>
      <c r="J2" s="62"/>
      <c r="K2" s="65"/>
      <c r="L2" s="65"/>
      <c r="M2" s="62"/>
      <c r="N2" s="62"/>
      <c r="O2" s="62"/>
      <c r="P2" s="62" t="s">
        <v>0</v>
      </c>
      <c r="Q2" s="62" t="s">
        <v>1</v>
      </c>
      <c r="R2" s="62"/>
    </row>
    <row r="3" spans="1:22" x14ac:dyDescent="0.25">
      <c r="A3" s="62"/>
      <c r="B3" s="62"/>
      <c r="C3" s="66"/>
      <c r="D3" s="67"/>
      <c r="E3" s="68"/>
      <c r="F3" s="62"/>
      <c r="G3" s="62"/>
      <c r="H3" s="62"/>
      <c r="I3" s="62"/>
      <c r="J3" s="62"/>
      <c r="K3" s="65"/>
      <c r="L3" s="65"/>
      <c r="M3" s="62"/>
      <c r="N3" s="62"/>
      <c r="O3" s="62"/>
      <c r="P3" s="69">
        <v>8.9999999999999998E-4</v>
      </c>
      <c r="Q3" s="70">
        <v>5.0000000000000001E-3</v>
      </c>
      <c r="R3" s="62"/>
    </row>
    <row r="4" spans="1:22" ht="43.15" customHeight="1" x14ac:dyDescent="0.25">
      <c r="A4" s="71" t="s">
        <v>2</v>
      </c>
      <c r="B4" s="71" t="s">
        <v>3</v>
      </c>
      <c r="C4" s="72" t="s">
        <v>4</v>
      </c>
      <c r="D4" s="73" t="s">
        <v>5</v>
      </c>
      <c r="E4" s="73" t="s">
        <v>6</v>
      </c>
      <c r="F4" s="72" t="s">
        <v>7</v>
      </c>
      <c r="G4" s="74" t="s">
        <v>8</v>
      </c>
      <c r="H4" s="75" t="s">
        <v>9</v>
      </c>
      <c r="I4" s="75" t="s">
        <v>10</v>
      </c>
      <c r="J4" s="72" t="s">
        <v>11</v>
      </c>
      <c r="K4" s="75" t="s">
        <v>12</v>
      </c>
      <c r="L4" s="76" t="s">
        <v>13</v>
      </c>
      <c r="M4" s="72" t="s">
        <v>14</v>
      </c>
      <c r="N4" s="77" t="s">
        <v>15</v>
      </c>
      <c r="O4" s="77" t="s">
        <v>16</v>
      </c>
      <c r="P4" s="75" t="s">
        <v>17</v>
      </c>
      <c r="Q4" s="72" t="s">
        <v>18</v>
      </c>
      <c r="R4" s="78" t="s">
        <v>19</v>
      </c>
    </row>
    <row r="5" spans="1:22" x14ac:dyDescent="0.25">
      <c r="A5" s="62">
        <v>1</v>
      </c>
      <c r="B5" s="62" t="s">
        <v>20</v>
      </c>
      <c r="C5" s="66" t="s">
        <v>21</v>
      </c>
      <c r="D5" s="64">
        <v>43825</v>
      </c>
      <c r="E5" s="79">
        <v>5682.09</v>
      </c>
      <c r="F5" s="64">
        <v>43446</v>
      </c>
      <c r="G5" s="64">
        <v>44076</v>
      </c>
      <c r="H5" s="80">
        <v>7.0000000000000007E-2</v>
      </c>
      <c r="I5" s="81">
        <v>630</v>
      </c>
      <c r="J5" s="82">
        <v>9.5000000000000001E-2</v>
      </c>
      <c r="K5" s="83">
        <v>0.9790742512530376</v>
      </c>
      <c r="L5" s="84">
        <v>5563.188012302373</v>
      </c>
      <c r="M5" s="85">
        <v>251</v>
      </c>
      <c r="N5" s="85">
        <v>379</v>
      </c>
      <c r="O5" s="86">
        <v>418.73846583333352</v>
      </c>
      <c r="P5" s="87">
        <v>4</v>
      </c>
      <c r="Q5" s="87">
        <v>20</v>
      </c>
      <c r="R5" s="88">
        <v>5957.926478135706</v>
      </c>
      <c r="S5" s="37">
        <v>5963.86</v>
      </c>
      <c r="T5" s="2" t="s">
        <v>22</v>
      </c>
      <c r="U5" s="1">
        <v>43829</v>
      </c>
      <c r="V5" t="s">
        <v>23</v>
      </c>
    </row>
    <row r="6" spans="1:22" x14ac:dyDescent="0.25">
      <c r="A6" s="62">
        <v>2</v>
      </c>
      <c r="B6" s="62" t="s">
        <v>20</v>
      </c>
      <c r="C6" s="66" t="s">
        <v>21</v>
      </c>
      <c r="D6" s="64">
        <v>43825</v>
      </c>
      <c r="E6" s="79">
        <v>6715.5</v>
      </c>
      <c r="F6" s="64">
        <v>43348</v>
      </c>
      <c r="G6" s="64">
        <v>44068</v>
      </c>
      <c r="H6" s="80">
        <v>6.7500000000000004E-2</v>
      </c>
      <c r="I6" s="81">
        <v>720</v>
      </c>
      <c r="J6" s="82">
        <v>9.5000000000000001E-2</v>
      </c>
      <c r="K6" s="83">
        <v>0.97716651738517568</v>
      </c>
      <c r="L6" s="84">
        <v>6562.1617475001476</v>
      </c>
      <c r="M6" s="85">
        <v>243</v>
      </c>
      <c r="N6" s="85">
        <v>477</v>
      </c>
      <c r="O6" s="86">
        <v>600.61753125000007</v>
      </c>
      <c r="P6" s="87">
        <v>4</v>
      </c>
      <c r="Q6" s="87">
        <v>22.147295897812999</v>
      </c>
      <c r="R6" s="88">
        <v>7136.6319828523347</v>
      </c>
      <c r="S6" s="37">
        <v>7138.5</v>
      </c>
      <c r="T6" s="2" t="s">
        <v>22</v>
      </c>
      <c r="U6" s="1">
        <v>43826</v>
      </c>
      <c r="V6" t="s">
        <v>23</v>
      </c>
    </row>
    <row r="7" spans="1:22" x14ac:dyDescent="0.25">
      <c r="A7" s="62">
        <v>3</v>
      </c>
      <c r="B7" s="62" t="s">
        <v>20</v>
      </c>
      <c r="C7" s="66" t="s">
        <v>21</v>
      </c>
      <c r="D7" s="64">
        <v>43825</v>
      </c>
      <c r="E7" s="79">
        <v>12867.47</v>
      </c>
      <c r="F7" s="64">
        <v>43623</v>
      </c>
      <c r="G7" s="64">
        <v>44027</v>
      </c>
      <c r="H7" s="80">
        <v>6.8500000000000005E-2</v>
      </c>
      <c r="I7" s="81">
        <v>404</v>
      </c>
      <c r="J7" s="82">
        <v>9.5000000000000001E-2</v>
      </c>
      <c r="K7" s="83">
        <v>0.98393789664225795</v>
      </c>
      <c r="L7" s="84">
        <v>12660.79136690736</v>
      </c>
      <c r="M7" s="85">
        <v>202</v>
      </c>
      <c r="N7" s="85">
        <v>202</v>
      </c>
      <c r="O7" s="86">
        <v>494.5755066388889</v>
      </c>
      <c r="P7" s="87">
        <v>6.3936996402882134</v>
      </c>
      <c r="Q7" s="87">
        <v>35.520553557156752</v>
      </c>
      <c r="R7" s="88">
        <v>13113.4526203488</v>
      </c>
      <c r="S7" s="37">
        <v>13127.46</v>
      </c>
      <c r="T7" s="2" t="s">
        <v>22</v>
      </c>
      <c r="U7" s="1">
        <v>43829</v>
      </c>
      <c r="V7" t="s">
        <v>23</v>
      </c>
    </row>
    <row r="8" spans="1:22" x14ac:dyDescent="0.25">
      <c r="A8" s="62">
        <v>4</v>
      </c>
      <c r="B8" s="62" t="s">
        <v>20</v>
      </c>
      <c r="C8" s="66" t="s">
        <v>21</v>
      </c>
      <c r="D8" s="64">
        <v>43825</v>
      </c>
      <c r="E8" s="79">
        <v>7000</v>
      </c>
      <c r="F8" s="64">
        <v>43277</v>
      </c>
      <c r="G8" s="64">
        <v>43997</v>
      </c>
      <c r="H8" s="80">
        <v>6.6500000000000004E-2</v>
      </c>
      <c r="I8" s="81">
        <v>720</v>
      </c>
      <c r="J8" s="82">
        <v>9.5000000000000001E-2</v>
      </c>
      <c r="K8" s="83">
        <v>0.98257941784320313</v>
      </c>
      <c r="L8" s="84">
        <v>6878.0559249024218</v>
      </c>
      <c r="M8" s="85">
        <v>172</v>
      </c>
      <c r="N8" s="85">
        <v>548</v>
      </c>
      <c r="O8" s="86">
        <v>708.59444444444443</v>
      </c>
      <c r="P8" s="87">
        <v>4</v>
      </c>
      <c r="Q8" s="87">
        <v>20</v>
      </c>
      <c r="R8" s="88">
        <v>7562.6503693468658</v>
      </c>
      <c r="S8" s="37">
        <v>7562.65</v>
      </c>
      <c r="T8" s="2" t="s">
        <v>22</v>
      </c>
      <c r="U8" s="1">
        <v>43826</v>
      </c>
      <c r="V8" t="s">
        <v>23</v>
      </c>
    </row>
    <row r="9" spans="1:22" x14ac:dyDescent="0.25">
      <c r="A9" s="62">
        <v>5</v>
      </c>
      <c r="B9" s="62" t="s">
        <v>20</v>
      </c>
      <c r="C9" s="66" t="s">
        <v>21</v>
      </c>
      <c r="D9" s="64">
        <v>43825</v>
      </c>
      <c r="E9" s="79">
        <v>7525</v>
      </c>
      <c r="F9" s="64">
        <v>43432</v>
      </c>
      <c r="G9" s="64">
        <v>43972</v>
      </c>
      <c r="H9" s="80">
        <v>6.8000000000000005E-2</v>
      </c>
      <c r="I9" s="81">
        <v>540</v>
      </c>
      <c r="J9" s="82">
        <v>9.5000000000000001E-2</v>
      </c>
      <c r="K9" s="83">
        <v>0.98661460698193693</v>
      </c>
      <c r="L9" s="84">
        <v>7424.2749175390754</v>
      </c>
      <c r="M9" s="85">
        <v>147</v>
      </c>
      <c r="N9" s="85">
        <v>393</v>
      </c>
      <c r="O9" s="86">
        <v>558.60583333333329</v>
      </c>
      <c r="P9" s="87">
        <v>4</v>
      </c>
      <c r="Q9" s="87">
        <v>20</v>
      </c>
      <c r="R9" s="88">
        <v>7958.8807508724076</v>
      </c>
      <c r="S9" s="37">
        <v>7973.11</v>
      </c>
      <c r="T9" s="2" t="s">
        <v>22</v>
      </c>
      <c r="U9" s="1">
        <v>43832</v>
      </c>
      <c r="V9" t="s">
        <v>23</v>
      </c>
    </row>
    <row r="10" spans="1:22" x14ac:dyDescent="0.25">
      <c r="A10" s="62">
        <v>6</v>
      </c>
      <c r="B10" s="62" t="s">
        <v>20</v>
      </c>
      <c r="C10" s="66" t="s">
        <v>21</v>
      </c>
      <c r="D10" s="64">
        <v>43825</v>
      </c>
      <c r="E10" s="79">
        <v>6637.04</v>
      </c>
      <c r="F10" s="64">
        <v>43397</v>
      </c>
      <c r="G10" s="64">
        <v>43937</v>
      </c>
      <c r="H10" s="80">
        <v>6.8000000000000005E-2</v>
      </c>
      <c r="I10" s="81">
        <v>540</v>
      </c>
      <c r="J10" s="82">
        <v>9.5000000000000001E-2</v>
      </c>
      <c r="K10" s="83">
        <v>0.98952032999976025</v>
      </c>
      <c r="L10" s="84">
        <v>6567.4860110216086</v>
      </c>
      <c r="M10" s="85">
        <v>112</v>
      </c>
      <c r="N10" s="85">
        <v>428</v>
      </c>
      <c r="O10" s="86">
        <v>536.56781155555552</v>
      </c>
      <c r="P10" s="87">
        <v>4</v>
      </c>
      <c r="Q10" s="87">
        <v>20</v>
      </c>
      <c r="R10" s="88">
        <v>7080.0538225771643</v>
      </c>
      <c r="S10" s="37">
        <v>7087.34</v>
      </c>
      <c r="T10" s="2" t="s">
        <v>22</v>
      </c>
      <c r="U10" s="1">
        <v>43829</v>
      </c>
      <c r="V10" t="s">
        <v>23</v>
      </c>
    </row>
    <row r="11" spans="1:22" x14ac:dyDescent="0.25">
      <c r="A11" s="62">
        <v>7</v>
      </c>
      <c r="B11" s="62" t="s">
        <v>20</v>
      </c>
      <c r="C11" s="66" t="s">
        <v>21</v>
      </c>
      <c r="D11" s="64">
        <v>43825</v>
      </c>
      <c r="E11" s="79">
        <v>5000</v>
      </c>
      <c r="F11" s="64">
        <v>43383</v>
      </c>
      <c r="G11" s="64">
        <v>43923</v>
      </c>
      <c r="H11" s="80">
        <v>6.8000000000000005E-2</v>
      </c>
      <c r="I11" s="81">
        <v>540</v>
      </c>
      <c r="J11" s="82">
        <v>9.5000000000000001E-2</v>
      </c>
      <c r="K11" s="83">
        <v>0.99073060151212911</v>
      </c>
      <c r="L11" s="84">
        <v>4953.6530075606452</v>
      </c>
      <c r="M11" s="85">
        <v>98</v>
      </c>
      <c r="N11" s="85">
        <v>442</v>
      </c>
      <c r="O11" s="86">
        <v>417.44444444444451</v>
      </c>
      <c r="P11" s="87">
        <v>4</v>
      </c>
      <c r="Q11" s="87">
        <v>20</v>
      </c>
      <c r="R11" s="88">
        <v>5347.0974520050904</v>
      </c>
      <c r="S11" s="37">
        <v>5352.63</v>
      </c>
      <c r="T11" s="2" t="s">
        <v>22</v>
      </c>
      <c r="U11" s="1">
        <v>43829</v>
      </c>
      <c r="V11" t="s">
        <v>23</v>
      </c>
    </row>
    <row r="12" spans="1:22" x14ac:dyDescent="0.25">
      <c r="A12" s="62">
        <v>8</v>
      </c>
      <c r="B12" s="62" t="s">
        <v>20</v>
      </c>
      <c r="C12" s="66" t="s">
        <v>21</v>
      </c>
      <c r="D12" s="64">
        <v>43825</v>
      </c>
      <c r="E12" s="79">
        <v>6000</v>
      </c>
      <c r="F12" s="64">
        <v>43446</v>
      </c>
      <c r="G12" s="64">
        <v>43896</v>
      </c>
      <c r="H12" s="80">
        <v>6.8000000000000005E-2</v>
      </c>
      <c r="I12" s="81">
        <v>450</v>
      </c>
      <c r="J12" s="82">
        <v>9.5000000000000001E-2</v>
      </c>
      <c r="K12" s="83">
        <v>0.99345630600129364</v>
      </c>
      <c r="L12" s="84">
        <v>5960.7378360077619</v>
      </c>
      <c r="M12" s="85">
        <v>71</v>
      </c>
      <c r="N12" s="85">
        <v>379</v>
      </c>
      <c r="O12" s="86">
        <v>429.53333333333342</v>
      </c>
      <c r="P12" s="87">
        <v>4</v>
      </c>
      <c r="Q12" s="87">
        <v>20</v>
      </c>
      <c r="R12" s="88">
        <v>6366.2711693410956</v>
      </c>
      <c r="S12" s="88">
        <v>6366.2711693410956</v>
      </c>
      <c r="T12" s="2">
        <v>6377.88</v>
      </c>
    </row>
    <row r="13" spans="1:22" x14ac:dyDescent="0.25">
      <c r="A13" s="62">
        <v>9</v>
      </c>
      <c r="B13" s="62" t="s">
        <v>20</v>
      </c>
      <c r="C13" s="66" t="s">
        <v>21</v>
      </c>
      <c r="D13" s="64">
        <v>43825</v>
      </c>
      <c r="E13" s="79">
        <v>10000</v>
      </c>
      <c r="F13" s="64">
        <v>43511</v>
      </c>
      <c r="G13" s="64">
        <v>43878</v>
      </c>
      <c r="H13" s="80">
        <v>6.8500000000000005E-2</v>
      </c>
      <c r="I13" s="81">
        <v>367</v>
      </c>
      <c r="J13" s="82">
        <v>9.5000000000000001E-2</v>
      </c>
      <c r="K13" s="83">
        <v>0.99532831847935443</v>
      </c>
      <c r="L13" s="84">
        <v>9953.2831847935449</v>
      </c>
      <c r="M13" s="85">
        <v>53</v>
      </c>
      <c r="N13" s="85">
        <v>314</v>
      </c>
      <c r="O13" s="86">
        <v>597.47222222222217</v>
      </c>
      <c r="P13" s="87">
        <v>4</v>
      </c>
      <c r="Q13" s="87">
        <v>20</v>
      </c>
      <c r="R13" s="88">
        <v>10526.755407015769</v>
      </c>
      <c r="S13" s="88">
        <v>10526.755407015769</v>
      </c>
      <c r="T13" s="2">
        <v>10546.01</v>
      </c>
    </row>
    <row r="14" spans="1:22" x14ac:dyDescent="0.25">
      <c r="A14" s="89">
        <v>10</v>
      </c>
      <c r="B14" s="89" t="s">
        <v>20</v>
      </c>
      <c r="C14" s="90" t="s">
        <v>21</v>
      </c>
      <c r="D14" s="91">
        <v>43825</v>
      </c>
      <c r="E14" s="92">
        <v>6355.88</v>
      </c>
      <c r="F14" s="91">
        <v>43476</v>
      </c>
      <c r="G14" s="91">
        <v>43845</v>
      </c>
      <c r="H14" s="93">
        <v>6.6000000000000003E-2</v>
      </c>
      <c r="I14" s="94">
        <v>369</v>
      </c>
      <c r="J14" s="95">
        <v>9.5000000000000001E-2</v>
      </c>
      <c r="K14" s="96">
        <v>0.99806143041355821</v>
      </c>
      <c r="L14" s="97">
        <v>6343.5586843369256</v>
      </c>
      <c r="M14" s="98">
        <v>20</v>
      </c>
      <c r="N14" s="98">
        <v>349</v>
      </c>
      <c r="O14" s="99">
        <v>406.67038866666672</v>
      </c>
      <c r="P14" s="100">
        <v>4</v>
      </c>
      <c r="Q14" s="100">
        <v>20</v>
      </c>
      <c r="R14" s="88">
        <v>6726.2290730035929</v>
      </c>
      <c r="S14" s="35"/>
    </row>
    <row r="16" spans="1:22" x14ac:dyDescent="0.25">
      <c r="Q16" s="33" t="s">
        <v>24</v>
      </c>
      <c r="R16" s="108">
        <f>SUM(R5:R13)</f>
        <v>71049.720052495235</v>
      </c>
    </row>
    <row r="17" spans="17:18" x14ac:dyDescent="0.25">
      <c r="Q17" s="33" t="s">
        <v>25</v>
      </c>
      <c r="R17" s="108">
        <f>SUM(S5:S13)</f>
        <v>71098.576576356863</v>
      </c>
    </row>
    <row r="18" spans="17:18" x14ac:dyDescent="0.25">
      <c r="Q18" t="s">
        <v>26</v>
      </c>
      <c r="R18" s="54">
        <v>71129.440000000002</v>
      </c>
    </row>
  </sheetData>
  <pageMargins left="0.7" right="0.7" top="0.75" bottom="0.75" header="0.3" footer="0.3"/>
  <pageSetup paperSize="9" orientation="portrait" verticalDpi="59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V33"/>
  <sheetViews>
    <sheetView zoomScale="110" zoomScaleNormal="110" workbookViewId="0">
      <selection activeCell="D21" sqref="D21"/>
    </sheetView>
  </sheetViews>
  <sheetFormatPr baseColWidth="10" defaultRowHeight="15" x14ac:dyDescent="0.25"/>
  <cols>
    <col min="1" max="2" width="14.5703125" customWidth="1"/>
    <col min="3" max="3" width="14.5703125" style="18" hidden="1" customWidth="1"/>
    <col min="4" max="4" width="14.5703125" style="18" customWidth="1"/>
    <col min="5" max="18" width="14.5703125" customWidth="1"/>
    <col min="19" max="19" width="18" customWidth="1"/>
  </cols>
  <sheetData>
    <row r="1" spans="1:21" ht="15" customHeight="1" thickBot="1" x14ac:dyDescent="0.3">
      <c r="A1" s="17"/>
      <c r="B1" s="17"/>
      <c r="E1" s="17"/>
      <c r="F1" s="17">
        <v>30</v>
      </c>
      <c r="G1" s="17"/>
      <c r="H1" s="17"/>
      <c r="I1" s="3">
        <v>6</v>
      </c>
      <c r="J1" s="17"/>
      <c r="L1" s="39">
        <v>43825</v>
      </c>
      <c r="M1">
        <v>365</v>
      </c>
      <c r="N1">
        <v>100</v>
      </c>
      <c r="O1" s="3">
        <v>9</v>
      </c>
      <c r="Q1">
        <v>0.04</v>
      </c>
    </row>
    <row r="2" spans="1:21" s="42" customFormat="1" ht="29.45" customHeight="1" thickBot="1" x14ac:dyDescent="0.3">
      <c r="A2" s="41" t="s">
        <v>27</v>
      </c>
      <c r="B2" s="40" t="s">
        <v>28</v>
      </c>
      <c r="C2" s="40" t="s">
        <v>29</v>
      </c>
      <c r="D2" s="40"/>
      <c r="E2" s="40" t="s">
        <v>30</v>
      </c>
      <c r="F2" s="40" t="s">
        <v>31</v>
      </c>
      <c r="G2" s="40" t="s">
        <v>32</v>
      </c>
      <c r="H2" s="40" t="s">
        <v>33</v>
      </c>
      <c r="I2" s="40" t="s">
        <v>34</v>
      </c>
      <c r="J2" s="40" t="s">
        <v>35</v>
      </c>
      <c r="L2" s="43" t="s">
        <v>36</v>
      </c>
      <c r="M2" s="44" t="s">
        <v>37</v>
      </c>
      <c r="N2" s="46" t="s">
        <v>38</v>
      </c>
      <c r="O2" s="45" t="s">
        <v>39</v>
      </c>
      <c r="P2" s="46" t="s">
        <v>40</v>
      </c>
      <c r="Q2" s="46" t="s">
        <v>41</v>
      </c>
      <c r="R2" s="47" t="s">
        <v>42</v>
      </c>
      <c r="S2" s="45" t="s">
        <v>43</v>
      </c>
    </row>
    <row r="3" spans="1:21" x14ac:dyDescent="0.25">
      <c r="A3" s="103">
        <v>43511</v>
      </c>
      <c r="B3" s="104">
        <v>43878</v>
      </c>
      <c r="C3" s="105" t="s">
        <v>44</v>
      </c>
      <c r="D3" s="105" t="s">
        <v>45</v>
      </c>
      <c r="E3" s="4">
        <v>12</v>
      </c>
      <c r="F3" s="4">
        <v>367</v>
      </c>
      <c r="G3" s="106">
        <v>6.85</v>
      </c>
      <c r="H3" s="106">
        <v>100</v>
      </c>
      <c r="I3" s="10">
        <v>698.32</v>
      </c>
      <c r="J3" s="101">
        <v>10000</v>
      </c>
      <c r="K3" t="s">
        <v>46</v>
      </c>
      <c r="L3">
        <f t="shared" ref="L3:L11" si="0">$L$1-A3</f>
        <v>314</v>
      </c>
      <c r="M3" s="3">
        <f t="shared" ref="M3:M11" si="1">ROUND(G3/$M$1*L3,2)</f>
        <v>5.89</v>
      </c>
      <c r="N3" s="35">
        <f t="shared" ref="N3:N11" si="2">J3*M3/$N$1</f>
        <v>589</v>
      </c>
      <c r="O3" s="35">
        <f t="shared" ref="O3:O11" si="3">N3-I3</f>
        <v>-109.32000000000005</v>
      </c>
      <c r="P3" s="35">
        <f t="shared" ref="P3:P11" si="4">J3+N3</f>
        <v>10589</v>
      </c>
      <c r="Q3" s="35">
        <f t="shared" ref="Q3:Q11" si="5">P3*(1+$Q$1)</f>
        <v>11012.56</v>
      </c>
      <c r="R3" s="35">
        <f t="shared" ref="R3:R11" si="6">Q3-P3</f>
        <v>423.55999999999949</v>
      </c>
      <c r="S3" s="35">
        <f t="shared" ref="S3:S11" si="7">R3+O3</f>
        <v>314.23999999999944</v>
      </c>
      <c r="U3">
        <v>10526.76</v>
      </c>
    </row>
    <row r="4" spans="1:21" ht="13.5" customHeight="1" x14ac:dyDescent="0.25">
      <c r="A4" s="103">
        <v>43446</v>
      </c>
      <c r="B4" s="104">
        <v>43896</v>
      </c>
      <c r="C4" s="105" t="s">
        <v>47</v>
      </c>
      <c r="D4" s="105" t="s">
        <v>45</v>
      </c>
      <c r="E4" s="4">
        <v>15</v>
      </c>
      <c r="F4" s="4">
        <v>450</v>
      </c>
      <c r="G4" s="106">
        <v>6.8</v>
      </c>
      <c r="H4" s="106">
        <v>100</v>
      </c>
      <c r="I4" s="10">
        <v>510</v>
      </c>
      <c r="J4" s="101">
        <v>6000</v>
      </c>
      <c r="K4" t="s">
        <v>47</v>
      </c>
      <c r="L4">
        <f t="shared" si="0"/>
        <v>379</v>
      </c>
      <c r="M4" s="3">
        <f t="shared" si="1"/>
        <v>7.06</v>
      </c>
      <c r="N4" s="35">
        <f t="shared" si="2"/>
        <v>423.6</v>
      </c>
      <c r="O4" s="35">
        <f t="shared" si="3"/>
        <v>-86.399999999999977</v>
      </c>
      <c r="P4" s="35">
        <f t="shared" si="4"/>
        <v>6423.6</v>
      </c>
      <c r="Q4" s="35">
        <f t="shared" si="5"/>
        <v>6680.5440000000008</v>
      </c>
      <c r="R4" s="35">
        <f t="shared" si="6"/>
        <v>256.94400000000041</v>
      </c>
      <c r="S4" s="35">
        <f t="shared" si="7"/>
        <v>170.54400000000044</v>
      </c>
      <c r="U4">
        <v>6366.27</v>
      </c>
    </row>
    <row r="5" spans="1:21" x14ac:dyDescent="0.25">
      <c r="A5" s="103">
        <v>43383</v>
      </c>
      <c r="B5" s="104">
        <v>43923</v>
      </c>
      <c r="C5" s="105" t="s">
        <v>47</v>
      </c>
      <c r="D5" s="105" t="s">
        <v>45</v>
      </c>
      <c r="E5" s="4">
        <v>18</v>
      </c>
      <c r="F5" s="4">
        <v>540</v>
      </c>
      <c r="G5" s="106">
        <v>6.8</v>
      </c>
      <c r="H5" s="106">
        <v>50</v>
      </c>
      <c r="I5" s="10">
        <v>510</v>
      </c>
      <c r="J5" s="101">
        <v>5000</v>
      </c>
      <c r="K5" t="s">
        <v>47</v>
      </c>
      <c r="L5">
        <f t="shared" si="0"/>
        <v>442</v>
      </c>
      <c r="M5" s="3">
        <f t="shared" si="1"/>
        <v>8.23</v>
      </c>
      <c r="N5" s="35">
        <f t="shared" si="2"/>
        <v>411.5</v>
      </c>
      <c r="O5" s="35">
        <f t="shared" si="3"/>
        <v>-98.5</v>
      </c>
      <c r="P5" s="35">
        <f t="shared" si="4"/>
        <v>5411.5</v>
      </c>
      <c r="Q5" s="35">
        <f t="shared" si="5"/>
        <v>5627.96</v>
      </c>
      <c r="R5" s="35">
        <f t="shared" si="6"/>
        <v>216.46000000000004</v>
      </c>
      <c r="S5" s="35">
        <f t="shared" si="7"/>
        <v>117.96000000000004</v>
      </c>
      <c r="U5">
        <v>5347.1</v>
      </c>
    </row>
    <row r="6" spans="1:21" x14ac:dyDescent="0.25">
      <c r="A6" s="103">
        <v>43397</v>
      </c>
      <c r="B6" s="104">
        <v>43937</v>
      </c>
      <c r="C6" s="105" t="s">
        <v>47</v>
      </c>
      <c r="D6" s="105" t="s">
        <v>45</v>
      </c>
      <c r="E6" s="4">
        <v>18</v>
      </c>
      <c r="F6" s="4">
        <v>540</v>
      </c>
      <c r="G6" s="106">
        <v>6.8</v>
      </c>
      <c r="H6" s="106">
        <v>50</v>
      </c>
      <c r="I6" s="10">
        <v>676.98</v>
      </c>
      <c r="J6" s="101">
        <v>6637.84</v>
      </c>
      <c r="K6" t="s">
        <v>47</v>
      </c>
      <c r="L6">
        <f t="shared" si="0"/>
        <v>428</v>
      </c>
      <c r="M6" s="3">
        <f t="shared" si="1"/>
        <v>7.97</v>
      </c>
      <c r="N6" s="35">
        <f t="shared" si="2"/>
        <v>529.03584799999999</v>
      </c>
      <c r="O6" s="35">
        <f t="shared" si="3"/>
        <v>-147.94415200000003</v>
      </c>
      <c r="P6" s="35">
        <f t="shared" si="4"/>
        <v>7166.8758479999997</v>
      </c>
      <c r="Q6" s="35">
        <f t="shared" si="5"/>
        <v>7453.5508819199995</v>
      </c>
      <c r="R6" s="35">
        <f t="shared" si="6"/>
        <v>286.67503391999981</v>
      </c>
      <c r="S6" s="35">
        <f t="shared" si="7"/>
        <v>138.73088191999977</v>
      </c>
      <c r="U6">
        <v>7080.05</v>
      </c>
    </row>
    <row r="7" spans="1:21" x14ac:dyDescent="0.25">
      <c r="A7" s="103">
        <v>43432</v>
      </c>
      <c r="B7" s="104">
        <v>43972</v>
      </c>
      <c r="C7" s="105" t="s">
        <v>47</v>
      </c>
      <c r="D7" s="105" t="s">
        <v>45</v>
      </c>
      <c r="E7" s="4">
        <v>18</v>
      </c>
      <c r="F7" s="4">
        <v>540</v>
      </c>
      <c r="G7" s="106">
        <v>6.8</v>
      </c>
      <c r="H7" s="106">
        <v>50</v>
      </c>
      <c r="I7" s="10">
        <v>767.55</v>
      </c>
      <c r="J7" s="101">
        <v>7525</v>
      </c>
      <c r="K7" t="s">
        <v>47</v>
      </c>
      <c r="L7">
        <f t="shared" si="0"/>
        <v>393</v>
      </c>
      <c r="M7" s="3">
        <f t="shared" si="1"/>
        <v>7.32</v>
      </c>
      <c r="N7" s="35">
        <f t="shared" si="2"/>
        <v>550.83000000000004</v>
      </c>
      <c r="O7" s="35">
        <f t="shared" si="3"/>
        <v>-216.71999999999991</v>
      </c>
      <c r="P7" s="35">
        <f t="shared" si="4"/>
        <v>8075.83</v>
      </c>
      <c r="Q7" s="35">
        <f t="shared" si="5"/>
        <v>8398.8631999999998</v>
      </c>
      <c r="R7" s="35">
        <f t="shared" si="6"/>
        <v>323.03319999999985</v>
      </c>
      <c r="S7" s="35">
        <f t="shared" si="7"/>
        <v>106.31319999999994</v>
      </c>
      <c r="U7">
        <v>7958.88</v>
      </c>
    </row>
    <row r="8" spans="1:21" x14ac:dyDescent="0.25">
      <c r="A8" s="103">
        <v>43277</v>
      </c>
      <c r="B8" s="104">
        <v>43997</v>
      </c>
      <c r="C8" s="105" t="s">
        <v>47</v>
      </c>
      <c r="D8" s="105" t="s">
        <v>45</v>
      </c>
      <c r="E8" s="4">
        <v>24</v>
      </c>
      <c r="F8" s="4">
        <v>720</v>
      </c>
      <c r="G8" s="106">
        <v>6.65</v>
      </c>
      <c r="H8" s="106">
        <v>50</v>
      </c>
      <c r="I8" s="10">
        <v>931</v>
      </c>
      <c r="J8" s="101">
        <v>7000</v>
      </c>
      <c r="K8" t="s">
        <v>47</v>
      </c>
      <c r="L8">
        <f t="shared" si="0"/>
        <v>548</v>
      </c>
      <c r="M8" s="3">
        <f t="shared" si="1"/>
        <v>9.98</v>
      </c>
      <c r="N8" s="35">
        <f t="shared" si="2"/>
        <v>698.6</v>
      </c>
      <c r="O8" s="35">
        <f t="shared" si="3"/>
        <v>-232.39999999999998</v>
      </c>
      <c r="P8" s="35">
        <f t="shared" si="4"/>
        <v>7698.6</v>
      </c>
      <c r="Q8" s="35">
        <f t="shared" si="5"/>
        <v>8006.5440000000008</v>
      </c>
      <c r="R8" s="35">
        <f t="shared" si="6"/>
        <v>307.94400000000041</v>
      </c>
      <c r="S8" s="35">
        <f t="shared" si="7"/>
        <v>75.544000000000437</v>
      </c>
      <c r="U8">
        <v>7562.65</v>
      </c>
    </row>
    <row r="9" spans="1:21" x14ac:dyDescent="0.25">
      <c r="A9" s="103">
        <v>43623</v>
      </c>
      <c r="B9" s="104">
        <v>44027</v>
      </c>
      <c r="C9" s="105" t="s">
        <v>44</v>
      </c>
      <c r="D9" s="105" t="s">
        <v>45</v>
      </c>
      <c r="E9" s="4">
        <v>13</v>
      </c>
      <c r="F9" s="4">
        <v>404</v>
      </c>
      <c r="G9" s="106">
        <v>6.85</v>
      </c>
      <c r="H9" s="106">
        <v>100</v>
      </c>
      <c r="I9" s="10">
        <v>989.15</v>
      </c>
      <c r="J9" s="101">
        <v>12867.47</v>
      </c>
      <c r="K9" t="s">
        <v>48</v>
      </c>
      <c r="L9">
        <f t="shared" si="0"/>
        <v>202</v>
      </c>
      <c r="M9" s="3">
        <f t="shared" si="1"/>
        <v>3.79</v>
      </c>
      <c r="N9" s="35">
        <f t="shared" si="2"/>
        <v>487.67711299999996</v>
      </c>
      <c r="O9" s="35">
        <f t="shared" si="3"/>
        <v>-501.47288700000001</v>
      </c>
      <c r="P9" s="35">
        <f t="shared" si="4"/>
        <v>13355.147112999999</v>
      </c>
      <c r="Q9" s="35">
        <f t="shared" si="5"/>
        <v>13889.35299752</v>
      </c>
      <c r="R9" s="35">
        <f t="shared" si="6"/>
        <v>534.20588452000084</v>
      </c>
      <c r="S9" s="35">
        <f t="shared" si="7"/>
        <v>32.732997520000822</v>
      </c>
      <c r="U9">
        <v>13113.45</v>
      </c>
    </row>
    <row r="10" spans="1:21" x14ac:dyDescent="0.25">
      <c r="A10" s="103">
        <v>43348</v>
      </c>
      <c r="B10" s="104">
        <v>44068</v>
      </c>
      <c r="C10" s="105" t="s">
        <v>46</v>
      </c>
      <c r="D10" s="105" t="s">
        <v>45</v>
      </c>
      <c r="E10" s="4">
        <v>24</v>
      </c>
      <c r="F10" s="4">
        <v>720</v>
      </c>
      <c r="G10" s="106">
        <v>6.75</v>
      </c>
      <c r="H10" s="106">
        <v>50</v>
      </c>
      <c r="I10" s="10">
        <v>906.59</v>
      </c>
      <c r="J10" s="10">
        <v>6715.5</v>
      </c>
      <c r="K10" t="s">
        <v>47</v>
      </c>
      <c r="L10">
        <f t="shared" si="0"/>
        <v>477</v>
      </c>
      <c r="M10" s="3">
        <f t="shared" si="1"/>
        <v>8.82</v>
      </c>
      <c r="N10" s="35">
        <f t="shared" si="2"/>
        <v>592.30709999999999</v>
      </c>
      <c r="O10" s="35">
        <f t="shared" si="3"/>
        <v>-314.28290000000004</v>
      </c>
      <c r="P10" s="35">
        <f t="shared" si="4"/>
        <v>7307.8071</v>
      </c>
      <c r="Q10" s="35">
        <f t="shared" si="5"/>
        <v>7600.1193840000005</v>
      </c>
      <c r="R10" s="35">
        <f t="shared" si="6"/>
        <v>292.31228400000055</v>
      </c>
      <c r="S10" s="35">
        <f t="shared" si="7"/>
        <v>-21.970615999999495</v>
      </c>
      <c r="U10">
        <v>7136.63</v>
      </c>
    </row>
    <row r="11" spans="1:21" x14ac:dyDescent="0.25">
      <c r="A11" s="103">
        <v>43446</v>
      </c>
      <c r="B11" s="104">
        <v>44076</v>
      </c>
      <c r="C11" s="105" t="s">
        <v>47</v>
      </c>
      <c r="D11" s="105" t="s">
        <v>45</v>
      </c>
      <c r="E11" s="4">
        <v>21</v>
      </c>
      <c r="F11" s="4">
        <v>630</v>
      </c>
      <c r="G11" s="106">
        <v>7</v>
      </c>
      <c r="H11" s="106">
        <v>100</v>
      </c>
      <c r="I11" s="102">
        <v>696.06</v>
      </c>
      <c r="J11" s="102">
        <v>5682.09</v>
      </c>
      <c r="K11" t="s">
        <v>47</v>
      </c>
      <c r="L11">
        <f t="shared" si="0"/>
        <v>379</v>
      </c>
      <c r="M11" s="3">
        <f t="shared" si="1"/>
        <v>7.27</v>
      </c>
      <c r="N11" s="35">
        <f t="shared" si="2"/>
        <v>413.087943</v>
      </c>
      <c r="O11" s="35">
        <f t="shared" si="3"/>
        <v>-282.97205699999995</v>
      </c>
      <c r="P11" s="35">
        <f t="shared" si="4"/>
        <v>6095.1779430000006</v>
      </c>
      <c r="Q11" s="35">
        <f t="shared" si="5"/>
        <v>6338.9850607200005</v>
      </c>
      <c r="R11" s="35">
        <f t="shared" si="6"/>
        <v>243.80711771999995</v>
      </c>
      <c r="S11" s="35">
        <f t="shared" si="7"/>
        <v>-39.164939279999999</v>
      </c>
      <c r="U11">
        <v>5957.93</v>
      </c>
    </row>
    <row r="12" spans="1:21" x14ac:dyDescent="0.25">
      <c r="I12" s="60">
        <f>SUM(I3:I11)</f>
        <v>6685.65</v>
      </c>
      <c r="J12" s="60">
        <f>SUM(J3:J11)</f>
        <v>67427.899999999994</v>
      </c>
      <c r="N12" s="48">
        <f t="shared" ref="N12:S12" si="8">SUM(N3:N11)</f>
        <v>4695.6380040000004</v>
      </c>
      <c r="O12" s="36">
        <f t="shared" si="8"/>
        <v>-1990.0119960000002</v>
      </c>
      <c r="P12" s="52">
        <f t="shared" si="8"/>
        <v>72123.538004000002</v>
      </c>
      <c r="Q12" s="52">
        <f t="shared" si="8"/>
        <v>75008.479524160008</v>
      </c>
      <c r="R12" s="48">
        <f t="shared" si="8"/>
        <v>2884.9415201600013</v>
      </c>
      <c r="S12" s="36">
        <f t="shared" si="8"/>
        <v>894.92952416000139</v>
      </c>
      <c r="U12" s="32">
        <f>SUM(U3:U11)</f>
        <v>71049.72</v>
      </c>
    </row>
    <row r="13" spans="1:21" x14ac:dyDescent="0.25">
      <c r="U13" s="35">
        <f>U12-U20</f>
        <v>160.19256819177826</v>
      </c>
    </row>
    <row r="14" spans="1:21" x14ac:dyDescent="0.25">
      <c r="A14" s="19">
        <v>43476</v>
      </c>
      <c r="B14" s="20">
        <v>43845</v>
      </c>
      <c r="C14" s="21" t="s">
        <v>47</v>
      </c>
      <c r="D14" s="21" t="s">
        <v>45</v>
      </c>
      <c r="E14" s="30">
        <v>12</v>
      </c>
      <c r="F14" s="30">
        <v>369</v>
      </c>
      <c r="G14" s="22">
        <v>6.6</v>
      </c>
      <c r="H14" s="22">
        <v>100</v>
      </c>
      <c r="I14" s="24">
        <v>429.98</v>
      </c>
      <c r="J14" s="23">
        <v>6355.88</v>
      </c>
      <c r="K14" t="s">
        <v>47</v>
      </c>
      <c r="L14">
        <f>$L$1-A14</f>
        <v>349</v>
      </c>
      <c r="M14" s="3">
        <f>ROUND(G14/$M$1*L14,2)</f>
        <v>6.31</v>
      </c>
      <c r="N14" s="35">
        <f>J14*M14/$N$1</f>
        <v>401.05602800000003</v>
      </c>
      <c r="O14" s="35">
        <f>N14-I14</f>
        <v>-28.923971999999992</v>
      </c>
      <c r="P14" s="35">
        <f>J14+N14</f>
        <v>6756.9360280000001</v>
      </c>
      <c r="Q14" s="35">
        <v>0</v>
      </c>
      <c r="R14" s="35">
        <f>Q14-P14</f>
        <v>-6756.9360280000001</v>
      </c>
      <c r="S14" s="35">
        <f>R14+O14</f>
        <v>-6785.86</v>
      </c>
      <c r="U14">
        <v>6726.23</v>
      </c>
    </row>
    <row r="15" spans="1:21" ht="28.9" customHeight="1" x14ac:dyDescent="0.25">
      <c r="Q15" s="49" t="s">
        <v>49</v>
      </c>
      <c r="R15" s="50">
        <f>I12</f>
        <v>6685.65</v>
      </c>
    </row>
    <row r="16" spans="1:21" ht="28.9" customHeight="1" x14ac:dyDescent="0.25">
      <c r="Q16" s="49" t="s">
        <v>50</v>
      </c>
      <c r="R16" s="58">
        <f>N12+R12-O30</f>
        <v>6606.6289519682214</v>
      </c>
      <c r="S16" s="59" t="s">
        <v>51</v>
      </c>
      <c r="U16" s="35">
        <f>P12</f>
        <v>72123.538004000002</v>
      </c>
    </row>
    <row r="17" spans="8:22" x14ac:dyDescent="0.25">
      <c r="H17" s="32" t="s">
        <v>24</v>
      </c>
      <c r="I17" s="109">
        <f>I12+J12</f>
        <v>74113.549999999988</v>
      </c>
      <c r="J17" s="29"/>
      <c r="Q17" s="2" t="s">
        <v>52</v>
      </c>
      <c r="R17" s="51">
        <f>R16-R15</f>
        <v>-79.021048031778264</v>
      </c>
      <c r="U17" s="35">
        <f>-O30</f>
        <v>-973.95057219178068</v>
      </c>
    </row>
    <row r="18" spans="8:22" x14ac:dyDescent="0.25">
      <c r="H18" s="32" t="s">
        <v>53</v>
      </c>
      <c r="I18" s="109">
        <f>CERT1!R17</f>
        <v>71098.576576356863</v>
      </c>
      <c r="O18" s="3">
        <v>9.5</v>
      </c>
      <c r="U18">
        <v>-42.39</v>
      </c>
      <c r="V18" t="s">
        <v>17</v>
      </c>
    </row>
    <row r="19" spans="8:22" x14ac:dyDescent="0.25">
      <c r="H19" s="32" t="s">
        <v>54</v>
      </c>
      <c r="I19" s="109">
        <f>I17-I18</f>
        <v>3014.973423643125</v>
      </c>
      <c r="O19" s="3">
        <f>O18-I1</f>
        <v>3.5</v>
      </c>
      <c r="U19">
        <v>-217.67</v>
      </c>
      <c r="V19" t="s">
        <v>18</v>
      </c>
    </row>
    <row r="20" spans="8:22" ht="43.15" customHeight="1" x14ac:dyDescent="0.25">
      <c r="L20" s="57" t="s">
        <v>55</v>
      </c>
      <c r="M20" s="57" t="s">
        <v>56</v>
      </c>
      <c r="N20" s="61" t="s">
        <v>57</v>
      </c>
      <c r="O20" s="61" t="s">
        <v>58</v>
      </c>
      <c r="P20" s="57" t="s">
        <v>59</v>
      </c>
      <c r="U20" s="53">
        <f>SUM(U16:U19)</f>
        <v>70889.527431808223</v>
      </c>
    </row>
    <row r="21" spans="8:22" x14ac:dyDescent="0.25">
      <c r="L21">
        <f t="shared" ref="L21:L29" si="9">B3-L$1</f>
        <v>53</v>
      </c>
      <c r="M21" s="35">
        <f t="shared" ref="M21:M29" si="10">J3</f>
        <v>10000</v>
      </c>
      <c r="N21" s="35">
        <f t="shared" ref="N21:N29" si="11">M21*L21*$I$1/100/$M$1</f>
        <v>87.123287671232873</v>
      </c>
      <c r="O21" s="35">
        <f t="shared" ref="O21:O29" si="12">M21*L21*$O$19/100/$M$1</f>
        <v>50.821917808219176</v>
      </c>
      <c r="P21" s="35">
        <f t="shared" ref="P21:P29" si="13">M21-N21</f>
        <v>9912.8767123287671</v>
      </c>
      <c r="Q21">
        <v>10526.76</v>
      </c>
    </row>
    <row r="22" spans="8:22" x14ac:dyDescent="0.25">
      <c r="L22">
        <f t="shared" si="9"/>
        <v>71</v>
      </c>
      <c r="M22" s="35">
        <f t="shared" si="10"/>
        <v>6000</v>
      </c>
      <c r="N22" s="35">
        <f t="shared" si="11"/>
        <v>70.027397260273972</v>
      </c>
      <c r="O22" s="35">
        <f t="shared" si="12"/>
        <v>40.849315068493148</v>
      </c>
      <c r="P22" s="35">
        <f t="shared" si="13"/>
        <v>5929.9726027397264</v>
      </c>
      <c r="Q22">
        <v>6366.27</v>
      </c>
    </row>
    <row r="23" spans="8:22" x14ac:dyDescent="0.25">
      <c r="L23">
        <f t="shared" si="9"/>
        <v>98</v>
      </c>
      <c r="M23" s="35">
        <f t="shared" si="10"/>
        <v>5000</v>
      </c>
      <c r="N23" s="35">
        <f t="shared" si="11"/>
        <v>80.547945205479451</v>
      </c>
      <c r="O23" s="35">
        <f t="shared" si="12"/>
        <v>46.986301369863014</v>
      </c>
      <c r="P23" s="35">
        <f t="shared" si="13"/>
        <v>4919.4520547945203</v>
      </c>
      <c r="Q23">
        <v>5347.1</v>
      </c>
    </row>
    <row r="24" spans="8:22" x14ac:dyDescent="0.25">
      <c r="L24">
        <f t="shared" si="9"/>
        <v>112</v>
      </c>
      <c r="M24" s="35">
        <f t="shared" si="10"/>
        <v>6637.84</v>
      </c>
      <c r="N24" s="35">
        <f t="shared" si="11"/>
        <v>122.2089994520548</v>
      </c>
      <c r="O24" s="35">
        <f t="shared" si="12"/>
        <v>71.288583013698641</v>
      </c>
      <c r="P24" s="35">
        <f t="shared" si="13"/>
        <v>6515.6310005479454</v>
      </c>
      <c r="Q24">
        <v>7080.05</v>
      </c>
    </row>
    <row r="25" spans="8:22" x14ac:dyDescent="0.25">
      <c r="L25">
        <f t="shared" si="9"/>
        <v>147</v>
      </c>
      <c r="M25" s="35">
        <f t="shared" si="10"/>
        <v>7525</v>
      </c>
      <c r="N25" s="35">
        <f t="shared" si="11"/>
        <v>181.83698630136988</v>
      </c>
      <c r="O25" s="35">
        <f t="shared" si="12"/>
        <v>106.07157534246575</v>
      </c>
      <c r="P25" s="35">
        <f t="shared" si="13"/>
        <v>7343.1630136986305</v>
      </c>
      <c r="Q25">
        <v>7958.88</v>
      </c>
    </row>
    <row r="26" spans="8:22" x14ac:dyDescent="0.25">
      <c r="L26">
        <f t="shared" si="9"/>
        <v>172</v>
      </c>
      <c r="M26" s="35">
        <f t="shared" si="10"/>
        <v>7000</v>
      </c>
      <c r="N26" s="35">
        <f t="shared" si="11"/>
        <v>197.91780821917808</v>
      </c>
      <c r="O26" s="35">
        <f t="shared" si="12"/>
        <v>115.45205479452055</v>
      </c>
      <c r="P26" s="35">
        <f t="shared" si="13"/>
        <v>6802.0821917808216</v>
      </c>
      <c r="Q26">
        <v>7562.65</v>
      </c>
    </row>
    <row r="27" spans="8:22" x14ac:dyDescent="0.25">
      <c r="L27">
        <f t="shared" si="9"/>
        <v>202</v>
      </c>
      <c r="M27" s="35">
        <f t="shared" si="10"/>
        <v>12867.47</v>
      </c>
      <c r="N27" s="35">
        <f t="shared" si="11"/>
        <v>427.27051068493148</v>
      </c>
      <c r="O27" s="35">
        <f t="shared" si="12"/>
        <v>249.24113123287668</v>
      </c>
      <c r="P27" s="35">
        <f t="shared" si="13"/>
        <v>12440.199489315068</v>
      </c>
      <c r="Q27">
        <v>13113.45</v>
      </c>
    </row>
    <row r="28" spans="8:22" x14ac:dyDescent="0.25">
      <c r="L28">
        <f t="shared" si="9"/>
        <v>243</v>
      </c>
      <c r="M28" s="35">
        <f t="shared" si="10"/>
        <v>6715.5</v>
      </c>
      <c r="N28" s="35">
        <f t="shared" si="11"/>
        <v>268.25202739726029</v>
      </c>
      <c r="O28" s="35">
        <f t="shared" si="12"/>
        <v>156.48034931506848</v>
      </c>
      <c r="P28" s="35">
        <f t="shared" si="13"/>
        <v>6447.2479726027395</v>
      </c>
      <c r="Q28">
        <v>7136.63</v>
      </c>
    </row>
    <row r="29" spans="8:22" x14ac:dyDescent="0.25">
      <c r="L29">
        <f t="shared" si="9"/>
        <v>251</v>
      </c>
      <c r="M29" s="35">
        <f t="shared" si="10"/>
        <v>5682.09</v>
      </c>
      <c r="N29" s="35">
        <f t="shared" si="11"/>
        <v>234.44459013698633</v>
      </c>
      <c r="O29" s="35">
        <f t="shared" si="12"/>
        <v>136.75934424657535</v>
      </c>
      <c r="P29" s="35">
        <f t="shared" si="13"/>
        <v>5447.6454098630138</v>
      </c>
      <c r="Q29">
        <v>5957.93</v>
      </c>
    </row>
    <row r="30" spans="8:22" x14ac:dyDescent="0.25">
      <c r="O30" s="56">
        <f>SUM(O21:O29)</f>
        <v>973.95057219178068</v>
      </c>
      <c r="P30" s="53">
        <f>SUM(P21:P29)</f>
        <v>65758.270447671239</v>
      </c>
      <c r="Q30">
        <f>SUM(Q21:Q29)</f>
        <v>71049.72</v>
      </c>
    </row>
    <row r="31" spans="8:22" x14ac:dyDescent="0.25">
      <c r="O31" s="35"/>
    </row>
    <row r="33" spans="12:17" x14ac:dyDescent="0.25">
      <c r="L33">
        <f>B14-L$1</f>
        <v>20</v>
      </c>
      <c r="M33" s="35">
        <f>J14</f>
        <v>6355.88</v>
      </c>
      <c r="N33" s="35">
        <f>M33*L33*$I$1/100/$M$1</f>
        <v>20.896043835616439</v>
      </c>
      <c r="O33" s="35">
        <f>M33*L33*$O$19/100/$M$1</f>
        <v>12.189358904109589</v>
      </c>
      <c r="P33" s="35">
        <f>M33-N33</f>
        <v>6334.9839561643839</v>
      </c>
      <c r="Q33">
        <v>6726.23</v>
      </c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W1121"/>
  <sheetViews>
    <sheetView tabSelected="1" zoomScale="120" zoomScaleNormal="120" workbookViewId="0">
      <pane ySplit="2" topLeftCell="A3" activePane="bottomLeft" state="frozen"/>
      <selection activeCell="W179" sqref="W179"/>
      <selection pane="bottomLeft" activeCell="F1123" sqref="F1123"/>
    </sheetView>
  </sheetViews>
  <sheetFormatPr baseColWidth="10" defaultRowHeight="15" x14ac:dyDescent="0.25"/>
  <cols>
    <col min="1" max="1" width="2.7109375" style="16" customWidth="1"/>
    <col min="2" max="2" width="14.5703125" customWidth="1"/>
    <col min="3" max="3" width="16.5703125" bestFit="1" customWidth="1"/>
    <col min="4" max="4" width="20.42578125" style="18" bestFit="1" customWidth="1"/>
    <col min="5" max="5" width="10.7109375" style="18" bestFit="1" customWidth="1"/>
    <col min="6" max="6" width="38.7109375" bestFit="1" customWidth="1"/>
    <col min="7" max="7" width="16.42578125" customWidth="1"/>
    <col min="8" max="8" width="18" customWidth="1"/>
    <col min="9" max="9" width="17.85546875" style="29" bestFit="1" customWidth="1"/>
    <col min="10" max="10" width="12.85546875" bestFit="1" customWidth="1"/>
    <col min="11" max="11" width="13" customWidth="1"/>
    <col min="12" max="12" width="13.42578125" customWidth="1"/>
    <col min="13" max="13" width="11.5703125" customWidth="1"/>
    <col min="14" max="14" width="13.7109375" customWidth="1"/>
    <col min="15" max="15" width="14.28515625" customWidth="1"/>
    <col min="16" max="16" width="11.7109375" customWidth="1"/>
    <col min="17" max="18" width="18.85546875" style="18" customWidth="1"/>
    <col min="19" max="19" width="13.28515625" style="18" bestFit="1" customWidth="1"/>
    <col min="20" max="20" width="18.85546875" style="18" customWidth="1"/>
    <col min="21" max="22" width="13.28515625" style="18" bestFit="1" customWidth="1"/>
    <col min="28" max="28" width="15.5703125" customWidth="1"/>
  </cols>
  <sheetData>
    <row r="1" spans="1:23" x14ac:dyDescent="0.25">
      <c r="B1" s="18"/>
      <c r="C1" s="17"/>
      <c r="F1" s="17"/>
      <c r="G1" s="17"/>
      <c r="I1" s="357">
        <f>SUBTOTAL(9,BaseInversiones[INTERES])</f>
        <v>0</v>
      </c>
      <c r="J1" s="357">
        <f>SUBTOTAL(9,BaseInversiones[CAPITAL])</f>
        <v>25350.11</v>
      </c>
      <c r="L1" t="s">
        <v>60</v>
      </c>
      <c r="M1" t="s">
        <v>60</v>
      </c>
      <c r="N1" t="s">
        <v>60</v>
      </c>
      <c r="O1" t="s">
        <v>61</v>
      </c>
      <c r="P1" t="s">
        <v>61</v>
      </c>
      <c r="S1" s="357">
        <f ca="1">SUBTOTAL(9,BaseInversiones[CAPITAL + INTERES al Corte])</f>
        <v>25350.11</v>
      </c>
      <c r="U1" s="357">
        <f ca="1">SUBTOTAL(9,BaseInversiones[INTERES  al Corte])</f>
        <v>0</v>
      </c>
    </row>
    <row r="2" spans="1:23" s="362" customFormat="1" x14ac:dyDescent="0.25">
      <c r="A2" s="360"/>
      <c r="B2" s="360" t="s">
        <v>27</v>
      </c>
      <c r="C2" s="360" t="s">
        <v>28</v>
      </c>
      <c r="D2" s="360" t="s">
        <v>3</v>
      </c>
      <c r="E2" s="360" t="s">
        <v>62</v>
      </c>
      <c r="F2" s="360" t="s">
        <v>63</v>
      </c>
      <c r="G2" s="360" t="s">
        <v>32</v>
      </c>
      <c r="H2" s="360" t="s">
        <v>11</v>
      </c>
      <c r="I2" s="360" t="s">
        <v>34</v>
      </c>
      <c r="J2" s="361" t="s">
        <v>64</v>
      </c>
      <c r="K2" s="360" t="s">
        <v>65</v>
      </c>
      <c r="L2" s="360" t="s">
        <v>66</v>
      </c>
      <c r="M2" s="360" t="s">
        <v>67</v>
      </c>
      <c r="N2" s="360" t="s">
        <v>68</v>
      </c>
      <c r="O2" s="360" t="s">
        <v>69</v>
      </c>
      <c r="P2" s="360" t="s">
        <v>70</v>
      </c>
      <c r="Q2" s="360" t="s">
        <v>71</v>
      </c>
      <c r="R2" s="360" t="s">
        <v>72</v>
      </c>
      <c r="S2" s="360" t="s">
        <v>73</v>
      </c>
      <c r="T2" s="360" t="s">
        <v>74</v>
      </c>
      <c r="U2" s="360" t="s">
        <v>75</v>
      </c>
      <c r="V2" s="360" t="s">
        <v>76</v>
      </c>
      <c r="W2" s="360" t="s">
        <v>77</v>
      </c>
    </row>
    <row r="3" spans="1:23" hidden="1" x14ac:dyDescent="0.25">
      <c r="B3" s="337">
        <v>45552</v>
      </c>
      <c r="C3" s="337">
        <v>46115</v>
      </c>
      <c r="D3" s="374" t="s">
        <v>78</v>
      </c>
      <c r="E3" s="309" t="s">
        <v>47</v>
      </c>
      <c r="F3" s="310" t="s">
        <v>79</v>
      </c>
      <c r="G3" s="311">
        <v>5.36</v>
      </c>
      <c r="H3" s="311">
        <v>13.5</v>
      </c>
      <c r="I3" s="340">
        <f>15.63</f>
        <v>15.63</v>
      </c>
      <c r="J3" s="340"/>
      <c r="K3" s="308"/>
      <c r="L3" s="340">
        <f t="shared" ref="L3:L66" si="0">I3</f>
        <v>15.63</v>
      </c>
      <c r="M3" s="311"/>
      <c r="N3" s="311"/>
      <c r="O3" s="311"/>
      <c r="P3" s="311"/>
      <c r="Q3" s="311"/>
      <c r="R3" s="392"/>
      <c r="S3" s="358">
        <f ca="1">IF(C3&lt;=EOMONTH('&gt;&gt;Vistas Consolidadas'!$D$2, '&gt;&gt;Vistas Consolidadas'!$F$2),J3+I3,J3)</f>
        <v>15.63</v>
      </c>
      <c r="T3" s="18" t="str">
        <f ca="1">IF(C3&gt;='&gt;&gt;Vistas Consolidadas'!$D$2,"SI","NO")</f>
        <v>NO</v>
      </c>
      <c r="U3" s="358">
        <f ca="1">IF(C3&lt;=EOMONTH('&gt;&gt;Vistas Consolidadas'!$D$2, '&gt;&gt;Vistas Consolidadas'!$F$2),I3,0)</f>
        <v>15.63</v>
      </c>
      <c r="V3" s="18" t="b">
        <f ca="1">AND(C3&gt;='Interes Por Semana'!$C$4, C3&lt;='Interes Por Semana'!$E$4)</f>
        <v>0</v>
      </c>
      <c r="W3" s="18" t="str">
        <f t="shared" ref="W3:W66" si="1">TEXT(C3, "dddd")</f>
        <v>viernes</v>
      </c>
    </row>
    <row r="4" spans="1:23" hidden="1" x14ac:dyDescent="0.25">
      <c r="B4" s="337">
        <v>45560</v>
      </c>
      <c r="C4" s="337">
        <v>46115</v>
      </c>
      <c r="D4" s="374" t="s">
        <v>78</v>
      </c>
      <c r="E4" s="309" t="s">
        <v>47</v>
      </c>
      <c r="F4" s="310" t="s">
        <v>79</v>
      </c>
      <c r="G4" s="311">
        <v>5.36</v>
      </c>
      <c r="H4" s="311">
        <v>12.5</v>
      </c>
      <c r="I4" s="340">
        <f>12.51</f>
        <v>12.51</v>
      </c>
      <c r="J4" s="340"/>
      <c r="K4" s="308"/>
      <c r="L4" s="340">
        <f t="shared" si="0"/>
        <v>12.51</v>
      </c>
      <c r="M4" s="311"/>
      <c r="N4" s="311"/>
      <c r="O4" s="311"/>
      <c r="P4" s="311"/>
      <c r="Q4" s="311"/>
      <c r="R4" s="392"/>
      <c r="S4" s="358">
        <f ca="1">IF(C4&lt;=EOMONTH('&gt;&gt;Vistas Consolidadas'!$D$2, '&gt;&gt;Vistas Consolidadas'!$F$2),J4+I4,J4)</f>
        <v>12.51</v>
      </c>
      <c r="T4" s="18" t="str">
        <f ca="1">IF(C4&gt;='&gt;&gt;Vistas Consolidadas'!$D$2,"SI","NO")</f>
        <v>NO</v>
      </c>
      <c r="U4" s="358">
        <f ca="1">IF(C4&lt;=EOMONTH('&gt;&gt;Vistas Consolidadas'!$D$2, '&gt;&gt;Vistas Consolidadas'!$F$2),I4,0)</f>
        <v>12.51</v>
      </c>
      <c r="V4" s="18" t="b">
        <f ca="1">AND(C4&gt;='Interes Por Semana'!$C$4, C4&lt;='Interes Por Semana'!$E$4)</f>
        <v>0</v>
      </c>
      <c r="W4" s="18" t="str">
        <f t="shared" si="1"/>
        <v>viernes</v>
      </c>
    </row>
    <row r="5" spans="1:23" hidden="1" x14ac:dyDescent="0.25">
      <c r="B5" s="337">
        <v>45649</v>
      </c>
      <c r="C5" s="337">
        <v>46115</v>
      </c>
      <c r="D5" s="374" t="s">
        <v>78</v>
      </c>
      <c r="E5" s="309" t="s">
        <v>46</v>
      </c>
      <c r="F5" s="310" t="s">
        <v>79</v>
      </c>
      <c r="G5" s="312">
        <v>5.36</v>
      </c>
      <c r="H5" s="308">
        <v>13</v>
      </c>
      <c r="I5" s="340">
        <f>43.37-J5</f>
        <v>43.37</v>
      </c>
      <c r="J5" s="340"/>
      <c r="K5" s="308"/>
      <c r="L5" s="340">
        <f t="shared" si="0"/>
        <v>43.37</v>
      </c>
      <c r="M5" s="308"/>
      <c r="N5" s="311"/>
      <c r="O5" s="312"/>
      <c r="P5" s="308"/>
      <c r="Q5" s="308"/>
      <c r="R5" s="392"/>
      <c r="S5" s="358">
        <f ca="1">IF(C5&lt;=EOMONTH('&gt;&gt;Vistas Consolidadas'!$D$2, '&gt;&gt;Vistas Consolidadas'!$F$2),J5+I5,J5)</f>
        <v>43.37</v>
      </c>
      <c r="T5" s="18" t="str">
        <f ca="1">IF(C5&gt;='&gt;&gt;Vistas Consolidadas'!$D$2,"SI","NO")</f>
        <v>NO</v>
      </c>
      <c r="U5" s="358">
        <f ca="1">IF(C5&lt;=EOMONTH('&gt;&gt;Vistas Consolidadas'!$D$2, '&gt;&gt;Vistas Consolidadas'!$F$2),I5,0)</f>
        <v>43.37</v>
      </c>
      <c r="V5" s="18" t="b">
        <f ca="1">AND(C5&gt;='Interes Por Semana'!$C$4, C5&lt;='Interes Por Semana'!$E$4)</f>
        <v>0</v>
      </c>
      <c r="W5" s="18" t="str">
        <f t="shared" si="1"/>
        <v>viernes</v>
      </c>
    </row>
    <row r="6" spans="1:23" hidden="1" x14ac:dyDescent="0.25">
      <c r="B6" s="337">
        <v>45707</v>
      </c>
      <c r="C6" s="337">
        <v>46116</v>
      </c>
      <c r="D6" s="374" t="s">
        <v>78</v>
      </c>
      <c r="E6" s="309" t="s">
        <v>46</v>
      </c>
      <c r="F6" s="310" t="s">
        <v>80</v>
      </c>
      <c r="G6" s="312">
        <v>5.64</v>
      </c>
      <c r="H6" s="308">
        <v>11</v>
      </c>
      <c r="I6" s="340">
        <v>31.16</v>
      </c>
      <c r="J6" s="340">
        <v>0</v>
      </c>
      <c r="K6" s="308"/>
      <c r="L6" s="340">
        <f t="shared" si="0"/>
        <v>31.16</v>
      </c>
      <c r="M6" s="308"/>
      <c r="N6" s="311"/>
      <c r="O6" s="312"/>
      <c r="P6" s="308"/>
      <c r="Q6" s="308"/>
      <c r="R6" s="392"/>
      <c r="S6" s="358">
        <f ca="1">IF(C6&lt;=EOMONTH('&gt;&gt;Vistas Consolidadas'!$D$2, '&gt;&gt;Vistas Consolidadas'!$F$2),J6+I6,J6)</f>
        <v>31.16</v>
      </c>
      <c r="T6" s="18" t="str">
        <f ca="1">IF(C6&gt;='&gt;&gt;Vistas Consolidadas'!$D$2,"SI","NO")</f>
        <v>NO</v>
      </c>
      <c r="U6" s="358">
        <f ca="1">IF(C6&lt;=EOMONTH('&gt;&gt;Vistas Consolidadas'!$D$2, '&gt;&gt;Vistas Consolidadas'!$F$2),I6,0)</f>
        <v>31.16</v>
      </c>
      <c r="V6" s="18" t="b">
        <f ca="1">AND(C6&gt;='Interes Por Semana'!$C$4, C6&lt;='Interes Por Semana'!$E$4)</f>
        <v>0</v>
      </c>
      <c r="W6" s="18" t="str">
        <f t="shared" si="1"/>
        <v>sábado</v>
      </c>
    </row>
    <row r="7" spans="1:23" hidden="1" x14ac:dyDescent="0.25">
      <c r="B7" s="337">
        <v>45708</v>
      </c>
      <c r="C7" s="337">
        <v>46116</v>
      </c>
      <c r="D7" s="374" t="s">
        <v>78</v>
      </c>
      <c r="E7" s="309" t="s">
        <v>46</v>
      </c>
      <c r="F7" s="310" t="s">
        <v>80</v>
      </c>
      <c r="G7" s="312">
        <v>5.64</v>
      </c>
      <c r="H7" s="308">
        <v>11.5</v>
      </c>
      <c r="I7" s="340">
        <f>32.29-J7</f>
        <v>32.29</v>
      </c>
      <c r="J7" s="340">
        <v>0</v>
      </c>
      <c r="K7" s="308"/>
      <c r="L7" s="340">
        <f t="shared" si="0"/>
        <v>32.29</v>
      </c>
      <c r="M7" s="308"/>
      <c r="N7" s="311"/>
      <c r="O7" s="312"/>
      <c r="P7" s="308"/>
      <c r="Q7" s="308"/>
      <c r="R7" s="392"/>
      <c r="S7" s="358">
        <f ca="1">IF(C7&lt;=EOMONTH('&gt;&gt;Vistas Consolidadas'!$D$2, '&gt;&gt;Vistas Consolidadas'!$F$2),J7+I7,J7)</f>
        <v>32.29</v>
      </c>
      <c r="T7" s="18" t="str">
        <f ca="1">IF(C7&gt;='&gt;&gt;Vistas Consolidadas'!$D$2,"SI","NO")</f>
        <v>NO</v>
      </c>
      <c r="U7" s="358">
        <f ca="1">IF(C7&lt;=EOMONTH('&gt;&gt;Vistas Consolidadas'!$D$2, '&gt;&gt;Vistas Consolidadas'!$F$2),I7,0)</f>
        <v>32.29</v>
      </c>
      <c r="V7" s="18" t="b">
        <f ca="1">AND(C7&gt;='Interes Por Semana'!$C$4, C7&lt;='Interes Por Semana'!$E$4)</f>
        <v>0</v>
      </c>
      <c r="W7" s="18" t="str">
        <f t="shared" si="1"/>
        <v>sábado</v>
      </c>
    </row>
    <row r="8" spans="1:23" hidden="1" x14ac:dyDescent="0.25">
      <c r="B8" s="337">
        <v>45708</v>
      </c>
      <c r="C8" s="337">
        <v>46116</v>
      </c>
      <c r="D8" s="374" t="s">
        <v>78</v>
      </c>
      <c r="E8" s="309" t="s">
        <v>46</v>
      </c>
      <c r="F8" s="310" t="s">
        <v>81</v>
      </c>
      <c r="G8" s="312">
        <v>5.36</v>
      </c>
      <c r="H8" s="308">
        <v>11.35</v>
      </c>
      <c r="I8" s="340">
        <f>16.79-J8</f>
        <v>16.79</v>
      </c>
      <c r="J8" s="340">
        <v>0</v>
      </c>
      <c r="K8" s="308"/>
      <c r="L8" s="340">
        <f t="shared" si="0"/>
        <v>16.79</v>
      </c>
      <c r="M8" s="308"/>
      <c r="N8" s="311"/>
      <c r="O8" s="312"/>
      <c r="P8" s="308"/>
      <c r="Q8" s="308"/>
      <c r="R8" s="392"/>
      <c r="S8" s="358">
        <f ca="1">IF(C8&lt;=EOMONTH('&gt;&gt;Vistas Consolidadas'!$D$2, '&gt;&gt;Vistas Consolidadas'!$F$2),J8+I8,J8)</f>
        <v>16.79</v>
      </c>
      <c r="T8" s="18" t="str">
        <f ca="1">IF(C8&gt;='&gt;&gt;Vistas Consolidadas'!$D$2,"SI","NO")</f>
        <v>NO</v>
      </c>
      <c r="U8" s="358">
        <f ca="1">IF(C8&lt;=EOMONTH('&gt;&gt;Vistas Consolidadas'!$D$2, '&gt;&gt;Vistas Consolidadas'!$F$2),I8,0)</f>
        <v>16.79</v>
      </c>
      <c r="V8" s="18" t="b">
        <f ca="1">AND(C8&gt;='Interes Por Semana'!$C$4, C8&lt;='Interes Por Semana'!$E$4)</f>
        <v>0</v>
      </c>
      <c r="W8" s="18" t="str">
        <f t="shared" si="1"/>
        <v>sábado</v>
      </c>
    </row>
    <row r="9" spans="1:23" hidden="1" x14ac:dyDescent="0.25">
      <c r="B9" s="337">
        <v>45967</v>
      </c>
      <c r="C9" s="337">
        <v>46117</v>
      </c>
      <c r="D9" s="374" t="s">
        <v>78</v>
      </c>
      <c r="E9" s="309" t="s">
        <v>47</v>
      </c>
      <c r="F9" s="310" t="s">
        <v>82</v>
      </c>
      <c r="G9" s="311">
        <v>7.54</v>
      </c>
      <c r="H9" s="311">
        <v>10</v>
      </c>
      <c r="I9" s="340">
        <v>64.09</v>
      </c>
      <c r="J9" s="340"/>
      <c r="K9" s="308"/>
      <c r="L9" s="340">
        <f t="shared" si="0"/>
        <v>64.09</v>
      </c>
      <c r="M9" s="311"/>
      <c r="N9" s="311"/>
      <c r="O9" s="311"/>
      <c r="P9" s="311"/>
      <c r="Q9" s="311"/>
      <c r="R9" s="392"/>
      <c r="S9" s="358">
        <f ca="1">IF(C9&lt;=EOMONTH('&gt;&gt;Vistas Consolidadas'!$D$2, '&gt;&gt;Vistas Consolidadas'!$F$2),J9+I9,J9)</f>
        <v>64.09</v>
      </c>
      <c r="T9" s="18" t="str">
        <f ca="1">IF(C9&gt;='&gt;&gt;Vistas Consolidadas'!$D$2,"SI","NO")</f>
        <v>NO</v>
      </c>
      <c r="U9" s="358">
        <f ca="1">IF(C9&lt;=EOMONTH('&gt;&gt;Vistas Consolidadas'!$D$2, '&gt;&gt;Vistas Consolidadas'!$F$2),I9,0)</f>
        <v>64.09</v>
      </c>
      <c r="V9" s="18" t="b">
        <f ca="1">AND(C9&gt;='Interes Por Semana'!$C$4, C9&lt;='Interes Por Semana'!$E$4)</f>
        <v>0</v>
      </c>
      <c r="W9" s="18" t="str">
        <f t="shared" si="1"/>
        <v>domingo</v>
      </c>
    </row>
    <row r="10" spans="1:23" hidden="1" x14ac:dyDescent="0.25">
      <c r="B10" s="337">
        <v>46030</v>
      </c>
      <c r="C10" s="337">
        <v>46117</v>
      </c>
      <c r="D10" s="374" t="s">
        <v>78</v>
      </c>
      <c r="E10" s="309" t="s">
        <v>47</v>
      </c>
      <c r="F10" s="310" t="s">
        <v>83</v>
      </c>
      <c r="G10" s="311">
        <v>7.54</v>
      </c>
      <c r="H10" s="311">
        <v>12</v>
      </c>
      <c r="I10" s="340">
        <v>75.650000000000006</v>
      </c>
      <c r="J10" s="340"/>
      <c r="K10" s="308"/>
      <c r="L10" s="340">
        <f t="shared" si="0"/>
        <v>75.650000000000006</v>
      </c>
      <c r="M10" s="311"/>
      <c r="N10" s="311"/>
      <c r="O10" s="311"/>
      <c r="P10" s="311"/>
      <c r="Q10" s="311"/>
      <c r="R10" s="392"/>
      <c r="S10" s="358">
        <f ca="1">IF(C10&lt;=EOMONTH('&gt;&gt;Vistas Consolidadas'!$D$2, '&gt;&gt;Vistas Consolidadas'!$F$2),J10+I10,J10)</f>
        <v>75.650000000000006</v>
      </c>
      <c r="T10" s="18" t="str">
        <f ca="1">IF(C10&gt;='&gt;&gt;Vistas Consolidadas'!$D$2,"SI","NO")</f>
        <v>NO</v>
      </c>
      <c r="U10" s="358">
        <f ca="1">IF(C10&lt;=EOMONTH('&gt;&gt;Vistas Consolidadas'!$D$2, '&gt;&gt;Vistas Consolidadas'!$F$2),I10,0)</f>
        <v>75.650000000000006</v>
      </c>
      <c r="V10" s="18" t="b">
        <f ca="1">AND(C10&gt;='Interes Por Semana'!$C$4, C10&lt;='Interes Por Semana'!$E$4)</f>
        <v>0</v>
      </c>
      <c r="W10" s="18" t="str">
        <f t="shared" si="1"/>
        <v>domingo</v>
      </c>
    </row>
    <row r="11" spans="1:23" hidden="1" x14ac:dyDescent="0.25">
      <c r="B11" s="337">
        <v>46057</v>
      </c>
      <c r="C11" s="337">
        <v>46117</v>
      </c>
      <c r="D11" s="374" t="s">
        <v>78</v>
      </c>
      <c r="E11" s="309" t="s">
        <v>47</v>
      </c>
      <c r="F11" s="310" t="s">
        <v>83</v>
      </c>
      <c r="G11" s="311">
        <v>7.54</v>
      </c>
      <c r="H11" s="311">
        <v>11</v>
      </c>
      <c r="I11" s="340">
        <v>26.74</v>
      </c>
      <c r="J11" s="340"/>
      <c r="K11" s="308"/>
      <c r="L11" s="340">
        <f t="shared" si="0"/>
        <v>26.74</v>
      </c>
      <c r="M11" s="311"/>
      <c r="N11" s="311"/>
      <c r="O11" s="311"/>
      <c r="P11" s="311"/>
      <c r="Q11" s="311"/>
      <c r="R11" s="392"/>
      <c r="S11" s="358">
        <f ca="1">IF(C11&lt;=EOMONTH('&gt;&gt;Vistas Consolidadas'!$D$2, '&gt;&gt;Vistas Consolidadas'!$F$2),J11+I11,J11)</f>
        <v>26.74</v>
      </c>
      <c r="T11" s="18" t="str">
        <f ca="1">IF(C11&gt;='&gt;&gt;Vistas Consolidadas'!$D$2,"SI","NO")</f>
        <v>NO</v>
      </c>
      <c r="U11" s="358">
        <f ca="1">IF(C11&lt;=EOMONTH('&gt;&gt;Vistas Consolidadas'!$D$2, '&gt;&gt;Vistas Consolidadas'!$F$2),I11,0)</f>
        <v>26.74</v>
      </c>
      <c r="V11" s="18" t="b">
        <f ca="1">AND(C11&gt;='Interes Por Semana'!$C$4, C11&lt;='Interes Por Semana'!$E$4)</f>
        <v>0</v>
      </c>
      <c r="W11" s="18" t="str">
        <f t="shared" si="1"/>
        <v>domingo</v>
      </c>
    </row>
    <row r="12" spans="1:23" hidden="1" x14ac:dyDescent="0.25">
      <c r="B12" s="337">
        <v>45877</v>
      </c>
      <c r="C12" s="337">
        <v>46118</v>
      </c>
      <c r="D12" s="374" t="s">
        <v>78</v>
      </c>
      <c r="E12" s="309" t="s">
        <v>47</v>
      </c>
      <c r="F12" s="310" t="s">
        <v>84</v>
      </c>
      <c r="G12" s="311">
        <v>7.72</v>
      </c>
      <c r="H12" s="311">
        <v>9.75</v>
      </c>
      <c r="I12" s="340">
        <v>141.7070333333333</v>
      </c>
      <c r="J12" s="340"/>
      <c r="K12" s="308"/>
      <c r="L12" s="340">
        <f t="shared" si="0"/>
        <v>141.7070333333333</v>
      </c>
      <c r="M12" s="311"/>
      <c r="N12" s="311"/>
      <c r="O12" s="311"/>
      <c r="P12" s="311"/>
      <c r="Q12" s="311"/>
      <c r="R12" s="392"/>
      <c r="S12" s="358">
        <f ca="1">IF(C12&lt;=EOMONTH('&gt;&gt;Vistas Consolidadas'!$D$2, '&gt;&gt;Vistas Consolidadas'!$F$2),J12+I12,J12)</f>
        <v>141.7070333333333</v>
      </c>
      <c r="T12" s="18" t="str">
        <f ca="1">IF(C12&gt;='&gt;&gt;Vistas Consolidadas'!$D$2,"SI","NO")</f>
        <v>NO</v>
      </c>
      <c r="U12" s="358">
        <f ca="1">IF(C12&lt;=EOMONTH('&gt;&gt;Vistas Consolidadas'!$D$2, '&gt;&gt;Vistas Consolidadas'!$F$2),I12,0)</f>
        <v>141.7070333333333</v>
      </c>
      <c r="V12" s="18" t="b">
        <f ca="1">AND(C12&gt;='Interes Por Semana'!$C$4, C12&lt;='Interes Por Semana'!$E$4)</f>
        <v>0</v>
      </c>
      <c r="W12" s="18" t="str">
        <f t="shared" si="1"/>
        <v>lunes</v>
      </c>
    </row>
    <row r="13" spans="1:23" hidden="1" x14ac:dyDescent="0.25">
      <c r="B13" s="337">
        <v>46057</v>
      </c>
      <c r="C13" s="337">
        <v>46118</v>
      </c>
      <c r="D13" s="374" t="s">
        <v>78</v>
      </c>
      <c r="E13" s="309" t="s">
        <v>47</v>
      </c>
      <c r="F13" s="310" t="s">
        <v>85</v>
      </c>
      <c r="G13" s="311">
        <v>7.93</v>
      </c>
      <c r="H13" s="311">
        <v>11.25</v>
      </c>
      <c r="I13" s="340">
        <v>86.44</v>
      </c>
      <c r="J13" s="340"/>
      <c r="K13" s="308"/>
      <c r="L13" s="340">
        <f t="shared" si="0"/>
        <v>86.44</v>
      </c>
      <c r="M13" s="311"/>
      <c r="N13" s="311"/>
      <c r="O13" s="311"/>
      <c r="P13" s="311"/>
      <c r="Q13" s="311"/>
      <c r="R13" s="392"/>
      <c r="S13" s="358">
        <f ca="1">IF(C13&lt;=EOMONTH('&gt;&gt;Vistas Consolidadas'!$D$2, '&gt;&gt;Vistas Consolidadas'!$F$2),J13+I13,J13)</f>
        <v>86.44</v>
      </c>
      <c r="T13" s="18" t="str">
        <f ca="1">IF(C13&gt;='&gt;&gt;Vistas Consolidadas'!$D$2,"SI","NO")</f>
        <v>NO</v>
      </c>
      <c r="U13" s="358">
        <f ca="1">IF(C13&lt;=EOMONTH('&gt;&gt;Vistas Consolidadas'!$D$2, '&gt;&gt;Vistas Consolidadas'!$F$2),I13,0)</f>
        <v>86.44</v>
      </c>
      <c r="V13" s="18" t="b">
        <f ca="1">AND(C13&gt;='Interes Por Semana'!$C$4, C13&lt;='Interes Por Semana'!$E$4)</f>
        <v>0</v>
      </c>
      <c r="W13" s="18" t="str">
        <f t="shared" si="1"/>
        <v>lunes</v>
      </c>
    </row>
    <row r="14" spans="1:23" hidden="1" x14ac:dyDescent="0.25">
      <c r="B14" s="337">
        <v>46057</v>
      </c>
      <c r="C14" s="337">
        <v>46118</v>
      </c>
      <c r="D14" s="374" t="s">
        <v>78</v>
      </c>
      <c r="E14" s="309" t="s">
        <v>47</v>
      </c>
      <c r="F14" s="310" t="s">
        <v>86</v>
      </c>
      <c r="G14" s="311">
        <v>7.35</v>
      </c>
      <c r="H14" s="311">
        <v>11</v>
      </c>
      <c r="I14" s="340">
        <v>20.79</v>
      </c>
      <c r="J14" s="340"/>
      <c r="K14" s="308"/>
      <c r="L14" s="340">
        <f t="shared" si="0"/>
        <v>20.79</v>
      </c>
      <c r="M14" s="311"/>
      <c r="N14" s="311"/>
      <c r="O14" s="311"/>
      <c r="P14" s="311"/>
      <c r="Q14" s="311"/>
      <c r="R14" s="392"/>
      <c r="S14" s="358">
        <f ca="1">IF(C14&lt;=EOMONTH('&gt;&gt;Vistas Consolidadas'!$D$2, '&gt;&gt;Vistas Consolidadas'!$F$2),J14+I14,J14)</f>
        <v>20.79</v>
      </c>
      <c r="T14" s="18" t="str">
        <f ca="1">IF(C14&gt;='&gt;&gt;Vistas Consolidadas'!$D$2,"SI","NO")</f>
        <v>NO</v>
      </c>
      <c r="U14" s="358">
        <f ca="1">IF(C14&lt;=EOMONTH('&gt;&gt;Vistas Consolidadas'!$D$2, '&gt;&gt;Vistas Consolidadas'!$F$2),I14,0)</f>
        <v>20.79</v>
      </c>
      <c r="V14" s="18" t="b">
        <f ca="1">AND(C14&gt;='Interes Por Semana'!$C$4, C14&lt;='Interes Por Semana'!$E$4)</f>
        <v>0</v>
      </c>
      <c r="W14" s="18" t="str">
        <f t="shared" si="1"/>
        <v>lunes</v>
      </c>
    </row>
    <row r="15" spans="1:23" hidden="1" x14ac:dyDescent="0.25">
      <c r="B15" s="337">
        <v>46001</v>
      </c>
      <c r="C15" s="337">
        <v>46118</v>
      </c>
      <c r="D15" s="374" t="s">
        <v>78</v>
      </c>
      <c r="E15" s="309" t="s">
        <v>46</v>
      </c>
      <c r="F15" s="310" t="s">
        <v>87</v>
      </c>
      <c r="G15" s="312">
        <v>7.54</v>
      </c>
      <c r="H15" s="308">
        <v>11</v>
      </c>
      <c r="I15" s="340">
        <f>7.79</f>
        <v>7.79</v>
      </c>
      <c r="J15" s="340"/>
      <c r="K15" s="308"/>
      <c r="L15" s="340">
        <f t="shared" si="0"/>
        <v>7.79</v>
      </c>
      <c r="M15" s="308"/>
      <c r="N15" s="311"/>
      <c r="O15" s="312"/>
      <c r="P15" s="308"/>
      <c r="Q15" s="308"/>
      <c r="R15" s="392"/>
      <c r="S15" s="358">
        <f ca="1">IF(C15&lt;=EOMONTH('&gt;&gt;Vistas Consolidadas'!$D$2, '&gt;&gt;Vistas Consolidadas'!$F$2),J15+I15,J15)</f>
        <v>7.79</v>
      </c>
      <c r="T15" s="18" t="str">
        <f ca="1">IF(C15&gt;='&gt;&gt;Vistas Consolidadas'!$D$2,"SI","NO")</f>
        <v>NO</v>
      </c>
      <c r="U15" s="358">
        <f ca="1">IF(C15&lt;=EOMONTH('&gt;&gt;Vistas Consolidadas'!$D$2, '&gt;&gt;Vistas Consolidadas'!$F$2),I15,0)</f>
        <v>7.79</v>
      </c>
      <c r="V15" s="18" t="b">
        <f ca="1">AND(C15&gt;='Interes Por Semana'!$C$4, C15&lt;='Interes Por Semana'!$E$4)</f>
        <v>0</v>
      </c>
      <c r="W15" s="18" t="str">
        <f t="shared" si="1"/>
        <v>lunes</v>
      </c>
    </row>
    <row r="16" spans="1:23" hidden="1" x14ac:dyDescent="0.25">
      <c r="B16" s="337">
        <v>45775</v>
      </c>
      <c r="C16" s="337">
        <v>46120</v>
      </c>
      <c r="D16" s="374" t="s">
        <v>88</v>
      </c>
      <c r="E16" s="309" t="s">
        <v>47</v>
      </c>
      <c r="F16" s="310" t="s">
        <v>89</v>
      </c>
      <c r="G16" s="311">
        <v>9</v>
      </c>
      <c r="H16" s="311">
        <v>11.5</v>
      </c>
      <c r="I16" s="340">
        <v>399.97</v>
      </c>
      <c r="J16" s="340">
        <v>1663.68</v>
      </c>
      <c r="K16" s="308"/>
      <c r="L16" s="340">
        <f t="shared" si="0"/>
        <v>399.97</v>
      </c>
      <c r="M16" s="311"/>
      <c r="N16" s="311"/>
      <c r="O16" s="311"/>
      <c r="P16" s="311"/>
      <c r="Q16" s="311"/>
      <c r="R16" s="392"/>
      <c r="S16" s="358">
        <f ca="1">IF(C16&lt;=EOMONTH('&gt;&gt;Vistas Consolidadas'!$D$2, '&gt;&gt;Vistas Consolidadas'!$F$2),J16+I16,J16)</f>
        <v>2063.65</v>
      </c>
      <c r="T16" s="18" t="str">
        <f ca="1">IF(C16&gt;='&gt;&gt;Vistas Consolidadas'!$D$2,"SI","NO")</f>
        <v>NO</v>
      </c>
      <c r="U16" s="358">
        <f ca="1">IF(C16&lt;=EOMONTH('&gt;&gt;Vistas Consolidadas'!$D$2, '&gt;&gt;Vistas Consolidadas'!$F$2),I16,0)</f>
        <v>399.97</v>
      </c>
      <c r="V16" s="18" t="b">
        <f ca="1">AND(C16&gt;='Interes Por Semana'!$C$4, C16&lt;='Interes Por Semana'!$E$4)</f>
        <v>0</v>
      </c>
      <c r="W16" s="18" t="str">
        <f t="shared" si="1"/>
        <v>miércoles</v>
      </c>
    </row>
    <row r="17" spans="2:23" hidden="1" x14ac:dyDescent="0.25">
      <c r="B17" s="337">
        <v>45775</v>
      </c>
      <c r="C17" s="337">
        <v>46120</v>
      </c>
      <c r="D17" s="374" t="s">
        <v>88</v>
      </c>
      <c r="E17" s="309" t="s">
        <v>47</v>
      </c>
      <c r="F17" s="310" t="s">
        <v>89</v>
      </c>
      <c r="G17" s="311">
        <v>9</v>
      </c>
      <c r="H17" s="311">
        <v>11.5</v>
      </c>
      <c r="I17" s="340">
        <v>181.71</v>
      </c>
      <c r="J17" s="340">
        <v>759.96</v>
      </c>
      <c r="K17" s="308"/>
      <c r="L17" s="340">
        <f t="shared" si="0"/>
        <v>181.71</v>
      </c>
      <c r="M17" s="311"/>
      <c r="N17" s="311"/>
      <c r="O17" s="311"/>
      <c r="P17" s="311"/>
      <c r="Q17" s="311"/>
      <c r="R17" s="392"/>
      <c r="S17" s="358">
        <f ca="1">IF(C17&lt;=EOMONTH('&gt;&gt;Vistas Consolidadas'!$D$2, '&gt;&gt;Vistas Consolidadas'!$F$2),J17+I17,J17)</f>
        <v>941.67000000000007</v>
      </c>
      <c r="T17" s="18" t="str">
        <f ca="1">IF(C17&gt;='&gt;&gt;Vistas Consolidadas'!$D$2,"SI","NO")</f>
        <v>NO</v>
      </c>
      <c r="U17" s="358">
        <f ca="1">IF(C17&lt;=EOMONTH('&gt;&gt;Vistas Consolidadas'!$D$2, '&gt;&gt;Vistas Consolidadas'!$F$2),I17,0)</f>
        <v>181.71</v>
      </c>
      <c r="V17" s="18" t="b">
        <f ca="1">AND(C17&gt;='Interes Por Semana'!$C$4, C17&lt;='Interes Por Semana'!$E$4)</f>
        <v>0</v>
      </c>
      <c r="W17" s="18" t="str">
        <f t="shared" si="1"/>
        <v>miércoles</v>
      </c>
    </row>
    <row r="18" spans="2:23" hidden="1" x14ac:dyDescent="0.25">
      <c r="B18" s="337">
        <v>45793</v>
      </c>
      <c r="C18" s="337">
        <v>46120</v>
      </c>
      <c r="D18" s="374" t="s">
        <v>78</v>
      </c>
      <c r="E18" s="309" t="s">
        <v>47</v>
      </c>
      <c r="F18" s="310" t="s">
        <v>90</v>
      </c>
      <c r="G18" s="311">
        <v>7.93</v>
      </c>
      <c r="H18" s="311">
        <v>12</v>
      </c>
      <c r="I18" s="340">
        <v>86.57</v>
      </c>
      <c r="J18" s="340"/>
      <c r="K18" s="308"/>
      <c r="L18" s="340">
        <f t="shared" si="0"/>
        <v>86.57</v>
      </c>
      <c r="M18" s="311"/>
      <c r="N18" s="311"/>
      <c r="O18" s="311"/>
      <c r="P18" s="311"/>
      <c r="Q18" s="311"/>
      <c r="R18" s="392"/>
      <c r="S18" s="358">
        <f ca="1">IF(C18&lt;=EOMONTH('&gt;&gt;Vistas Consolidadas'!$D$2, '&gt;&gt;Vistas Consolidadas'!$F$2),J18+I18,J18)</f>
        <v>86.57</v>
      </c>
      <c r="T18" s="18" t="str">
        <f ca="1">IF(C18&gt;='&gt;&gt;Vistas Consolidadas'!$D$2,"SI","NO")</f>
        <v>NO</v>
      </c>
      <c r="U18" s="358">
        <f ca="1">IF(C18&lt;=EOMONTH('&gt;&gt;Vistas Consolidadas'!$D$2, '&gt;&gt;Vistas Consolidadas'!$F$2),I18,0)</f>
        <v>86.57</v>
      </c>
      <c r="V18" s="18" t="b">
        <f ca="1">AND(C18&gt;='Interes Por Semana'!$C$4, C18&lt;='Interes Por Semana'!$E$4)</f>
        <v>0</v>
      </c>
      <c r="W18" s="18" t="str">
        <f t="shared" si="1"/>
        <v>miércoles</v>
      </c>
    </row>
    <row r="19" spans="2:23" hidden="1" x14ac:dyDescent="0.25">
      <c r="B19" s="337">
        <v>45943</v>
      </c>
      <c r="C19" s="337">
        <v>46122</v>
      </c>
      <c r="D19" s="374" t="s">
        <v>78</v>
      </c>
      <c r="E19" s="309" t="s">
        <v>47</v>
      </c>
      <c r="F19" s="310" t="s">
        <v>91</v>
      </c>
      <c r="G19" s="311">
        <v>7.54</v>
      </c>
      <c r="H19" s="311">
        <v>9.85</v>
      </c>
      <c r="I19" s="340">
        <v>35.25</v>
      </c>
      <c r="J19" s="340"/>
      <c r="K19" s="308"/>
      <c r="L19" s="340">
        <f t="shared" si="0"/>
        <v>35.25</v>
      </c>
      <c r="M19" s="311"/>
      <c r="N19" s="311"/>
      <c r="O19" s="311"/>
      <c r="P19" s="311"/>
      <c r="Q19" s="311"/>
      <c r="R19" s="392"/>
      <c r="S19" s="358">
        <f ca="1">IF(C19&lt;=EOMONTH('&gt;&gt;Vistas Consolidadas'!$D$2, '&gt;&gt;Vistas Consolidadas'!$F$2),J19+I19,J19)</f>
        <v>35.25</v>
      </c>
      <c r="T19" s="18" t="str">
        <f ca="1">IF(C19&gt;='&gt;&gt;Vistas Consolidadas'!$D$2,"SI","NO")</f>
        <v>NO</v>
      </c>
      <c r="U19" s="358">
        <f ca="1">IF(C19&lt;=EOMONTH('&gt;&gt;Vistas Consolidadas'!$D$2, '&gt;&gt;Vistas Consolidadas'!$F$2),I19,0)</f>
        <v>35.25</v>
      </c>
      <c r="V19" s="18" t="b">
        <f ca="1">AND(C19&gt;='Interes Por Semana'!$C$4, C19&lt;='Interes Por Semana'!$E$4)</f>
        <v>0</v>
      </c>
      <c r="W19" s="18" t="str">
        <f t="shared" si="1"/>
        <v>viernes</v>
      </c>
    </row>
    <row r="20" spans="2:23" hidden="1" x14ac:dyDescent="0.25">
      <c r="B20" s="337">
        <v>46078</v>
      </c>
      <c r="C20" s="337">
        <v>46123</v>
      </c>
      <c r="D20" s="374" t="s">
        <v>78</v>
      </c>
      <c r="E20" s="309" t="s">
        <v>47</v>
      </c>
      <c r="F20" s="310" t="s">
        <v>92</v>
      </c>
      <c r="G20" s="311">
        <v>6.5</v>
      </c>
      <c r="H20" s="311">
        <v>11.25</v>
      </c>
      <c r="I20" s="340">
        <v>140.56</v>
      </c>
      <c r="J20" s="340"/>
      <c r="K20" s="308"/>
      <c r="L20" s="340">
        <f t="shared" si="0"/>
        <v>140.56</v>
      </c>
      <c r="M20" s="311"/>
      <c r="N20" s="311"/>
      <c r="O20" s="311"/>
      <c r="P20" s="311"/>
      <c r="Q20" s="311"/>
      <c r="R20" s="392"/>
      <c r="S20" s="358">
        <f ca="1">IF(C20&lt;=EOMONTH('&gt;&gt;Vistas Consolidadas'!$D$2, '&gt;&gt;Vistas Consolidadas'!$F$2),J20+I20,J20)</f>
        <v>140.56</v>
      </c>
      <c r="T20" s="18" t="str">
        <f ca="1">IF(C20&gt;='&gt;&gt;Vistas Consolidadas'!$D$2,"SI","NO")</f>
        <v>NO</v>
      </c>
      <c r="U20" s="358">
        <f ca="1">IF(C20&lt;=EOMONTH('&gt;&gt;Vistas Consolidadas'!$D$2, '&gt;&gt;Vistas Consolidadas'!$F$2),I20,0)</f>
        <v>140.56</v>
      </c>
      <c r="V20" s="18" t="b">
        <f ca="1">AND(C20&gt;='Interes Por Semana'!$C$4, C20&lt;='Interes Por Semana'!$E$4)</f>
        <v>0</v>
      </c>
      <c r="W20" s="18" t="str">
        <f t="shared" si="1"/>
        <v>sábado</v>
      </c>
    </row>
    <row r="21" spans="2:23" hidden="1" x14ac:dyDescent="0.25">
      <c r="B21" s="337">
        <v>46121</v>
      </c>
      <c r="C21" s="337">
        <v>46124</v>
      </c>
      <c r="D21" s="374" t="s">
        <v>78</v>
      </c>
      <c r="E21" s="309" t="s">
        <v>47</v>
      </c>
      <c r="F21" s="310" t="s">
        <v>93</v>
      </c>
      <c r="G21" s="312">
        <v>4.71</v>
      </c>
      <c r="H21" s="308">
        <v>9.5</v>
      </c>
      <c r="I21" s="340">
        <v>0.35</v>
      </c>
      <c r="J21" s="340">
        <v>3.18</v>
      </c>
      <c r="K21" s="308"/>
      <c r="L21" s="340">
        <f t="shared" si="0"/>
        <v>0.35</v>
      </c>
      <c r="M21" s="308"/>
      <c r="N21" s="311"/>
      <c r="O21" s="312"/>
      <c r="P21" s="308"/>
      <c r="Q21" s="308"/>
      <c r="R21" s="392"/>
      <c r="S21" s="358">
        <f ca="1">IF(C21&lt;=EOMONTH('&gt;&gt;Vistas Consolidadas'!$D$2, '&gt;&gt;Vistas Consolidadas'!$F$2),J21+I21,J21)</f>
        <v>3.5300000000000002</v>
      </c>
      <c r="T21" s="18" t="str">
        <f ca="1">IF(C21&gt;='&gt;&gt;Vistas Consolidadas'!$D$2,"SI","NO")</f>
        <v>NO</v>
      </c>
      <c r="U21" s="358">
        <f ca="1">IF(C21&lt;=EOMONTH('&gt;&gt;Vistas Consolidadas'!$D$2, '&gt;&gt;Vistas Consolidadas'!$F$2),I21,0)</f>
        <v>0.35</v>
      </c>
      <c r="V21" s="18" t="b">
        <f ca="1">AND(C21&gt;='Interes Por Semana'!$C$4, C21&lt;='Interes Por Semana'!$E$4)</f>
        <v>0</v>
      </c>
      <c r="W21" s="18" t="str">
        <f t="shared" si="1"/>
        <v>domingo</v>
      </c>
    </row>
    <row r="22" spans="2:23" hidden="1" x14ac:dyDescent="0.25">
      <c r="B22" s="337">
        <v>46072</v>
      </c>
      <c r="C22" s="337">
        <v>46125</v>
      </c>
      <c r="D22" s="374" t="s">
        <v>88</v>
      </c>
      <c r="E22" s="309" t="s">
        <v>46</v>
      </c>
      <c r="F22" s="310" t="s">
        <v>94</v>
      </c>
      <c r="G22" s="312">
        <v>9</v>
      </c>
      <c r="H22" s="308">
        <v>10.5</v>
      </c>
      <c r="I22" s="340">
        <f>466.17-175.55</f>
        <v>290.62</v>
      </c>
      <c r="J22" s="340">
        <f>948.02+175.55</f>
        <v>1123.57</v>
      </c>
      <c r="K22" s="308"/>
      <c r="L22" s="340">
        <f t="shared" si="0"/>
        <v>290.62</v>
      </c>
      <c r="M22" s="308"/>
      <c r="N22" s="311"/>
      <c r="O22" s="312"/>
      <c r="P22" s="308"/>
      <c r="Q22" s="308"/>
      <c r="R22" s="392"/>
      <c r="S22" s="358">
        <f ca="1">IF(C22&lt;=EOMONTH('&gt;&gt;Vistas Consolidadas'!$D$2, '&gt;&gt;Vistas Consolidadas'!$F$2),J22+I22,J22)</f>
        <v>1414.19</v>
      </c>
      <c r="T22" s="18" t="str">
        <f ca="1">IF(C22&gt;='&gt;&gt;Vistas Consolidadas'!$D$2,"SI","NO")</f>
        <v>NO</v>
      </c>
      <c r="U22" s="358">
        <f ca="1">IF(C22&lt;=EOMONTH('&gt;&gt;Vistas Consolidadas'!$D$2, '&gt;&gt;Vistas Consolidadas'!$F$2),I22,0)</f>
        <v>290.62</v>
      </c>
      <c r="V22" s="18" t="b">
        <f ca="1">AND(C22&gt;='Interes Por Semana'!$C$4, C22&lt;='Interes Por Semana'!$E$4)</f>
        <v>0</v>
      </c>
      <c r="W22" s="18" t="str">
        <f t="shared" si="1"/>
        <v>lunes</v>
      </c>
    </row>
    <row r="23" spans="2:23" hidden="1" x14ac:dyDescent="0.25">
      <c r="B23" s="337">
        <v>45819</v>
      </c>
      <c r="C23" s="337">
        <v>46127</v>
      </c>
      <c r="D23" s="374" t="s">
        <v>78</v>
      </c>
      <c r="E23" s="309" t="s">
        <v>47</v>
      </c>
      <c r="F23" s="310" t="s">
        <v>95</v>
      </c>
      <c r="G23" s="311">
        <v>5.64</v>
      </c>
      <c r="H23" s="311">
        <v>9</v>
      </c>
      <c r="I23" s="340">
        <f>12.54</f>
        <v>12.54</v>
      </c>
      <c r="J23" s="340"/>
      <c r="K23" s="308"/>
      <c r="L23" s="340">
        <f t="shared" si="0"/>
        <v>12.54</v>
      </c>
      <c r="M23" s="311"/>
      <c r="N23" s="311"/>
      <c r="O23" s="311"/>
      <c r="P23" s="311"/>
      <c r="Q23" s="311"/>
      <c r="R23" s="392"/>
      <c r="S23" s="358">
        <f ca="1">IF(C23&lt;=EOMONTH('&gt;&gt;Vistas Consolidadas'!$D$2, '&gt;&gt;Vistas Consolidadas'!$F$2),J23+I23,J23)</f>
        <v>12.54</v>
      </c>
      <c r="T23" s="18" t="str">
        <f ca="1">IF(C23&gt;='&gt;&gt;Vistas Consolidadas'!$D$2,"SI","NO")</f>
        <v>NO</v>
      </c>
      <c r="U23" s="358">
        <f ca="1">IF(C23&lt;=EOMONTH('&gt;&gt;Vistas Consolidadas'!$D$2, '&gt;&gt;Vistas Consolidadas'!$F$2),I23,0)</f>
        <v>12.54</v>
      </c>
      <c r="V23" s="18" t="b">
        <f ca="1">AND(C23&gt;='Interes Por Semana'!$C$4, C23&lt;='Interes Por Semana'!$E$4)</f>
        <v>0</v>
      </c>
      <c r="W23" s="18" t="str">
        <f t="shared" si="1"/>
        <v>miércoles</v>
      </c>
    </row>
    <row r="24" spans="2:23" hidden="1" x14ac:dyDescent="0.25">
      <c r="B24" s="337">
        <v>45323</v>
      </c>
      <c r="C24" s="337">
        <v>46146</v>
      </c>
      <c r="D24" s="374" t="s">
        <v>96</v>
      </c>
      <c r="E24" s="309" t="s">
        <v>47</v>
      </c>
      <c r="F24" s="310" t="s">
        <v>97</v>
      </c>
      <c r="G24" s="311">
        <v>6</v>
      </c>
      <c r="H24" s="311">
        <v>12</v>
      </c>
      <c r="I24" s="340">
        <v>16.670000000000002</v>
      </c>
      <c r="J24" s="340"/>
      <c r="K24" s="308"/>
      <c r="L24" s="340">
        <f t="shared" si="0"/>
        <v>16.670000000000002</v>
      </c>
      <c r="M24" s="311"/>
      <c r="N24" s="311"/>
      <c r="O24" s="311"/>
      <c r="P24" s="311"/>
      <c r="Q24" s="311"/>
      <c r="R24" s="392"/>
      <c r="S24" s="358">
        <f ca="1">IF(C24&lt;=EOMONTH('&gt;&gt;Vistas Consolidadas'!$D$2, '&gt;&gt;Vistas Consolidadas'!$F$2),J24+I24,J24)</f>
        <v>16.670000000000002</v>
      </c>
      <c r="T24" s="18" t="str">
        <f ca="1">IF(C24&gt;='&gt;&gt;Vistas Consolidadas'!$D$2,"SI","NO")</f>
        <v>NO</v>
      </c>
      <c r="U24" s="358">
        <f ca="1">IF(C24&lt;=EOMONTH('&gt;&gt;Vistas Consolidadas'!$D$2, '&gt;&gt;Vistas Consolidadas'!$F$2),I24,0)</f>
        <v>16.670000000000002</v>
      </c>
      <c r="V24" s="18" t="b">
        <f ca="1">AND(C24&gt;='Interes Por Semana'!$C$4, C24&lt;='Interes Por Semana'!$E$4)</f>
        <v>0</v>
      </c>
      <c r="W24" s="18" t="str">
        <f t="shared" si="1"/>
        <v>lunes</v>
      </c>
    </row>
    <row r="25" spans="2:23" hidden="1" x14ac:dyDescent="0.25">
      <c r="B25" s="337">
        <v>45356</v>
      </c>
      <c r="C25" s="337">
        <v>46146</v>
      </c>
      <c r="D25" s="374" t="s">
        <v>96</v>
      </c>
      <c r="E25" s="309" t="s">
        <v>47</v>
      </c>
      <c r="F25" s="310" t="s">
        <v>97</v>
      </c>
      <c r="G25" s="311">
        <v>6</v>
      </c>
      <c r="H25" s="311">
        <v>12</v>
      </c>
      <c r="I25" s="340">
        <v>108.33</v>
      </c>
      <c r="J25" s="340"/>
      <c r="K25" s="308"/>
      <c r="L25" s="340">
        <f t="shared" si="0"/>
        <v>108.33</v>
      </c>
      <c r="M25" s="311"/>
      <c r="N25" s="311"/>
      <c r="O25" s="311"/>
      <c r="P25" s="311"/>
      <c r="Q25" s="311"/>
      <c r="R25" s="392"/>
      <c r="S25" s="358">
        <f ca="1">IF(C25&lt;=EOMONTH('&gt;&gt;Vistas Consolidadas'!$D$2, '&gt;&gt;Vistas Consolidadas'!$F$2),J25+I25,J25)</f>
        <v>108.33</v>
      </c>
      <c r="T25" s="18" t="str">
        <f ca="1">IF(C25&gt;='&gt;&gt;Vistas Consolidadas'!$D$2,"SI","NO")</f>
        <v>NO</v>
      </c>
      <c r="U25" s="358">
        <f ca="1">IF(C25&lt;=EOMONTH('&gt;&gt;Vistas Consolidadas'!$D$2, '&gt;&gt;Vistas Consolidadas'!$F$2),I25,0)</f>
        <v>108.33</v>
      </c>
      <c r="V25" s="18" t="b">
        <f ca="1">AND(C25&gt;='Interes Por Semana'!$C$4, C25&lt;='Interes Por Semana'!$E$4)</f>
        <v>0</v>
      </c>
      <c r="W25" s="18" t="str">
        <f t="shared" si="1"/>
        <v>lunes</v>
      </c>
    </row>
    <row r="26" spans="2:23" hidden="1" x14ac:dyDescent="0.25">
      <c r="B26" s="337">
        <v>45006</v>
      </c>
      <c r="C26" s="337">
        <v>46146</v>
      </c>
      <c r="D26" s="374" t="s">
        <v>96</v>
      </c>
      <c r="E26" s="309" t="s">
        <v>46</v>
      </c>
      <c r="F26" s="310" t="s">
        <v>97</v>
      </c>
      <c r="G26" s="312">
        <v>6</v>
      </c>
      <c r="H26" s="308">
        <v>12</v>
      </c>
      <c r="I26" s="340">
        <v>62.5</v>
      </c>
      <c r="J26" s="340"/>
      <c r="K26" s="308"/>
      <c r="L26" s="340">
        <f t="shared" si="0"/>
        <v>62.5</v>
      </c>
      <c r="M26" s="308"/>
      <c r="N26" s="311"/>
      <c r="O26" s="312"/>
      <c r="P26" s="308"/>
      <c r="Q26" s="308"/>
      <c r="R26" s="392"/>
      <c r="S26" s="358">
        <f ca="1">IF(C26&lt;=EOMONTH('&gt;&gt;Vistas Consolidadas'!$D$2, '&gt;&gt;Vistas Consolidadas'!$F$2),J26+I26,J26)</f>
        <v>62.5</v>
      </c>
      <c r="T26" s="18" t="str">
        <f ca="1">IF(C26&gt;='&gt;&gt;Vistas Consolidadas'!$D$2,"SI","NO")</f>
        <v>NO</v>
      </c>
      <c r="U26" s="358">
        <f ca="1">IF(C26&lt;=EOMONTH('&gt;&gt;Vistas Consolidadas'!$D$2, '&gt;&gt;Vistas Consolidadas'!$F$2),I26,0)</f>
        <v>62.5</v>
      </c>
      <c r="V26" s="18" t="b">
        <f ca="1">AND(C26&gt;='Interes Por Semana'!$C$4, C26&lt;='Interes Por Semana'!$E$4)</f>
        <v>0</v>
      </c>
      <c r="W26" s="18" t="str">
        <f t="shared" si="1"/>
        <v>lunes</v>
      </c>
    </row>
    <row r="27" spans="2:23" hidden="1" x14ac:dyDescent="0.25">
      <c r="B27" s="337">
        <v>45397</v>
      </c>
      <c r="C27" s="337">
        <v>46146</v>
      </c>
      <c r="D27" s="374" t="s">
        <v>96</v>
      </c>
      <c r="E27" s="309" t="s">
        <v>47</v>
      </c>
      <c r="F27" s="310" t="s">
        <v>97</v>
      </c>
      <c r="G27" s="311">
        <v>6</v>
      </c>
      <c r="H27" s="311">
        <v>12</v>
      </c>
      <c r="I27" s="340">
        <v>54.16</v>
      </c>
      <c r="J27" s="340"/>
      <c r="K27" s="308"/>
      <c r="L27" s="340">
        <f t="shared" si="0"/>
        <v>54.16</v>
      </c>
      <c r="M27" s="311"/>
      <c r="N27" s="311"/>
      <c r="O27" s="311"/>
      <c r="P27" s="311"/>
      <c r="Q27" s="311"/>
      <c r="R27" s="392"/>
      <c r="S27" s="358">
        <f ca="1">IF(C27&lt;=EOMONTH('&gt;&gt;Vistas Consolidadas'!$D$2, '&gt;&gt;Vistas Consolidadas'!$F$2),J27+I27,J27)</f>
        <v>54.16</v>
      </c>
      <c r="T27" s="18" t="str">
        <f ca="1">IF(C27&gt;='&gt;&gt;Vistas Consolidadas'!$D$2,"SI","NO")</f>
        <v>NO</v>
      </c>
      <c r="U27" s="358">
        <f ca="1">IF(C27&lt;=EOMONTH('&gt;&gt;Vistas Consolidadas'!$D$2, '&gt;&gt;Vistas Consolidadas'!$F$2),I27,0)</f>
        <v>54.16</v>
      </c>
      <c r="V27" s="18" t="b">
        <f ca="1">AND(C27&gt;='Interes Por Semana'!$C$4, C27&lt;='Interes Por Semana'!$E$4)</f>
        <v>0</v>
      </c>
      <c r="W27" s="18" t="str">
        <f t="shared" si="1"/>
        <v>lunes</v>
      </c>
    </row>
    <row r="28" spans="2:23" hidden="1" x14ac:dyDescent="0.25">
      <c r="B28" s="337">
        <v>45397</v>
      </c>
      <c r="C28" s="337">
        <v>46146</v>
      </c>
      <c r="D28" s="374" t="s">
        <v>96</v>
      </c>
      <c r="E28" s="309" t="s">
        <v>46</v>
      </c>
      <c r="F28" s="310" t="s">
        <v>97</v>
      </c>
      <c r="G28" s="312">
        <v>6</v>
      </c>
      <c r="H28" s="308">
        <v>12</v>
      </c>
      <c r="I28" s="340">
        <v>62.5</v>
      </c>
      <c r="J28" s="340"/>
      <c r="K28" s="308"/>
      <c r="L28" s="340">
        <f t="shared" si="0"/>
        <v>62.5</v>
      </c>
      <c r="M28" s="308"/>
      <c r="N28" s="311"/>
      <c r="O28" s="312"/>
      <c r="P28" s="308"/>
      <c r="Q28" s="308"/>
      <c r="R28" s="392"/>
      <c r="S28" s="358">
        <f ca="1">IF(C28&lt;=EOMONTH('&gt;&gt;Vistas Consolidadas'!$D$2, '&gt;&gt;Vistas Consolidadas'!$F$2),J28+I28,J28)</f>
        <v>62.5</v>
      </c>
      <c r="T28" s="18" t="str">
        <f ca="1">IF(C28&gt;='&gt;&gt;Vistas Consolidadas'!$D$2,"SI","NO")</f>
        <v>NO</v>
      </c>
      <c r="U28" s="358">
        <f ca="1">IF(C28&lt;=EOMONTH('&gt;&gt;Vistas Consolidadas'!$D$2, '&gt;&gt;Vistas Consolidadas'!$F$2),I28,0)</f>
        <v>62.5</v>
      </c>
      <c r="V28" s="18" t="b">
        <f ca="1">AND(C28&gt;='Interes Por Semana'!$C$4, C28&lt;='Interes Por Semana'!$E$4)</f>
        <v>0</v>
      </c>
      <c r="W28" s="18" t="str">
        <f t="shared" si="1"/>
        <v>lunes</v>
      </c>
    </row>
    <row r="29" spans="2:23" hidden="1" x14ac:dyDescent="0.25">
      <c r="B29" s="337">
        <v>45398</v>
      </c>
      <c r="C29" s="337">
        <v>46146</v>
      </c>
      <c r="D29" s="374" t="s">
        <v>96</v>
      </c>
      <c r="E29" s="309" t="s">
        <v>47</v>
      </c>
      <c r="F29" s="310" t="s">
        <v>97</v>
      </c>
      <c r="G29" s="311">
        <v>6</v>
      </c>
      <c r="H29" s="311">
        <v>12</v>
      </c>
      <c r="I29" s="340">
        <v>16.670000000000002</v>
      </c>
      <c r="J29" s="340"/>
      <c r="K29" s="308"/>
      <c r="L29" s="340">
        <f t="shared" si="0"/>
        <v>16.670000000000002</v>
      </c>
      <c r="M29" s="311"/>
      <c r="N29" s="311"/>
      <c r="O29" s="311"/>
      <c r="P29" s="311"/>
      <c r="Q29" s="311"/>
      <c r="R29" s="392"/>
      <c r="S29" s="358">
        <f ca="1">IF(C29&lt;=EOMONTH('&gt;&gt;Vistas Consolidadas'!$D$2, '&gt;&gt;Vistas Consolidadas'!$F$2),J29+I29,J29)</f>
        <v>16.670000000000002</v>
      </c>
      <c r="T29" s="18" t="str">
        <f ca="1">IF(C29&gt;='&gt;&gt;Vistas Consolidadas'!$D$2,"SI","NO")</f>
        <v>NO</v>
      </c>
      <c r="U29" s="358">
        <f ca="1">IF(C29&lt;=EOMONTH('&gt;&gt;Vistas Consolidadas'!$D$2, '&gt;&gt;Vistas Consolidadas'!$F$2),I29,0)</f>
        <v>16.670000000000002</v>
      </c>
      <c r="V29" s="18" t="b">
        <f ca="1">AND(C29&gt;='Interes Por Semana'!$C$4, C29&lt;='Interes Por Semana'!$E$4)</f>
        <v>0</v>
      </c>
      <c r="W29" s="18" t="str">
        <f t="shared" si="1"/>
        <v>lunes</v>
      </c>
    </row>
    <row r="30" spans="2:23" hidden="1" x14ac:dyDescent="0.25">
      <c r="B30" s="337">
        <v>46105</v>
      </c>
      <c r="C30" s="337">
        <v>46146</v>
      </c>
      <c r="D30" s="374" t="s">
        <v>96</v>
      </c>
      <c r="E30" s="309" t="s">
        <v>47</v>
      </c>
      <c r="F30" s="310" t="s">
        <v>97</v>
      </c>
      <c r="G30" s="311">
        <v>6</v>
      </c>
      <c r="H30" s="311">
        <v>10</v>
      </c>
      <c r="I30" s="340">
        <v>16.670000000000002</v>
      </c>
      <c r="J30" s="340"/>
      <c r="K30" s="308"/>
      <c r="L30" s="340">
        <f t="shared" si="0"/>
        <v>16.670000000000002</v>
      </c>
      <c r="M30" s="311"/>
      <c r="N30" s="311"/>
      <c r="O30" s="311"/>
      <c r="P30" s="311"/>
      <c r="Q30" s="311"/>
      <c r="R30" s="392"/>
      <c r="S30" s="358">
        <f ca="1">IF(C30&lt;=EOMONTH('&gt;&gt;Vistas Consolidadas'!$D$2, '&gt;&gt;Vistas Consolidadas'!$F$2),J30+I30,J30)</f>
        <v>16.670000000000002</v>
      </c>
      <c r="T30" s="18" t="str">
        <f ca="1">IF(C30&gt;='&gt;&gt;Vistas Consolidadas'!$D$2,"SI","NO")</f>
        <v>NO</v>
      </c>
      <c r="U30" s="358">
        <f ca="1">IF(C30&lt;=EOMONTH('&gt;&gt;Vistas Consolidadas'!$D$2, '&gt;&gt;Vistas Consolidadas'!$F$2),I30,0)</f>
        <v>16.670000000000002</v>
      </c>
      <c r="V30" s="18" t="b">
        <f ca="1">AND(C30&gt;='Interes Por Semana'!$C$4, C30&lt;='Interes Por Semana'!$E$4)</f>
        <v>0</v>
      </c>
      <c r="W30" s="18" t="str">
        <f t="shared" si="1"/>
        <v>lunes</v>
      </c>
    </row>
    <row r="31" spans="2:23" hidden="1" x14ac:dyDescent="0.25">
      <c r="B31" s="337">
        <v>44462</v>
      </c>
      <c r="C31" s="337">
        <v>46129</v>
      </c>
      <c r="D31" s="374" t="s">
        <v>78</v>
      </c>
      <c r="E31" s="309" t="s">
        <v>46</v>
      </c>
      <c r="F31" s="310" t="s">
        <v>98</v>
      </c>
      <c r="G31" s="312">
        <v>5.64</v>
      </c>
      <c r="H31" s="308">
        <v>8.1999999999999993</v>
      </c>
      <c r="I31" s="340">
        <v>5.05</v>
      </c>
      <c r="J31" s="340"/>
      <c r="K31" s="308"/>
      <c r="L31" s="340">
        <f t="shared" si="0"/>
        <v>5.05</v>
      </c>
      <c r="M31" s="308"/>
      <c r="N31" s="311"/>
      <c r="O31" s="312"/>
      <c r="P31" s="308"/>
      <c r="Q31" s="308"/>
      <c r="R31" s="392"/>
      <c r="S31" s="358">
        <f ca="1">IF(C31&lt;=EOMONTH('&gt;&gt;Vistas Consolidadas'!$D$2, '&gt;&gt;Vistas Consolidadas'!$F$2),J31+I31,J31)</f>
        <v>5.05</v>
      </c>
      <c r="T31" s="18" t="str">
        <f ca="1">IF(C31&gt;='&gt;&gt;Vistas Consolidadas'!$D$2,"SI","NO")</f>
        <v>NO</v>
      </c>
      <c r="U31" s="358">
        <f ca="1">IF(C31&lt;=EOMONTH('&gt;&gt;Vistas Consolidadas'!$D$2, '&gt;&gt;Vistas Consolidadas'!$F$2),I31,0)</f>
        <v>5.05</v>
      </c>
      <c r="V31" s="18" t="b">
        <f ca="1">AND(C31&gt;='Interes Por Semana'!$C$4, C31&lt;='Interes Por Semana'!$E$4)</f>
        <v>0</v>
      </c>
      <c r="W31" s="18" t="str">
        <f t="shared" si="1"/>
        <v>viernes</v>
      </c>
    </row>
    <row r="32" spans="2:23" hidden="1" x14ac:dyDescent="0.25">
      <c r="B32" s="337">
        <v>45264</v>
      </c>
      <c r="C32" s="337">
        <v>46129</v>
      </c>
      <c r="D32" s="374" t="s">
        <v>78</v>
      </c>
      <c r="E32" s="309" t="s">
        <v>46</v>
      </c>
      <c r="F32" s="310" t="s">
        <v>99</v>
      </c>
      <c r="G32" s="312">
        <v>5.64</v>
      </c>
      <c r="H32" s="308">
        <v>13</v>
      </c>
      <c r="I32" s="340">
        <v>14.1</v>
      </c>
      <c r="J32" s="340"/>
      <c r="K32" s="308"/>
      <c r="L32" s="340">
        <f t="shared" si="0"/>
        <v>14.1</v>
      </c>
      <c r="M32" s="308"/>
      <c r="N32" s="311"/>
      <c r="O32" s="312"/>
      <c r="P32" s="308"/>
      <c r="Q32" s="308"/>
      <c r="R32" s="392"/>
      <c r="S32" s="358">
        <f ca="1">IF(C32&lt;=EOMONTH('&gt;&gt;Vistas Consolidadas'!$D$2, '&gt;&gt;Vistas Consolidadas'!$F$2),J32+I32,J32)</f>
        <v>14.1</v>
      </c>
      <c r="T32" s="18" t="str">
        <f ca="1">IF(C32&gt;='&gt;&gt;Vistas Consolidadas'!$D$2,"SI","NO")</f>
        <v>NO</v>
      </c>
      <c r="U32" s="358">
        <f ca="1">IF(C32&lt;=EOMONTH('&gt;&gt;Vistas Consolidadas'!$D$2, '&gt;&gt;Vistas Consolidadas'!$F$2),I32,0)</f>
        <v>14.1</v>
      </c>
      <c r="V32" s="18" t="b">
        <f ca="1">AND(C32&gt;='Interes Por Semana'!$C$4, C32&lt;='Interes Por Semana'!$E$4)</f>
        <v>0</v>
      </c>
      <c r="W32" s="18" t="str">
        <f t="shared" si="1"/>
        <v>viernes</v>
      </c>
    </row>
    <row r="33" spans="2:23" hidden="1" x14ac:dyDescent="0.25">
      <c r="B33" s="337">
        <v>45302</v>
      </c>
      <c r="C33" s="337">
        <v>46129</v>
      </c>
      <c r="D33" s="374" t="s">
        <v>78</v>
      </c>
      <c r="E33" s="309" t="s">
        <v>46</v>
      </c>
      <c r="F33" s="310" t="s">
        <v>99</v>
      </c>
      <c r="G33" s="312">
        <v>5.64</v>
      </c>
      <c r="H33" s="308">
        <v>12.75</v>
      </c>
      <c r="I33" s="340">
        <v>7.28</v>
      </c>
      <c r="J33" s="340"/>
      <c r="K33" s="308"/>
      <c r="L33" s="340">
        <f t="shared" si="0"/>
        <v>7.28</v>
      </c>
      <c r="M33" s="308"/>
      <c r="N33" s="311"/>
      <c r="O33" s="312"/>
      <c r="P33" s="308"/>
      <c r="Q33" s="308"/>
      <c r="R33" s="392"/>
      <c r="S33" s="358">
        <f ca="1">IF(C33&lt;=EOMONTH('&gt;&gt;Vistas Consolidadas'!$D$2, '&gt;&gt;Vistas Consolidadas'!$F$2),J33+I33,J33)</f>
        <v>7.28</v>
      </c>
      <c r="T33" s="18" t="str">
        <f ca="1">IF(C33&gt;='&gt;&gt;Vistas Consolidadas'!$D$2,"SI","NO")</f>
        <v>NO</v>
      </c>
      <c r="U33" s="358">
        <f ca="1">IF(C33&lt;=EOMONTH('&gt;&gt;Vistas Consolidadas'!$D$2, '&gt;&gt;Vistas Consolidadas'!$F$2),I33,0)</f>
        <v>7.28</v>
      </c>
      <c r="V33" s="18" t="b">
        <f ca="1">AND(C33&gt;='Interes Por Semana'!$C$4, C33&lt;='Interes Por Semana'!$E$4)</f>
        <v>0</v>
      </c>
      <c r="W33" s="18" t="str">
        <f t="shared" si="1"/>
        <v>viernes</v>
      </c>
    </row>
    <row r="34" spans="2:23" hidden="1" x14ac:dyDescent="0.25">
      <c r="B34" s="337">
        <v>46006</v>
      </c>
      <c r="C34" s="337">
        <v>46130</v>
      </c>
      <c r="D34" s="374" t="s">
        <v>78</v>
      </c>
      <c r="E34" s="309" t="s">
        <v>46</v>
      </c>
      <c r="F34" s="310" t="s">
        <v>100</v>
      </c>
      <c r="G34" s="312">
        <v>5.93</v>
      </c>
      <c r="H34" s="308">
        <v>11</v>
      </c>
      <c r="I34" s="340">
        <f>23.09-J34</f>
        <v>23.09</v>
      </c>
      <c r="J34" s="340"/>
      <c r="K34" s="308"/>
      <c r="L34" s="340">
        <f t="shared" si="0"/>
        <v>23.09</v>
      </c>
      <c r="M34" s="308"/>
      <c r="N34" s="311"/>
      <c r="O34" s="312"/>
      <c r="P34" s="308"/>
      <c r="Q34" s="308"/>
      <c r="R34" s="392"/>
      <c r="S34" s="358">
        <f ca="1">IF(C34&lt;=EOMONTH('&gt;&gt;Vistas Consolidadas'!$D$2, '&gt;&gt;Vistas Consolidadas'!$F$2),J34+I34,J34)</f>
        <v>23.09</v>
      </c>
      <c r="T34" s="18" t="str">
        <f ca="1">IF(C34&gt;='&gt;&gt;Vistas Consolidadas'!$D$2,"SI","NO")</f>
        <v>NO</v>
      </c>
      <c r="U34" s="358">
        <f ca="1">IF(C34&lt;=EOMONTH('&gt;&gt;Vistas Consolidadas'!$D$2, '&gt;&gt;Vistas Consolidadas'!$F$2),I34,0)</f>
        <v>23.09</v>
      </c>
      <c r="V34" s="18" t="b">
        <f ca="1">AND(C34&gt;='Interes Por Semana'!$C$4, C34&lt;='Interes Por Semana'!$E$4)</f>
        <v>0</v>
      </c>
      <c r="W34" s="18" t="str">
        <f t="shared" si="1"/>
        <v>sábado</v>
      </c>
    </row>
    <row r="35" spans="2:23" hidden="1" x14ac:dyDescent="0.25">
      <c r="B35" s="337">
        <v>45734</v>
      </c>
      <c r="C35" s="337">
        <v>46130</v>
      </c>
      <c r="D35" s="374" t="s">
        <v>78</v>
      </c>
      <c r="E35" s="309" t="s">
        <v>47</v>
      </c>
      <c r="F35" s="310" t="s">
        <v>101</v>
      </c>
      <c r="G35" s="311">
        <v>5.93</v>
      </c>
      <c r="H35" s="311">
        <v>12</v>
      </c>
      <c r="I35" s="340">
        <f>8.94</f>
        <v>8.94</v>
      </c>
      <c r="J35" s="340"/>
      <c r="K35" s="308"/>
      <c r="L35" s="340">
        <f t="shared" si="0"/>
        <v>8.94</v>
      </c>
      <c r="M35" s="311"/>
      <c r="N35" s="311"/>
      <c r="O35" s="311"/>
      <c r="P35" s="311"/>
      <c r="Q35" s="311"/>
      <c r="R35" s="392"/>
      <c r="S35" s="358">
        <f ca="1">IF(C35&lt;=EOMONTH('&gt;&gt;Vistas Consolidadas'!$D$2, '&gt;&gt;Vistas Consolidadas'!$F$2),J35+I35,J35)</f>
        <v>8.94</v>
      </c>
      <c r="T35" s="18" t="str">
        <f ca="1">IF(C35&gt;='&gt;&gt;Vistas Consolidadas'!$D$2,"SI","NO")</f>
        <v>NO</v>
      </c>
      <c r="U35" s="358">
        <f ca="1">IF(C35&lt;=EOMONTH('&gt;&gt;Vistas Consolidadas'!$D$2, '&gt;&gt;Vistas Consolidadas'!$F$2),I35,0)</f>
        <v>8.94</v>
      </c>
      <c r="V35" s="18" t="b">
        <f ca="1">AND(C35&gt;='Interes Por Semana'!$C$4, C35&lt;='Interes Por Semana'!$E$4)</f>
        <v>0</v>
      </c>
      <c r="W35" s="18" t="str">
        <f t="shared" si="1"/>
        <v>sábado</v>
      </c>
    </row>
    <row r="36" spans="2:23" hidden="1" x14ac:dyDescent="0.25">
      <c r="B36" s="337">
        <v>45784</v>
      </c>
      <c r="C36" s="337">
        <v>46130</v>
      </c>
      <c r="D36" s="374" t="s">
        <v>78</v>
      </c>
      <c r="E36" s="309" t="s">
        <v>47</v>
      </c>
      <c r="F36" s="310" t="s">
        <v>102</v>
      </c>
      <c r="G36" s="311">
        <v>6.21</v>
      </c>
      <c r="H36" s="311">
        <v>11.25</v>
      </c>
      <c r="I36" s="340">
        <v>29.76</v>
      </c>
      <c r="J36" s="340">
        <v>0</v>
      </c>
      <c r="K36" s="308"/>
      <c r="L36" s="340">
        <f t="shared" si="0"/>
        <v>29.76</v>
      </c>
      <c r="M36" s="311"/>
      <c r="N36" s="311"/>
      <c r="O36" s="311"/>
      <c r="P36" s="311"/>
      <c r="Q36" s="311"/>
      <c r="R36" s="392"/>
      <c r="S36" s="358">
        <f ca="1">IF(C36&lt;=EOMONTH('&gt;&gt;Vistas Consolidadas'!$D$2, '&gt;&gt;Vistas Consolidadas'!$F$2),J36+I36,J36)</f>
        <v>29.76</v>
      </c>
      <c r="T36" s="18" t="str">
        <f ca="1">IF(C36&gt;='&gt;&gt;Vistas Consolidadas'!$D$2,"SI","NO")</f>
        <v>NO</v>
      </c>
      <c r="U36" s="358">
        <f ca="1">IF(C36&lt;=EOMONTH('&gt;&gt;Vistas Consolidadas'!$D$2, '&gt;&gt;Vistas Consolidadas'!$F$2),I36,0)</f>
        <v>29.76</v>
      </c>
      <c r="V36" s="18" t="b">
        <f ca="1">AND(C36&gt;='Interes Por Semana'!$C$4, C36&lt;='Interes Por Semana'!$E$4)</f>
        <v>0</v>
      </c>
      <c r="W36" s="18" t="str">
        <f t="shared" si="1"/>
        <v>sábado</v>
      </c>
    </row>
    <row r="37" spans="2:23" hidden="1" x14ac:dyDescent="0.25">
      <c r="B37" s="337">
        <v>46037</v>
      </c>
      <c r="C37" s="337">
        <v>46130</v>
      </c>
      <c r="D37" s="374" t="s">
        <v>78</v>
      </c>
      <c r="E37" s="309" t="s">
        <v>47</v>
      </c>
      <c r="F37" s="310" t="s">
        <v>102</v>
      </c>
      <c r="G37" s="311">
        <v>6.21</v>
      </c>
      <c r="H37" s="311">
        <v>11</v>
      </c>
      <c r="I37" s="340">
        <v>6.55</v>
      </c>
      <c r="J37" s="340"/>
      <c r="K37" s="308"/>
      <c r="L37" s="340">
        <f t="shared" si="0"/>
        <v>6.55</v>
      </c>
      <c r="M37" s="311"/>
      <c r="N37" s="311"/>
      <c r="O37" s="311"/>
      <c r="P37" s="311"/>
      <c r="Q37" s="311"/>
      <c r="R37" s="392"/>
      <c r="S37" s="358">
        <f ca="1">IF(C37&lt;=EOMONTH('&gt;&gt;Vistas Consolidadas'!$D$2, '&gt;&gt;Vistas Consolidadas'!$F$2),J37+I37,J37)</f>
        <v>6.55</v>
      </c>
      <c r="T37" s="18" t="str">
        <f ca="1">IF(C37&gt;='&gt;&gt;Vistas Consolidadas'!$D$2,"SI","NO")</f>
        <v>NO</v>
      </c>
      <c r="U37" s="358">
        <f ca="1">IF(C37&lt;=EOMONTH('&gt;&gt;Vistas Consolidadas'!$D$2, '&gt;&gt;Vistas Consolidadas'!$F$2),I37,0)</f>
        <v>6.55</v>
      </c>
      <c r="V37" s="18" t="b">
        <f ca="1">AND(C37&gt;='Interes Por Semana'!$C$4, C37&lt;='Interes Por Semana'!$E$4)</f>
        <v>0</v>
      </c>
      <c r="W37" s="18" t="str">
        <f t="shared" si="1"/>
        <v>sábado</v>
      </c>
    </row>
    <row r="38" spans="2:23" hidden="1" x14ac:dyDescent="0.25">
      <c r="B38" s="337">
        <v>45264</v>
      </c>
      <c r="C38" s="337">
        <v>46130</v>
      </c>
      <c r="D38" s="374" t="s">
        <v>78</v>
      </c>
      <c r="E38" s="309" t="s">
        <v>46</v>
      </c>
      <c r="F38" s="310" t="s">
        <v>102</v>
      </c>
      <c r="G38" s="312">
        <v>6.21</v>
      </c>
      <c r="H38" s="308">
        <v>10.75</v>
      </c>
      <c r="I38" s="340">
        <v>40.25</v>
      </c>
      <c r="J38" s="340"/>
      <c r="K38" s="308"/>
      <c r="L38" s="340">
        <f t="shared" si="0"/>
        <v>40.25</v>
      </c>
      <c r="M38" s="308"/>
      <c r="N38" s="311"/>
      <c r="O38" s="312"/>
      <c r="P38" s="308"/>
      <c r="Q38" s="308"/>
      <c r="R38" s="392"/>
      <c r="S38" s="358">
        <f ca="1">IF(C38&lt;=EOMONTH('&gt;&gt;Vistas Consolidadas'!$D$2, '&gt;&gt;Vistas Consolidadas'!$F$2),J38+I38,J38)</f>
        <v>40.25</v>
      </c>
      <c r="T38" s="18" t="str">
        <f ca="1">IF(C38&gt;='&gt;&gt;Vistas Consolidadas'!$D$2,"SI","NO")</f>
        <v>NO</v>
      </c>
      <c r="U38" s="358">
        <f ca="1">IF(C38&lt;=EOMONTH('&gt;&gt;Vistas Consolidadas'!$D$2, '&gt;&gt;Vistas Consolidadas'!$F$2),I38,0)</f>
        <v>40.25</v>
      </c>
      <c r="V38" s="18" t="b">
        <f ca="1">AND(C38&gt;='Interes Por Semana'!$C$4, C38&lt;='Interes Por Semana'!$E$4)</f>
        <v>0</v>
      </c>
      <c r="W38" s="18" t="str">
        <f t="shared" si="1"/>
        <v>sábado</v>
      </c>
    </row>
    <row r="39" spans="2:23" hidden="1" x14ac:dyDescent="0.25">
      <c r="B39" s="337">
        <v>44988</v>
      </c>
      <c r="C39" s="337">
        <v>46130</v>
      </c>
      <c r="D39" s="374" t="s">
        <v>78</v>
      </c>
      <c r="E39" s="309" t="s">
        <v>46</v>
      </c>
      <c r="F39" s="310" t="s">
        <v>102</v>
      </c>
      <c r="G39" s="312">
        <v>6.21</v>
      </c>
      <c r="H39" s="308">
        <v>10.75</v>
      </c>
      <c r="I39" s="340">
        <v>96.51</v>
      </c>
      <c r="J39" s="340"/>
      <c r="K39" s="308"/>
      <c r="L39" s="340">
        <f t="shared" si="0"/>
        <v>96.51</v>
      </c>
      <c r="M39" s="308"/>
      <c r="N39" s="311"/>
      <c r="O39" s="312"/>
      <c r="P39" s="308"/>
      <c r="Q39" s="308"/>
      <c r="R39" s="392"/>
      <c r="S39" s="358">
        <f ca="1">IF(C39&lt;=EOMONTH('&gt;&gt;Vistas Consolidadas'!$D$2, '&gt;&gt;Vistas Consolidadas'!$F$2),J39+I39,J39)</f>
        <v>96.51</v>
      </c>
      <c r="T39" s="18" t="str">
        <f ca="1">IF(C39&gt;='&gt;&gt;Vistas Consolidadas'!$D$2,"SI","NO")</f>
        <v>NO</v>
      </c>
      <c r="U39" s="358">
        <f ca="1">IF(C39&lt;=EOMONTH('&gt;&gt;Vistas Consolidadas'!$D$2, '&gt;&gt;Vistas Consolidadas'!$F$2),I39,0)</f>
        <v>96.51</v>
      </c>
      <c r="V39" s="18" t="b">
        <f ca="1">AND(C39&gt;='Interes Por Semana'!$C$4, C39&lt;='Interes Por Semana'!$E$4)</f>
        <v>0</v>
      </c>
      <c r="W39" s="18" t="str">
        <f t="shared" si="1"/>
        <v>sábado</v>
      </c>
    </row>
    <row r="40" spans="2:23" hidden="1" x14ac:dyDescent="0.25">
      <c r="B40" s="337">
        <v>44988</v>
      </c>
      <c r="C40" s="337">
        <v>46130</v>
      </c>
      <c r="D40" s="374" t="s">
        <v>78</v>
      </c>
      <c r="E40" s="309" t="s">
        <v>47</v>
      </c>
      <c r="F40" s="310" t="s">
        <v>102</v>
      </c>
      <c r="G40" s="311">
        <v>6.21</v>
      </c>
      <c r="H40" s="311">
        <v>10.75</v>
      </c>
      <c r="I40" s="340">
        <v>146.12</v>
      </c>
      <c r="J40" s="340"/>
      <c r="K40" s="308"/>
      <c r="L40" s="340">
        <f t="shared" si="0"/>
        <v>146.12</v>
      </c>
      <c r="M40" s="311"/>
      <c r="N40" s="311"/>
      <c r="O40" s="311"/>
      <c r="P40" s="311"/>
      <c r="Q40" s="311"/>
      <c r="R40" s="392"/>
      <c r="S40" s="358">
        <f ca="1">IF(C40&lt;=EOMONTH('&gt;&gt;Vistas Consolidadas'!$D$2, '&gt;&gt;Vistas Consolidadas'!$F$2),J40+I40,J40)</f>
        <v>146.12</v>
      </c>
      <c r="T40" s="18" t="str">
        <f ca="1">IF(C40&gt;='&gt;&gt;Vistas Consolidadas'!$D$2,"SI","NO")</f>
        <v>NO</v>
      </c>
      <c r="U40" s="358">
        <f ca="1">IF(C40&lt;=EOMONTH('&gt;&gt;Vistas Consolidadas'!$D$2, '&gt;&gt;Vistas Consolidadas'!$F$2),I40,0)</f>
        <v>146.12</v>
      </c>
      <c r="V40" s="18" t="b">
        <f ca="1">AND(C40&gt;='Interes Por Semana'!$C$4, C40&lt;='Interes Por Semana'!$E$4)</f>
        <v>0</v>
      </c>
      <c r="W40" s="18" t="str">
        <f t="shared" si="1"/>
        <v>sábado</v>
      </c>
    </row>
    <row r="41" spans="2:23" hidden="1" x14ac:dyDescent="0.25">
      <c r="B41" s="337">
        <v>45264</v>
      </c>
      <c r="C41" s="337">
        <v>46133</v>
      </c>
      <c r="D41" s="374" t="s">
        <v>78</v>
      </c>
      <c r="E41" s="309" t="s">
        <v>46</v>
      </c>
      <c r="F41" s="310" t="s">
        <v>103</v>
      </c>
      <c r="G41" s="312">
        <v>5.36</v>
      </c>
      <c r="H41" s="308">
        <v>13</v>
      </c>
      <c r="I41" s="340">
        <v>5.58</v>
      </c>
      <c r="J41" s="340"/>
      <c r="K41" s="308"/>
      <c r="L41" s="340">
        <f t="shared" si="0"/>
        <v>5.58</v>
      </c>
      <c r="M41" s="308"/>
      <c r="N41" s="311"/>
      <c r="O41" s="312"/>
      <c r="P41" s="308"/>
      <c r="Q41" s="308"/>
      <c r="R41" s="392"/>
      <c r="S41" s="358">
        <f ca="1">IF(C41&lt;=EOMONTH('&gt;&gt;Vistas Consolidadas'!$D$2, '&gt;&gt;Vistas Consolidadas'!$F$2),J41+I41,J41)</f>
        <v>5.58</v>
      </c>
      <c r="T41" s="18" t="str">
        <f ca="1">IF(C41&gt;='&gt;&gt;Vistas Consolidadas'!$D$2,"SI","NO")</f>
        <v>NO</v>
      </c>
      <c r="U41" s="358">
        <f ca="1">IF(C41&lt;=EOMONTH('&gt;&gt;Vistas Consolidadas'!$D$2, '&gt;&gt;Vistas Consolidadas'!$F$2),I41,0)</f>
        <v>5.58</v>
      </c>
      <c r="V41" s="18" t="b">
        <f ca="1">AND(C41&gt;='Interes Por Semana'!$C$4, C41&lt;='Interes Por Semana'!$E$4)</f>
        <v>0</v>
      </c>
      <c r="W41" s="18" t="str">
        <f t="shared" si="1"/>
        <v>martes</v>
      </c>
    </row>
    <row r="42" spans="2:23" hidden="1" x14ac:dyDescent="0.25">
      <c r="B42" s="337">
        <v>45279</v>
      </c>
      <c r="C42" s="337">
        <v>46133</v>
      </c>
      <c r="D42" s="374" t="s">
        <v>78</v>
      </c>
      <c r="E42" s="309" t="s">
        <v>46</v>
      </c>
      <c r="F42" s="310" t="s">
        <v>103</v>
      </c>
      <c r="G42" s="312">
        <v>5.36</v>
      </c>
      <c r="H42" s="308">
        <v>13</v>
      </c>
      <c r="I42" s="340">
        <v>3.13</v>
      </c>
      <c r="J42" s="340"/>
      <c r="K42" s="308"/>
      <c r="L42" s="340">
        <f t="shared" si="0"/>
        <v>3.13</v>
      </c>
      <c r="M42" s="308"/>
      <c r="N42" s="311"/>
      <c r="O42" s="312"/>
      <c r="P42" s="308"/>
      <c r="Q42" s="308"/>
      <c r="R42" s="392"/>
      <c r="S42" s="358">
        <f ca="1">IF(C42&lt;=EOMONTH('&gt;&gt;Vistas Consolidadas'!$D$2, '&gt;&gt;Vistas Consolidadas'!$F$2),J42+I42,J42)</f>
        <v>3.13</v>
      </c>
      <c r="T42" s="18" t="str">
        <f ca="1">IF(C42&gt;='&gt;&gt;Vistas Consolidadas'!$D$2,"SI","NO")</f>
        <v>NO</v>
      </c>
      <c r="U42" s="358">
        <f ca="1">IF(C42&lt;=EOMONTH('&gt;&gt;Vistas Consolidadas'!$D$2, '&gt;&gt;Vistas Consolidadas'!$F$2),I42,0)</f>
        <v>3.13</v>
      </c>
      <c r="V42" s="18" t="b">
        <f ca="1">AND(C42&gt;='Interes Por Semana'!$C$4, C42&lt;='Interes Por Semana'!$E$4)</f>
        <v>0</v>
      </c>
      <c r="W42" s="18" t="str">
        <f t="shared" si="1"/>
        <v>martes</v>
      </c>
    </row>
    <row r="43" spans="2:23" hidden="1" x14ac:dyDescent="0.25">
      <c r="B43" s="337">
        <v>46072</v>
      </c>
      <c r="C43" s="337">
        <v>46133</v>
      </c>
      <c r="D43" s="374" t="s">
        <v>88</v>
      </c>
      <c r="E43" s="309" t="s">
        <v>46</v>
      </c>
      <c r="F43" s="310" t="s">
        <v>104</v>
      </c>
      <c r="G43" s="312">
        <v>9</v>
      </c>
      <c r="H43" s="308">
        <v>10.5</v>
      </c>
      <c r="I43" s="340">
        <f>450.62-133.7</f>
        <v>316.92</v>
      </c>
      <c r="J43" s="340">
        <f>1570.16+133.7</f>
        <v>1703.8600000000001</v>
      </c>
      <c r="K43" s="308"/>
      <c r="L43" s="340">
        <f t="shared" si="0"/>
        <v>316.92</v>
      </c>
      <c r="M43" s="308"/>
      <c r="N43" s="311"/>
      <c r="O43" s="312"/>
      <c r="P43" s="308"/>
      <c r="Q43" s="308"/>
      <c r="R43" s="392"/>
      <c r="S43" s="358">
        <f ca="1">IF(C43&lt;=EOMONTH('&gt;&gt;Vistas Consolidadas'!$D$2, '&gt;&gt;Vistas Consolidadas'!$F$2),J43+I43,J43)</f>
        <v>2020.7800000000002</v>
      </c>
      <c r="T43" s="18" t="str">
        <f ca="1">IF(C43&gt;='&gt;&gt;Vistas Consolidadas'!$D$2,"SI","NO")</f>
        <v>NO</v>
      </c>
      <c r="U43" s="358">
        <f ca="1">IF(C43&lt;=EOMONTH('&gt;&gt;Vistas Consolidadas'!$D$2, '&gt;&gt;Vistas Consolidadas'!$F$2),I43,0)</f>
        <v>316.92</v>
      </c>
      <c r="V43" s="18" t="b">
        <f ca="1">AND(C43&gt;='Interes Por Semana'!$C$4, C43&lt;='Interes Por Semana'!$E$4)</f>
        <v>0</v>
      </c>
      <c r="W43" s="18" t="str">
        <f t="shared" si="1"/>
        <v>martes</v>
      </c>
    </row>
    <row r="44" spans="2:23" hidden="1" x14ac:dyDescent="0.25">
      <c r="B44" s="337">
        <v>45552</v>
      </c>
      <c r="C44" s="337">
        <v>46133</v>
      </c>
      <c r="D44" s="374" t="s">
        <v>78</v>
      </c>
      <c r="E44" s="309" t="s">
        <v>47</v>
      </c>
      <c r="F44" s="310" t="s">
        <v>103</v>
      </c>
      <c r="G44" s="311">
        <v>5.36</v>
      </c>
      <c r="H44" s="311">
        <v>13.75</v>
      </c>
      <c r="I44" s="340">
        <f>4.47</f>
        <v>4.47</v>
      </c>
      <c r="J44" s="340"/>
      <c r="K44" s="308"/>
      <c r="L44" s="340">
        <f t="shared" si="0"/>
        <v>4.47</v>
      </c>
      <c r="M44" s="311"/>
      <c r="N44" s="311"/>
      <c r="O44" s="311"/>
      <c r="P44" s="311"/>
      <c r="Q44" s="311"/>
      <c r="R44" s="392"/>
      <c r="S44" s="358">
        <f ca="1">IF(C44&lt;=EOMONTH('&gt;&gt;Vistas Consolidadas'!$D$2, '&gt;&gt;Vistas Consolidadas'!$F$2),J44+I44,J44)</f>
        <v>4.47</v>
      </c>
      <c r="T44" s="18" t="str">
        <f ca="1">IF(C44&gt;='&gt;&gt;Vistas Consolidadas'!$D$2,"SI","NO")</f>
        <v>NO</v>
      </c>
      <c r="U44" s="358">
        <f ca="1">IF(C44&lt;=EOMONTH('&gt;&gt;Vistas Consolidadas'!$D$2, '&gt;&gt;Vistas Consolidadas'!$F$2),I44,0)</f>
        <v>4.47</v>
      </c>
      <c r="V44" s="18" t="b">
        <f ca="1">AND(C44&gt;='Interes Por Semana'!$C$4, C44&lt;='Interes Por Semana'!$E$4)</f>
        <v>0</v>
      </c>
      <c r="W44" s="18" t="str">
        <f t="shared" si="1"/>
        <v>martes</v>
      </c>
    </row>
    <row r="45" spans="2:23" hidden="1" x14ac:dyDescent="0.25">
      <c r="B45" s="337">
        <v>45447</v>
      </c>
      <c r="C45" s="337">
        <v>46136</v>
      </c>
      <c r="D45" s="374" t="s">
        <v>78</v>
      </c>
      <c r="E45" s="309" t="s">
        <v>47</v>
      </c>
      <c r="F45" s="310" t="s">
        <v>105</v>
      </c>
      <c r="G45" s="311">
        <v>5.93</v>
      </c>
      <c r="H45" s="311">
        <v>13.25</v>
      </c>
      <c r="I45" s="340">
        <f>29.65</f>
        <v>29.65</v>
      </c>
      <c r="J45" s="340"/>
      <c r="K45" s="308"/>
      <c r="L45" s="340">
        <f t="shared" si="0"/>
        <v>29.65</v>
      </c>
      <c r="M45" s="311"/>
      <c r="N45" s="311"/>
      <c r="O45" s="311"/>
      <c r="P45" s="311"/>
      <c r="Q45" s="311"/>
      <c r="R45" s="392"/>
      <c r="S45" s="358">
        <f ca="1">IF(C45&lt;=EOMONTH('&gt;&gt;Vistas Consolidadas'!$D$2, '&gt;&gt;Vistas Consolidadas'!$F$2),J45+I45,J45)</f>
        <v>29.65</v>
      </c>
      <c r="T45" s="18" t="str">
        <f ca="1">IF(C45&gt;='&gt;&gt;Vistas Consolidadas'!$D$2,"SI","NO")</f>
        <v>NO</v>
      </c>
      <c r="U45" s="358">
        <f ca="1">IF(C45&lt;=EOMONTH('&gt;&gt;Vistas Consolidadas'!$D$2, '&gt;&gt;Vistas Consolidadas'!$F$2),I45,0)</f>
        <v>29.65</v>
      </c>
      <c r="V45" s="18" t="b">
        <f ca="1">AND(C45&gt;='Interes Por Semana'!$C$4, C45&lt;='Interes Por Semana'!$E$4)</f>
        <v>0</v>
      </c>
      <c r="W45" s="18" t="str">
        <f t="shared" si="1"/>
        <v>viernes</v>
      </c>
    </row>
    <row r="46" spans="2:23" hidden="1" x14ac:dyDescent="0.25">
      <c r="B46" s="337">
        <v>45832</v>
      </c>
      <c r="C46" s="337">
        <v>46137</v>
      </c>
      <c r="D46" s="374" t="s">
        <v>78</v>
      </c>
      <c r="E46" s="309" t="s">
        <v>47</v>
      </c>
      <c r="F46" s="310" t="s">
        <v>106</v>
      </c>
      <c r="G46" s="311">
        <v>5.93</v>
      </c>
      <c r="H46" s="311">
        <v>11</v>
      </c>
      <c r="I46" s="340">
        <f>22.41</f>
        <v>22.41</v>
      </c>
      <c r="J46" s="340"/>
      <c r="K46" s="308"/>
      <c r="L46" s="340">
        <f t="shared" si="0"/>
        <v>22.41</v>
      </c>
      <c r="M46" s="311"/>
      <c r="N46" s="311"/>
      <c r="O46" s="311"/>
      <c r="P46" s="311"/>
      <c r="Q46" s="311"/>
      <c r="R46" s="392"/>
      <c r="S46" s="358">
        <f ca="1">IF(C46&lt;=EOMONTH('&gt;&gt;Vistas Consolidadas'!$D$2, '&gt;&gt;Vistas Consolidadas'!$F$2),J46+I46,J46)</f>
        <v>22.41</v>
      </c>
      <c r="T46" s="18" t="str">
        <f ca="1">IF(C46&gt;='&gt;&gt;Vistas Consolidadas'!$D$2,"SI","NO")</f>
        <v>NO</v>
      </c>
      <c r="U46" s="358">
        <f ca="1">IF(C46&lt;=EOMONTH('&gt;&gt;Vistas Consolidadas'!$D$2, '&gt;&gt;Vistas Consolidadas'!$F$2),I46,0)</f>
        <v>22.41</v>
      </c>
      <c r="V46" s="18" t="b">
        <f ca="1">AND(C46&gt;='Interes Por Semana'!$C$4, C46&lt;='Interes Por Semana'!$E$4)</f>
        <v>0</v>
      </c>
      <c r="W46" s="18" t="str">
        <f t="shared" si="1"/>
        <v>sábado</v>
      </c>
    </row>
    <row r="47" spans="2:23" ht="14.25" hidden="1" customHeight="1" x14ac:dyDescent="0.25">
      <c r="B47" s="337">
        <v>45889</v>
      </c>
      <c r="C47" s="337">
        <v>46137</v>
      </c>
      <c r="D47" s="374" t="s">
        <v>78</v>
      </c>
      <c r="E47" s="309" t="s">
        <v>47</v>
      </c>
      <c r="F47" s="310" t="s">
        <v>106</v>
      </c>
      <c r="G47" s="311">
        <v>6.21</v>
      </c>
      <c r="H47" s="311">
        <v>9.75</v>
      </c>
      <c r="I47" s="340">
        <v>4.5</v>
      </c>
      <c r="J47" s="340"/>
      <c r="K47" s="308"/>
      <c r="L47" s="340">
        <f t="shared" si="0"/>
        <v>4.5</v>
      </c>
      <c r="M47" s="311"/>
      <c r="N47" s="311"/>
      <c r="O47" s="311"/>
      <c r="P47" s="311"/>
      <c r="Q47" s="311"/>
      <c r="R47" s="392"/>
      <c r="S47" s="358">
        <f ca="1">IF(C47&lt;=EOMONTH('&gt;&gt;Vistas Consolidadas'!$D$2, '&gt;&gt;Vistas Consolidadas'!$F$2),J47+I47,J47)</f>
        <v>4.5</v>
      </c>
      <c r="T47" s="18" t="str">
        <f ca="1">IF(C47&gt;='&gt;&gt;Vistas Consolidadas'!$D$2,"SI","NO")</f>
        <v>NO</v>
      </c>
      <c r="U47" s="358">
        <f ca="1">IF(C47&lt;=EOMONTH('&gt;&gt;Vistas Consolidadas'!$D$2, '&gt;&gt;Vistas Consolidadas'!$F$2),I47,0)</f>
        <v>4.5</v>
      </c>
      <c r="V47" s="18" t="b">
        <f ca="1">AND(C47&gt;='Interes Por Semana'!$C$4, C47&lt;='Interes Por Semana'!$E$4)</f>
        <v>0</v>
      </c>
      <c r="W47" s="18" t="str">
        <f t="shared" si="1"/>
        <v>sábado</v>
      </c>
    </row>
    <row r="48" spans="2:23" hidden="1" x14ac:dyDescent="0.25">
      <c r="B48" s="337">
        <v>45889</v>
      </c>
      <c r="C48" s="337">
        <v>46137</v>
      </c>
      <c r="D48" s="374" t="s">
        <v>78</v>
      </c>
      <c r="E48" s="309" t="s">
        <v>46</v>
      </c>
      <c r="F48" s="310" t="s">
        <v>106</v>
      </c>
      <c r="G48" s="312">
        <v>6.21</v>
      </c>
      <c r="H48" s="308">
        <v>10.75</v>
      </c>
      <c r="I48" s="340">
        <v>25.88</v>
      </c>
      <c r="J48" s="340"/>
      <c r="K48" s="308"/>
      <c r="L48" s="340">
        <f t="shared" si="0"/>
        <v>25.88</v>
      </c>
      <c r="M48" s="308"/>
      <c r="N48" s="311"/>
      <c r="O48" s="312"/>
      <c r="P48" s="308"/>
      <c r="Q48" s="308"/>
      <c r="R48" s="392"/>
      <c r="S48" s="358">
        <f ca="1">IF(C48&lt;=EOMONTH('&gt;&gt;Vistas Consolidadas'!$D$2, '&gt;&gt;Vistas Consolidadas'!$F$2),J48+I48,J48)</f>
        <v>25.88</v>
      </c>
      <c r="T48" s="18" t="str">
        <f ca="1">IF(C48&gt;='&gt;&gt;Vistas Consolidadas'!$D$2,"SI","NO")</f>
        <v>NO</v>
      </c>
      <c r="U48" s="358">
        <f ca="1">IF(C48&lt;=EOMONTH('&gt;&gt;Vistas Consolidadas'!$D$2, '&gt;&gt;Vistas Consolidadas'!$F$2),I48,0)</f>
        <v>25.88</v>
      </c>
      <c r="V48" s="18" t="b">
        <f ca="1">AND(C48&gt;='Interes Por Semana'!$C$4, C48&lt;='Interes Por Semana'!$E$4)</f>
        <v>0</v>
      </c>
      <c r="W48" s="18" t="str">
        <f t="shared" si="1"/>
        <v>sábado</v>
      </c>
    </row>
    <row r="49" spans="2:23" hidden="1" x14ac:dyDescent="0.25">
      <c r="B49" s="337">
        <v>45593</v>
      </c>
      <c r="C49" s="337">
        <v>46138</v>
      </c>
      <c r="D49" s="374" t="s">
        <v>78</v>
      </c>
      <c r="E49" s="309" t="s">
        <v>47</v>
      </c>
      <c r="F49" s="310" t="s">
        <v>107</v>
      </c>
      <c r="G49" s="311">
        <v>5.07</v>
      </c>
      <c r="H49" s="311">
        <v>13</v>
      </c>
      <c r="I49" s="340">
        <f>11.41</f>
        <v>11.41</v>
      </c>
      <c r="J49" s="340"/>
      <c r="K49" s="308"/>
      <c r="L49" s="340">
        <f t="shared" si="0"/>
        <v>11.41</v>
      </c>
      <c r="M49" s="311"/>
      <c r="N49" s="311"/>
      <c r="O49" s="311"/>
      <c r="P49" s="311"/>
      <c r="Q49" s="311"/>
      <c r="R49" s="392"/>
      <c r="S49" s="358">
        <f ca="1">IF(C49&lt;=EOMONTH('&gt;&gt;Vistas Consolidadas'!$D$2, '&gt;&gt;Vistas Consolidadas'!$F$2),J49+I49,J49)</f>
        <v>11.41</v>
      </c>
      <c r="T49" s="18" t="str">
        <f ca="1">IF(C49&gt;='&gt;&gt;Vistas Consolidadas'!$D$2,"SI","NO")</f>
        <v>NO</v>
      </c>
      <c r="U49" s="358">
        <f ca="1">IF(C49&lt;=EOMONTH('&gt;&gt;Vistas Consolidadas'!$D$2, '&gt;&gt;Vistas Consolidadas'!$F$2),I49,0)</f>
        <v>11.41</v>
      </c>
      <c r="V49" s="18" t="b">
        <f ca="1">AND(C49&gt;='Interes Por Semana'!$C$4, C49&lt;='Interes Por Semana'!$E$4)</f>
        <v>0</v>
      </c>
      <c r="W49" s="18" t="str">
        <f t="shared" si="1"/>
        <v>domingo</v>
      </c>
    </row>
    <row r="50" spans="2:23" hidden="1" x14ac:dyDescent="0.25">
      <c r="B50" s="337">
        <v>44830</v>
      </c>
      <c r="C50" s="337">
        <v>46139</v>
      </c>
      <c r="D50" s="374" t="s">
        <v>78</v>
      </c>
      <c r="E50" s="309" t="s">
        <v>47</v>
      </c>
      <c r="F50" s="310" t="s">
        <v>108</v>
      </c>
      <c r="G50" s="311">
        <v>5.64</v>
      </c>
      <c r="H50" s="311">
        <v>10.199999999999999</v>
      </c>
      <c r="I50" s="340">
        <v>9.4</v>
      </c>
      <c r="J50" s="340"/>
      <c r="K50" s="308"/>
      <c r="L50" s="340">
        <f t="shared" si="0"/>
        <v>9.4</v>
      </c>
      <c r="M50" s="311"/>
      <c r="N50" s="311"/>
      <c r="O50" s="311"/>
      <c r="P50" s="311"/>
      <c r="Q50" s="311"/>
      <c r="R50" s="392"/>
      <c r="S50" s="358">
        <f ca="1">IF(C50&lt;=EOMONTH('&gt;&gt;Vistas Consolidadas'!$D$2, '&gt;&gt;Vistas Consolidadas'!$F$2),J50+I50,J50)</f>
        <v>9.4</v>
      </c>
      <c r="T50" s="18" t="str">
        <f ca="1">IF(C50&gt;='&gt;&gt;Vistas Consolidadas'!$D$2,"SI","NO")</f>
        <v>NO</v>
      </c>
      <c r="U50" s="358">
        <f ca="1">IF(C50&lt;=EOMONTH('&gt;&gt;Vistas Consolidadas'!$D$2, '&gt;&gt;Vistas Consolidadas'!$F$2),I50,0)</f>
        <v>9.4</v>
      </c>
      <c r="V50" s="18" t="b">
        <f ca="1">AND(C50&gt;='Interes Por Semana'!$C$4, C50&lt;='Interes Por Semana'!$E$4)</f>
        <v>0</v>
      </c>
      <c r="W50" s="18" t="str">
        <f t="shared" si="1"/>
        <v>lunes</v>
      </c>
    </row>
    <row r="51" spans="2:23" hidden="1" x14ac:dyDescent="0.25">
      <c r="B51" s="337">
        <v>46057</v>
      </c>
      <c r="C51" s="337">
        <v>46139</v>
      </c>
      <c r="D51" s="374" t="s">
        <v>78</v>
      </c>
      <c r="E51" s="309" t="s">
        <v>47</v>
      </c>
      <c r="F51" s="310" t="s">
        <v>109</v>
      </c>
      <c r="G51" s="311">
        <v>6.21</v>
      </c>
      <c r="H51" s="311">
        <v>11</v>
      </c>
      <c r="I51" s="340">
        <v>15.61</v>
      </c>
      <c r="J51" s="340"/>
      <c r="K51" s="308"/>
      <c r="L51" s="340">
        <f t="shared" si="0"/>
        <v>15.61</v>
      </c>
      <c r="M51" s="311"/>
      <c r="N51" s="311"/>
      <c r="O51" s="311"/>
      <c r="P51" s="311"/>
      <c r="Q51" s="311"/>
      <c r="R51" s="392"/>
      <c r="S51" s="358">
        <f ca="1">IF(C51&lt;=EOMONTH('&gt;&gt;Vistas Consolidadas'!$D$2, '&gt;&gt;Vistas Consolidadas'!$F$2),J51+I51,J51)</f>
        <v>15.61</v>
      </c>
      <c r="T51" s="18" t="str">
        <f ca="1">IF(C51&gt;='&gt;&gt;Vistas Consolidadas'!$D$2,"SI","NO")</f>
        <v>NO</v>
      </c>
      <c r="U51" s="358">
        <f ca="1">IF(C51&lt;=EOMONTH('&gt;&gt;Vistas Consolidadas'!$D$2, '&gt;&gt;Vistas Consolidadas'!$F$2),I51,0)</f>
        <v>15.61</v>
      </c>
      <c r="V51" s="18" t="b">
        <f ca="1">AND(C51&gt;='Interes Por Semana'!$C$4, C51&lt;='Interes Por Semana'!$E$4)</f>
        <v>0</v>
      </c>
      <c r="W51" s="18" t="str">
        <f t="shared" si="1"/>
        <v>lunes</v>
      </c>
    </row>
    <row r="52" spans="2:23" hidden="1" x14ac:dyDescent="0.25">
      <c r="B52" s="337">
        <v>46080</v>
      </c>
      <c r="C52" s="337">
        <v>46139</v>
      </c>
      <c r="D52" s="374" t="s">
        <v>78</v>
      </c>
      <c r="E52" s="309" t="s">
        <v>46</v>
      </c>
      <c r="F52" s="310" t="s">
        <v>110</v>
      </c>
      <c r="G52" s="312">
        <v>6.21</v>
      </c>
      <c r="H52" s="312">
        <v>10.6</v>
      </c>
      <c r="I52" s="340">
        <v>17.79</v>
      </c>
      <c r="J52" s="340"/>
      <c r="K52" s="308"/>
      <c r="L52" s="340">
        <f t="shared" si="0"/>
        <v>17.79</v>
      </c>
      <c r="M52" s="308"/>
      <c r="N52" s="311"/>
      <c r="O52" s="312"/>
      <c r="P52" s="308"/>
      <c r="Q52" s="308"/>
      <c r="R52" s="392"/>
      <c r="S52" s="358">
        <f ca="1">IF(C52&lt;=EOMONTH('&gt;&gt;Vistas Consolidadas'!$D$2, '&gt;&gt;Vistas Consolidadas'!$F$2),J52+I52,J52)</f>
        <v>17.79</v>
      </c>
      <c r="T52" s="18" t="str">
        <f ca="1">IF(C52&gt;='&gt;&gt;Vistas Consolidadas'!$D$2,"SI","NO")</f>
        <v>NO</v>
      </c>
      <c r="U52" s="358">
        <f ca="1">IF(C52&lt;=EOMONTH('&gt;&gt;Vistas Consolidadas'!$D$2, '&gt;&gt;Vistas Consolidadas'!$F$2),I52,0)</f>
        <v>17.79</v>
      </c>
      <c r="V52" s="18" t="b">
        <f ca="1">AND(C52&gt;='Interes Por Semana'!$C$4, C52&lt;='Interes Por Semana'!$E$4)</f>
        <v>0</v>
      </c>
      <c r="W52" s="18" t="str">
        <f t="shared" si="1"/>
        <v>lunes</v>
      </c>
    </row>
    <row r="53" spans="2:23" hidden="1" x14ac:dyDescent="0.25">
      <c r="B53" s="337">
        <v>45987</v>
      </c>
      <c r="C53" s="337">
        <v>46140</v>
      </c>
      <c r="D53" s="374" t="s">
        <v>78</v>
      </c>
      <c r="E53" s="309" t="s">
        <v>46</v>
      </c>
      <c r="F53" s="310" t="s">
        <v>111</v>
      </c>
      <c r="G53" s="312">
        <v>6.82</v>
      </c>
      <c r="H53" s="308">
        <v>11</v>
      </c>
      <c r="I53" s="340">
        <v>6.82</v>
      </c>
      <c r="J53" s="340">
        <v>0</v>
      </c>
      <c r="K53" s="308"/>
      <c r="L53" s="340">
        <f t="shared" si="0"/>
        <v>6.82</v>
      </c>
      <c r="M53" s="308"/>
      <c r="N53" s="311"/>
      <c r="O53" s="312"/>
      <c r="P53" s="308"/>
      <c r="Q53" s="308"/>
      <c r="R53" s="392"/>
      <c r="S53" s="358">
        <f ca="1">IF(C53&lt;=EOMONTH('&gt;&gt;Vistas Consolidadas'!$D$2, '&gt;&gt;Vistas Consolidadas'!$F$2),J53+I53,J53)</f>
        <v>6.82</v>
      </c>
      <c r="T53" s="18" t="str">
        <f ca="1">IF(C53&gt;='&gt;&gt;Vistas Consolidadas'!$D$2,"SI","NO")</f>
        <v>NO</v>
      </c>
      <c r="U53" s="358">
        <f ca="1">IF(C53&lt;=EOMONTH('&gt;&gt;Vistas Consolidadas'!$D$2, '&gt;&gt;Vistas Consolidadas'!$F$2),I53,0)</f>
        <v>6.82</v>
      </c>
      <c r="V53" s="18" t="b">
        <f ca="1">AND(C53&gt;='Interes Por Semana'!$C$4, C53&lt;='Interes Por Semana'!$E$4)</f>
        <v>0</v>
      </c>
      <c r="W53" s="18" t="str">
        <f t="shared" si="1"/>
        <v>martes</v>
      </c>
    </row>
    <row r="54" spans="2:23" hidden="1" x14ac:dyDescent="0.25">
      <c r="B54" s="337">
        <v>45748</v>
      </c>
      <c r="C54" s="337">
        <v>46147</v>
      </c>
      <c r="D54" s="374" t="s">
        <v>88</v>
      </c>
      <c r="E54" s="309" t="s">
        <v>47</v>
      </c>
      <c r="F54" s="310" t="s">
        <v>112</v>
      </c>
      <c r="G54" s="311">
        <v>9</v>
      </c>
      <c r="H54" s="311">
        <v>11.5</v>
      </c>
      <c r="I54" s="340">
        <v>41.26</v>
      </c>
      <c r="J54" s="340">
        <v>229.08</v>
      </c>
      <c r="K54" s="308"/>
      <c r="L54" s="340">
        <f t="shared" si="0"/>
        <v>41.26</v>
      </c>
      <c r="M54" s="308"/>
      <c r="N54" s="311"/>
      <c r="O54" s="312"/>
      <c r="P54" s="308"/>
      <c r="Q54" s="308"/>
      <c r="R54" s="392"/>
      <c r="S54" s="358">
        <f ca="1">IF(C54&lt;=EOMONTH('&gt;&gt;Vistas Consolidadas'!$D$2, '&gt;&gt;Vistas Consolidadas'!$F$2),J54+I54,J54)</f>
        <v>270.34000000000003</v>
      </c>
      <c r="T54" s="18" t="str">
        <f ca="1">IF(C54&gt;='&gt;&gt;Vistas Consolidadas'!$D$2,"SI","NO")</f>
        <v>NO</v>
      </c>
      <c r="U54" s="358">
        <f ca="1">IF(C54&lt;=EOMONTH('&gt;&gt;Vistas Consolidadas'!$D$2, '&gt;&gt;Vistas Consolidadas'!$F$2),I54,0)</f>
        <v>41.26</v>
      </c>
      <c r="V54" s="18" t="b">
        <f ca="1">AND(C54&gt;='Interes Por Semana'!$C$4, C54&lt;='Interes Por Semana'!$E$4)</f>
        <v>0</v>
      </c>
      <c r="W54" s="18" t="str">
        <f t="shared" si="1"/>
        <v>martes</v>
      </c>
    </row>
    <row r="55" spans="2:23" hidden="1" x14ac:dyDescent="0.25">
      <c r="B55" s="337">
        <v>45754</v>
      </c>
      <c r="C55" s="337">
        <v>46147</v>
      </c>
      <c r="D55" s="374" t="s">
        <v>88</v>
      </c>
      <c r="E55" s="309" t="s">
        <v>47</v>
      </c>
      <c r="F55" s="310" t="s">
        <v>112</v>
      </c>
      <c r="G55" s="311">
        <v>9</v>
      </c>
      <c r="H55" s="311">
        <v>11.5</v>
      </c>
      <c r="I55" s="340">
        <v>54.620000000000033</v>
      </c>
      <c r="J55" s="340">
        <v>255.04</v>
      </c>
      <c r="K55" s="308"/>
      <c r="L55" s="340">
        <f t="shared" si="0"/>
        <v>54.620000000000033</v>
      </c>
      <c r="M55" s="308"/>
      <c r="N55" s="311"/>
      <c r="O55" s="312"/>
      <c r="P55" s="308"/>
      <c r="Q55" s="308"/>
      <c r="R55" s="392"/>
      <c r="S55" s="358">
        <f ca="1">IF(C55&lt;=EOMONTH('&gt;&gt;Vistas Consolidadas'!$D$2, '&gt;&gt;Vistas Consolidadas'!$F$2),J55+I55,J55)</f>
        <v>309.66000000000003</v>
      </c>
      <c r="T55" s="18" t="str">
        <f ca="1">IF(C55&gt;='&gt;&gt;Vistas Consolidadas'!$D$2,"SI","NO")</f>
        <v>NO</v>
      </c>
      <c r="U55" s="358">
        <f ca="1">IF(C55&lt;=EOMONTH('&gt;&gt;Vistas Consolidadas'!$D$2, '&gt;&gt;Vistas Consolidadas'!$F$2),I55,0)</f>
        <v>54.620000000000033</v>
      </c>
      <c r="V55" s="18" t="b">
        <f ca="1">AND(C55&gt;='Interes Por Semana'!$C$4, C55&lt;='Interes Por Semana'!$E$4)</f>
        <v>0</v>
      </c>
      <c r="W55" s="18" t="str">
        <f t="shared" si="1"/>
        <v>martes</v>
      </c>
    </row>
    <row r="56" spans="2:23" hidden="1" x14ac:dyDescent="0.25">
      <c r="B56" s="337">
        <v>45755</v>
      </c>
      <c r="C56" s="337">
        <v>46147</v>
      </c>
      <c r="D56" s="374" t="s">
        <v>88</v>
      </c>
      <c r="E56" s="309" t="s">
        <v>47</v>
      </c>
      <c r="F56" s="310" t="s">
        <v>113</v>
      </c>
      <c r="G56" s="311">
        <v>9</v>
      </c>
      <c r="H56" s="311">
        <v>11.5</v>
      </c>
      <c r="I56" s="340">
        <v>123.07000000000011</v>
      </c>
      <c r="J56" s="340">
        <v>574.88</v>
      </c>
      <c r="K56" s="308"/>
      <c r="L56" s="340">
        <f t="shared" si="0"/>
        <v>123.07000000000011</v>
      </c>
      <c r="M56" s="308"/>
      <c r="N56" s="311"/>
      <c r="O56" s="312"/>
      <c r="P56" s="308"/>
      <c r="Q56" s="308"/>
      <c r="R56" s="392"/>
      <c r="S56" s="358">
        <f ca="1">IF(C56&lt;=EOMONTH('&gt;&gt;Vistas Consolidadas'!$D$2, '&gt;&gt;Vistas Consolidadas'!$F$2),J56+I56,J56)</f>
        <v>697.95</v>
      </c>
      <c r="T56" s="18" t="str">
        <f ca="1">IF(C56&gt;='&gt;&gt;Vistas Consolidadas'!$D$2,"SI","NO")</f>
        <v>NO</v>
      </c>
      <c r="U56" s="358">
        <f ca="1">IF(C56&lt;=EOMONTH('&gt;&gt;Vistas Consolidadas'!$D$2, '&gt;&gt;Vistas Consolidadas'!$F$2),I56,0)</f>
        <v>123.07000000000011</v>
      </c>
      <c r="V56" s="18" t="b">
        <f ca="1">AND(C56&gt;='Interes Por Semana'!$C$4, C56&lt;='Interes Por Semana'!$E$4)</f>
        <v>0</v>
      </c>
      <c r="W56" s="18" t="str">
        <f t="shared" si="1"/>
        <v>martes</v>
      </c>
    </row>
    <row r="57" spans="2:23" hidden="1" x14ac:dyDescent="0.25">
      <c r="B57" s="337">
        <v>45775</v>
      </c>
      <c r="C57" s="337">
        <v>46147</v>
      </c>
      <c r="D57" s="374" t="s">
        <v>88</v>
      </c>
      <c r="E57" s="309" t="s">
        <v>47</v>
      </c>
      <c r="F57" s="310" t="s">
        <v>113</v>
      </c>
      <c r="G57" s="311">
        <v>9</v>
      </c>
      <c r="H57" s="311">
        <v>11.5</v>
      </c>
      <c r="I57" s="340">
        <v>348.1</v>
      </c>
      <c r="J57" s="340">
        <v>1637.62</v>
      </c>
      <c r="K57" s="308"/>
      <c r="L57" s="340">
        <f t="shared" si="0"/>
        <v>348.1</v>
      </c>
      <c r="M57" s="308"/>
      <c r="N57" s="311"/>
      <c r="O57" s="312"/>
      <c r="P57" s="308"/>
      <c r="Q57" s="308"/>
      <c r="R57" s="392"/>
      <c r="S57" s="358">
        <f ca="1">IF(C57&lt;=EOMONTH('&gt;&gt;Vistas Consolidadas'!$D$2, '&gt;&gt;Vistas Consolidadas'!$F$2),J57+I57,J57)</f>
        <v>1985.7199999999998</v>
      </c>
      <c r="T57" s="18" t="str">
        <f ca="1">IF(C57&gt;='&gt;&gt;Vistas Consolidadas'!$D$2,"SI","NO")</f>
        <v>NO</v>
      </c>
      <c r="U57" s="358">
        <f ca="1">IF(C57&lt;=EOMONTH('&gt;&gt;Vistas Consolidadas'!$D$2, '&gt;&gt;Vistas Consolidadas'!$F$2),I57,0)</f>
        <v>348.1</v>
      </c>
      <c r="V57" s="18" t="b">
        <f ca="1">AND(C57&gt;='Interes Por Semana'!$C$4, C57&lt;='Interes Por Semana'!$E$4)</f>
        <v>0</v>
      </c>
      <c r="W57" s="18" t="str">
        <f t="shared" si="1"/>
        <v>martes</v>
      </c>
    </row>
    <row r="58" spans="2:23" hidden="1" x14ac:dyDescent="0.25">
      <c r="B58" s="337">
        <v>45793</v>
      </c>
      <c r="C58" s="337">
        <v>46151</v>
      </c>
      <c r="D58" s="374" t="s">
        <v>88</v>
      </c>
      <c r="E58" s="309" t="s">
        <v>46</v>
      </c>
      <c r="F58" s="310" t="s">
        <v>114</v>
      </c>
      <c r="G58" s="311">
        <v>9</v>
      </c>
      <c r="H58" s="311">
        <v>11.5</v>
      </c>
      <c r="I58" s="340">
        <v>408.99</v>
      </c>
      <c r="J58" s="340">
        <v>1694.73</v>
      </c>
      <c r="K58" s="308"/>
      <c r="L58" s="340">
        <f t="shared" si="0"/>
        <v>408.99</v>
      </c>
      <c r="M58" s="308"/>
      <c r="N58" s="311"/>
      <c r="O58" s="312"/>
      <c r="P58" s="308"/>
      <c r="Q58" s="308"/>
      <c r="R58" s="392"/>
      <c r="S58" s="358">
        <f ca="1">IF(C58&lt;=EOMONTH('&gt;&gt;Vistas Consolidadas'!$D$2, '&gt;&gt;Vistas Consolidadas'!$F$2),J58+I58,J58)</f>
        <v>2103.7200000000003</v>
      </c>
      <c r="T58" s="18" t="str">
        <f ca="1">IF(C58&gt;='&gt;&gt;Vistas Consolidadas'!$D$2,"SI","NO")</f>
        <v>NO</v>
      </c>
      <c r="U58" s="358">
        <f ca="1">IF(C58&lt;=EOMONTH('&gt;&gt;Vistas Consolidadas'!$D$2, '&gt;&gt;Vistas Consolidadas'!$F$2),I58,0)</f>
        <v>408.99</v>
      </c>
      <c r="V58" s="18" t="b">
        <f ca="1">AND(C58&gt;='Interes Por Semana'!$C$4, C58&lt;='Interes Por Semana'!$E$4)</f>
        <v>0</v>
      </c>
      <c r="W58" s="18" t="str">
        <f t="shared" si="1"/>
        <v>sábado</v>
      </c>
    </row>
    <row r="59" spans="2:23" hidden="1" x14ac:dyDescent="0.25">
      <c r="B59" s="337">
        <v>44923</v>
      </c>
      <c r="C59" s="337">
        <v>46172</v>
      </c>
      <c r="D59" s="374" t="s">
        <v>88</v>
      </c>
      <c r="E59" s="309" t="s">
        <v>46</v>
      </c>
      <c r="F59" s="310" t="s">
        <v>115</v>
      </c>
      <c r="G59" s="312">
        <v>8.5</v>
      </c>
      <c r="H59" s="308">
        <v>8.5</v>
      </c>
      <c r="I59" s="340">
        <v>168.13</v>
      </c>
      <c r="J59" s="340">
        <v>1204</v>
      </c>
      <c r="K59" s="308"/>
      <c r="L59" s="340">
        <f t="shared" si="0"/>
        <v>168.13</v>
      </c>
      <c r="M59" s="308"/>
      <c r="N59" s="311"/>
      <c r="O59" s="312"/>
      <c r="P59" s="308"/>
      <c r="Q59" s="308"/>
      <c r="R59" s="392"/>
      <c r="S59" s="358">
        <f ca="1">IF(C59&lt;=EOMONTH('&gt;&gt;Vistas Consolidadas'!$D$2, '&gt;&gt;Vistas Consolidadas'!$F$2),J59+I59,J59)</f>
        <v>1372.13</v>
      </c>
      <c r="T59" s="18" t="str">
        <f ca="1">IF(C59&gt;='&gt;&gt;Vistas Consolidadas'!$D$2,"SI","NO")</f>
        <v>NO</v>
      </c>
      <c r="U59" s="358">
        <f ca="1">IF(C59&lt;=EOMONTH('&gt;&gt;Vistas Consolidadas'!$D$2, '&gt;&gt;Vistas Consolidadas'!$F$2),I59,0)</f>
        <v>168.13</v>
      </c>
      <c r="V59" s="18" t="b">
        <f ca="1">AND(C59&gt;='Interes Por Semana'!$C$4, C59&lt;='Interes Por Semana'!$E$4)</f>
        <v>0</v>
      </c>
      <c r="W59" s="18" t="str">
        <f t="shared" si="1"/>
        <v>sábado</v>
      </c>
    </row>
    <row r="60" spans="2:23" hidden="1" x14ac:dyDescent="0.25">
      <c r="B60" s="337">
        <v>44988</v>
      </c>
      <c r="C60" s="337">
        <v>46172</v>
      </c>
      <c r="D60" s="374" t="s">
        <v>88</v>
      </c>
      <c r="E60" s="309" t="s">
        <v>46</v>
      </c>
      <c r="F60" s="310" t="s">
        <v>115</v>
      </c>
      <c r="G60" s="312">
        <v>8.5</v>
      </c>
      <c r="H60" s="308">
        <v>8.5</v>
      </c>
      <c r="I60" s="340">
        <v>228.25</v>
      </c>
      <c r="J60" s="340">
        <v>1634.5</v>
      </c>
      <c r="K60" s="308"/>
      <c r="L60" s="340">
        <f t="shared" si="0"/>
        <v>228.25</v>
      </c>
      <c r="M60" s="308"/>
      <c r="N60" s="311"/>
      <c r="O60" s="312"/>
      <c r="P60" s="308"/>
      <c r="Q60" s="308"/>
      <c r="R60" s="392"/>
      <c r="S60" s="358">
        <f ca="1">IF(C60&lt;=EOMONTH('&gt;&gt;Vistas Consolidadas'!$D$2, '&gt;&gt;Vistas Consolidadas'!$F$2),J60+I60,J60)</f>
        <v>1862.75</v>
      </c>
      <c r="T60" s="18" t="str">
        <f ca="1">IF(C60&gt;='&gt;&gt;Vistas Consolidadas'!$D$2,"SI","NO")</f>
        <v>NO</v>
      </c>
      <c r="U60" s="358">
        <f ca="1">IF(C60&lt;=EOMONTH('&gt;&gt;Vistas Consolidadas'!$D$2, '&gt;&gt;Vistas Consolidadas'!$F$2),I60,0)</f>
        <v>228.25</v>
      </c>
      <c r="V60" s="18" t="b">
        <f ca="1">AND(C60&gt;='Interes Por Semana'!$C$4, C60&lt;='Interes Por Semana'!$E$4)</f>
        <v>0</v>
      </c>
      <c r="W60" s="18" t="str">
        <f t="shared" si="1"/>
        <v>sábado</v>
      </c>
    </row>
    <row r="61" spans="2:23" hidden="1" x14ac:dyDescent="0.25">
      <c r="B61" s="337">
        <v>45552</v>
      </c>
      <c r="C61" s="337">
        <v>46145</v>
      </c>
      <c r="D61" s="374" t="s">
        <v>78</v>
      </c>
      <c r="E61" s="309" t="s">
        <v>47</v>
      </c>
      <c r="F61" s="310" t="s">
        <v>79</v>
      </c>
      <c r="G61" s="311">
        <v>5.36</v>
      </c>
      <c r="H61" s="311">
        <v>13.5</v>
      </c>
      <c r="I61" s="340">
        <f>15.63</f>
        <v>15.63</v>
      </c>
      <c r="J61" s="340"/>
      <c r="K61" s="308"/>
      <c r="L61" s="340">
        <f t="shared" si="0"/>
        <v>15.63</v>
      </c>
      <c r="M61" s="311"/>
      <c r="N61" s="311"/>
      <c r="O61" s="311"/>
      <c r="P61" s="311"/>
      <c r="Q61" s="311"/>
      <c r="R61" s="392"/>
      <c r="S61" s="358">
        <f ca="1">IF(C61&lt;=EOMONTH('&gt;&gt;Vistas Consolidadas'!$D$2, '&gt;&gt;Vistas Consolidadas'!$F$2),J61+I61,J61)</f>
        <v>15.63</v>
      </c>
      <c r="T61" s="18" t="str">
        <f ca="1">IF(C61&gt;='&gt;&gt;Vistas Consolidadas'!$D$2,"SI","NO")</f>
        <v>NO</v>
      </c>
      <c r="U61" s="358">
        <f ca="1">IF(C61&lt;=EOMONTH('&gt;&gt;Vistas Consolidadas'!$D$2, '&gt;&gt;Vistas Consolidadas'!$F$2),I61,0)</f>
        <v>15.63</v>
      </c>
      <c r="V61" s="18" t="b">
        <f ca="1">AND(C61&gt;='Interes Por Semana'!$C$4, C61&lt;='Interes Por Semana'!$E$4)</f>
        <v>0</v>
      </c>
      <c r="W61" s="18" t="str">
        <f t="shared" si="1"/>
        <v>domingo</v>
      </c>
    </row>
    <row r="62" spans="2:23" hidden="1" x14ac:dyDescent="0.25">
      <c r="B62" s="337">
        <v>45560</v>
      </c>
      <c r="C62" s="337">
        <v>46145</v>
      </c>
      <c r="D62" s="374" t="s">
        <v>78</v>
      </c>
      <c r="E62" s="309" t="s">
        <v>47</v>
      </c>
      <c r="F62" s="310" t="s">
        <v>79</v>
      </c>
      <c r="G62" s="311">
        <v>5.36</v>
      </c>
      <c r="H62" s="311">
        <v>12.5</v>
      </c>
      <c r="I62" s="340">
        <f>12.51</f>
        <v>12.51</v>
      </c>
      <c r="J62" s="340"/>
      <c r="K62" s="308"/>
      <c r="L62" s="340">
        <f t="shared" si="0"/>
        <v>12.51</v>
      </c>
      <c r="M62" s="311"/>
      <c r="N62" s="311"/>
      <c r="O62" s="311"/>
      <c r="P62" s="311"/>
      <c r="Q62" s="311"/>
      <c r="R62" s="392"/>
      <c r="S62" s="358">
        <f ca="1">IF(C62&lt;=EOMONTH('&gt;&gt;Vistas Consolidadas'!$D$2, '&gt;&gt;Vistas Consolidadas'!$F$2),J62+I62,J62)</f>
        <v>12.51</v>
      </c>
      <c r="T62" s="18" t="str">
        <f ca="1">IF(C62&gt;='&gt;&gt;Vistas Consolidadas'!$D$2,"SI","NO")</f>
        <v>NO</v>
      </c>
      <c r="U62" s="358">
        <f ca="1">IF(C62&lt;=EOMONTH('&gt;&gt;Vistas Consolidadas'!$D$2, '&gt;&gt;Vistas Consolidadas'!$F$2),I62,0)</f>
        <v>12.51</v>
      </c>
      <c r="V62" s="18" t="b">
        <f ca="1">AND(C62&gt;='Interes Por Semana'!$C$4, C62&lt;='Interes Por Semana'!$E$4)</f>
        <v>0</v>
      </c>
      <c r="W62" s="18" t="str">
        <f t="shared" si="1"/>
        <v>domingo</v>
      </c>
    </row>
    <row r="63" spans="2:23" hidden="1" x14ac:dyDescent="0.25">
      <c r="B63" s="337">
        <v>45708</v>
      </c>
      <c r="C63" s="337">
        <v>46146</v>
      </c>
      <c r="D63" s="374" t="s">
        <v>78</v>
      </c>
      <c r="E63" s="309" t="s">
        <v>46</v>
      </c>
      <c r="F63" s="310" t="s">
        <v>81</v>
      </c>
      <c r="G63" s="312">
        <v>5.36</v>
      </c>
      <c r="H63" s="308">
        <v>11.35</v>
      </c>
      <c r="I63" s="340">
        <f>16.79-J63</f>
        <v>16.79</v>
      </c>
      <c r="J63" s="340">
        <v>0</v>
      </c>
      <c r="K63" s="308"/>
      <c r="L63" s="340">
        <f t="shared" si="0"/>
        <v>16.79</v>
      </c>
      <c r="M63" s="308"/>
      <c r="N63" s="311"/>
      <c r="O63" s="312"/>
      <c r="P63" s="308"/>
      <c r="Q63" s="308"/>
      <c r="R63" s="392"/>
      <c r="S63" s="358">
        <f ca="1">IF(C63&lt;=EOMONTH('&gt;&gt;Vistas Consolidadas'!$D$2, '&gt;&gt;Vistas Consolidadas'!$F$2),J63+I63,J63)</f>
        <v>16.79</v>
      </c>
      <c r="T63" s="18" t="str">
        <f ca="1">IF(C63&gt;='&gt;&gt;Vistas Consolidadas'!$D$2,"SI","NO")</f>
        <v>NO</v>
      </c>
      <c r="U63" s="358">
        <f ca="1">IF(C63&lt;=EOMONTH('&gt;&gt;Vistas Consolidadas'!$D$2, '&gt;&gt;Vistas Consolidadas'!$F$2),I63,0)</f>
        <v>16.79</v>
      </c>
      <c r="V63" s="18" t="b">
        <f ca="1">AND(C63&gt;='Interes Por Semana'!$C$4, C63&lt;='Interes Por Semana'!$E$4)</f>
        <v>0</v>
      </c>
      <c r="W63" s="18" t="str">
        <f t="shared" si="1"/>
        <v>lunes</v>
      </c>
    </row>
    <row r="64" spans="2:23" hidden="1" x14ac:dyDescent="0.25">
      <c r="B64" s="337">
        <v>46057</v>
      </c>
      <c r="C64" s="337">
        <v>46148</v>
      </c>
      <c r="D64" s="374" t="s">
        <v>78</v>
      </c>
      <c r="E64" s="309" t="s">
        <v>47</v>
      </c>
      <c r="F64" s="310" t="s">
        <v>85</v>
      </c>
      <c r="G64" s="311">
        <v>7.93</v>
      </c>
      <c r="H64" s="311">
        <v>11.25</v>
      </c>
      <c r="I64" s="340">
        <v>58.023180428134552</v>
      </c>
      <c r="J64" s="340"/>
      <c r="K64" s="308"/>
      <c r="L64" s="340">
        <f t="shared" si="0"/>
        <v>58.023180428134552</v>
      </c>
      <c r="M64" s="311"/>
      <c r="N64" s="311"/>
      <c r="O64" s="311"/>
      <c r="P64" s="311"/>
      <c r="Q64" s="311"/>
      <c r="R64" s="392"/>
      <c r="S64" s="358">
        <f ca="1">IF(C64&lt;=EOMONTH('&gt;&gt;Vistas Consolidadas'!$D$2, '&gt;&gt;Vistas Consolidadas'!$F$2),J64+I64,J64)</f>
        <v>58.023180428134552</v>
      </c>
      <c r="T64" s="18" t="str">
        <f ca="1">IF(C64&gt;='&gt;&gt;Vistas Consolidadas'!$D$2,"SI","NO")</f>
        <v>NO</v>
      </c>
      <c r="U64" s="358">
        <f ca="1">IF(C64&lt;=EOMONTH('&gt;&gt;Vistas Consolidadas'!$D$2, '&gt;&gt;Vistas Consolidadas'!$F$2),I64,0)</f>
        <v>58.023180428134552</v>
      </c>
      <c r="V64" s="18" t="b">
        <f ca="1">AND(C64&gt;='Interes Por Semana'!$C$4, C64&lt;='Interes Por Semana'!$E$4)</f>
        <v>0</v>
      </c>
      <c r="W64" s="18" t="str">
        <f t="shared" si="1"/>
        <v>miércoles</v>
      </c>
    </row>
    <row r="65" spans="2:23" hidden="1" x14ac:dyDescent="0.25">
      <c r="B65" s="337">
        <v>46057</v>
      </c>
      <c r="C65" s="337">
        <v>46148</v>
      </c>
      <c r="D65" s="374" t="s">
        <v>78</v>
      </c>
      <c r="E65" s="309" t="s">
        <v>47</v>
      </c>
      <c r="F65" s="310" t="s">
        <v>86</v>
      </c>
      <c r="G65" s="311">
        <v>7.35</v>
      </c>
      <c r="H65" s="311">
        <v>11</v>
      </c>
      <c r="I65" s="340">
        <v>20.79</v>
      </c>
      <c r="J65" s="340"/>
      <c r="K65" s="308"/>
      <c r="L65" s="340">
        <f t="shared" si="0"/>
        <v>20.79</v>
      </c>
      <c r="M65" s="311"/>
      <c r="N65" s="311"/>
      <c r="O65" s="311"/>
      <c r="P65" s="311"/>
      <c r="Q65" s="311"/>
      <c r="R65" s="392"/>
      <c r="S65" s="358">
        <f ca="1">IF(C65&lt;=EOMONTH('&gt;&gt;Vistas Consolidadas'!$D$2, '&gt;&gt;Vistas Consolidadas'!$F$2),J65+I65,J65)</f>
        <v>20.79</v>
      </c>
      <c r="T65" s="18" t="str">
        <f ca="1">IF(C65&gt;='&gt;&gt;Vistas Consolidadas'!$D$2,"SI","NO")</f>
        <v>NO</v>
      </c>
      <c r="U65" s="358">
        <f ca="1">IF(C65&lt;=EOMONTH('&gt;&gt;Vistas Consolidadas'!$D$2, '&gt;&gt;Vistas Consolidadas'!$F$2),I65,0)</f>
        <v>20.79</v>
      </c>
      <c r="V65" s="18" t="b">
        <f ca="1">AND(C65&gt;='Interes Por Semana'!$C$4, C65&lt;='Interes Por Semana'!$E$4)</f>
        <v>0</v>
      </c>
      <c r="W65" s="18" t="str">
        <f t="shared" si="1"/>
        <v>miércoles</v>
      </c>
    </row>
    <row r="66" spans="2:23" hidden="1" x14ac:dyDescent="0.25">
      <c r="B66" s="337">
        <v>46001</v>
      </c>
      <c r="C66" s="337">
        <v>46148</v>
      </c>
      <c r="D66" s="374" t="s">
        <v>78</v>
      </c>
      <c r="E66" s="309" t="s">
        <v>46</v>
      </c>
      <c r="F66" s="310" t="s">
        <v>87</v>
      </c>
      <c r="G66" s="312">
        <v>7.54</v>
      </c>
      <c r="H66" s="308">
        <v>11</v>
      </c>
      <c r="I66" s="340">
        <f>7.79</f>
        <v>7.79</v>
      </c>
      <c r="J66" s="340"/>
      <c r="K66" s="308"/>
      <c r="L66" s="340">
        <f t="shared" si="0"/>
        <v>7.79</v>
      </c>
      <c r="M66" s="308"/>
      <c r="N66" s="311"/>
      <c r="O66" s="312"/>
      <c r="P66" s="308"/>
      <c r="Q66" s="308"/>
      <c r="R66" s="392"/>
      <c r="S66" s="358">
        <f ca="1">IF(C66&lt;=EOMONTH('&gt;&gt;Vistas Consolidadas'!$D$2, '&gt;&gt;Vistas Consolidadas'!$F$2),J66+I66,J66)</f>
        <v>7.79</v>
      </c>
      <c r="T66" s="18" t="str">
        <f ca="1">IF(C66&gt;='&gt;&gt;Vistas Consolidadas'!$D$2,"SI","NO")</f>
        <v>NO</v>
      </c>
      <c r="U66" s="358">
        <f ca="1">IF(C66&lt;=EOMONTH('&gt;&gt;Vistas Consolidadas'!$D$2, '&gt;&gt;Vistas Consolidadas'!$F$2),I66,0)</f>
        <v>7.79</v>
      </c>
      <c r="V66" s="18" t="b">
        <f ca="1">AND(C66&gt;='Interes Por Semana'!$C$4, C66&lt;='Interes Por Semana'!$E$4)</f>
        <v>0</v>
      </c>
      <c r="W66" s="18" t="str">
        <f t="shared" si="1"/>
        <v>miércoles</v>
      </c>
    </row>
    <row r="67" spans="2:23" hidden="1" x14ac:dyDescent="0.25">
      <c r="B67" s="337">
        <v>45943</v>
      </c>
      <c r="C67" s="337">
        <v>46152</v>
      </c>
      <c r="D67" s="374" t="s">
        <v>78</v>
      </c>
      <c r="E67" s="309" t="s">
        <v>47</v>
      </c>
      <c r="F67" s="310" t="s">
        <v>91</v>
      </c>
      <c r="G67" s="311">
        <v>7.54</v>
      </c>
      <c r="H67" s="311">
        <v>9.85</v>
      </c>
      <c r="I67" s="340">
        <v>35.25</v>
      </c>
      <c r="J67" s="340"/>
      <c r="K67" s="308"/>
      <c r="L67" s="340">
        <f t="shared" ref="L67:L130" si="2">I67</f>
        <v>35.25</v>
      </c>
      <c r="M67" s="311"/>
      <c r="N67" s="311"/>
      <c r="O67" s="311"/>
      <c r="P67" s="311"/>
      <c r="Q67" s="311"/>
      <c r="R67" s="392"/>
      <c r="S67" s="358">
        <f ca="1">IF(C67&lt;=EOMONTH('&gt;&gt;Vistas Consolidadas'!$D$2, '&gt;&gt;Vistas Consolidadas'!$F$2),J67+I67,J67)</f>
        <v>35.25</v>
      </c>
      <c r="T67" s="18" t="str">
        <f ca="1">IF(C67&gt;='&gt;&gt;Vistas Consolidadas'!$D$2,"SI","NO")</f>
        <v>NO</v>
      </c>
      <c r="U67" s="358">
        <f ca="1">IF(C67&lt;=EOMONTH('&gt;&gt;Vistas Consolidadas'!$D$2, '&gt;&gt;Vistas Consolidadas'!$F$2),I67,0)</f>
        <v>35.25</v>
      </c>
      <c r="V67" s="18" t="b">
        <f ca="1">AND(C67&gt;='Interes Por Semana'!$C$4, C67&lt;='Interes Por Semana'!$E$4)</f>
        <v>0</v>
      </c>
      <c r="W67" s="18" t="str">
        <f t="shared" ref="W67:W130" si="3">TEXT(C67, "dddd")</f>
        <v>domingo</v>
      </c>
    </row>
    <row r="68" spans="2:23" hidden="1" x14ac:dyDescent="0.25">
      <c r="B68" s="337">
        <v>46121</v>
      </c>
      <c r="C68" s="337">
        <v>46154</v>
      </c>
      <c r="D68" s="374" t="s">
        <v>78</v>
      </c>
      <c r="E68" s="309" t="s">
        <v>47</v>
      </c>
      <c r="F68" s="310" t="s">
        <v>93</v>
      </c>
      <c r="G68" s="312">
        <v>4.71</v>
      </c>
      <c r="H68" s="308">
        <v>9.5</v>
      </c>
      <c r="I68" s="340">
        <v>3.53</v>
      </c>
      <c r="J68" s="340"/>
      <c r="K68" s="308"/>
      <c r="L68" s="340">
        <f t="shared" si="2"/>
        <v>3.53</v>
      </c>
      <c r="M68" s="308"/>
      <c r="N68" s="311"/>
      <c r="O68" s="312"/>
      <c r="P68" s="308"/>
      <c r="Q68" s="308"/>
      <c r="R68" s="392"/>
      <c r="S68" s="358">
        <f ca="1">IF(C68&lt;=EOMONTH('&gt;&gt;Vistas Consolidadas'!$D$2, '&gt;&gt;Vistas Consolidadas'!$F$2),J68+I68,J68)</f>
        <v>3.53</v>
      </c>
      <c r="T68" s="18" t="str">
        <f ca="1">IF(C68&gt;='&gt;&gt;Vistas Consolidadas'!$D$2,"SI","NO")</f>
        <v>NO</v>
      </c>
      <c r="U68" s="358">
        <f ca="1">IF(C68&lt;=EOMONTH('&gt;&gt;Vistas Consolidadas'!$D$2, '&gt;&gt;Vistas Consolidadas'!$F$2),I68,0)</f>
        <v>3.53</v>
      </c>
      <c r="V68" s="18" t="b">
        <f ca="1">AND(C68&gt;='Interes Por Semana'!$C$4, C68&lt;='Interes Por Semana'!$E$4)</f>
        <v>0</v>
      </c>
      <c r="W68" s="18" t="str">
        <f t="shared" si="3"/>
        <v>martes</v>
      </c>
    </row>
    <row r="69" spans="2:23" hidden="1" x14ac:dyDescent="0.25">
      <c r="B69" s="337">
        <v>45323</v>
      </c>
      <c r="C69" s="337">
        <v>46171</v>
      </c>
      <c r="D69" s="374" t="s">
        <v>96</v>
      </c>
      <c r="E69" s="309" t="s">
        <v>47</v>
      </c>
      <c r="F69" s="310" t="s">
        <v>97</v>
      </c>
      <c r="G69" s="311">
        <v>6</v>
      </c>
      <c r="H69" s="311">
        <v>12</v>
      </c>
      <c r="I69" s="340">
        <v>16.670000000000002</v>
      </c>
      <c r="J69" s="340"/>
      <c r="K69" s="308"/>
      <c r="L69" s="340">
        <f t="shared" si="2"/>
        <v>16.670000000000002</v>
      </c>
      <c r="M69" s="311"/>
      <c r="N69" s="311"/>
      <c r="O69" s="311"/>
      <c r="P69" s="311"/>
      <c r="Q69" s="311"/>
      <c r="R69" s="392"/>
      <c r="S69" s="358">
        <f ca="1">IF(C69&lt;=EOMONTH('&gt;&gt;Vistas Consolidadas'!$D$2, '&gt;&gt;Vistas Consolidadas'!$F$2),J69+I69,J69)</f>
        <v>16.670000000000002</v>
      </c>
      <c r="T69" s="18" t="str">
        <f ca="1">IF(C69&gt;='&gt;&gt;Vistas Consolidadas'!$D$2,"SI","NO")</f>
        <v>NO</v>
      </c>
      <c r="U69" s="358">
        <f ca="1">IF(C69&lt;=EOMONTH('&gt;&gt;Vistas Consolidadas'!$D$2, '&gt;&gt;Vistas Consolidadas'!$F$2),I69,0)</f>
        <v>16.670000000000002</v>
      </c>
      <c r="V69" s="18" t="b">
        <f ca="1">AND(C69&gt;='Interes Por Semana'!$C$4, C69&lt;='Interes Por Semana'!$E$4)</f>
        <v>0</v>
      </c>
      <c r="W69" s="18" t="str">
        <f t="shared" si="3"/>
        <v>viernes</v>
      </c>
    </row>
    <row r="70" spans="2:23" hidden="1" x14ac:dyDescent="0.25">
      <c r="B70" s="337">
        <v>45356</v>
      </c>
      <c r="C70" s="337">
        <v>46171</v>
      </c>
      <c r="D70" s="374" t="s">
        <v>96</v>
      </c>
      <c r="E70" s="309" t="s">
        <v>47</v>
      </c>
      <c r="F70" s="310" t="s">
        <v>97</v>
      </c>
      <c r="G70" s="311">
        <v>6</v>
      </c>
      <c r="H70" s="311">
        <v>12</v>
      </c>
      <c r="I70" s="340">
        <v>108.33</v>
      </c>
      <c r="J70" s="340"/>
      <c r="K70" s="308"/>
      <c r="L70" s="340">
        <f t="shared" si="2"/>
        <v>108.33</v>
      </c>
      <c r="M70" s="311"/>
      <c r="N70" s="311"/>
      <c r="O70" s="311"/>
      <c r="P70" s="311"/>
      <c r="Q70" s="311"/>
      <c r="R70" s="392"/>
      <c r="S70" s="358">
        <f ca="1">IF(C70&lt;=EOMONTH('&gt;&gt;Vistas Consolidadas'!$D$2, '&gt;&gt;Vistas Consolidadas'!$F$2),J70+I70,J70)</f>
        <v>108.33</v>
      </c>
      <c r="T70" s="18" t="str">
        <f ca="1">IF(C70&gt;='&gt;&gt;Vistas Consolidadas'!$D$2,"SI","NO")</f>
        <v>NO</v>
      </c>
      <c r="U70" s="358">
        <f ca="1">IF(C70&lt;=EOMONTH('&gt;&gt;Vistas Consolidadas'!$D$2, '&gt;&gt;Vistas Consolidadas'!$F$2),I70,0)</f>
        <v>108.33</v>
      </c>
      <c r="V70" s="18" t="b">
        <f ca="1">AND(C70&gt;='Interes Por Semana'!$C$4, C70&lt;='Interes Por Semana'!$E$4)</f>
        <v>0</v>
      </c>
      <c r="W70" s="18" t="str">
        <f t="shared" si="3"/>
        <v>viernes</v>
      </c>
    </row>
    <row r="71" spans="2:23" hidden="1" x14ac:dyDescent="0.25">
      <c r="B71" s="337">
        <v>45006</v>
      </c>
      <c r="C71" s="337">
        <v>46171</v>
      </c>
      <c r="D71" s="374" t="s">
        <v>96</v>
      </c>
      <c r="E71" s="309" t="s">
        <v>46</v>
      </c>
      <c r="F71" s="310" t="s">
        <v>97</v>
      </c>
      <c r="G71" s="312">
        <v>6</v>
      </c>
      <c r="H71" s="308">
        <v>12</v>
      </c>
      <c r="I71" s="340">
        <v>62.5</v>
      </c>
      <c r="J71" s="340"/>
      <c r="K71" s="308"/>
      <c r="L71" s="340">
        <f t="shared" si="2"/>
        <v>62.5</v>
      </c>
      <c r="M71" s="308"/>
      <c r="N71" s="311"/>
      <c r="O71" s="312"/>
      <c r="P71" s="308"/>
      <c r="Q71" s="308"/>
      <c r="R71" s="392"/>
      <c r="S71" s="358">
        <f ca="1">IF(C71&lt;=EOMONTH('&gt;&gt;Vistas Consolidadas'!$D$2, '&gt;&gt;Vistas Consolidadas'!$F$2),J71+I71,J71)</f>
        <v>62.5</v>
      </c>
      <c r="T71" s="18" t="str">
        <f ca="1">IF(C71&gt;='&gt;&gt;Vistas Consolidadas'!$D$2,"SI","NO")</f>
        <v>NO</v>
      </c>
      <c r="U71" s="358">
        <f ca="1">IF(C71&lt;=EOMONTH('&gt;&gt;Vistas Consolidadas'!$D$2, '&gt;&gt;Vistas Consolidadas'!$F$2),I71,0)</f>
        <v>62.5</v>
      </c>
      <c r="V71" s="18" t="b">
        <f ca="1">AND(C71&gt;='Interes Por Semana'!$C$4, C71&lt;='Interes Por Semana'!$E$4)</f>
        <v>0</v>
      </c>
      <c r="W71" s="18" t="str">
        <f t="shared" si="3"/>
        <v>viernes</v>
      </c>
    </row>
    <row r="72" spans="2:23" hidden="1" x14ac:dyDescent="0.25">
      <c r="B72" s="337">
        <v>45397</v>
      </c>
      <c r="C72" s="337">
        <v>46171</v>
      </c>
      <c r="D72" s="374" t="s">
        <v>96</v>
      </c>
      <c r="E72" s="309" t="s">
        <v>47</v>
      </c>
      <c r="F72" s="310" t="s">
        <v>97</v>
      </c>
      <c r="G72" s="311">
        <v>6</v>
      </c>
      <c r="H72" s="311">
        <v>12</v>
      </c>
      <c r="I72" s="340">
        <v>54.16</v>
      </c>
      <c r="J72" s="340"/>
      <c r="K72" s="308"/>
      <c r="L72" s="340">
        <f t="shared" si="2"/>
        <v>54.16</v>
      </c>
      <c r="M72" s="311"/>
      <c r="N72" s="311"/>
      <c r="O72" s="311"/>
      <c r="P72" s="311"/>
      <c r="Q72" s="311"/>
      <c r="R72" s="392"/>
      <c r="S72" s="358">
        <f ca="1">IF(C72&lt;=EOMONTH('&gt;&gt;Vistas Consolidadas'!$D$2, '&gt;&gt;Vistas Consolidadas'!$F$2),J72+I72,J72)</f>
        <v>54.16</v>
      </c>
      <c r="T72" s="18" t="str">
        <f ca="1">IF(C72&gt;='&gt;&gt;Vistas Consolidadas'!$D$2,"SI","NO")</f>
        <v>NO</v>
      </c>
      <c r="U72" s="358">
        <f ca="1">IF(C72&lt;=EOMONTH('&gt;&gt;Vistas Consolidadas'!$D$2, '&gt;&gt;Vistas Consolidadas'!$F$2),I72,0)</f>
        <v>54.16</v>
      </c>
      <c r="V72" s="18" t="b">
        <f ca="1">AND(C72&gt;='Interes Por Semana'!$C$4, C72&lt;='Interes Por Semana'!$E$4)</f>
        <v>0</v>
      </c>
      <c r="W72" s="18" t="str">
        <f t="shared" si="3"/>
        <v>viernes</v>
      </c>
    </row>
    <row r="73" spans="2:23" hidden="1" x14ac:dyDescent="0.25">
      <c r="B73" s="337">
        <v>45397</v>
      </c>
      <c r="C73" s="337">
        <v>46171</v>
      </c>
      <c r="D73" s="374" t="s">
        <v>96</v>
      </c>
      <c r="E73" s="309" t="s">
        <v>46</v>
      </c>
      <c r="F73" s="310" t="s">
        <v>97</v>
      </c>
      <c r="G73" s="312">
        <v>6</v>
      </c>
      <c r="H73" s="308">
        <v>12</v>
      </c>
      <c r="I73" s="340">
        <v>62.5</v>
      </c>
      <c r="J73" s="340"/>
      <c r="K73" s="308"/>
      <c r="L73" s="340">
        <f t="shared" si="2"/>
        <v>62.5</v>
      </c>
      <c r="M73" s="308"/>
      <c r="N73" s="311"/>
      <c r="O73" s="312"/>
      <c r="P73" s="308"/>
      <c r="Q73" s="308"/>
      <c r="R73" s="392"/>
      <c r="S73" s="358">
        <f ca="1">IF(C73&lt;=EOMONTH('&gt;&gt;Vistas Consolidadas'!$D$2, '&gt;&gt;Vistas Consolidadas'!$F$2),J73+I73,J73)</f>
        <v>62.5</v>
      </c>
      <c r="T73" s="18" t="str">
        <f ca="1">IF(C73&gt;='&gt;&gt;Vistas Consolidadas'!$D$2,"SI","NO")</f>
        <v>NO</v>
      </c>
      <c r="U73" s="358">
        <f ca="1">IF(C73&lt;=EOMONTH('&gt;&gt;Vistas Consolidadas'!$D$2, '&gt;&gt;Vistas Consolidadas'!$F$2),I73,0)</f>
        <v>62.5</v>
      </c>
      <c r="V73" s="18" t="b">
        <f ca="1">AND(C73&gt;='Interes Por Semana'!$C$4, C73&lt;='Interes Por Semana'!$E$4)</f>
        <v>0</v>
      </c>
      <c r="W73" s="18" t="str">
        <f t="shared" si="3"/>
        <v>viernes</v>
      </c>
    </row>
    <row r="74" spans="2:23" hidden="1" x14ac:dyDescent="0.25">
      <c r="B74" s="337">
        <v>45398</v>
      </c>
      <c r="C74" s="337">
        <v>46171</v>
      </c>
      <c r="D74" s="374" t="s">
        <v>96</v>
      </c>
      <c r="E74" s="309" t="s">
        <v>47</v>
      </c>
      <c r="F74" s="310" t="s">
        <v>97</v>
      </c>
      <c r="G74" s="311">
        <v>6</v>
      </c>
      <c r="H74" s="311">
        <v>12</v>
      </c>
      <c r="I74" s="340">
        <v>16.670000000000002</v>
      </c>
      <c r="J74" s="340"/>
      <c r="K74" s="308"/>
      <c r="L74" s="340">
        <f t="shared" si="2"/>
        <v>16.670000000000002</v>
      </c>
      <c r="M74" s="311"/>
      <c r="N74" s="311"/>
      <c r="O74" s="311"/>
      <c r="P74" s="311"/>
      <c r="Q74" s="311"/>
      <c r="R74" s="392"/>
      <c r="S74" s="358">
        <f ca="1">IF(C74&lt;=EOMONTH('&gt;&gt;Vistas Consolidadas'!$D$2, '&gt;&gt;Vistas Consolidadas'!$F$2),J74+I74,J74)</f>
        <v>16.670000000000002</v>
      </c>
      <c r="T74" s="18" t="str">
        <f ca="1">IF(C74&gt;='&gt;&gt;Vistas Consolidadas'!$D$2,"SI","NO")</f>
        <v>NO</v>
      </c>
      <c r="U74" s="358">
        <f ca="1">IF(C74&lt;=EOMONTH('&gt;&gt;Vistas Consolidadas'!$D$2, '&gt;&gt;Vistas Consolidadas'!$F$2),I74,0)</f>
        <v>16.670000000000002</v>
      </c>
      <c r="V74" s="18" t="b">
        <f ca="1">AND(C74&gt;='Interes Por Semana'!$C$4, C74&lt;='Interes Por Semana'!$E$4)</f>
        <v>0</v>
      </c>
      <c r="W74" s="18" t="str">
        <f t="shared" si="3"/>
        <v>viernes</v>
      </c>
    </row>
    <row r="75" spans="2:23" hidden="1" x14ac:dyDescent="0.25">
      <c r="B75" s="337">
        <v>46105</v>
      </c>
      <c r="C75" s="337">
        <v>46171</v>
      </c>
      <c r="D75" s="374" t="s">
        <v>96</v>
      </c>
      <c r="E75" s="309" t="s">
        <v>47</v>
      </c>
      <c r="F75" s="310" t="s">
        <v>97</v>
      </c>
      <c r="G75" s="311">
        <v>6</v>
      </c>
      <c r="H75" s="311">
        <v>10</v>
      </c>
      <c r="I75" s="340">
        <v>16.670000000000002</v>
      </c>
      <c r="J75" s="340"/>
      <c r="K75" s="308"/>
      <c r="L75" s="340">
        <f t="shared" si="2"/>
        <v>16.670000000000002</v>
      </c>
      <c r="M75" s="311"/>
      <c r="N75" s="311"/>
      <c r="O75" s="311"/>
      <c r="P75" s="311"/>
      <c r="Q75" s="311"/>
      <c r="R75" s="392"/>
      <c r="S75" s="358">
        <f ca="1">IF(C75&lt;=EOMONTH('&gt;&gt;Vistas Consolidadas'!$D$2, '&gt;&gt;Vistas Consolidadas'!$F$2),J75+I75,J75)</f>
        <v>16.670000000000002</v>
      </c>
      <c r="T75" s="18" t="str">
        <f ca="1">IF(C75&gt;='&gt;&gt;Vistas Consolidadas'!$D$2,"SI","NO")</f>
        <v>NO</v>
      </c>
      <c r="U75" s="358">
        <f ca="1">IF(C75&lt;=EOMONTH('&gt;&gt;Vistas Consolidadas'!$D$2, '&gt;&gt;Vistas Consolidadas'!$F$2),I75,0)</f>
        <v>16.670000000000002</v>
      </c>
      <c r="V75" s="18" t="b">
        <f ca="1">AND(C75&gt;='Interes Por Semana'!$C$4, C75&lt;='Interes Por Semana'!$E$4)</f>
        <v>0</v>
      </c>
      <c r="W75" s="18" t="str">
        <f t="shared" si="3"/>
        <v>viernes</v>
      </c>
    </row>
    <row r="76" spans="2:23" hidden="1" x14ac:dyDescent="0.25">
      <c r="B76" s="337">
        <v>44462</v>
      </c>
      <c r="C76" s="337">
        <v>46159</v>
      </c>
      <c r="D76" s="374" t="s">
        <v>78</v>
      </c>
      <c r="E76" s="309" t="s">
        <v>46</v>
      </c>
      <c r="F76" s="310" t="s">
        <v>98</v>
      </c>
      <c r="G76" s="312">
        <v>5.64</v>
      </c>
      <c r="H76" s="308">
        <v>8.1999999999999993</v>
      </c>
      <c r="I76" s="340">
        <v>5.05</v>
      </c>
      <c r="J76" s="340"/>
      <c r="K76" s="308"/>
      <c r="L76" s="340">
        <f t="shared" si="2"/>
        <v>5.05</v>
      </c>
      <c r="M76" s="308"/>
      <c r="N76" s="311"/>
      <c r="O76" s="312"/>
      <c r="P76" s="308"/>
      <c r="Q76" s="308"/>
      <c r="R76" s="392"/>
      <c r="S76" s="358">
        <f ca="1">IF(C76&lt;=EOMONTH('&gt;&gt;Vistas Consolidadas'!$D$2, '&gt;&gt;Vistas Consolidadas'!$F$2),J76+I76,J76)</f>
        <v>5.05</v>
      </c>
      <c r="T76" s="18" t="str">
        <f ca="1">IF(C76&gt;='&gt;&gt;Vistas Consolidadas'!$D$2,"SI","NO")</f>
        <v>NO</v>
      </c>
      <c r="U76" s="358">
        <f ca="1">IF(C76&lt;=EOMONTH('&gt;&gt;Vistas Consolidadas'!$D$2, '&gt;&gt;Vistas Consolidadas'!$F$2),I76,0)</f>
        <v>5.05</v>
      </c>
      <c r="V76" s="18" t="b">
        <f ca="1">AND(C76&gt;='Interes Por Semana'!$C$4, C76&lt;='Interes Por Semana'!$E$4)</f>
        <v>0</v>
      </c>
      <c r="W76" s="18" t="str">
        <f t="shared" si="3"/>
        <v>domingo</v>
      </c>
    </row>
    <row r="77" spans="2:23" hidden="1" x14ac:dyDescent="0.25">
      <c r="B77" s="337">
        <v>45264</v>
      </c>
      <c r="C77" s="337">
        <v>46159</v>
      </c>
      <c r="D77" s="374" t="s">
        <v>78</v>
      </c>
      <c r="E77" s="309" t="s">
        <v>46</v>
      </c>
      <c r="F77" s="310" t="s">
        <v>99</v>
      </c>
      <c r="G77" s="312">
        <v>5.64</v>
      </c>
      <c r="H77" s="308">
        <v>13</v>
      </c>
      <c r="I77" s="340">
        <v>14.1</v>
      </c>
      <c r="J77" s="340"/>
      <c r="K77" s="308"/>
      <c r="L77" s="340">
        <f t="shared" si="2"/>
        <v>14.1</v>
      </c>
      <c r="M77" s="308"/>
      <c r="N77" s="311"/>
      <c r="O77" s="312"/>
      <c r="P77" s="308"/>
      <c r="Q77" s="308"/>
      <c r="R77" s="392"/>
      <c r="S77" s="358">
        <f ca="1">IF(C77&lt;=EOMONTH('&gt;&gt;Vistas Consolidadas'!$D$2, '&gt;&gt;Vistas Consolidadas'!$F$2),J77+I77,J77)</f>
        <v>14.1</v>
      </c>
      <c r="T77" s="18" t="str">
        <f ca="1">IF(C77&gt;='&gt;&gt;Vistas Consolidadas'!$D$2,"SI","NO")</f>
        <v>NO</v>
      </c>
      <c r="U77" s="358">
        <f ca="1">IF(C77&lt;=EOMONTH('&gt;&gt;Vistas Consolidadas'!$D$2, '&gt;&gt;Vistas Consolidadas'!$F$2),I77,0)</f>
        <v>14.1</v>
      </c>
      <c r="V77" s="18" t="b">
        <f ca="1">AND(C77&gt;='Interes Por Semana'!$C$4, C77&lt;='Interes Por Semana'!$E$4)</f>
        <v>0</v>
      </c>
      <c r="W77" s="18" t="str">
        <f t="shared" si="3"/>
        <v>domingo</v>
      </c>
    </row>
    <row r="78" spans="2:23" hidden="1" x14ac:dyDescent="0.25">
      <c r="B78" s="337">
        <v>45302</v>
      </c>
      <c r="C78" s="337">
        <v>46159</v>
      </c>
      <c r="D78" s="374" t="s">
        <v>78</v>
      </c>
      <c r="E78" s="309" t="s">
        <v>46</v>
      </c>
      <c r="F78" s="310" t="s">
        <v>99</v>
      </c>
      <c r="G78" s="312">
        <v>5.64</v>
      </c>
      <c r="H78" s="308">
        <v>12.75</v>
      </c>
      <c r="I78" s="340">
        <v>7.28</v>
      </c>
      <c r="J78" s="340"/>
      <c r="K78" s="308"/>
      <c r="L78" s="340">
        <f t="shared" si="2"/>
        <v>7.28</v>
      </c>
      <c r="M78" s="308"/>
      <c r="N78" s="311"/>
      <c r="O78" s="312"/>
      <c r="P78" s="308"/>
      <c r="Q78" s="308"/>
      <c r="R78" s="392"/>
      <c r="S78" s="358">
        <f ca="1">IF(C78&lt;=EOMONTH('&gt;&gt;Vistas Consolidadas'!$D$2, '&gt;&gt;Vistas Consolidadas'!$F$2),J78+I78,J78)</f>
        <v>7.28</v>
      </c>
      <c r="T78" s="18" t="str">
        <f ca="1">IF(C78&gt;='&gt;&gt;Vistas Consolidadas'!$D$2,"SI","NO")</f>
        <v>NO</v>
      </c>
      <c r="U78" s="358">
        <f ca="1">IF(C78&lt;=EOMONTH('&gt;&gt;Vistas Consolidadas'!$D$2, '&gt;&gt;Vistas Consolidadas'!$F$2),I78,0)</f>
        <v>7.28</v>
      </c>
      <c r="V78" s="18" t="b">
        <f ca="1">AND(C78&gt;='Interes Por Semana'!$C$4, C78&lt;='Interes Por Semana'!$E$4)</f>
        <v>0</v>
      </c>
      <c r="W78" s="18" t="str">
        <f t="shared" si="3"/>
        <v>domingo</v>
      </c>
    </row>
    <row r="79" spans="2:23" hidden="1" x14ac:dyDescent="0.25">
      <c r="B79" s="337">
        <v>46006</v>
      </c>
      <c r="C79" s="337">
        <v>46160</v>
      </c>
      <c r="D79" s="374" t="s">
        <v>78</v>
      </c>
      <c r="E79" s="309" t="s">
        <v>46</v>
      </c>
      <c r="F79" s="310" t="s">
        <v>100</v>
      </c>
      <c r="G79" s="312">
        <v>5.93</v>
      </c>
      <c r="H79" s="308">
        <v>8.5</v>
      </c>
      <c r="I79" s="340">
        <f>23.09-J79</f>
        <v>23.09</v>
      </c>
      <c r="J79" s="340"/>
      <c r="K79" s="308"/>
      <c r="L79" s="340">
        <f t="shared" si="2"/>
        <v>23.09</v>
      </c>
      <c r="M79" s="308"/>
      <c r="N79" s="311"/>
      <c r="O79" s="312"/>
      <c r="P79" s="308"/>
      <c r="Q79" s="308"/>
      <c r="R79" s="392"/>
      <c r="S79" s="358">
        <f ca="1">IF(C79&lt;=EOMONTH('&gt;&gt;Vistas Consolidadas'!$D$2, '&gt;&gt;Vistas Consolidadas'!$F$2),J79+I79,J79)</f>
        <v>23.09</v>
      </c>
      <c r="T79" s="18" t="str">
        <f ca="1">IF(C79&gt;='&gt;&gt;Vistas Consolidadas'!$D$2,"SI","NO")</f>
        <v>NO</v>
      </c>
      <c r="U79" s="358">
        <f ca="1">IF(C79&lt;=EOMONTH('&gt;&gt;Vistas Consolidadas'!$D$2, '&gt;&gt;Vistas Consolidadas'!$F$2),I79,0)</f>
        <v>23.09</v>
      </c>
      <c r="V79" s="18" t="b">
        <f ca="1">AND(C79&gt;='Interes Por Semana'!$C$4, C79&lt;='Interes Por Semana'!$E$4)</f>
        <v>0</v>
      </c>
      <c r="W79" s="18" t="str">
        <f t="shared" si="3"/>
        <v>lunes</v>
      </c>
    </row>
    <row r="80" spans="2:23" hidden="1" x14ac:dyDescent="0.25">
      <c r="B80" s="337">
        <v>45734</v>
      </c>
      <c r="C80" s="337">
        <v>46160</v>
      </c>
      <c r="D80" s="374" t="s">
        <v>78</v>
      </c>
      <c r="E80" s="309" t="s">
        <v>47</v>
      </c>
      <c r="F80" s="310" t="s">
        <v>101</v>
      </c>
      <c r="G80" s="311">
        <v>5.93</v>
      </c>
      <c r="H80" s="311">
        <v>12</v>
      </c>
      <c r="I80" s="340">
        <f>8.94</f>
        <v>8.94</v>
      </c>
      <c r="J80" s="340"/>
      <c r="K80" s="308"/>
      <c r="L80" s="340">
        <f t="shared" si="2"/>
        <v>8.94</v>
      </c>
      <c r="M80" s="311"/>
      <c r="N80" s="311"/>
      <c r="O80" s="311"/>
      <c r="P80" s="311"/>
      <c r="Q80" s="311"/>
      <c r="R80" s="392"/>
      <c r="S80" s="358">
        <f ca="1">IF(C80&lt;=EOMONTH('&gt;&gt;Vistas Consolidadas'!$D$2, '&gt;&gt;Vistas Consolidadas'!$F$2),J80+I80,J80)</f>
        <v>8.94</v>
      </c>
      <c r="T80" s="18" t="str">
        <f ca="1">IF(C80&gt;='&gt;&gt;Vistas Consolidadas'!$D$2,"SI","NO")</f>
        <v>NO</v>
      </c>
      <c r="U80" s="358">
        <f ca="1">IF(C80&lt;=EOMONTH('&gt;&gt;Vistas Consolidadas'!$D$2, '&gt;&gt;Vistas Consolidadas'!$F$2),I80,0)</f>
        <v>8.94</v>
      </c>
      <c r="V80" s="18" t="b">
        <f ca="1">AND(C80&gt;='Interes Por Semana'!$C$4, C80&lt;='Interes Por Semana'!$E$4)</f>
        <v>0</v>
      </c>
      <c r="W80" s="18" t="str">
        <f t="shared" si="3"/>
        <v>lunes</v>
      </c>
    </row>
    <row r="81" spans="2:23" hidden="1" x14ac:dyDescent="0.25">
      <c r="B81" s="337">
        <v>45264</v>
      </c>
      <c r="C81" s="337">
        <v>46163</v>
      </c>
      <c r="D81" s="374" t="s">
        <v>78</v>
      </c>
      <c r="E81" s="309" t="s">
        <v>46</v>
      </c>
      <c r="F81" s="310" t="s">
        <v>103</v>
      </c>
      <c r="G81" s="312">
        <v>5.36</v>
      </c>
      <c r="H81" s="308">
        <v>13</v>
      </c>
      <c r="I81" s="340">
        <v>5.58</v>
      </c>
      <c r="J81" s="340"/>
      <c r="K81" s="308"/>
      <c r="L81" s="340">
        <f t="shared" si="2"/>
        <v>5.58</v>
      </c>
      <c r="M81" s="308"/>
      <c r="N81" s="311"/>
      <c r="O81" s="312"/>
      <c r="P81" s="308"/>
      <c r="Q81" s="308"/>
      <c r="R81" s="392"/>
      <c r="S81" s="358">
        <f ca="1">IF(C81&lt;=EOMONTH('&gt;&gt;Vistas Consolidadas'!$D$2, '&gt;&gt;Vistas Consolidadas'!$F$2),J81+I81,J81)</f>
        <v>5.58</v>
      </c>
      <c r="T81" s="18" t="str">
        <f ca="1">IF(C81&gt;='&gt;&gt;Vistas Consolidadas'!$D$2,"SI","NO")</f>
        <v>NO</v>
      </c>
      <c r="U81" s="358">
        <f ca="1">IF(C81&lt;=EOMONTH('&gt;&gt;Vistas Consolidadas'!$D$2, '&gt;&gt;Vistas Consolidadas'!$F$2),I81,0)</f>
        <v>5.58</v>
      </c>
      <c r="V81" s="18" t="b">
        <f ca="1">AND(C81&gt;='Interes Por Semana'!$C$4, C81&lt;='Interes Por Semana'!$E$4)</f>
        <v>0</v>
      </c>
      <c r="W81" s="18" t="str">
        <f t="shared" si="3"/>
        <v>jueves</v>
      </c>
    </row>
    <row r="82" spans="2:23" hidden="1" x14ac:dyDescent="0.25">
      <c r="B82" s="337">
        <v>45279</v>
      </c>
      <c r="C82" s="337">
        <v>46163</v>
      </c>
      <c r="D82" s="374" t="s">
        <v>78</v>
      </c>
      <c r="E82" s="309" t="s">
        <v>46</v>
      </c>
      <c r="F82" s="310" t="s">
        <v>103</v>
      </c>
      <c r="G82" s="312">
        <v>5.36</v>
      </c>
      <c r="H82" s="308">
        <v>13</v>
      </c>
      <c r="I82" s="340">
        <v>3.13</v>
      </c>
      <c r="J82" s="340"/>
      <c r="K82" s="308"/>
      <c r="L82" s="340">
        <f t="shared" si="2"/>
        <v>3.13</v>
      </c>
      <c r="M82" s="308"/>
      <c r="N82" s="311"/>
      <c r="O82" s="312"/>
      <c r="P82" s="308"/>
      <c r="Q82" s="308"/>
      <c r="R82" s="392"/>
      <c r="S82" s="358">
        <f ca="1">IF(C82&lt;=EOMONTH('&gt;&gt;Vistas Consolidadas'!$D$2, '&gt;&gt;Vistas Consolidadas'!$F$2),J82+I82,J82)</f>
        <v>3.13</v>
      </c>
      <c r="T82" s="18" t="str">
        <f ca="1">IF(C82&gt;='&gt;&gt;Vistas Consolidadas'!$D$2,"SI","NO")</f>
        <v>NO</v>
      </c>
      <c r="U82" s="358">
        <f ca="1">IF(C82&lt;=EOMONTH('&gt;&gt;Vistas Consolidadas'!$D$2, '&gt;&gt;Vistas Consolidadas'!$F$2),I82,0)</f>
        <v>3.13</v>
      </c>
      <c r="V82" s="18" t="b">
        <f ca="1">AND(C82&gt;='Interes Por Semana'!$C$4, C82&lt;='Interes Por Semana'!$E$4)</f>
        <v>0</v>
      </c>
      <c r="W82" s="18" t="str">
        <f t="shared" si="3"/>
        <v>jueves</v>
      </c>
    </row>
    <row r="83" spans="2:23" hidden="1" x14ac:dyDescent="0.25">
      <c r="B83" s="337">
        <v>45552</v>
      </c>
      <c r="C83" s="337">
        <v>46163</v>
      </c>
      <c r="D83" s="374" t="s">
        <v>78</v>
      </c>
      <c r="E83" s="309" t="s">
        <v>47</v>
      </c>
      <c r="F83" s="310" t="s">
        <v>103</v>
      </c>
      <c r="G83" s="311">
        <v>5.36</v>
      </c>
      <c r="H83" s="311">
        <v>13.75</v>
      </c>
      <c r="I83" s="340">
        <f>4.47</f>
        <v>4.47</v>
      </c>
      <c r="J83" s="340"/>
      <c r="K83" s="308"/>
      <c r="L83" s="340">
        <f t="shared" si="2"/>
        <v>4.47</v>
      </c>
      <c r="M83" s="311"/>
      <c r="N83" s="311"/>
      <c r="O83" s="311"/>
      <c r="P83" s="311"/>
      <c r="Q83" s="311"/>
      <c r="R83" s="392"/>
      <c r="S83" s="358">
        <f ca="1">IF(C83&lt;=EOMONTH('&gt;&gt;Vistas Consolidadas'!$D$2, '&gt;&gt;Vistas Consolidadas'!$F$2),J83+I83,J83)</f>
        <v>4.47</v>
      </c>
      <c r="T83" s="18" t="str">
        <f ca="1">IF(C83&gt;='&gt;&gt;Vistas Consolidadas'!$D$2,"SI","NO")</f>
        <v>NO</v>
      </c>
      <c r="U83" s="358">
        <f ca="1">IF(C83&lt;=EOMONTH('&gt;&gt;Vistas Consolidadas'!$D$2, '&gt;&gt;Vistas Consolidadas'!$F$2),I83,0)</f>
        <v>4.47</v>
      </c>
      <c r="V83" s="18" t="b">
        <f ca="1">AND(C83&gt;='Interes Por Semana'!$C$4, C83&lt;='Interes Por Semana'!$E$4)</f>
        <v>0</v>
      </c>
      <c r="W83" s="18" t="str">
        <f t="shared" si="3"/>
        <v>jueves</v>
      </c>
    </row>
    <row r="84" spans="2:23" hidden="1" x14ac:dyDescent="0.25">
      <c r="B84" s="337">
        <v>45447</v>
      </c>
      <c r="C84" s="337">
        <v>46166</v>
      </c>
      <c r="D84" s="374" t="s">
        <v>78</v>
      </c>
      <c r="E84" s="309" t="s">
        <v>47</v>
      </c>
      <c r="F84" s="310" t="s">
        <v>105</v>
      </c>
      <c r="G84" s="311">
        <v>5.93</v>
      </c>
      <c r="H84" s="311">
        <v>13.25</v>
      </c>
      <c r="I84" s="340">
        <f>29.65</f>
        <v>29.65</v>
      </c>
      <c r="J84" s="340"/>
      <c r="K84" s="308"/>
      <c r="L84" s="340">
        <f t="shared" si="2"/>
        <v>29.65</v>
      </c>
      <c r="M84" s="311"/>
      <c r="N84" s="311"/>
      <c r="O84" s="311"/>
      <c r="P84" s="311"/>
      <c r="Q84" s="311"/>
      <c r="R84" s="392"/>
      <c r="S84" s="358">
        <f ca="1">IF(C84&lt;=EOMONTH('&gt;&gt;Vistas Consolidadas'!$D$2, '&gt;&gt;Vistas Consolidadas'!$F$2),J84+I84,J84)</f>
        <v>29.65</v>
      </c>
      <c r="T84" s="18" t="str">
        <f ca="1">IF(C84&gt;='&gt;&gt;Vistas Consolidadas'!$D$2,"SI","NO")</f>
        <v>NO</v>
      </c>
      <c r="U84" s="358">
        <f ca="1">IF(C84&lt;=EOMONTH('&gt;&gt;Vistas Consolidadas'!$D$2, '&gt;&gt;Vistas Consolidadas'!$F$2),I84,0)</f>
        <v>29.65</v>
      </c>
      <c r="V84" s="18" t="b">
        <f ca="1">AND(C84&gt;='Interes Por Semana'!$C$4, C84&lt;='Interes Por Semana'!$E$4)</f>
        <v>0</v>
      </c>
      <c r="W84" s="18" t="str">
        <f t="shared" si="3"/>
        <v>domingo</v>
      </c>
    </row>
    <row r="85" spans="2:23" hidden="1" x14ac:dyDescent="0.25">
      <c r="B85" s="337">
        <v>45832</v>
      </c>
      <c r="C85" s="337">
        <v>46167</v>
      </c>
      <c r="D85" s="374" t="s">
        <v>78</v>
      </c>
      <c r="E85" s="309" t="s">
        <v>47</v>
      </c>
      <c r="F85" s="310" t="s">
        <v>106</v>
      </c>
      <c r="G85" s="311">
        <v>5.93</v>
      </c>
      <c r="H85" s="311">
        <v>11</v>
      </c>
      <c r="I85" s="340">
        <f>22.41</f>
        <v>22.41</v>
      </c>
      <c r="J85" s="340"/>
      <c r="K85" s="308"/>
      <c r="L85" s="340">
        <f t="shared" si="2"/>
        <v>22.41</v>
      </c>
      <c r="M85" s="311"/>
      <c r="N85" s="311"/>
      <c r="O85" s="311"/>
      <c r="P85" s="311"/>
      <c r="Q85" s="311"/>
      <c r="R85" s="392"/>
      <c r="S85" s="358">
        <f ca="1">IF(C85&lt;=EOMONTH('&gt;&gt;Vistas Consolidadas'!$D$2, '&gt;&gt;Vistas Consolidadas'!$F$2),J85+I85,J85)</f>
        <v>22.41</v>
      </c>
      <c r="T85" s="18" t="str">
        <f ca="1">IF(C85&gt;='&gt;&gt;Vistas Consolidadas'!$D$2,"SI","NO")</f>
        <v>NO</v>
      </c>
      <c r="U85" s="358">
        <f ca="1">IF(C85&lt;=EOMONTH('&gt;&gt;Vistas Consolidadas'!$D$2, '&gt;&gt;Vistas Consolidadas'!$F$2),I85,0)</f>
        <v>22.41</v>
      </c>
      <c r="V85" s="18" t="b">
        <f ca="1">AND(C85&gt;='Interes Por Semana'!$C$4, C85&lt;='Interes Por Semana'!$E$4)</f>
        <v>0</v>
      </c>
      <c r="W85" s="18" t="str">
        <f t="shared" si="3"/>
        <v>lunes</v>
      </c>
    </row>
    <row r="86" spans="2:23" hidden="1" x14ac:dyDescent="0.25">
      <c r="B86" s="337">
        <v>45889</v>
      </c>
      <c r="C86" s="337">
        <v>46167</v>
      </c>
      <c r="D86" s="374" t="s">
        <v>78</v>
      </c>
      <c r="E86" s="309" t="s">
        <v>46</v>
      </c>
      <c r="F86" s="310" t="s">
        <v>106</v>
      </c>
      <c r="G86" s="312">
        <v>6.21</v>
      </c>
      <c r="H86" s="308">
        <v>10.75</v>
      </c>
      <c r="I86" s="340">
        <v>25.88</v>
      </c>
      <c r="J86" s="340"/>
      <c r="K86" s="308"/>
      <c r="L86" s="340">
        <f t="shared" si="2"/>
        <v>25.88</v>
      </c>
      <c r="M86" s="308"/>
      <c r="N86" s="311"/>
      <c r="O86" s="312"/>
      <c r="P86" s="308"/>
      <c r="Q86" s="308"/>
      <c r="R86" s="392"/>
      <c r="S86" s="358">
        <f ca="1">IF(C86&lt;=EOMONTH('&gt;&gt;Vistas Consolidadas'!$D$2, '&gt;&gt;Vistas Consolidadas'!$F$2),J86+I86,J86)</f>
        <v>25.88</v>
      </c>
      <c r="T86" s="18" t="str">
        <f ca="1">IF(C86&gt;='&gt;&gt;Vistas Consolidadas'!$D$2,"SI","NO")</f>
        <v>NO</v>
      </c>
      <c r="U86" s="358">
        <f ca="1">IF(C86&lt;=EOMONTH('&gt;&gt;Vistas Consolidadas'!$D$2, '&gt;&gt;Vistas Consolidadas'!$F$2),I86,0)</f>
        <v>25.88</v>
      </c>
      <c r="V86" s="18" t="b">
        <f ca="1">AND(C86&gt;='Interes Por Semana'!$C$4, C86&lt;='Interes Por Semana'!$E$4)</f>
        <v>0</v>
      </c>
      <c r="W86" s="18" t="str">
        <f t="shared" si="3"/>
        <v>lunes</v>
      </c>
    </row>
    <row r="87" spans="2:23" hidden="1" x14ac:dyDescent="0.25">
      <c r="B87" s="337">
        <v>45889</v>
      </c>
      <c r="C87" s="337">
        <v>46167</v>
      </c>
      <c r="D87" s="374" t="s">
        <v>78</v>
      </c>
      <c r="E87" s="309" t="s">
        <v>47</v>
      </c>
      <c r="F87" s="310" t="s">
        <v>106</v>
      </c>
      <c r="G87" s="311">
        <v>6.21</v>
      </c>
      <c r="H87" s="311">
        <v>9.75</v>
      </c>
      <c r="I87" s="340">
        <v>4.5</v>
      </c>
      <c r="J87" s="340"/>
      <c r="K87" s="308"/>
      <c r="L87" s="340">
        <f t="shared" si="2"/>
        <v>4.5</v>
      </c>
      <c r="M87" s="311"/>
      <c r="N87" s="311"/>
      <c r="O87" s="311"/>
      <c r="P87" s="311"/>
      <c r="Q87" s="311"/>
      <c r="R87" s="392"/>
      <c r="S87" s="358">
        <f ca="1">IF(C87&lt;=EOMONTH('&gt;&gt;Vistas Consolidadas'!$D$2, '&gt;&gt;Vistas Consolidadas'!$F$2),J87+I87,J87)</f>
        <v>4.5</v>
      </c>
      <c r="T87" s="18" t="str">
        <f ca="1">IF(C87&gt;='&gt;&gt;Vistas Consolidadas'!$D$2,"SI","NO")</f>
        <v>NO</v>
      </c>
      <c r="U87" s="358">
        <f ca="1">IF(C87&lt;=EOMONTH('&gt;&gt;Vistas Consolidadas'!$D$2, '&gt;&gt;Vistas Consolidadas'!$F$2),I87,0)</f>
        <v>4.5</v>
      </c>
      <c r="V87" s="18" t="b">
        <f ca="1">AND(C87&gt;='Interes Por Semana'!$C$4, C87&lt;='Interes Por Semana'!$E$4)</f>
        <v>0</v>
      </c>
      <c r="W87" s="18" t="str">
        <f t="shared" si="3"/>
        <v>lunes</v>
      </c>
    </row>
    <row r="88" spans="2:23" hidden="1" x14ac:dyDescent="0.25">
      <c r="B88" s="337">
        <v>45593</v>
      </c>
      <c r="C88" s="337">
        <v>46168</v>
      </c>
      <c r="D88" s="374" t="s">
        <v>78</v>
      </c>
      <c r="E88" s="309" t="s">
        <v>47</v>
      </c>
      <c r="F88" s="310" t="s">
        <v>107</v>
      </c>
      <c r="G88" s="311">
        <v>5.07</v>
      </c>
      <c r="H88" s="311">
        <v>13</v>
      </c>
      <c r="I88" s="340">
        <f>11.41</f>
        <v>11.41</v>
      </c>
      <c r="J88" s="340"/>
      <c r="K88" s="308"/>
      <c r="L88" s="340">
        <f t="shared" si="2"/>
        <v>11.41</v>
      </c>
      <c r="M88" s="311"/>
      <c r="N88" s="311"/>
      <c r="O88" s="311"/>
      <c r="P88" s="311"/>
      <c r="Q88" s="311"/>
      <c r="R88" s="392"/>
      <c r="S88" s="358">
        <f ca="1">IF(C88&lt;=EOMONTH('&gt;&gt;Vistas Consolidadas'!$D$2, '&gt;&gt;Vistas Consolidadas'!$F$2),J88+I88,J88)</f>
        <v>11.41</v>
      </c>
      <c r="T88" s="18" t="str">
        <f ca="1">IF(C88&gt;='&gt;&gt;Vistas Consolidadas'!$D$2,"SI","NO")</f>
        <v>NO</v>
      </c>
      <c r="U88" s="358">
        <f ca="1">IF(C88&lt;=EOMONTH('&gt;&gt;Vistas Consolidadas'!$D$2, '&gt;&gt;Vistas Consolidadas'!$F$2),I88,0)</f>
        <v>11.41</v>
      </c>
      <c r="V88" s="18" t="b">
        <f ca="1">AND(C88&gt;='Interes Por Semana'!$C$4, C88&lt;='Interes Por Semana'!$E$4)</f>
        <v>0</v>
      </c>
      <c r="W88" s="18" t="str">
        <f t="shared" si="3"/>
        <v>martes</v>
      </c>
    </row>
    <row r="89" spans="2:23" hidden="1" x14ac:dyDescent="0.25">
      <c r="B89" s="337">
        <v>44830</v>
      </c>
      <c r="C89" s="337">
        <v>46169</v>
      </c>
      <c r="D89" s="374" t="s">
        <v>78</v>
      </c>
      <c r="E89" s="309" t="s">
        <v>47</v>
      </c>
      <c r="F89" s="310" t="s">
        <v>108</v>
      </c>
      <c r="G89" s="311">
        <v>5.64</v>
      </c>
      <c r="H89" s="311">
        <v>10.199999999999999</v>
      </c>
      <c r="I89" s="340">
        <v>9.4</v>
      </c>
      <c r="J89" s="340"/>
      <c r="K89" s="308"/>
      <c r="L89" s="340">
        <f t="shared" si="2"/>
        <v>9.4</v>
      </c>
      <c r="M89" s="311"/>
      <c r="N89" s="311"/>
      <c r="O89" s="311"/>
      <c r="P89" s="311"/>
      <c r="Q89" s="311"/>
      <c r="R89" s="392"/>
      <c r="S89" s="358">
        <f ca="1">IF(C89&lt;=EOMONTH('&gt;&gt;Vistas Consolidadas'!$D$2, '&gt;&gt;Vistas Consolidadas'!$F$2),J89+I89,J89)</f>
        <v>9.4</v>
      </c>
      <c r="T89" s="18" t="str">
        <f ca="1">IF(C89&gt;='&gt;&gt;Vistas Consolidadas'!$D$2,"SI","NO")</f>
        <v>NO</v>
      </c>
      <c r="U89" s="358">
        <f ca="1">IF(C89&lt;=EOMONTH('&gt;&gt;Vistas Consolidadas'!$D$2, '&gt;&gt;Vistas Consolidadas'!$F$2),I89,0)</f>
        <v>9.4</v>
      </c>
      <c r="V89" s="18" t="b">
        <f ca="1">AND(C89&gt;='Interes Por Semana'!$C$4, C89&lt;='Interes Por Semana'!$E$4)</f>
        <v>0</v>
      </c>
      <c r="W89" s="18" t="str">
        <f t="shared" si="3"/>
        <v>miércoles</v>
      </c>
    </row>
    <row r="90" spans="2:23" hidden="1" x14ac:dyDescent="0.25">
      <c r="B90" s="337">
        <v>46057</v>
      </c>
      <c r="C90" s="337">
        <v>46169</v>
      </c>
      <c r="D90" s="374" t="s">
        <v>78</v>
      </c>
      <c r="E90" s="309" t="s">
        <v>47</v>
      </c>
      <c r="F90" s="310" t="s">
        <v>109</v>
      </c>
      <c r="G90" s="311">
        <v>6.21</v>
      </c>
      <c r="H90" s="311">
        <v>11</v>
      </c>
      <c r="I90" s="340">
        <v>15.61</v>
      </c>
      <c r="J90" s="340"/>
      <c r="K90" s="308"/>
      <c r="L90" s="340">
        <f t="shared" si="2"/>
        <v>15.61</v>
      </c>
      <c r="M90" s="311"/>
      <c r="N90" s="311"/>
      <c r="O90" s="311"/>
      <c r="P90" s="311"/>
      <c r="Q90" s="311"/>
      <c r="R90" s="392"/>
      <c r="S90" s="358">
        <f ca="1">IF(C90&lt;=EOMONTH('&gt;&gt;Vistas Consolidadas'!$D$2, '&gt;&gt;Vistas Consolidadas'!$F$2),J90+I90,J90)</f>
        <v>15.61</v>
      </c>
      <c r="T90" s="18" t="str">
        <f ca="1">IF(C90&gt;='&gt;&gt;Vistas Consolidadas'!$D$2,"SI","NO")</f>
        <v>NO</v>
      </c>
      <c r="U90" s="358">
        <f ca="1">IF(C90&lt;=EOMONTH('&gt;&gt;Vistas Consolidadas'!$D$2, '&gt;&gt;Vistas Consolidadas'!$F$2),I90,0)</f>
        <v>15.61</v>
      </c>
      <c r="V90" s="18" t="b">
        <f ca="1">AND(C90&gt;='Interes Por Semana'!$C$4, C90&lt;='Interes Por Semana'!$E$4)</f>
        <v>0</v>
      </c>
      <c r="W90" s="18" t="str">
        <f t="shared" si="3"/>
        <v>miércoles</v>
      </c>
    </row>
    <row r="91" spans="2:23" hidden="1" x14ac:dyDescent="0.25">
      <c r="B91" s="337">
        <v>46080</v>
      </c>
      <c r="C91" s="337">
        <v>46169</v>
      </c>
      <c r="D91" s="374" t="s">
        <v>78</v>
      </c>
      <c r="E91" s="309" t="s">
        <v>46</v>
      </c>
      <c r="F91" s="310" t="s">
        <v>110</v>
      </c>
      <c r="G91" s="312">
        <v>6.21</v>
      </c>
      <c r="H91" s="312">
        <v>10.6</v>
      </c>
      <c r="I91" s="340">
        <v>17.79</v>
      </c>
      <c r="J91" s="340"/>
      <c r="K91" s="308"/>
      <c r="L91" s="340">
        <f t="shared" si="2"/>
        <v>17.79</v>
      </c>
      <c r="M91" s="308"/>
      <c r="N91" s="311"/>
      <c r="O91" s="312"/>
      <c r="P91" s="308"/>
      <c r="Q91" s="308"/>
      <c r="R91" s="392"/>
      <c r="S91" s="358">
        <f ca="1">IF(C91&lt;=EOMONTH('&gt;&gt;Vistas Consolidadas'!$D$2, '&gt;&gt;Vistas Consolidadas'!$F$2),J91+I91,J91)</f>
        <v>17.79</v>
      </c>
      <c r="T91" s="18" t="str">
        <f ca="1">IF(C91&gt;='&gt;&gt;Vistas Consolidadas'!$D$2,"SI","NO")</f>
        <v>NO</v>
      </c>
      <c r="U91" s="358">
        <f ca="1">IF(C91&lt;=EOMONTH('&gt;&gt;Vistas Consolidadas'!$D$2, '&gt;&gt;Vistas Consolidadas'!$F$2),I91,0)</f>
        <v>17.79</v>
      </c>
      <c r="V91" s="18" t="b">
        <f ca="1">AND(C91&gt;='Interes Por Semana'!$C$4, C91&lt;='Interes Por Semana'!$E$4)</f>
        <v>0</v>
      </c>
      <c r="W91" s="18" t="str">
        <f t="shared" si="3"/>
        <v>miércoles</v>
      </c>
    </row>
    <row r="92" spans="2:23" hidden="1" x14ac:dyDescent="0.25">
      <c r="B92" s="337">
        <v>45987</v>
      </c>
      <c r="C92" s="337">
        <v>46170</v>
      </c>
      <c r="D92" s="374" t="s">
        <v>78</v>
      </c>
      <c r="E92" s="309" t="s">
        <v>46</v>
      </c>
      <c r="F92" s="310" t="s">
        <v>111</v>
      </c>
      <c r="G92" s="312">
        <v>6.82</v>
      </c>
      <c r="H92" s="308">
        <v>11</v>
      </c>
      <c r="I92" s="340">
        <v>6.82</v>
      </c>
      <c r="J92" s="340">
        <v>0</v>
      </c>
      <c r="K92" s="308"/>
      <c r="L92" s="340">
        <f t="shared" si="2"/>
        <v>6.82</v>
      </c>
      <c r="M92" s="308"/>
      <c r="N92" s="311"/>
      <c r="O92" s="312"/>
      <c r="P92" s="308"/>
      <c r="Q92" s="308"/>
      <c r="R92" s="392"/>
      <c r="S92" s="358">
        <f ca="1">IF(C92&lt;=EOMONTH('&gt;&gt;Vistas Consolidadas'!$D$2, '&gt;&gt;Vistas Consolidadas'!$F$2),J92+I92,J92)</f>
        <v>6.82</v>
      </c>
      <c r="T92" s="18" t="str">
        <f ca="1">IF(C92&gt;='&gt;&gt;Vistas Consolidadas'!$D$2,"SI","NO")</f>
        <v>NO</v>
      </c>
      <c r="U92" s="358">
        <f ca="1">IF(C92&lt;=EOMONTH('&gt;&gt;Vistas Consolidadas'!$D$2, '&gt;&gt;Vistas Consolidadas'!$F$2),I92,0)</f>
        <v>6.82</v>
      </c>
      <c r="V92" s="18" t="b">
        <f ca="1">AND(C92&gt;='Interes Por Semana'!$C$4, C92&lt;='Interes Por Semana'!$E$4)</f>
        <v>0</v>
      </c>
      <c r="W92" s="18" t="str">
        <f t="shared" si="3"/>
        <v>jueves</v>
      </c>
    </row>
    <row r="93" spans="2:23" hidden="1" x14ac:dyDescent="0.25">
      <c r="B93" s="337">
        <v>44700</v>
      </c>
      <c r="C93" s="337">
        <v>46187</v>
      </c>
      <c r="D93" s="374" t="s">
        <v>88</v>
      </c>
      <c r="E93" s="309" t="s">
        <v>46</v>
      </c>
      <c r="F93" s="310" t="s">
        <v>116</v>
      </c>
      <c r="G93" s="312">
        <v>8.5</v>
      </c>
      <c r="H93" s="308">
        <v>8.75</v>
      </c>
      <c r="I93" s="340">
        <v>82.88</v>
      </c>
      <c r="J93" s="340">
        <v>975</v>
      </c>
      <c r="K93" s="308"/>
      <c r="L93" s="340">
        <f t="shared" si="2"/>
        <v>82.88</v>
      </c>
      <c r="M93" s="308"/>
      <c r="N93" s="311"/>
      <c r="O93" s="312"/>
      <c r="P93" s="308"/>
      <c r="Q93" s="308"/>
      <c r="R93" s="392"/>
      <c r="S93" s="358">
        <f ca="1">IF(C93&lt;=EOMONTH('&gt;&gt;Vistas Consolidadas'!$D$2, '&gt;&gt;Vistas Consolidadas'!$F$2),J93+I93,J93)</f>
        <v>1057.8800000000001</v>
      </c>
      <c r="T93" s="18" t="str">
        <f ca="1">IF(C93&gt;='&gt;&gt;Vistas Consolidadas'!$D$2,"SI","NO")</f>
        <v>NO</v>
      </c>
      <c r="U93" s="358">
        <f ca="1">IF(C93&lt;=EOMONTH('&gt;&gt;Vistas Consolidadas'!$D$2, '&gt;&gt;Vistas Consolidadas'!$F$2),I93,0)</f>
        <v>82.88</v>
      </c>
      <c r="V93" s="18" t="b">
        <f ca="1">AND(C93&gt;='Interes Por Semana'!$C$4, C93&lt;='Interes Por Semana'!$E$4)</f>
        <v>0</v>
      </c>
      <c r="W93" s="18" t="str">
        <f t="shared" si="3"/>
        <v>domingo</v>
      </c>
    </row>
    <row r="94" spans="2:23" hidden="1" x14ac:dyDescent="0.25">
      <c r="B94" s="337">
        <v>45706</v>
      </c>
      <c r="C94" s="337">
        <v>46183</v>
      </c>
      <c r="D94" s="374" t="s">
        <v>88</v>
      </c>
      <c r="E94" s="309" t="s">
        <v>46</v>
      </c>
      <c r="F94" s="310" t="s">
        <v>117</v>
      </c>
      <c r="G94" s="312">
        <v>9</v>
      </c>
      <c r="H94" s="308">
        <v>12</v>
      </c>
      <c r="I94" s="340">
        <v>533.54999999999995</v>
      </c>
      <c r="J94" s="340">
        <v>3385.31</v>
      </c>
      <c r="K94" s="308"/>
      <c r="L94" s="340">
        <f t="shared" si="2"/>
        <v>533.54999999999995</v>
      </c>
      <c r="M94" s="308"/>
      <c r="N94" s="311"/>
      <c r="O94" s="312"/>
      <c r="P94" s="308"/>
      <c r="Q94" s="308"/>
      <c r="R94" s="392"/>
      <c r="S94" s="358">
        <f ca="1">IF(C94&lt;=EOMONTH('&gt;&gt;Vistas Consolidadas'!$D$2, '&gt;&gt;Vistas Consolidadas'!$F$2),J94+I94,J94)</f>
        <v>3918.8599999999997</v>
      </c>
      <c r="T94" s="18" t="str">
        <f ca="1">IF(C94&gt;='&gt;&gt;Vistas Consolidadas'!$D$2,"SI","NO")</f>
        <v>NO</v>
      </c>
      <c r="U94" s="358">
        <f ca="1">IF(C94&lt;=EOMONTH('&gt;&gt;Vistas Consolidadas'!$D$2, '&gt;&gt;Vistas Consolidadas'!$F$2),I94,0)</f>
        <v>533.54999999999995</v>
      </c>
      <c r="V94" s="18" t="b">
        <f ca="1">AND(C94&gt;='Interes Por Semana'!$C$4, C94&lt;='Interes Por Semana'!$E$4)</f>
        <v>0</v>
      </c>
      <c r="W94" s="18" t="str">
        <f t="shared" si="3"/>
        <v>miércoles</v>
      </c>
    </row>
    <row r="95" spans="2:23" hidden="1" x14ac:dyDescent="0.25">
      <c r="B95" s="337">
        <v>45559</v>
      </c>
      <c r="C95" s="337">
        <v>46185</v>
      </c>
      <c r="D95" s="374" t="s">
        <v>118</v>
      </c>
      <c r="E95" s="309" t="s">
        <v>47</v>
      </c>
      <c r="F95" s="310" t="s">
        <v>119</v>
      </c>
      <c r="G95" s="311">
        <v>8.5</v>
      </c>
      <c r="H95" s="311">
        <v>12</v>
      </c>
      <c r="I95" s="340">
        <v>370.04</v>
      </c>
      <c r="J95" s="340">
        <v>569.51</v>
      </c>
      <c r="K95" s="308"/>
      <c r="L95" s="340">
        <f t="shared" si="2"/>
        <v>370.04</v>
      </c>
      <c r="M95" s="311"/>
      <c r="N95" s="311"/>
      <c r="O95" s="311"/>
      <c r="P95" s="311"/>
      <c r="Q95" s="311"/>
      <c r="R95" s="392"/>
      <c r="S95" s="358">
        <f ca="1">IF(C95&lt;=EOMONTH('&gt;&gt;Vistas Consolidadas'!$D$2, '&gt;&gt;Vistas Consolidadas'!$F$2),J95+I95,J95)</f>
        <v>939.55</v>
      </c>
      <c r="T95" s="18" t="str">
        <f ca="1">IF(C95&gt;='&gt;&gt;Vistas Consolidadas'!$D$2,"SI","NO")</f>
        <v>NO</v>
      </c>
      <c r="U95" s="358">
        <f ca="1">IF(C95&lt;=EOMONTH('&gt;&gt;Vistas Consolidadas'!$D$2, '&gt;&gt;Vistas Consolidadas'!$F$2),I95,0)</f>
        <v>370.04</v>
      </c>
      <c r="V95" s="18" t="b">
        <f ca="1">AND(C95&gt;='Interes Por Semana'!$C$4, C95&lt;='Interes Por Semana'!$E$4)</f>
        <v>0</v>
      </c>
      <c r="W95" s="18" t="str">
        <f t="shared" si="3"/>
        <v>viernes</v>
      </c>
    </row>
    <row r="96" spans="2:23" hidden="1" x14ac:dyDescent="0.25">
      <c r="B96" s="337">
        <v>45559</v>
      </c>
      <c r="C96" s="337">
        <v>46185</v>
      </c>
      <c r="D96" s="374" t="s">
        <v>118</v>
      </c>
      <c r="E96" s="309" t="s">
        <v>46</v>
      </c>
      <c r="F96" s="310" t="s">
        <v>119</v>
      </c>
      <c r="G96" s="312">
        <v>8.5</v>
      </c>
      <c r="H96" s="308">
        <v>12</v>
      </c>
      <c r="I96" s="340">
        <v>58.69</v>
      </c>
      <c r="J96" s="340">
        <v>90.33</v>
      </c>
      <c r="K96" s="308"/>
      <c r="L96" s="340">
        <f t="shared" si="2"/>
        <v>58.69</v>
      </c>
      <c r="M96" s="308"/>
      <c r="N96" s="311"/>
      <c r="O96" s="312"/>
      <c r="P96" s="308"/>
      <c r="Q96" s="308"/>
      <c r="R96" s="392"/>
      <c r="S96" s="358">
        <f ca="1">IF(C96&lt;=EOMONTH('&gt;&gt;Vistas Consolidadas'!$D$2, '&gt;&gt;Vistas Consolidadas'!$F$2),J96+I96,J96)</f>
        <v>149.01999999999998</v>
      </c>
      <c r="T96" s="18" t="str">
        <f ca="1">IF(C96&gt;='&gt;&gt;Vistas Consolidadas'!$D$2,"SI","NO")</f>
        <v>NO</v>
      </c>
      <c r="U96" s="358">
        <f ca="1">IF(C96&lt;=EOMONTH('&gt;&gt;Vistas Consolidadas'!$D$2, '&gt;&gt;Vistas Consolidadas'!$F$2),I96,0)</f>
        <v>58.69</v>
      </c>
      <c r="V96" s="18" t="b">
        <f ca="1">AND(C96&gt;='Interes Por Semana'!$C$4, C96&lt;='Interes Por Semana'!$E$4)</f>
        <v>0</v>
      </c>
      <c r="W96" s="18" t="str">
        <f t="shared" si="3"/>
        <v>viernes</v>
      </c>
    </row>
    <row r="97" spans="2:23" hidden="1" x14ac:dyDescent="0.25">
      <c r="B97" s="337">
        <v>45559</v>
      </c>
      <c r="C97" s="337">
        <v>46185</v>
      </c>
      <c r="D97" s="374" t="s">
        <v>118</v>
      </c>
      <c r="E97" s="309" t="s">
        <v>48</v>
      </c>
      <c r="F97" s="310" t="s">
        <v>119</v>
      </c>
      <c r="G97" s="312">
        <v>8.5</v>
      </c>
      <c r="H97" s="308">
        <v>12</v>
      </c>
      <c r="I97" s="340">
        <v>238.44</v>
      </c>
      <c r="J97" s="340">
        <v>366.97</v>
      </c>
      <c r="K97" s="308"/>
      <c r="L97" s="340">
        <f t="shared" si="2"/>
        <v>238.44</v>
      </c>
      <c r="M97" s="308"/>
      <c r="N97" s="311"/>
      <c r="O97" s="312"/>
      <c r="P97" s="308"/>
      <c r="Q97" s="308"/>
      <c r="R97" s="392"/>
      <c r="S97" s="358">
        <f ca="1">IF(C97&lt;=EOMONTH('&gt;&gt;Vistas Consolidadas'!$D$2, '&gt;&gt;Vistas Consolidadas'!$F$2),J97+I97,J97)</f>
        <v>605.41000000000008</v>
      </c>
      <c r="T97" s="18" t="str">
        <f ca="1">IF(C97&gt;='&gt;&gt;Vistas Consolidadas'!$D$2,"SI","NO")</f>
        <v>NO</v>
      </c>
      <c r="U97" s="358">
        <f ca="1">IF(C97&lt;=EOMONTH('&gt;&gt;Vistas Consolidadas'!$D$2, '&gt;&gt;Vistas Consolidadas'!$F$2),I97,0)</f>
        <v>238.44</v>
      </c>
      <c r="V97" s="18" t="b">
        <f ca="1">AND(C97&gt;='Interes Por Semana'!$C$4, C97&lt;='Interes Por Semana'!$E$4)</f>
        <v>0</v>
      </c>
      <c r="W97" s="18" t="str">
        <f t="shared" si="3"/>
        <v>viernes</v>
      </c>
    </row>
    <row r="98" spans="2:23" hidden="1" x14ac:dyDescent="0.25">
      <c r="B98" s="337">
        <v>44734</v>
      </c>
      <c r="C98" s="337">
        <v>46195</v>
      </c>
      <c r="D98" s="374" t="s">
        <v>88</v>
      </c>
      <c r="E98" s="309" t="s">
        <v>46</v>
      </c>
      <c r="F98" s="310" t="s">
        <v>120</v>
      </c>
      <c r="G98" s="312">
        <v>8</v>
      </c>
      <c r="H98" s="312">
        <v>9</v>
      </c>
      <c r="I98" s="340">
        <v>54.63</v>
      </c>
      <c r="J98" s="340">
        <v>2731.25</v>
      </c>
      <c r="K98" s="308"/>
      <c r="L98" s="340">
        <f t="shared" si="2"/>
        <v>54.63</v>
      </c>
      <c r="M98" s="308"/>
      <c r="N98" s="311"/>
      <c r="O98" s="312"/>
      <c r="P98" s="308"/>
      <c r="Q98" s="308"/>
      <c r="R98" s="392"/>
      <c r="S98" s="358">
        <f ca="1">IF(C98&lt;=EOMONTH('&gt;&gt;Vistas Consolidadas'!$D$2, '&gt;&gt;Vistas Consolidadas'!$F$2),J98+I98,J98)</f>
        <v>2785.88</v>
      </c>
      <c r="T98" s="18" t="str">
        <f ca="1">IF(C98&gt;='&gt;&gt;Vistas Consolidadas'!$D$2,"SI","NO")</f>
        <v>NO</v>
      </c>
      <c r="U98" s="358">
        <f ca="1">IF(C98&lt;=EOMONTH('&gt;&gt;Vistas Consolidadas'!$D$2, '&gt;&gt;Vistas Consolidadas'!$F$2),I98,0)</f>
        <v>54.63</v>
      </c>
      <c r="V98" s="18" t="b">
        <f ca="1">AND(C98&gt;='Interes Por Semana'!$C$4, C98&lt;='Interes Por Semana'!$E$4)</f>
        <v>0</v>
      </c>
      <c r="W98" s="18" t="str">
        <f t="shared" si="3"/>
        <v>lunes</v>
      </c>
    </row>
    <row r="99" spans="2:23" hidden="1" x14ac:dyDescent="0.25">
      <c r="B99" s="337">
        <v>45552</v>
      </c>
      <c r="C99" s="337">
        <v>46176</v>
      </c>
      <c r="D99" s="374" t="s">
        <v>78</v>
      </c>
      <c r="E99" s="309" t="s">
        <v>47</v>
      </c>
      <c r="F99" s="310" t="s">
        <v>79</v>
      </c>
      <c r="G99" s="311">
        <v>5.36</v>
      </c>
      <c r="H99" s="311">
        <v>13.5</v>
      </c>
      <c r="I99" s="340">
        <f>15.63</f>
        <v>15.63</v>
      </c>
      <c r="J99" s="340"/>
      <c r="K99" s="308"/>
      <c r="L99" s="340">
        <f t="shared" si="2"/>
        <v>15.63</v>
      </c>
      <c r="M99" s="311"/>
      <c r="N99" s="311"/>
      <c r="O99" s="311"/>
      <c r="P99" s="311"/>
      <c r="Q99" s="311"/>
      <c r="R99" s="392"/>
      <c r="S99" s="358">
        <f ca="1">IF(C99&lt;=EOMONTH('&gt;&gt;Vistas Consolidadas'!$D$2, '&gt;&gt;Vistas Consolidadas'!$F$2),J99+I99,J99)</f>
        <v>15.63</v>
      </c>
      <c r="T99" s="18" t="str">
        <f ca="1">IF(C99&gt;='&gt;&gt;Vistas Consolidadas'!$D$2,"SI","NO")</f>
        <v>NO</v>
      </c>
      <c r="U99" s="358">
        <f ca="1">IF(C99&lt;=EOMONTH('&gt;&gt;Vistas Consolidadas'!$D$2, '&gt;&gt;Vistas Consolidadas'!$F$2),I99,0)</f>
        <v>15.63</v>
      </c>
      <c r="V99" s="18" t="b">
        <f ca="1">AND(C99&gt;='Interes Por Semana'!$C$4, C99&lt;='Interes Por Semana'!$E$4)</f>
        <v>0</v>
      </c>
      <c r="W99" s="18" t="str">
        <f t="shared" si="3"/>
        <v>miércoles</v>
      </c>
    </row>
    <row r="100" spans="2:23" hidden="1" x14ac:dyDescent="0.25">
      <c r="B100" s="337">
        <v>45560</v>
      </c>
      <c r="C100" s="337">
        <v>46176</v>
      </c>
      <c r="D100" s="374" t="s">
        <v>78</v>
      </c>
      <c r="E100" s="309" t="s">
        <v>47</v>
      </c>
      <c r="F100" s="310" t="s">
        <v>79</v>
      </c>
      <c r="G100" s="311">
        <v>5.36</v>
      </c>
      <c r="H100" s="311">
        <v>12.5</v>
      </c>
      <c r="I100" s="340">
        <f>12.51</f>
        <v>12.51</v>
      </c>
      <c r="J100" s="340"/>
      <c r="K100" s="308"/>
      <c r="L100" s="340">
        <f t="shared" si="2"/>
        <v>12.51</v>
      </c>
      <c r="M100" s="311"/>
      <c r="N100" s="311"/>
      <c r="O100" s="311"/>
      <c r="P100" s="311"/>
      <c r="Q100" s="311"/>
      <c r="R100" s="392"/>
      <c r="S100" s="358">
        <f ca="1">IF(C100&lt;=EOMONTH('&gt;&gt;Vistas Consolidadas'!$D$2, '&gt;&gt;Vistas Consolidadas'!$F$2),J100+I100,J100)</f>
        <v>12.51</v>
      </c>
      <c r="T100" s="18" t="str">
        <f ca="1">IF(C100&gt;='&gt;&gt;Vistas Consolidadas'!$D$2,"SI","NO")</f>
        <v>NO</v>
      </c>
      <c r="U100" s="358">
        <f ca="1">IF(C100&lt;=EOMONTH('&gt;&gt;Vistas Consolidadas'!$D$2, '&gt;&gt;Vistas Consolidadas'!$F$2),I100,0)</f>
        <v>12.51</v>
      </c>
      <c r="V100" s="18" t="b">
        <f ca="1">AND(C100&gt;='Interes Por Semana'!$C$4, C100&lt;='Interes Por Semana'!$E$4)</f>
        <v>0</v>
      </c>
      <c r="W100" s="18" t="str">
        <f t="shared" si="3"/>
        <v>miércoles</v>
      </c>
    </row>
    <row r="101" spans="2:23" hidden="1" x14ac:dyDescent="0.25">
      <c r="B101" s="337">
        <v>45708</v>
      </c>
      <c r="C101" s="337">
        <v>46177</v>
      </c>
      <c r="D101" s="374" t="s">
        <v>78</v>
      </c>
      <c r="E101" s="309" t="s">
        <v>46</v>
      </c>
      <c r="F101" s="310" t="s">
        <v>81</v>
      </c>
      <c r="G101" s="312">
        <v>5.36</v>
      </c>
      <c r="H101" s="308">
        <v>11.35</v>
      </c>
      <c r="I101" s="340">
        <f>16.79-J101</f>
        <v>16.79</v>
      </c>
      <c r="J101" s="340">
        <v>0</v>
      </c>
      <c r="K101" s="308"/>
      <c r="L101" s="340">
        <f t="shared" si="2"/>
        <v>16.79</v>
      </c>
      <c r="M101" s="308"/>
      <c r="N101" s="311"/>
      <c r="O101" s="312"/>
      <c r="P101" s="308"/>
      <c r="Q101" s="308"/>
      <c r="R101" s="392"/>
      <c r="S101" s="358">
        <f ca="1">IF(C101&lt;=EOMONTH('&gt;&gt;Vistas Consolidadas'!$D$2, '&gt;&gt;Vistas Consolidadas'!$F$2),J101+I101,J101)</f>
        <v>16.79</v>
      </c>
      <c r="T101" s="18" t="str">
        <f ca="1">IF(C101&gt;='&gt;&gt;Vistas Consolidadas'!$D$2,"SI","NO")</f>
        <v>NO</v>
      </c>
      <c r="U101" s="358">
        <f ca="1">IF(C101&lt;=EOMONTH('&gt;&gt;Vistas Consolidadas'!$D$2, '&gt;&gt;Vistas Consolidadas'!$F$2),I101,0)</f>
        <v>16.79</v>
      </c>
      <c r="V101" s="18" t="b">
        <f ca="1">AND(C101&gt;='Interes Por Semana'!$C$4, C101&lt;='Interes Por Semana'!$E$4)</f>
        <v>0</v>
      </c>
      <c r="W101" s="18" t="str">
        <f t="shared" si="3"/>
        <v>jueves</v>
      </c>
    </row>
    <row r="102" spans="2:23" hidden="1" x14ac:dyDescent="0.25">
      <c r="B102" s="337">
        <v>46057</v>
      </c>
      <c r="C102" s="337">
        <v>46179</v>
      </c>
      <c r="D102" s="374" t="s">
        <v>78</v>
      </c>
      <c r="E102" s="309" t="s">
        <v>47</v>
      </c>
      <c r="F102" s="310" t="s">
        <v>85</v>
      </c>
      <c r="G102" s="311">
        <v>7.93</v>
      </c>
      <c r="H102" s="311">
        <v>11.25</v>
      </c>
      <c r="I102" s="340">
        <v>58.023180428134552</v>
      </c>
      <c r="J102" s="340"/>
      <c r="K102" s="308"/>
      <c r="L102" s="340">
        <f t="shared" si="2"/>
        <v>58.023180428134552</v>
      </c>
      <c r="M102" s="311"/>
      <c r="N102" s="311"/>
      <c r="O102" s="311"/>
      <c r="P102" s="311"/>
      <c r="Q102" s="311"/>
      <c r="R102" s="392"/>
      <c r="S102" s="358">
        <f ca="1">IF(C102&lt;=EOMONTH('&gt;&gt;Vistas Consolidadas'!$D$2, '&gt;&gt;Vistas Consolidadas'!$F$2),J102+I102,J102)</f>
        <v>58.023180428134552</v>
      </c>
      <c r="T102" s="18" t="str">
        <f ca="1">IF(C102&gt;='&gt;&gt;Vistas Consolidadas'!$D$2,"SI","NO")</f>
        <v>NO</v>
      </c>
      <c r="U102" s="358">
        <f ca="1">IF(C102&lt;=EOMONTH('&gt;&gt;Vistas Consolidadas'!$D$2, '&gt;&gt;Vistas Consolidadas'!$F$2),I102,0)</f>
        <v>58.023180428134552</v>
      </c>
      <c r="V102" s="18" t="b">
        <f ca="1">AND(C102&gt;='Interes Por Semana'!$C$4, C102&lt;='Interes Por Semana'!$E$4)</f>
        <v>0</v>
      </c>
      <c r="W102" s="18" t="str">
        <f t="shared" si="3"/>
        <v>sábado</v>
      </c>
    </row>
    <row r="103" spans="2:23" hidden="1" x14ac:dyDescent="0.25">
      <c r="B103" s="337">
        <v>46057</v>
      </c>
      <c r="C103" s="337">
        <v>46179</v>
      </c>
      <c r="D103" s="374" t="s">
        <v>78</v>
      </c>
      <c r="E103" s="309" t="s">
        <v>47</v>
      </c>
      <c r="F103" s="310" t="s">
        <v>86</v>
      </c>
      <c r="G103" s="311">
        <v>7.35</v>
      </c>
      <c r="H103" s="311">
        <v>11</v>
      </c>
      <c r="I103" s="340">
        <v>20.79</v>
      </c>
      <c r="J103" s="340"/>
      <c r="K103" s="308"/>
      <c r="L103" s="340">
        <f t="shared" si="2"/>
        <v>20.79</v>
      </c>
      <c r="M103" s="311"/>
      <c r="N103" s="311"/>
      <c r="O103" s="311"/>
      <c r="P103" s="311"/>
      <c r="Q103" s="311"/>
      <c r="R103" s="392"/>
      <c r="S103" s="358">
        <f ca="1">IF(C103&lt;=EOMONTH('&gt;&gt;Vistas Consolidadas'!$D$2, '&gt;&gt;Vistas Consolidadas'!$F$2),J103+I103,J103)</f>
        <v>20.79</v>
      </c>
      <c r="T103" s="18" t="str">
        <f ca="1">IF(C103&gt;='&gt;&gt;Vistas Consolidadas'!$D$2,"SI","NO")</f>
        <v>NO</v>
      </c>
      <c r="U103" s="358">
        <f ca="1">IF(C103&lt;=EOMONTH('&gt;&gt;Vistas Consolidadas'!$D$2, '&gt;&gt;Vistas Consolidadas'!$F$2),I103,0)</f>
        <v>20.79</v>
      </c>
      <c r="V103" s="18" t="b">
        <f ca="1">AND(C103&gt;='Interes Por Semana'!$C$4, C103&lt;='Interes Por Semana'!$E$4)</f>
        <v>0</v>
      </c>
      <c r="W103" s="18" t="str">
        <f t="shared" si="3"/>
        <v>sábado</v>
      </c>
    </row>
    <row r="104" spans="2:23" hidden="1" x14ac:dyDescent="0.25">
      <c r="B104" s="337">
        <v>46001</v>
      </c>
      <c r="C104" s="337">
        <v>46179</v>
      </c>
      <c r="D104" s="374" t="s">
        <v>78</v>
      </c>
      <c r="E104" s="309" t="s">
        <v>46</v>
      </c>
      <c r="F104" s="310" t="s">
        <v>87</v>
      </c>
      <c r="G104" s="312">
        <v>7.54</v>
      </c>
      <c r="H104" s="308">
        <v>11</v>
      </c>
      <c r="I104" s="340">
        <f>7.79</f>
        <v>7.79</v>
      </c>
      <c r="J104" s="340"/>
      <c r="K104" s="308"/>
      <c r="L104" s="340">
        <f t="shared" si="2"/>
        <v>7.79</v>
      </c>
      <c r="M104" s="308"/>
      <c r="N104" s="311"/>
      <c r="O104" s="312"/>
      <c r="P104" s="308"/>
      <c r="Q104" s="308"/>
      <c r="R104" s="392"/>
      <c r="S104" s="358">
        <f ca="1">IF(C104&lt;=EOMONTH('&gt;&gt;Vistas Consolidadas'!$D$2, '&gt;&gt;Vistas Consolidadas'!$F$2),J104+I104,J104)</f>
        <v>7.79</v>
      </c>
      <c r="T104" s="18" t="str">
        <f ca="1">IF(C104&gt;='&gt;&gt;Vistas Consolidadas'!$D$2,"SI","NO")</f>
        <v>NO</v>
      </c>
      <c r="U104" s="358">
        <f ca="1">IF(C104&lt;=EOMONTH('&gt;&gt;Vistas Consolidadas'!$D$2, '&gt;&gt;Vistas Consolidadas'!$F$2),I104,0)</f>
        <v>7.79</v>
      </c>
      <c r="V104" s="18" t="b">
        <f ca="1">AND(C104&gt;='Interes Por Semana'!$C$4, C104&lt;='Interes Por Semana'!$E$4)</f>
        <v>0</v>
      </c>
      <c r="W104" s="18" t="str">
        <f t="shared" si="3"/>
        <v>sábado</v>
      </c>
    </row>
    <row r="105" spans="2:23" hidden="1" x14ac:dyDescent="0.25">
      <c r="B105" s="337">
        <v>45943</v>
      </c>
      <c r="C105" s="337">
        <v>46183</v>
      </c>
      <c r="D105" s="374" t="s">
        <v>78</v>
      </c>
      <c r="E105" s="309" t="s">
        <v>47</v>
      </c>
      <c r="F105" s="310" t="s">
        <v>91</v>
      </c>
      <c r="G105" s="311">
        <v>7.54</v>
      </c>
      <c r="H105" s="311">
        <v>9.85</v>
      </c>
      <c r="I105" s="340">
        <v>35.25</v>
      </c>
      <c r="J105" s="340"/>
      <c r="K105" s="308"/>
      <c r="L105" s="340">
        <f t="shared" si="2"/>
        <v>35.25</v>
      </c>
      <c r="M105" s="311"/>
      <c r="N105" s="311"/>
      <c r="O105" s="311"/>
      <c r="P105" s="311"/>
      <c r="Q105" s="311"/>
      <c r="R105" s="392"/>
      <c r="S105" s="358">
        <f ca="1">IF(C105&lt;=EOMONTH('&gt;&gt;Vistas Consolidadas'!$D$2, '&gt;&gt;Vistas Consolidadas'!$F$2),J105+I105,J105)</f>
        <v>35.25</v>
      </c>
      <c r="T105" s="18" t="str">
        <f ca="1">IF(C105&gt;='&gt;&gt;Vistas Consolidadas'!$D$2,"SI","NO")</f>
        <v>NO</v>
      </c>
      <c r="U105" s="358">
        <f ca="1">IF(C105&lt;=EOMONTH('&gt;&gt;Vistas Consolidadas'!$D$2, '&gt;&gt;Vistas Consolidadas'!$F$2),I105,0)</f>
        <v>35.25</v>
      </c>
      <c r="V105" s="18" t="b">
        <f ca="1">AND(C105&gt;='Interes Por Semana'!$C$4, C105&lt;='Interes Por Semana'!$E$4)</f>
        <v>0</v>
      </c>
      <c r="W105" s="18" t="str">
        <f t="shared" si="3"/>
        <v>miércoles</v>
      </c>
    </row>
    <row r="106" spans="2:23" hidden="1" x14ac:dyDescent="0.25">
      <c r="B106" s="337">
        <v>46097</v>
      </c>
      <c r="C106" s="337">
        <v>46184</v>
      </c>
      <c r="D106" s="374" t="s">
        <v>88</v>
      </c>
      <c r="E106" s="309" t="s">
        <v>47</v>
      </c>
      <c r="F106" s="310" t="s">
        <v>121</v>
      </c>
      <c r="G106" s="311">
        <v>9</v>
      </c>
      <c r="H106" s="311">
        <v>10.25</v>
      </c>
      <c r="I106" s="340">
        <f>664.6-35</f>
        <v>629.6</v>
      </c>
      <c r="J106" s="340">
        <f>965+35</f>
        <v>1000</v>
      </c>
      <c r="K106" s="311"/>
      <c r="L106" s="340">
        <f t="shared" si="2"/>
        <v>629.6</v>
      </c>
      <c r="M106" s="311"/>
      <c r="N106" s="311"/>
      <c r="O106" s="311"/>
      <c r="P106" s="311"/>
      <c r="Q106" s="311"/>
      <c r="R106" s="392"/>
      <c r="S106" s="358">
        <f ca="1">IF(C106&lt;=EOMONTH('&gt;&gt;Vistas Consolidadas'!$D$2, '&gt;&gt;Vistas Consolidadas'!$F$2),J106+I106,J106)</f>
        <v>1629.6</v>
      </c>
      <c r="T106" s="18" t="str">
        <f ca="1">IF(C106&gt;='&gt;&gt;Vistas Consolidadas'!$D$2,"SI","NO")</f>
        <v>NO</v>
      </c>
      <c r="U106" s="358">
        <f ca="1">IF(C106&lt;=EOMONTH('&gt;&gt;Vistas Consolidadas'!$D$2, '&gt;&gt;Vistas Consolidadas'!$F$2),I106,0)</f>
        <v>629.6</v>
      </c>
      <c r="V106" s="18" t="b">
        <f ca="1">AND(C106&gt;='Interes Por Semana'!$C$4, C106&lt;='Interes Por Semana'!$E$4)</f>
        <v>0</v>
      </c>
      <c r="W106" s="18" t="str">
        <f t="shared" si="3"/>
        <v>jueves</v>
      </c>
    </row>
    <row r="107" spans="2:23" hidden="1" x14ac:dyDescent="0.25">
      <c r="B107" s="337">
        <v>46105</v>
      </c>
      <c r="C107" s="337">
        <v>46184</v>
      </c>
      <c r="D107" s="374" t="s">
        <v>88</v>
      </c>
      <c r="E107" s="309" t="s">
        <v>47</v>
      </c>
      <c r="F107" s="310" t="s">
        <v>121</v>
      </c>
      <c r="G107" s="311">
        <v>9</v>
      </c>
      <c r="H107" s="311">
        <v>10.25</v>
      </c>
      <c r="I107" s="340">
        <f>109.78-15.03</f>
        <v>94.75</v>
      </c>
      <c r="J107" s="340">
        <f>159.4+15.03</f>
        <v>174.43</v>
      </c>
      <c r="K107" s="311"/>
      <c r="L107" s="340">
        <f t="shared" si="2"/>
        <v>94.75</v>
      </c>
      <c r="M107" s="311"/>
      <c r="N107" s="311"/>
      <c r="O107" s="311"/>
      <c r="P107" s="311"/>
      <c r="Q107" s="311"/>
      <c r="R107" s="392"/>
      <c r="S107" s="358">
        <f ca="1">IF(C107&lt;=EOMONTH('&gt;&gt;Vistas Consolidadas'!$D$2, '&gt;&gt;Vistas Consolidadas'!$F$2),J107+I107,J107)</f>
        <v>269.18</v>
      </c>
      <c r="T107" s="18" t="str">
        <f ca="1">IF(C107&gt;='&gt;&gt;Vistas Consolidadas'!$D$2,"SI","NO")</f>
        <v>NO</v>
      </c>
      <c r="U107" s="358">
        <f ca="1">IF(C107&lt;=EOMONTH('&gt;&gt;Vistas Consolidadas'!$D$2, '&gt;&gt;Vistas Consolidadas'!$F$2),I107,0)</f>
        <v>94.75</v>
      </c>
      <c r="V107" s="18" t="b">
        <f ca="1">AND(C107&gt;='Interes Por Semana'!$C$4, C107&lt;='Interes Por Semana'!$E$4)</f>
        <v>0</v>
      </c>
      <c r="W107" s="18" t="str">
        <f t="shared" si="3"/>
        <v>jueves</v>
      </c>
    </row>
    <row r="108" spans="2:23" hidden="1" x14ac:dyDescent="0.25">
      <c r="B108" s="337">
        <v>46121</v>
      </c>
      <c r="C108" s="337">
        <v>46185</v>
      </c>
      <c r="D108" s="374" t="s">
        <v>78</v>
      </c>
      <c r="E108" s="309" t="s">
        <v>47</v>
      </c>
      <c r="F108" s="310" t="s">
        <v>93</v>
      </c>
      <c r="G108" s="312">
        <v>4.71</v>
      </c>
      <c r="H108" s="308">
        <v>9.5</v>
      </c>
      <c r="I108" s="340">
        <v>3.53</v>
      </c>
      <c r="J108" s="340">
        <v>0</v>
      </c>
      <c r="K108" s="308"/>
      <c r="L108" s="340">
        <f t="shared" si="2"/>
        <v>3.53</v>
      </c>
      <c r="M108" s="308"/>
      <c r="N108" s="311"/>
      <c r="O108" s="312"/>
      <c r="P108" s="308"/>
      <c r="Q108" s="308"/>
      <c r="R108" s="392"/>
      <c r="S108" s="358">
        <f ca="1">IF(C108&lt;=EOMONTH('&gt;&gt;Vistas Consolidadas'!$D$2, '&gt;&gt;Vistas Consolidadas'!$F$2),J108+I108,J108)</f>
        <v>3.53</v>
      </c>
      <c r="T108" s="18" t="str">
        <f ca="1">IF(C108&gt;='&gt;&gt;Vistas Consolidadas'!$D$2,"SI","NO")</f>
        <v>NO</v>
      </c>
      <c r="U108" s="358">
        <f ca="1">IF(C108&lt;=EOMONTH('&gt;&gt;Vistas Consolidadas'!$D$2, '&gt;&gt;Vistas Consolidadas'!$F$2),I108,0)</f>
        <v>3.53</v>
      </c>
      <c r="V108" s="18" t="b">
        <f ca="1">AND(C108&gt;='Interes Por Semana'!$C$4, C108&lt;='Interes Por Semana'!$E$4)</f>
        <v>0</v>
      </c>
      <c r="W108" s="18" t="str">
        <f t="shared" si="3"/>
        <v>viernes</v>
      </c>
    </row>
    <row r="109" spans="2:23" hidden="1" x14ac:dyDescent="0.25">
      <c r="B109" s="337">
        <v>45323</v>
      </c>
      <c r="C109" s="337">
        <v>46203</v>
      </c>
      <c r="D109" s="374" t="s">
        <v>96</v>
      </c>
      <c r="E109" s="309" t="s">
        <v>47</v>
      </c>
      <c r="F109" s="310" t="s">
        <v>97</v>
      </c>
      <c r="G109" s="311">
        <v>6</v>
      </c>
      <c r="H109" s="311">
        <v>12</v>
      </c>
      <c r="I109" s="340">
        <v>16.670000000000002</v>
      </c>
      <c r="J109" s="340"/>
      <c r="K109" s="308"/>
      <c r="L109" s="340">
        <f t="shared" si="2"/>
        <v>16.670000000000002</v>
      </c>
      <c r="M109" s="311"/>
      <c r="N109" s="311"/>
      <c r="O109" s="311"/>
      <c r="P109" s="311"/>
      <c r="Q109" s="311"/>
      <c r="R109" s="392"/>
      <c r="S109" s="358">
        <f ca="1">IF(C109&lt;=EOMONTH('&gt;&gt;Vistas Consolidadas'!$D$2, '&gt;&gt;Vistas Consolidadas'!$F$2),J109+I109,J109)</f>
        <v>16.670000000000002</v>
      </c>
      <c r="T109" s="18" t="str">
        <f ca="1">IF(C109&gt;='&gt;&gt;Vistas Consolidadas'!$D$2,"SI","NO")</f>
        <v>NO</v>
      </c>
      <c r="U109" s="358">
        <f ca="1">IF(C109&lt;=EOMONTH('&gt;&gt;Vistas Consolidadas'!$D$2, '&gt;&gt;Vistas Consolidadas'!$F$2),I109,0)</f>
        <v>16.670000000000002</v>
      </c>
      <c r="V109" s="18" t="b">
        <f ca="1">AND(C109&gt;='Interes Por Semana'!$C$4, C109&lt;='Interes Por Semana'!$E$4)</f>
        <v>0</v>
      </c>
      <c r="W109" s="18" t="str">
        <f t="shared" si="3"/>
        <v>martes</v>
      </c>
    </row>
    <row r="110" spans="2:23" hidden="1" x14ac:dyDescent="0.25">
      <c r="B110" s="337">
        <v>45356</v>
      </c>
      <c r="C110" s="337">
        <v>46203</v>
      </c>
      <c r="D110" s="374" t="s">
        <v>96</v>
      </c>
      <c r="E110" s="309" t="s">
        <v>47</v>
      </c>
      <c r="F110" s="310" t="s">
        <v>97</v>
      </c>
      <c r="G110" s="311">
        <v>6</v>
      </c>
      <c r="H110" s="311">
        <v>12</v>
      </c>
      <c r="I110" s="340">
        <v>108.33</v>
      </c>
      <c r="J110" s="340"/>
      <c r="K110" s="308"/>
      <c r="L110" s="340">
        <f t="shared" si="2"/>
        <v>108.33</v>
      </c>
      <c r="M110" s="311"/>
      <c r="N110" s="311"/>
      <c r="O110" s="311"/>
      <c r="P110" s="311"/>
      <c r="Q110" s="311"/>
      <c r="R110" s="392"/>
      <c r="S110" s="358">
        <f ca="1">IF(C110&lt;=EOMONTH('&gt;&gt;Vistas Consolidadas'!$D$2, '&gt;&gt;Vistas Consolidadas'!$F$2),J110+I110,J110)</f>
        <v>108.33</v>
      </c>
      <c r="T110" s="18" t="str">
        <f ca="1">IF(C110&gt;='&gt;&gt;Vistas Consolidadas'!$D$2,"SI","NO")</f>
        <v>NO</v>
      </c>
      <c r="U110" s="358">
        <f ca="1">IF(C110&lt;=EOMONTH('&gt;&gt;Vistas Consolidadas'!$D$2, '&gt;&gt;Vistas Consolidadas'!$F$2),I110,0)</f>
        <v>108.33</v>
      </c>
      <c r="V110" s="18" t="b">
        <f ca="1">AND(C110&gt;='Interes Por Semana'!$C$4, C110&lt;='Interes Por Semana'!$E$4)</f>
        <v>0</v>
      </c>
      <c r="W110" s="18" t="str">
        <f t="shared" si="3"/>
        <v>martes</v>
      </c>
    </row>
    <row r="111" spans="2:23" hidden="1" x14ac:dyDescent="0.25">
      <c r="B111" s="337">
        <v>45006</v>
      </c>
      <c r="C111" s="337">
        <v>46203</v>
      </c>
      <c r="D111" s="374" t="s">
        <v>96</v>
      </c>
      <c r="E111" s="309" t="s">
        <v>46</v>
      </c>
      <c r="F111" s="310" t="s">
        <v>97</v>
      </c>
      <c r="G111" s="312">
        <v>6</v>
      </c>
      <c r="H111" s="308">
        <v>12</v>
      </c>
      <c r="I111" s="340">
        <v>62.5</v>
      </c>
      <c r="J111" s="340"/>
      <c r="K111" s="308"/>
      <c r="L111" s="340">
        <f t="shared" si="2"/>
        <v>62.5</v>
      </c>
      <c r="M111" s="308"/>
      <c r="N111" s="311"/>
      <c r="O111" s="312"/>
      <c r="P111" s="308"/>
      <c r="Q111" s="308"/>
      <c r="R111" s="392"/>
      <c r="S111" s="358">
        <f ca="1">IF(C111&lt;=EOMONTH('&gt;&gt;Vistas Consolidadas'!$D$2, '&gt;&gt;Vistas Consolidadas'!$F$2),J111+I111,J111)</f>
        <v>62.5</v>
      </c>
      <c r="T111" s="18" t="str">
        <f ca="1">IF(C111&gt;='&gt;&gt;Vistas Consolidadas'!$D$2,"SI","NO")</f>
        <v>NO</v>
      </c>
      <c r="U111" s="358">
        <f ca="1">IF(C111&lt;=EOMONTH('&gt;&gt;Vistas Consolidadas'!$D$2, '&gt;&gt;Vistas Consolidadas'!$F$2),I111,0)</f>
        <v>62.5</v>
      </c>
      <c r="V111" s="18" t="b">
        <f ca="1">AND(C111&gt;='Interes Por Semana'!$C$4, C111&lt;='Interes Por Semana'!$E$4)</f>
        <v>0</v>
      </c>
      <c r="W111" s="18" t="str">
        <f t="shared" si="3"/>
        <v>martes</v>
      </c>
    </row>
    <row r="112" spans="2:23" hidden="1" x14ac:dyDescent="0.25">
      <c r="B112" s="337">
        <v>45397</v>
      </c>
      <c r="C112" s="337">
        <v>46203</v>
      </c>
      <c r="D112" s="374" t="s">
        <v>96</v>
      </c>
      <c r="E112" s="309" t="s">
        <v>47</v>
      </c>
      <c r="F112" s="310" t="s">
        <v>97</v>
      </c>
      <c r="G112" s="311">
        <v>6</v>
      </c>
      <c r="H112" s="311">
        <v>12</v>
      </c>
      <c r="I112" s="340">
        <v>54.16</v>
      </c>
      <c r="J112" s="340"/>
      <c r="K112" s="308"/>
      <c r="L112" s="340">
        <f t="shared" si="2"/>
        <v>54.16</v>
      </c>
      <c r="M112" s="311"/>
      <c r="N112" s="311"/>
      <c r="O112" s="311"/>
      <c r="P112" s="311"/>
      <c r="Q112" s="311"/>
      <c r="R112" s="392"/>
      <c r="S112" s="358">
        <f ca="1">IF(C112&lt;=EOMONTH('&gt;&gt;Vistas Consolidadas'!$D$2, '&gt;&gt;Vistas Consolidadas'!$F$2),J112+I112,J112)</f>
        <v>54.16</v>
      </c>
      <c r="T112" s="18" t="str">
        <f ca="1">IF(C112&gt;='&gt;&gt;Vistas Consolidadas'!$D$2,"SI","NO")</f>
        <v>NO</v>
      </c>
      <c r="U112" s="358">
        <f ca="1">IF(C112&lt;=EOMONTH('&gt;&gt;Vistas Consolidadas'!$D$2, '&gt;&gt;Vistas Consolidadas'!$F$2),I112,0)</f>
        <v>54.16</v>
      </c>
      <c r="V112" s="18" t="b">
        <f ca="1">AND(C112&gt;='Interes Por Semana'!$C$4, C112&lt;='Interes Por Semana'!$E$4)</f>
        <v>0</v>
      </c>
      <c r="W112" s="18" t="str">
        <f t="shared" si="3"/>
        <v>martes</v>
      </c>
    </row>
    <row r="113" spans="2:23" hidden="1" x14ac:dyDescent="0.25">
      <c r="B113" s="337">
        <v>45397</v>
      </c>
      <c r="C113" s="337">
        <v>46203</v>
      </c>
      <c r="D113" s="374" t="s">
        <v>96</v>
      </c>
      <c r="E113" s="309" t="s">
        <v>46</v>
      </c>
      <c r="F113" s="310" t="s">
        <v>97</v>
      </c>
      <c r="G113" s="312">
        <v>6</v>
      </c>
      <c r="H113" s="308">
        <v>12</v>
      </c>
      <c r="I113" s="340">
        <v>62.5</v>
      </c>
      <c r="J113" s="340"/>
      <c r="K113" s="308"/>
      <c r="L113" s="340">
        <f t="shared" si="2"/>
        <v>62.5</v>
      </c>
      <c r="M113" s="308"/>
      <c r="N113" s="311"/>
      <c r="O113" s="312"/>
      <c r="P113" s="308"/>
      <c r="Q113" s="308"/>
      <c r="R113" s="392"/>
      <c r="S113" s="358">
        <f ca="1">IF(C113&lt;=EOMONTH('&gt;&gt;Vistas Consolidadas'!$D$2, '&gt;&gt;Vistas Consolidadas'!$F$2),J113+I113,J113)</f>
        <v>62.5</v>
      </c>
      <c r="T113" s="18" t="str">
        <f ca="1">IF(C113&gt;='&gt;&gt;Vistas Consolidadas'!$D$2,"SI","NO")</f>
        <v>NO</v>
      </c>
      <c r="U113" s="358">
        <f ca="1">IF(C113&lt;=EOMONTH('&gt;&gt;Vistas Consolidadas'!$D$2, '&gt;&gt;Vistas Consolidadas'!$F$2),I113,0)</f>
        <v>62.5</v>
      </c>
      <c r="V113" s="18" t="b">
        <f ca="1">AND(C113&gt;='Interes Por Semana'!$C$4, C113&lt;='Interes Por Semana'!$E$4)</f>
        <v>0</v>
      </c>
      <c r="W113" s="18" t="str">
        <f t="shared" si="3"/>
        <v>martes</v>
      </c>
    </row>
    <row r="114" spans="2:23" hidden="1" x14ac:dyDescent="0.25">
      <c r="B114" s="337">
        <v>45398</v>
      </c>
      <c r="C114" s="337">
        <v>46203</v>
      </c>
      <c r="D114" s="374" t="s">
        <v>96</v>
      </c>
      <c r="E114" s="309" t="s">
        <v>47</v>
      </c>
      <c r="F114" s="310" t="s">
        <v>97</v>
      </c>
      <c r="G114" s="311">
        <v>6</v>
      </c>
      <c r="H114" s="311">
        <v>12</v>
      </c>
      <c r="I114" s="340">
        <v>16.670000000000002</v>
      </c>
      <c r="J114" s="340"/>
      <c r="K114" s="308"/>
      <c r="L114" s="340">
        <f t="shared" si="2"/>
        <v>16.670000000000002</v>
      </c>
      <c r="M114" s="311"/>
      <c r="N114" s="311"/>
      <c r="O114" s="311"/>
      <c r="P114" s="311"/>
      <c r="Q114" s="311"/>
      <c r="R114" s="392"/>
      <c r="S114" s="358">
        <f ca="1">IF(C114&lt;=EOMONTH('&gt;&gt;Vistas Consolidadas'!$D$2, '&gt;&gt;Vistas Consolidadas'!$F$2),J114+I114,J114)</f>
        <v>16.670000000000002</v>
      </c>
      <c r="T114" s="18" t="str">
        <f ca="1">IF(C114&gt;='&gt;&gt;Vistas Consolidadas'!$D$2,"SI","NO")</f>
        <v>NO</v>
      </c>
      <c r="U114" s="358">
        <f ca="1">IF(C114&lt;=EOMONTH('&gt;&gt;Vistas Consolidadas'!$D$2, '&gt;&gt;Vistas Consolidadas'!$F$2),I114,0)</f>
        <v>16.670000000000002</v>
      </c>
      <c r="V114" s="18" t="b">
        <f ca="1">AND(C114&gt;='Interes Por Semana'!$C$4, C114&lt;='Interes Por Semana'!$E$4)</f>
        <v>0</v>
      </c>
      <c r="W114" s="18" t="str">
        <f t="shared" si="3"/>
        <v>martes</v>
      </c>
    </row>
    <row r="115" spans="2:23" hidden="1" x14ac:dyDescent="0.25">
      <c r="B115" s="337">
        <v>46105</v>
      </c>
      <c r="C115" s="337">
        <v>46203</v>
      </c>
      <c r="D115" s="374" t="s">
        <v>96</v>
      </c>
      <c r="E115" s="309" t="s">
        <v>47</v>
      </c>
      <c r="F115" s="310" t="s">
        <v>97</v>
      </c>
      <c r="G115" s="311">
        <v>6</v>
      </c>
      <c r="H115" s="311">
        <v>10</v>
      </c>
      <c r="I115" s="340">
        <v>16.670000000000002</v>
      </c>
      <c r="J115" s="340"/>
      <c r="K115" s="308"/>
      <c r="L115" s="340">
        <f t="shared" si="2"/>
        <v>16.670000000000002</v>
      </c>
      <c r="M115" s="311"/>
      <c r="N115" s="311"/>
      <c r="O115" s="311"/>
      <c r="P115" s="311"/>
      <c r="Q115" s="311"/>
      <c r="R115" s="392"/>
      <c r="S115" s="358">
        <f ca="1">IF(C115&lt;=EOMONTH('&gt;&gt;Vistas Consolidadas'!$D$2, '&gt;&gt;Vistas Consolidadas'!$F$2),J115+I115,J115)</f>
        <v>16.670000000000002</v>
      </c>
      <c r="T115" s="18" t="str">
        <f ca="1">IF(C115&gt;='&gt;&gt;Vistas Consolidadas'!$D$2,"SI","NO")</f>
        <v>NO</v>
      </c>
      <c r="U115" s="358">
        <f ca="1">IF(C115&lt;=EOMONTH('&gt;&gt;Vistas Consolidadas'!$D$2, '&gt;&gt;Vistas Consolidadas'!$F$2),I115,0)</f>
        <v>16.670000000000002</v>
      </c>
      <c r="V115" s="18" t="b">
        <f ca="1">AND(C115&gt;='Interes Por Semana'!$C$4, C115&lt;='Interes Por Semana'!$E$4)</f>
        <v>0</v>
      </c>
      <c r="W115" s="18" t="str">
        <f t="shared" si="3"/>
        <v>martes</v>
      </c>
    </row>
    <row r="116" spans="2:23" hidden="1" x14ac:dyDescent="0.25">
      <c r="B116" s="337">
        <v>44462</v>
      </c>
      <c r="C116" s="337">
        <v>46190</v>
      </c>
      <c r="D116" s="374" t="s">
        <v>78</v>
      </c>
      <c r="E116" s="309" t="s">
        <v>46</v>
      </c>
      <c r="F116" s="310" t="s">
        <v>98</v>
      </c>
      <c r="G116" s="312">
        <v>5.64</v>
      </c>
      <c r="H116" s="308">
        <v>8.1999999999999993</v>
      </c>
      <c r="I116" s="340">
        <v>5.05</v>
      </c>
      <c r="J116" s="340"/>
      <c r="K116" s="308"/>
      <c r="L116" s="340">
        <f t="shared" si="2"/>
        <v>5.05</v>
      </c>
      <c r="M116" s="308"/>
      <c r="N116" s="311"/>
      <c r="O116" s="312"/>
      <c r="P116" s="308"/>
      <c r="Q116" s="308"/>
      <c r="R116" s="392"/>
      <c r="S116" s="358">
        <f ca="1">IF(C116&lt;=EOMONTH('&gt;&gt;Vistas Consolidadas'!$D$2, '&gt;&gt;Vistas Consolidadas'!$F$2),J116+I116,J116)</f>
        <v>5.05</v>
      </c>
      <c r="T116" s="18" t="str">
        <f ca="1">IF(C116&gt;='&gt;&gt;Vistas Consolidadas'!$D$2,"SI","NO")</f>
        <v>NO</v>
      </c>
      <c r="U116" s="358">
        <f ca="1">IF(C116&lt;=EOMONTH('&gt;&gt;Vistas Consolidadas'!$D$2, '&gt;&gt;Vistas Consolidadas'!$F$2),I116,0)</f>
        <v>5.05</v>
      </c>
      <c r="V116" s="18" t="b">
        <f ca="1">AND(C116&gt;='Interes Por Semana'!$C$4, C116&lt;='Interes Por Semana'!$E$4)</f>
        <v>0</v>
      </c>
      <c r="W116" s="18" t="str">
        <f t="shared" si="3"/>
        <v>miércoles</v>
      </c>
    </row>
    <row r="117" spans="2:23" hidden="1" x14ac:dyDescent="0.25">
      <c r="B117" s="337">
        <v>45264</v>
      </c>
      <c r="C117" s="337">
        <v>46190</v>
      </c>
      <c r="D117" s="374" t="s">
        <v>78</v>
      </c>
      <c r="E117" s="309" t="s">
        <v>46</v>
      </c>
      <c r="F117" s="310" t="s">
        <v>99</v>
      </c>
      <c r="G117" s="312">
        <v>5.64</v>
      </c>
      <c r="H117" s="308">
        <v>13</v>
      </c>
      <c r="I117" s="340">
        <v>14.1</v>
      </c>
      <c r="J117" s="340"/>
      <c r="K117" s="308"/>
      <c r="L117" s="340">
        <f t="shared" si="2"/>
        <v>14.1</v>
      </c>
      <c r="M117" s="308"/>
      <c r="N117" s="311"/>
      <c r="O117" s="312"/>
      <c r="P117" s="308"/>
      <c r="Q117" s="308"/>
      <c r="R117" s="392"/>
      <c r="S117" s="358">
        <f ca="1">IF(C117&lt;=EOMONTH('&gt;&gt;Vistas Consolidadas'!$D$2, '&gt;&gt;Vistas Consolidadas'!$F$2),J117+I117,J117)</f>
        <v>14.1</v>
      </c>
      <c r="T117" s="18" t="str">
        <f ca="1">IF(C117&gt;='&gt;&gt;Vistas Consolidadas'!$D$2,"SI","NO")</f>
        <v>NO</v>
      </c>
      <c r="U117" s="358">
        <f ca="1">IF(C117&lt;=EOMONTH('&gt;&gt;Vistas Consolidadas'!$D$2, '&gt;&gt;Vistas Consolidadas'!$F$2),I117,0)</f>
        <v>14.1</v>
      </c>
      <c r="V117" s="18" t="b">
        <f ca="1">AND(C117&gt;='Interes Por Semana'!$C$4, C117&lt;='Interes Por Semana'!$E$4)</f>
        <v>0</v>
      </c>
      <c r="W117" s="18" t="str">
        <f t="shared" si="3"/>
        <v>miércoles</v>
      </c>
    </row>
    <row r="118" spans="2:23" hidden="1" x14ac:dyDescent="0.25">
      <c r="B118" s="337">
        <v>45302</v>
      </c>
      <c r="C118" s="337">
        <v>46190</v>
      </c>
      <c r="D118" s="374" t="s">
        <v>78</v>
      </c>
      <c r="E118" s="309" t="s">
        <v>46</v>
      </c>
      <c r="F118" s="310" t="s">
        <v>99</v>
      </c>
      <c r="G118" s="312">
        <v>5.64</v>
      </c>
      <c r="H118" s="308">
        <v>12.75</v>
      </c>
      <c r="I118" s="340">
        <v>7.28</v>
      </c>
      <c r="J118" s="340"/>
      <c r="K118" s="308"/>
      <c r="L118" s="340">
        <f t="shared" si="2"/>
        <v>7.28</v>
      </c>
      <c r="M118" s="308"/>
      <c r="N118" s="311"/>
      <c r="O118" s="312"/>
      <c r="P118" s="308"/>
      <c r="Q118" s="308"/>
      <c r="R118" s="392"/>
      <c r="S118" s="358">
        <f ca="1">IF(C118&lt;=EOMONTH('&gt;&gt;Vistas Consolidadas'!$D$2, '&gt;&gt;Vistas Consolidadas'!$F$2),J118+I118,J118)</f>
        <v>7.28</v>
      </c>
      <c r="T118" s="18" t="str">
        <f ca="1">IF(C118&gt;='&gt;&gt;Vistas Consolidadas'!$D$2,"SI","NO")</f>
        <v>NO</v>
      </c>
      <c r="U118" s="358">
        <f ca="1">IF(C118&lt;=EOMONTH('&gt;&gt;Vistas Consolidadas'!$D$2, '&gt;&gt;Vistas Consolidadas'!$F$2),I118,0)</f>
        <v>7.28</v>
      </c>
      <c r="V118" s="18" t="b">
        <f ca="1">AND(C118&gt;='Interes Por Semana'!$C$4, C118&lt;='Interes Por Semana'!$E$4)</f>
        <v>0</v>
      </c>
      <c r="W118" s="18" t="str">
        <f t="shared" si="3"/>
        <v>miércoles</v>
      </c>
    </row>
    <row r="119" spans="2:23" hidden="1" x14ac:dyDescent="0.25">
      <c r="B119" s="337">
        <v>46006</v>
      </c>
      <c r="C119" s="337">
        <v>46191</v>
      </c>
      <c r="D119" s="374" t="s">
        <v>78</v>
      </c>
      <c r="E119" s="309" t="s">
        <v>46</v>
      </c>
      <c r="F119" s="310" t="s">
        <v>100</v>
      </c>
      <c r="G119" s="312">
        <v>5.93</v>
      </c>
      <c r="H119" s="308">
        <v>8.5</v>
      </c>
      <c r="I119" s="340">
        <f>23.09-J119</f>
        <v>23.09</v>
      </c>
      <c r="J119" s="340"/>
      <c r="K119" s="308"/>
      <c r="L119" s="340">
        <f t="shared" si="2"/>
        <v>23.09</v>
      </c>
      <c r="M119" s="308"/>
      <c r="N119" s="311"/>
      <c r="O119" s="312"/>
      <c r="P119" s="308"/>
      <c r="Q119" s="308"/>
      <c r="R119" s="392"/>
      <c r="S119" s="358">
        <f ca="1">IF(C119&lt;=EOMONTH('&gt;&gt;Vistas Consolidadas'!$D$2, '&gt;&gt;Vistas Consolidadas'!$F$2),J119+I119,J119)</f>
        <v>23.09</v>
      </c>
      <c r="T119" s="18" t="str">
        <f ca="1">IF(C119&gt;='&gt;&gt;Vistas Consolidadas'!$D$2,"SI","NO")</f>
        <v>NO</v>
      </c>
      <c r="U119" s="358">
        <f ca="1">IF(C119&lt;=EOMONTH('&gt;&gt;Vistas Consolidadas'!$D$2, '&gt;&gt;Vistas Consolidadas'!$F$2),I119,0)</f>
        <v>23.09</v>
      </c>
      <c r="V119" s="18" t="b">
        <f ca="1">AND(C119&gt;='Interes Por Semana'!$C$4, C119&lt;='Interes Por Semana'!$E$4)</f>
        <v>0</v>
      </c>
      <c r="W119" s="18" t="str">
        <f t="shared" si="3"/>
        <v>jueves</v>
      </c>
    </row>
    <row r="120" spans="2:23" hidden="1" x14ac:dyDescent="0.25">
      <c r="B120" s="337">
        <v>45734</v>
      </c>
      <c r="C120" s="337">
        <v>46191</v>
      </c>
      <c r="D120" s="374" t="s">
        <v>78</v>
      </c>
      <c r="E120" s="309" t="s">
        <v>47</v>
      </c>
      <c r="F120" s="310" t="s">
        <v>101</v>
      </c>
      <c r="G120" s="311">
        <v>5.93</v>
      </c>
      <c r="H120" s="311">
        <v>12</v>
      </c>
      <c r="I120" s="340">
        <f>8.94</f>
        <v>8.94</v>
      </c>
      <c r="J120" s="340"/>
      <c r="K120" s="308"/>
      <c r="L120" s="340">
        <f t="shared" si="2"/>
        <v>8.94</v>
      </c>
      <c r="M120" s="311"/>
      <c r="N120" s="311"/>
      <c r="O120" s="311"/>
      <c r="P120" s="311"/>
      <c r="Q120" s="311"/>
      <c r="R120" s="392"/>
      <c r="S120" s="358">
        <f ca="1">IF(C120&lt;=EOMONTH('&gt;&gt;Vistas Consolidadas'!$D$2, '&gt;&gt;Vistas Consolidadas'!$F$2),J120+I120,J120)</f>
        <v>8.94</v>
      </c>
      <c r="T120" s="18" t="str">
        <f ca="1">IF(C120&gt;='&gt;&gt;Vistas Consolidadas'!$D$2,"SI","NO")</f>
        <v>NO</v>
      </c>
      <c r="U120" s="358">
        <f ca="1">IF(C120&lt;=EOMONTH('&gt;&gt;Vistas Consolidadas'!$D$2, '&gt;&gt;Vistas Consolidadas'!$F$2),I120,0)</f>
        <v>8.94</v>
      </c>
      <c r="V120" s="18" t="b">
        <f ca="1">AND(C120&gt;='Interes Por Semana'!$C$4, C120&lt;='Interes Por Semana'!$E$4)</f>
        <v>0</v>
      </c>
      <c r="W120" s="18" t="str">
        <f t="shared" si="3"/>
        <v>jueves</v>
      </c>
    </row>
    <row r="121" spans="2:23" hidden="1" x14ac:dyDescent="0.25">
      <c r="B121" s="337">
        <v>45264</v>
      </c>
      <c r="C121" s="337">
        <v>46194</v>
      </c>
      <c r="D121" s="374" t="s">
        <v>78</v>
      </c>
      <c r="E121" s="309" t="s">
        <v>46</v>
      </c>
      <c r="F121" s="310" t="s">
        <v>103</v>
      </c>
      <c r="G121" s="312">
        <v>5.36</v>
      </c>
      <c r="H121" s="308">
        <v>13</v>
      </c>
      <c r="I121" s="340">
        <v>5.58</v>
      </c>
      <c r="J121" s="340"/>
      <c r="K121" s="308"/>
      <c r="L121" s="340">
        <f t="shared" si="2"/>
        <v>5.58</v>
      </c>
      <c r="M121" s="308"/>
      <c r="N121" s="311"/>
      <c r="O121" s="312"/>
      <c r="P121" s="308"/>
      <c r="Q121" s="308"/>
      <c r="R121" s="392"/>
      <c r="S121" s="358">
        <f ca="1">IF(C121&lt;=EOMONTH('&gt;&gt;Vistas Consolidadas'!$D$2, '&gt;&gt;Vistas Consolidadas'!$F$2),J121+I121,J121)</f>
        <v>5.58</v>
      </c>
      <c r="T121" s="18" t="str">
        <f ca="1">IF(C121&gt;='&gt;&gt;Vistas Consolidadas'!$D$2,"SI","NO")</f>
        <v>NO</v>
      </c>
      <c r="U121" s="358">
        <f ca="1">IF(C121&lt;=EOMONTH('&gt;&gt;Vistas Consolidadas'!$D$2, '&gt;&gt;Vistas Consolidadas'!$F$2),I121,0)</f>
        <v>5.58</v>
      </c>
      <c r="V121" s="18" t="b">
        <f ca="1">AND(C121&gt;='Interes Por Semana'!$C$4, C121&lt;='Interes Por Semana'!$E$4)</f>
        <v>0</v>
      </c>
      <c r="W121" s="18" t="str">
        <f t="shared" si="3"/>
        <v>domingo</v>
      </c>
    </row>
    <row r="122" spans="2:23" hidden="1" x14ac:dyDescent="0.25">
      <c r="B122" s="337">
        <v>45279</v>
      </c>
      <c r="C122" s="337">
        <v>46194</v>
      </c>
      <c r="D122" s="374" t="s">
        <v>78</v>
      </c>
      <c r="E122" s="309" t="s">
        <v>46</v>
      </c>
      <c r="F122" s="310" t="s">
        <v>103</v>
      </c>
      <c r="G122" s="312">
        <v>5.36</v>
      </c>
      <c r="H122" s="308">
        <v>13</v>
      </c>
      <c r="I122" s="340">
        <v>3.13</v>
      </c>
      <c r="J122" s="340"/>
      <c r="K122" s="308"/>
      <c r="L122" s="340">
        <f t="shared" si="2"/>
        <v>3.13</v>
      </c>
      <c r="M122" s="308"/>
      <c r="N122" s="311"/>
      <c r="O122" s="312"/>
      <c r="P122" s="308"/>
      <c r="Q122" s="308"/>
      <c r="R122" s="392"/>
      <c r="S122" s="358">
        <f ca="1">IF(C122&lt;=EOMONTH('&gt;&gt;Vistas Consolidadas'!$D$2, '&gt;&gt;Vistas Consolidadas'!$F$2),J122+I122,J122)</f>
        <v>3.13</v>
      </c>
      <c r="T122" s="18" t="str">
        <f ca="1">IF(C122&gt;='&gt;&gt;Vistas Consolidadas'!$D$2,"SI","NO")</f>
        <v>NO</v>
      </c>
      <c r="U122" s="358">
        <f ca="1">IF(C122&lt;=EOMONTH('&gt;&gt;Vistas Consolidadas'!$D$2, '&gt;&gt;Vistas Consolidadas'!$F$2),I122,0)</f>
        <v>3.13</v>
      </c>
      <c r="V122" s="18" t="b">
        <f ca="1">AND(C122&gt;='Interes Por Semana'!$C$4, C122&lt;='Interes Por Semana'!$E$4)</f>
        <v>0</v>
      </c>
      <c r="W122" s="18" t="str">
        <f t="shared" si="3"/>
        <v>domingo</v>
      </c>
    </row>
    <row r="123" spans="2:23" hidden="1" x14ac:dyDescent="0.25">
      <c r="B123" s="337">
        <v>45552</v>
      </c>
      <c r="C123" s="337">
        <v>46194</v>
      </c>
      <c r="D123" s="374" t="s">
        <v>78</v>
      </c>
      <c r="E123" s="309" t="s">
        <v>47</v>
      </c>
      <c r="F123" s="310" t="s">
        <v>103</v>
      </c>
      <c r="G123" s="311">
        <v>5.36</v>
      </c>
      <c r="H123" s="311">
        <v>13.75</v>
      </c>
      <c r="I123" s="340">
        <f>4.47</f>
        <v>4.47</v>
      </c>
      <c r="J123" s="340"/>
      <c r="K123" s="308"/>
      <c r="L123" s="340">
        <f t="shared" si="2"/>
        <v>4.47</v>
      </c>
      <c r="M123" s="311"/>
      <c r="N123" s="311"/>
      <c r="O123" s="311"/>
      <c r="P123" s="311"/>
      <c r="Q123" s="311"/>
      <c r="R123" s="392"/>
      <c r="S123" s="358">
        <f ca="1">IF(C123&lt;=EOMONTH('&gt;&gt;Vistas Consolidadas'!$D$2, '&gt;&gt;Vistas Consolidadas'!$F$2),J123+I123,J123)</f>
        <v>4.47</v>
      </c>
      <c r="T123" s="18" t="str">
        <f ca="1">IF(C123&gt;='&gt;&gt;Vistas Consolidadas'!$D$2,"SI","NO")</f>
        <v>NO</v>
      </c>
      <c r="U123" s="358">
        <f ca="1">IF(C123&lt;=EOMONTH('&gt;&gt;Vistas Consolidadas'!$D$2, '&gt;&gt;Vistas Consolidadas'!$F$2),I123,0)</f>
        <v>4.47</v>
      </c>
      <c r="V123" s="18" t="b">
        <f ca="1">AND(C123&gt;='Interes Por Semana'!$C$4, C123&lt;='Interes Por Semana'!$E$4)</f>
        <v>0</v>
      </c>
      <c r="W123" s="18" t="str">
        <f t="shared" si="3"/>
        <v>domingo</v>
      </c>
    </row>
    <row r="124" spans="2:23" hidden="1" x14ac:dyDescent="0.25">
      <c r="B124" s="337">
        <v>45447</v>
      </c>
      <c r="C124" s="337">
        <v>46197</v>
      </c>
      <c r="D124" s="374" t="s">
        <v>78</v>
      </c>
      <c r="E124" s="309" t="s">
        <v>47</v>
      </c>
      <c r="F124" s="310" t="s">
        <v>105</v>
      </c>
      <c r="G124" s="311">
        <v>5.93</v>
      </c>
      <c r="H124" s="311">
        <v>13.25</v>
      </c>
      <c r="I124" s="340">
        <f>29.65</f>
        <v>29.65</v>
      </c>
      <c r="J124" s="340"/>
      <c r="K124" s="308"/>
      <c r="L124" s="340">
        <f t="shared" si="2"/>
        <v>29.65</v>
      </c>
      <c r="M124" s="311"/>
      <c r="N124" s="311"/>
      <c r="O124" s="311"/>
      <c r="P124" s="311"/>
      <c r="Q124" s="311"/>
      <c r="R124" s="392"/>
      <c r="S124" s="358">
        <f ca="1">IF(C124&lt;=EOMONTH('&gt;&gt;Vistas Consolidadas'!$D$2, '&gt;&gt;Vistas Consolidadas'!$F$2),J124+I124,J124)</f>
        <v>29.65</v>
      </c>
      <c r="T124" s="18" t="str">
        <f ca="1">IF(C124&gt;='&gt;&gt;Vistas Consolidadas'!$D$2,"SI","NO")</f>
        <v>NO</v>
      </c>
      <c r="U124" s="358">
        <f ca="1">IF(C124&lt;=EOMONTH('&gt;&gt;Vistas Consolidadas'!$D$2, '&gt;&gt;Vistas Consolidadas'!$F$2),I124,0)</f>
        <v>29.65</v>
      </c>
      <c r="V124" s="18" t="b">
        <f ca="1">AND(C124&gt;='Interes Por Semana'!$C$4, C124&lt;='Interes Por Semana'!$E$4)</f>
        <v>0</v>
      </c>
      <c r="W124" s="18" t="str">
        <f t="shared" si="3"/>
        <v>miércoles</v>
      </c>
    </row>
    <row r="125" spans="2:23" hidden="1" x14ac:dyDescent="0.25">
      <c r="B125" s="337">
        <v>45832</v>
      </c>
      <c r="C125" s="337">
        <v>46198</v>
      </c>
      <c r="D125" s="374" t="s">
        <v>78</v>
      </c>
      <c r="E125" s="309" t="s">
        <v>47</v>
      </c>
      <c r="F125" s="310" t="s">
        <v>106</v>
      </c>
      <c r="G125" s="311">
        <v>5.93</v>
      </c>
      <c r="H125" s="311">
        <v>11</v>
      </c>
      <c r="I125" s="340">
        <f>22.41</f>
        <v>22.41</v>
      </c>
      <c r="J125" s="340"/>
      <c r="K125" s="308"/>
      <c r="L125" s="340">
        <f t="shared" si="2"/>
        <v>22.41</v>
      </c>
      <c r="M125" s="311"/>
      <c r="N125" s="311"/>
      <c r="O125" s="311"/>
      <c r="P125" s="311"/>
      <c r="Q125" s="311"/>
      <c r="R125" s="392"/>
      <c r="S125" s="358">
        <f ca="1">IF(C125&lt;=EOMONTH('&gt;&gt;Vistas Consolidadas'!$D$2, '&gt;&gt;Vistas Consolidadas'!$F$2),J125+I125,J125)</f>
        <v>22.41</v>
      </c>
      <c r="T125" s="18" t="str">
        <f ca="1">IF(C125&gt;='&gt;&gt;Vistas Consolidadas'!$D$2,"SI","NO")</f>
        <v>NO</v>
      </c>
      <c r="U125" s="358">
        <f ca="1">IF(C125&lt;=EOMONTH('&gt;&gt;Vistas Consolidadas'!$D$2, '&gt;&gt;Vistas Consolidadas'!$F$2),I125,0)</f>
        <v>22.41</v>
      </c>
      <c r="V125" s="18" t="b">
        <f ca="1">AND(C125&gt;='Interes Por Semana'!$C$4, C125&lt;='Interes Por Semana'!$E$4)</f>
        <v>0</v>
      </c>
      <c r="W125" s="18" t="str">
        <f t="shared" si="3"/>
        <v>jueves</v>
      </c>
    </row>
    <row r="126" spans="2:23" hidden="1" x14ac:dyDescent="0.25">
      <c r="B126" s="337">
        <v>45889</v>
      </c>
      <c r="C126" s="337">
        <v>46198</v>
      </c>
      <c r="D126" s="374" t="s">
        <v>78</v>
      </c>
      <c r="E126" s="309" t="s">
        <v>47</v>
      </c>
      <c r="F126" s="310" t="s">
        <v>106</v>
      </c>
      <c r="G126" s="311">
        <v>6.21</v>
      </c>
      <c r="H126" s="311">
        <v>9.75</v>
      </c>
      <c r="I126" s="340">
        <v>4.5</v>
      </c>
      <c r="J126" s="340"/>
      <c r="K126" s="308"/>
      <c r="L126" s="340">
        <f t="shared" si="2"/>
        <v>4.5</v>
      </c>
      <c r="M126" s="311"/>
      <c r="N126" s="311"/>
      <c r="O126" s="311"/>
      <c r="P126" s="311"/>
      <c r="Q126" s="311"/>
      <c r="R126" s="392"/>
      <c r="S126" s="358">
        <f ca="1">IF(C126&lt;=EOMONTH('&gt;&gt;Vistas Consolidadas'!$D$2, '&gt;&gt;Vistas Consolidadas'!$F$2),J126+I126,J126)</f>
        <v>4.5</v>
      </c>
      <c r="T126" s="18" t="str">
        <f ca="1">IF(C126&gt;='&gt;&gt;Vistas Consolidadas'!$D$2,"SI","NO")</f>
        <v>NO</v>
      </c>
      <c r="U126" s="358">
        <f ca="1">IF(C126&lt;=EOMONTH('&gt;&gt;Vistas Consolidadas'!$D$2, '&gt;&gt;Vistas Consolidadas'!$F$2),I126,0)</f>
        <v>4.5</v>
      </c>
      <c r="V126" s="18" t="b">
        <f ca="1">AND(C126&gt;='Interes Por Semana'!$C$4, C126&lt;='Interes Por Semana'!$E$4)</f>
        <v>0</v>
      </c>
      <c r="W126" s="18" t="str">
        <f t="shared" si="3"/>
        <v>jueves</v>
      </c>
    </row>
    <row r="127" spans="2:23" hidden="1" x14ac:dyDescent="0.25">
      <c r="B127" s="337">
        <v>45889</v>
      </c>
      <c r="C127" s="337">
        <v>46198</v>
      </c>
      <c r="D127" s="374" t="s">
        <v>78</v>
      </c>
      <c r="E127" s="309" t="s">
        <v>46</v>
      </c>
      <c r="F127" s="310" t="s">
        <v>106</v>
      </c>
      <c r="G127" s="312">
        <v>6.21</v>
      </c>
      <c r="H127" s="308">
        <v>10.75</v>
      </c>
      <c r="I127" s="340">
        <v>25.88</v>
      </c>
      <c r="J127" s="340"/>
      <c r="K127" s="308"/>
      <c r="L127" s="340">
        <f t="shared" si="2"/>
        <v>25.88</v>
      </c>
      <c r="M127" s="308"/>
      <c r="N127" s="311"/>
      <c r="O127" s="312"/>
      <c r="P127" s="308"/>
      <c r="Q127" s="308"/>
      <c r="R127" s="392"/>
      <c r="S127" s="358">
        <f ca="1">IF(C127&lt;=EOMONTH('&gt;&gt;Vistas Consolidadas'!$D$2, '&gt;&gt;Vistas Consolidadas'!$F$2),J127+I127,J127)</f>
        <v>25.88</v>
      </c>
      <c r="T127" s="18" t="str">
        <f ca="1">IF(C127&gt;='&gt;&gt;Vistas Consolidadas'!$D$2,"SI","NO")</f>
        <v>NO</v>
      </c>
      <c r="U127" s="358">
        <f ca="1">IF(C127&lt;=EOMONTH('&gt;&gt;Vistas Consolidadas'!$D$2, '&gt;&gt;Vistas Consolidadas'!$F$2),I127,0)</f>
        <v>25.88</v>
      </c>
      <c r="V127" s="18" t="b">
        <f ca="1">AND(C127&gt;='Interes Por Semana'!$C$4, C127&lt;='Interes Por Semana'!$E$4)</f>
        <v>0</v>
      </c>
      <c r="W127" s="18" t="str">
        <f t="shared" si="3"/>
        <v>jueves</v>
      </c>
    </row>
    <row r="128" spans="2:23" hidden="1" x14ac:dyDescent="0.25">
      <c r="B128" s="337">
        <v>45593</v>
      </c>
      <c r="C128" s="337">
        <v>46199</v>
      </c>
      <c r="D128" s="374" t="s">
        <v>78</v>
      </c>
      <c r="E128" s="309" t="s">
        <v>47</v>
      </c>
      <c r="F128" s="310" t="s">
        <v>107</v>
      </c>
      <c r="G128" s="311">
        <v>5.07</v>
      </c>
      <c r="H128" s="311">
        <v>13</v>
      </c>
      <c r="I128" s="340">
        <f>11.41</f>
        <v>11.41</v>
      </c>
      <c r="J128" s="340"/>
      <c r="K128" s="308"/>
      <c r="L128" s="340">
        <f t="shared" si="2"/>
        <v>11.41</v>
      </c>
      <c r="M128" s="311"/>
      <c r="N128" s="311"/>
      <c r="O128" s="311"/>
      <c r="P128" s="311"/>
      <c r="Q128" s="311"/>
      <c r="R128" s="392"/>
      <c r="S128" s="358">
        <f ca="1">IF(C128&lt;=EOMONTH('&gt;&gt;Vistas Consolidadas'!$D$2, '&gt;&gt;Vistas Consolidadas'!$F$2),J128+I128,J128)</f>
        <v>11.41</v>
      </c>
      <c r="T128" s="18" t="str">
        <f ca="1">IF(C128&gt;='&gt;&gt;Vistas Consolidadas'!$D$2,"SI","NO")</f>
        <v>NO</v>
      </c>
      <c r="U128" s="358">
        <f ca="1">IF(C128&lt;=EOMONTH('&gt;&gt;Vistas Consolidadas'!$D$2, '&gt;&gt;Vistas Consolidadas'!$F$2),I128,0)</f>
        <v>11.41</v>
      </c>
      <c r="V128" s="18" t="b">
        <f ca="1">AND(C128&gt;='Interes Por Semana'!$C$4, C128&lt;='Interes Por Semana'!$E$4)</f>
        <v>0</v>
      </c>
      <c r="W128" s="18" t="str">
        <f t="shared" si="3"/>
        <v>viernes</v>
      </c>
    </row>
    <row r="129" spans="2:23" hidden="1" x14ac:dyDescent="0.25">
      <c r="B129" s="337">
        <v>44830</v>
      </c>
      <c r="C129" s="337">
        <v>46200</v>
      </c>
      <c r="D129" s="374" t="s">
        <v>78</v>
      </c>
      <c r="E129" s="309" t="s">
        <v>47</v>
      </c>
      <c r="F129" s="310" t="s">
        <v>108</v>
      </c>
      <c r="G129" s="311">
        <v>5.64</v>
      </c>
      <c r="H129" s="311">
        <v>10.199999999999999</v>
      </c>
      <c r="I129" s="340">
        <v>9.4</v>
      </c>
      <c r="J129" s="340"/>
      <c r="K129" s="308"/>
      <c r="L129" s="340">
        <f t="shared" si="2"/>
        <v>9.4</v>
      </c>
      <c r="M129" s="311"/>
      <c r="N129" s="311"/>
      <c r="O129" s="311"/>
      <c r="P129" s="311"/>
      <c r="Q129" s="311"/>
      <c r="R129" s="392"/>
      <c r="S129" s="358">
        <f ca="1">IF(C129&lt;=EOMONTH('&gt;&gt;Vistas Consolidadas'!$D$2, '&gt;&gt;Vistas Consolidadas'!$F$2),J129+I129,J129)</f>
        <v>9.4</v>
      </c>
      <c r="T129" s="18" t="str">
        <f ca="1">IF(C129&gt;='&gt;&gt;Vistas Consolidadas'!$D$2,"SI","NO")</f>
        <v>NO</v>
      </c>
      <c r="U129" s="358">
        <f ca="1">IF(C129&lt;=EOMONTH('&gt;&gt;Vistas Consolidadas'!$D$2, '&gt;&gt;Vistas Consolidadas'!$F$2),I129,0)</f>
        <v>9.4</v>
      </c>
      <c r="V129" s="18" t="b">
        <f ca="1">AND(C129&gt;='Interes Por Semana'!$C$4, C129&lt;='Interes Por Semana'!$E$4)</f>
        <v>0</v>
      </c>
      <c r="W129" s="18" t="str">
        <f t="shared" si="3"/>
        <v>sábado</v>
      </c>
    </row>
    <row r="130" spans="2:23" hidden="1" x14ac:dyDescent="0.25">
      <c r="B130" s="337">
        <v>46057</v>
      </c>
      <c r="C130" s="337">
        <v>46200</v>
      </c>
      <c r="D130" s="374" t="s">
        <v>78</v>
      </c>
      <c r="E130" s="309" t="s">
        <v>47</v>
      </c>
      <c r="F130" s="310" t="s">
        <v>109</v>
      </c>
      <c r="G130" s="311">
        <v>6.21</v>
      </c>
      <c r="H130" s="311">
        <v>11</v>
      </c>
      <c r="I130" s="340">
        <v>15.61</v>
      </c>
      <c r="J130" s="340"/>
      <c r="K130" s="308"/>
      <c r="L130" s="340">
        <f t="shared" si="2"/>
        <v>15.61</v>
      </c>
      <c r="M130" s="311"/>
      <c r="N130" s="311"/>
      <c r="O130" s="311"/>
      <c r="P130" s="311"/>
      <c r="Q130" s="311"/>
      <c r="R130" s="392"/>
      <c r="S130" s="358">
        <f ca="1">IF(C130&lt;=EOMONTH('&gt;&gt;Vistas Consolidadas'!$D$2, '&gt;&gt;Vistas Consolidadas'!$F$2),J130+I130,J130)</f>
        <v>15.61</v>
      </c>
      <c r="T130" s="18" t="str">
        <f ca="1">IF(C130&gt;='&gt;&gt;Vistas Consolidadas'!$D$2,"SI","NO")</f>
        <v>NO</v>
      </c>
      <c r="U130" s="358">
        <f ca="1">IF(C130&lt;=EOMONTH('&gt;&gt;Vistas Consolidadas'!$D$2, '&gt;&gt;Vistas Consolidadas'!$F$2),I130,0)</f>
        <v>15.61</v>
      </c>
      <c r="V130" s="18" t="b">
        <f ca="1">AND(C130&gt;='Interes Por Semana'!$C$4, C130&lt;='Interes Por Semana'!$E$4)</f>
        <v>0</v>
      </c>
      <c r="W130" s="18" t="str">
        <f t="shared" si="3"/>
        <v>sábado</v>
      </c>
    </row>
    <row r="131" spans="2:23" hidden="1" x14ac:dyDescent="0.25">
      <c r="B131" s="337">
        <v>46080</v>
      </c>
      <c r="C131" s="337">
        <v>46200</v>
      </c>
      <c r="D131" s="374" t="s">
        <v>78</v>
      </c>
      <c r="E131" s="309" t="s">
        <v>46</v>
      </c>
      <c r="F131" s="310" t="s">
        <v>110</v>
      </c>
      <c r="G131" s="312">
        <v>6.21</v>
      </c>
      <c r="H131" s="312">
        <v>10.6</v>
      </c>
      <c r="I131" s="340">
        <v>17.79</v>
      </c>
      <c r="J131" s="340"/>
      <c r="K131" s="308"/>
      <c r="L131" s="340">
        <f t="shared" ref="L131:L194" si="4">I131</f>
        <v>17.79</v>
      </c>
      <c r="M131" s="308"/>
      <c r="N131" s="311"/>
      <c r="O131" s="312"/>
      <c r="P131" s="308"/>
      <c r="Q131" s="308"/>
      <c r="R131" s="392"/>
      <c r="S131" s="358">
        <f ca="1">IF(C131&lt;=EOMONTH('&gt;&gt;Vistas Consolidadas'!$D$2, '&gt;&gt;Vistas Consolidadas'!$F$2),J131+I131,J131)</f>
        <v>17.79</v>
      </c>
      <c r="T131" s="18" t="str">
        <f ca="1">IF(C131&gt;='&gt;&gt;Vistas Consolidadas'!$D$2,"SI","NO")</f>
        <v>NO</v>
      </c>
      <c r="U131" s="358">
        <f ca="1">IF(C131&lt;=EOMONTH('&gt;&gt;Vistas Consolidadas'!$D$2, '&gt;&gt;Vistas Consolidadas'!$F$2),I131,0)</f>
        <v>17.79</v>
      </c>
      <c r="V131" s="18" t="b">
        <f ca="1">AND(C131&gt;='Interes Por Semana'!$C$4, C131&lt;='Interes Por Semana'!$E$4)</f>
        <v>0</v>
      </c>
      <c r="W131" s="18" t="str">
        <f t="shared" ref="W131:W194" si="5">TEXT(C131, "dddd")</f>
        <v>sábado</v>
      </c>
    </row>
    <row r="132" spans="2:23" hidden="1" x14ac:dyDescent="0.25">
      <c r="B132" s="337">
        <v>45987</v>
      </c>
      <c r="C132" s="337">
        <v>46201</v>
      </c>
      <c r="D132" s="374" t="s">
        <v>78</v>
      </c>
      <c r="E132" s="309" t="s">
        <v>46</v>
      </c>
      <c r="F132" s="310" t="s">
        <v>111</v>
      </c>
      <c r="G132" s="312">
        <v>6.82</v>
      </c>
      <c r="H132" s="308">
        <v>11</v>
      </c>
      <c r="I132" s="340">
        <v>6.82</v>
      </c>
      <c r="J132" s="340">
        <v>0</v>
      </c>
      <c r="K132" s="308"/>
      <c r="L132" s="340">
        <f t="shared" si="4"/>
        <v>6.82</v>
      </c>
      <c r="M132" s="308"/>
      <c r="N132" s="311"/>
      <c r="O132" s="312"/>
      <c r="P132" s="308"/>
      <c r="Q132" s="308"/>
      <c r="R132" s="392"/>
      <c r="S132" s="358">
        <f ca="1">IF(C132&lt;=EOMONTH('&gt;&gt;Vistas Consolidadas'!$D$2, '&gt;&gt;Vistas Consolidadas'!$F$2),J132+I132,J132)</f>
        <v>6.82</v>
      </c>
      <c r="T132" s="18" t="str">
        <f ca="1">IF(C132&gt;='&gt;&gt;Vistas Consolidadas'!$D$2,"SI","NO")</f>
        <v>NO</v>
      </c>
      <c r="U132" s="358">
        <f ca="1">IF(C132&lt;=EOMONTH('&gt;&gt;Vistas Consolidadas'!$D$2, '&gt;&gt;Vistas Consolidadas'!$F$2),I132,0)</f>
        <v>6.82</v>
      </c>
      <c r="V132" s="18" t="b">
        <f ca="1">AND(C132&gt;='Interes Por Semana'!$C$4, C132&lt;='Interes Por Semana'!$E$4)</f>
        <v>0</v>
      </c>
      <c r="W132" s="18" t="str">
        <f t="shared" si="5"/>
        <v>domingo</v>
      </c>
    </row>
    <row r="133" spans="2:23" hidden="1" x14ac:dyDescent="0.25">
      <c r="B133" s="337">
        <v>45775</v>
      </c>
      <c r="C133" s="337">
        <v>46211</v>
      </c>
      <c r="D133" s="374" t="s">
        <v>88</v>
      </c>
      <c r="E133" s="309" t="s">
        <v>47</v>
      </c>
      <c r="F133" s="310" t="s">
        <v>89</v>
      </c>
      <c r="G133" s="311">
        <v>9</v>
      </c>
      <c r="H133" s="311">
        <v>11.5</v>
      </c>
      <c r="I133" s="340">
        <v>361.36</v>
      </c>
      <c r="J133" s="340">
        <v>1663.68</v>
      </c>
      <c r="K133" s="308"/>
      <c r="L133" s="340">
        <f t="shared" si="4"/>
        <v>361.36</v>
      </c>
      <c r="M133" s="308"/>
      <c r="N133" s="311"/>
      <c r="O133" s="312"/>
      <c r="P133" s="308"/>
      <c r="Q133" s="308"/>
      <c r="R133" s="392"/>
      <c r="S133" s="358">
        <f ca="1">IF(C133&lt;=EOMONTH('&gt;&gt;Vistas Consolidadas'!$D$2, '&gt;&gt;Vistas Consolidadas'!$F$2),J133+I133,J133)</f>
        <v>2025.04</v>
      </c>
      <c r="T133" s="18" t="str">
        <f ca="1">IF(C133&gt;='&gt;&gt;Vistas Consolidadas'!$D$2,"SI","NO")</f>
        <v>NO</v>
      </c>
      <c r="U133" s="358">
        <f ca="1">IF(C133&lt;=EOMONTH('&gt;&gt;Vistas Consolidadas'!$D$2, '&gt;&gt;Vistas Consolidadas'!$F$2),I133,0)</f>
        <v>361.36</v>
      </c>
      <c r="V133" s="18" t="b">
        <f ca="1">AND(C133&gt;='Interes Por Semana'!$C$4, C133&lt;='Interes Por Semana'!$E$4)</f>
        <v>0</v>
      </c>
      <c r="W133" s="18" t="str">
        <f t="shared" si="5"/>
        <v>miércoles</v>
      </c>
    </row>
    <row r="134" spans="2:23" hidden="1" x14ac:dyDescent="0.25">
      <c r="B134" s="337">
        <v>45775</v>
      </c>
      <c r="C134" s="337">
        <v>46211</v>
      </c>
      <c r="D134" s="374" t="s">
        <v>88</v>
      </c>
      <c r="E134" s="309" t="s">
        <v>47</v>
      </c>
      <c r="F134" s="310" t="s">
        <v>89</v>
      </c>
      <c r="G134" s="311">
        <v>9</v>
      </c>
      <c r="H134" s="311">
        <v>11.5</v>
      </c>
      <c r="I134" s="340">
        <v>164.09</v>
      </c>
      <c r="J134" s="340">
        <v>759.96</v>
      </c>
      <c r="K134" s="308"/>
      <c r="L134" s="340">
        <f t="shared" si="4"/>
        <v>164.09</v>
      </c>
      <c r="M134" s="308"/>
      <c r="N134" s="311"/>
      <c r="O134" s="312"/>
      <c r="P134" s="308"/>
      <c r="Q134" s="308"/>
      <c r="R134" s="392"/>
      <c r="S134" s="358">
        <f ca="1">IF(C134&lt;=EOMONTH('&gt;&gt;Vistas Consolidadas'!$D$2, '&gt;&gt;Vistas Consolidadas'!$F$2),J134+I134,J134)</f>
        <v>924.05000000000007</v>
      </c>
      <c r="T134" s="18" t="str">
        <f ca="1">IF(C134&gt;='&gt;&gt;Vistas Consolidadas'!$D$2,"SI","NO")</f>
        <v>NO</v>
      </c>
      <c r="U134" s="358">
        <f ca="1">IF(C134&lt;=EOMONTH('&gt;&gt;Vistas Consolidadas'!$D$2, '&gt;&gt;Vistas Consolidadas'!$F$2),I134,0)</f>
        <v>164.09</v>
      </c>
      <c r="V134" s="18" t="b">
        <f ca="1">AND(C134&gt;='Interes Por Semana'!$C$4, C134&lt;='Interes Por Semana'!$E$4)</f>
        <v>0</v>
      </c>
      <c r="W134" s="18" t="str">
        <f t="shared" si="5"/>
        <v>miércoles</v>
      </c>
    </row>
    <row r="135" spans="2:23" hidden="1" x14ac:dyDescent="0.25">
      <c r="B135" s="337">
        <v>46072</v>
      </c>
      <c r="C135" s="337">
        <v>46216</v>
      </c>
      <c r="D135" s="374" t="s">
        <v>88</v>
      </c>
      <c r="E135" s="309" t="s">
        <v>46</v>
      </c>
      <c r="F135" s="310" t="s">
        <v>94</v>
      </c>
      <c r="G135" s="312">
        <v>9</v>
      </c>
      <c r="H135" s="308">
        <v>10.5</v>
      </c>
      <c r="I135" s="340">
        <v>444.22</v>
      </c>
      <c r="J135" s="340">
        <v>948.02</v>
      </c>
      <c r="K135" s="308"/>
      <c r="L135" s="340">
        <f t="shared" si="4"/>
        <v>444.22</v>
      </c>
      <c r="M135" s="308"/>
      <c r="N135" s="311"/>
      <c r="O135" s="312"/>
      <c r="P135" s="308"/>
      <c r="Q135" s="308"/>
      <c r="R135" s="392"/>
      <c r="S135" s="358">
        <f ca="1">IF(C135&lt;=EOMONTH('&gt;&gt;Vistas Consolidadas'!$D$2, '&gt;&gt;Vistas Consolidadas'!$F$2),J135+I135,J135)</f>
        <v>1392.24</v>
      </c>
      <c r="T135" s="18" t="str">
        <f ca="1">IF(C135&gt;='&gt;&gt;Vistas Consolidadas'!$D$2,"SI","NO")</f>
        <v>NO</v>
      </c>
      <c r="U135" s="358">
        <f ca="1">IF(C135&lt;=EOMONTH('&gt;&gt;Vistas Consolidadas'!$D$2, '&gt;&gt;Vistas Consolidadas'!$F$2),I135,0)</f>
        <v>444.22</v>
      </c>
      <c r="V135" s="18" t="b">
        <f ca="1">AND(C135&gt;='Interes Por Semana'!$C$4, C135&lt;='Interes Por Semana'!$E$4)</f>
        <v>0</v>
      </c>
      <c r="W135" s="18" t="str">
        <f t="shared" si="5"/>
        <v>lunes</v>
      </c>
    </row>
    <row r="136" spans="2:23" hidden="1" x14ac:dyDescent="0.25">
      <c r="B136" s="337">
        <v>46072</v>
      </c>
      <c r="C136" s="337">
        <v>46224</v>
      </c>
      <c r="D136" s="374" t="s">
        <v>88</v>
      </c>
      <c r="E136" s="309" t="s">
        <v>46</v>
      </c>
      <c r="F136" s="310" t="s">
        <v>104</v>
      </c>
      <c r="G136" s="312">
        <v>9</v>
      </c>
      <c r="H136" s="308">
        <v>10.25</v>
      </c>
      <c r="I136" s="340">
        <v>414.81</v>
      </c>
      <c r="J136" s="340">
        <v>1570.16</v>
      </c>
      <c r="K136" s="308"/>
      <c r="L136" s="340">
        <f t="shared" si="4"/>
        <v>414.81</v>
      </c>
      <c r="M136" s="308"/>
      <c r="N136" s="311"/>
      <c r="O136" s="312"/>
      <c r="P136" s="308"/>
      <c r="Q136" s="308"/>
      <c r="R136" s="392"/>
      <c r="S136" s="358">
        <f ca="1">IF(C136&lt;=EOMONTH('&gt;&gt;Vistas Consolidadas'!$D$2, '&gt;&gt;Vistas Consolidadas'!$F$2),J136+I136,J136)</f>
        <v>1984.97</v>
      </c>
      <c r="T136" s="18" t="str">
        <f ca="1">IF(C136&gt;='&gt;&gt;Vistas Consolidadas'!$D$2,"SI","NO")</f>
        <v>NO</v>
      </c>
      <c r="U136" s="358">
        <f ca="1">IF(C136&lt;=EOMONTH('&gt;&gt;Vistas Consolidadas'!$D$2, '&gt;&gt;Vistas Consolidadas'!$F$2),I136,0)</f>
        <v>414.81</v>
      </c>
      <c r="V136" s="18" t="b">
        <f ca="1">AND(C136&gt;='Interes Por Semana'!$C$4, C136&lt;='Interes Por Semana'!$E$4)</f>
        <v>0</v>
      </c>
      <c r="W136" s="18" t="str">
        <f t="shared" si="5"/>
        <v>martes</v>
      </c>
    </row>
    <row r="137" spans="2:23" hidden="1" x14ac:dyDescent="0.25">
      <c r="B137" s="337">
        <v>45552</v>
      </c>
      <c r="C137" s="337">
        <v>46206</v>
      </c>
      <c r="D137" s="374" t="s">
        <v>78</v>
      </c>
      <c r="E137" s="309" t="s">
        <v>47</v>
      </c>
      <c r="F137" s="310" t="s">
        <v>79</v>
      </c>
      <c r="G137" s="311">
        <v>5.36</v>
      </c>
      <c r="H137" s="311">
        <v>13.5</v>
      </c>
      <c r="I137" s="340">
        <f>15.63</f>
        <v>15.63</v>
      </c>
      <c r="J137" s="340"/>
      <c r="K137" s="308"/>
      <c r="L137" s="340">
        <f t="shared" si="4"/>
        <v>15.63</v>
      </c>
      <c r="M137" s="311"/>
      <c r="N137" s="311"/>
      <c r="O137" s="311"/>
      <c r="P137" s="311"/>
      <c r="Q137" s="311"/>
      <c r="R137" s="392"/>
      <c r="S137" s="358">
        <f ca="1">IF(C137&lt;=EOMONTH('&gt;&gt;Vistas Consolidadas'!$D$2, '&gt;&gt;Vistas Consolidadas'!$F$2),J137+I137,J137)</f>
        <v>15.63</v>
      </c>
      <c r="T137" s="18" t="str">
        <f ca="1">IF(C137&gt;='&gt;&gt;Vistas Consolidadas'!$D$2,"SI","NO")</f>
        <v>NO</v>
      </c>
      <c r="U137" s="358">
        <f ca="1">IF(C137&lt;=EOMONTH('&gt;&gt;Vistas Consolidadas'!$D$2, '&gt;&gt;Vistas Consolidadas'!$F$2),I137,0)</f>
        <v>15.63</v>
      </c>
      <c r="V137" s="18" t="b">
        <f ca="1">AND(C137&gt;='Interes Por Semana'!$C$4, C137&lt;='Interes Por Semana'!$E$4)</f>
        <v>0</v>
      </c>
      <c r="W137" s="18" t="str">
        <f t="shared" si="5"/>
        <v>viernes</v>
      </c>
    </row>
    <row r="138" spans="2:23" hidden="1" x14ac:dyDescent="0.25">
      <c r="B138" s="337">
        <v>45560</v>
      </c>
      <c r="C138" s="337">
        <v>46206</v>
      </c>
      <c r="D138" s="374" t="s">
        <v>78</v>
      </c>
      <c r="E138" s="309" t="s">
        <v>47</v>
      </c>
      <c r="F138" s="310" t="s">
        <v>79</v>
      </c>
      <c r="G138" s="311">
        <v>5.36</v>
      </c>
      <c r="H138" s="311">
        <v>12.5</v>
      </c>
      <c r="I138" s="340">
        <f>12.51</f>
        <v>12.51</v>
      </c>
      <c r="J138" s="340"/>
      <c r="K138" s="308"/>
      <c r="L138" s="340">
        <f t="shared" si="4"/>
        <v>12.51</v>
      </c>
      <c r="M138" s="311"/>
      <c r="N138" s="311"/>
      <c r="O138" s="311"/>
      <c r="P138" s="311"/>
      <c r="Q138" s="311"/>
      <c r="R138" s="392"/>
      <c r="S138" s="358">
        <f ca="1">IF(C138&lt;=EOMONTH('&gt;&gt;Vistas Consolidadas'!$D$2, '&gt;&gt;Vistas Consolidadas'!$F$2),J138+I138,J138)</f>
        <v>12.51</v>
      </c>
      <c r="T138" s="18" t="str">
        <f ca="1">IF(C138&gt;='&gt;&gt;Vistas Consolidadas'!$D$2,"SI","NO")</f>
        <v>NO</v>
      </c>
      <c r="U138" s="358">
        <f ca="1">IF(C138&lt;=EOMONTH('&gt;&gt;Vistas Consolidadas'!$D$2, '&gt;&gt;Vistas Consolidadas'!$F$2),I138,0)</f>
        <v>12.51</v>
      </c>
      <c r="V138" s="18" t="b">
        <f ca="1">AND(C138&gt;='Interes Por Semana'!$C$4, C138&lt;='Interes Por Semana'!$E$4)</f>
        <v>0</v>
      </c>
      <c r="W138" s="18" t="str">
        <f t="shared" si="5"/>
        <v>viernes</v>
      </c>
    </row>
    <row r="139" spans="2:23" hidden="1" x14ac:dyDescent="0.25">
      <c r="B139" s="337">
        <v>45708</v>
      </c>
      <c r="C139" s="337">
        <v>46207</v>
      </c>
      <c r="D139" s="374" t="s">
        <v>78</v>
      </c>
      <c r="E139" s="309" t="s">
        <v>46</v>
      </c>
      <c r="F139" s="310" t="s">
        <v>81</v>
      </c>
      <c r="G139" s="312">
        <v>5.36</v>
      </c>
      <c r="H139" s="308">
        <v>11.35</v>
      </c>
      <c r="I139" s="340">
        <f>16.79-J139</f>
        <v>16.79</v>
      </c>
      <c r="J139" s="340">
        <v>0</v>
      </c>
      <c r="K139" s="308"/>
      <c r="L139" s="340">
        <f t="shared" si="4"/>
        <v>16.79</v>
      </c>
      <c r="M139" s="308"/>
      <c r="N139" s="311"/>
      <c r="O139" s="312"/>
      <c r="P139" s="308"/>
      <c r="Q139" s="308"/>
      <c r="R139" s="392"/>
      <c r="S139" s="358">
        <f ca="1">IF(C139&lt;=EOMONTH('&gt;&gt;Vistas Consolidadas'!$D$2, '&gt;&gt;Vistas Consolidadas'!$F$2),J139+I139,J139)</f>
        <v>16.79</v>
      </c>
      <c r="T139" s="18" t="str">
        <f ca="1">IF(C139&gt;='&gt;&gt;Vistas Consolidadas'!$D$2,"SI","NO")</f>
        <v>NO</v>
      </c>
      <c r="U139" s="358">
        <f ca="1">IF(C139&lt;=EOMONTH('&gt;&gt;Vistas Consolidadas'!$D$2, '&gt;&gt;Vistas Consolidadas'!$F$2),I139,0)</f>
        <v>16.79</v>
      </c>
      <c r="V139" s="18" t="b">
        <f ca="1">AND(C139&gt;='Interes Por Semana'!$C$4, C139&lt;='Interes Por Semana'!$E$4)</f>
        <v>0</v>
      </c>
      <c r="W139" s="18" t="str">
        <f t="shared" si="5"/>
        <v>sábado</v>
      </c>
    </row>
    <row r="140" spans="2:23" hidden="1" x14ac:dyDescent="0.25">
      <c r="B140" s="337">
        <v>46057</v>
      </c>
      <c r="C140" s="337">
        <v>46209</v>
      </c>
      <c r="D140" s="374" t="s">
        <v>78</v>
      </c>
      <c r="E140" s="309" t="s">
        <v>47</v>
      </c>
      <c r="F140" s="310" t="s">
        <v>85</v>
      </c>
      <c r="G140" s="311">
        <v>7.93</v>
      </c>
      <c r="H140" s="311">
        <v>11.25</v>
      </c>
      <c r="I140" s="340">
        <v>58.023180428134552</v>
      </c>
      <c r="J140" s="340"/>
      <c r="K140" s="308"/>
      <c r="L140" s="340">
        <f t="shared" si="4"/>
        <v>58.023180428134552</v>
      </c>
      <c r="M140" s="311"/>
      <c r="N140" s="311"/>
      <c r="O140" s="311"/>
      <c r="P140" s="311"/>
      <c r="Q140" s="311"/>
      <c r="R140" s="392"/>
      <c r="S140" s="358">
        <f ca="1">IF(C140&lt;=EOMONTH('&gt;&gt;Vistas Consolidadas'!$D$2, '&gt;&gt;Vistas Consolidadas'!$F$2),J140+I140,J140)</f>
        <v>58.023180428134552</v>
      </c>
      <c r="T140" s="18" t="str">
        <f ca="1">IF(C140&gt;='&gt;&gt;Vistas Consolidadas'!$D$2,"SI","NO")</f>
        <v>NO</v>
      </c>
      <c r="U140" s="358">
        <f ca="1">IF(C140&lt;=EOMONTH('&gt;&gt;Vistas Consolidadas'!$D$2, '&gt;&gt;Vistas Consolidadas'!$F$2),I140,0)</f>
        <v>58.023180428134552</v>
      </c>
      <c r="V140" s="18" t="b">
        <f ca="1">AND(C140&gt;='Interes Por Semana'!$C$4, C140&lt;='Interes Por Semana'!$E$4)</f>
        <v>0</v>
      </c>
      <c r="W140" s="18" t="str">
        <f t="shared" si="5"/>
        <v>lunes</v>
      </c>
    </row>
    <row r="141" spans="2:23" hidden="1" x14ac:dyDescent="0.25">
      <c r="B141" s="337">
        <v>46057</v>
      </c>
      <c r="C141" s="337">
        <v>46209</v>
      </c>
      <c r="D141" s="374" t="s">
        <v>78</v>
      </c>
      <c r="E141" s="309" t="s">
        <v>47</v>
      </c>
      <c r="F141" s="310" t="s">
        <v>86</v>
      </c>
      <c r="G141" s="311">
        <v>7.35</v>
      </c>
      <c r="H141" s="311">
        <v>11</v>
      </c>
      <c r="I141" s="340">
        <v>20.79</v>
      </c>
      <c r="J141" s="340"/>
      <c r="K141" s="308"/>
      <c r="L141" s="340">
        <f t="shared" si="4"/>
        <v>20.79</v>
      </c>
      <c r="M141" s="311"/>
      <c r="N141" s="311"/>
      <c r="O141" s="311"/>
      <c r="P141" s="311"/>
      <c r="Q141" s="311"/>
      <c r="R141" s="392"/>
      <c r="S141" s="358">
        <f ca="1">IF(C141&lt;=EOMONTH('&gt;&gt;Vistas Consolidadas'!$D$2, '&gt;&gt;Vistas Consolidadas'!$F$2),J141+I141,J141)</f>
        <v>20.79</v>
      </c>
      <c r="T141" s="18" t="str">
        <f ca="1">IF(C141&gt;='&gt;&gt;Vistas Consolidadas'!$D$2,"SI","NO")</f>
        <v>NO</v>
      </c>
      <c r="U141" s="358">
        <f ca="1">IF(C141&lt;=EOMONTH('&gt;&gt;Vistas Consolidadas'!$D$2, '&gt;&gt;Vistas Consolidadas'!$F$2),I141,0)</f>
        <v>20.79</v>
      </c>
      <c r="V141" s="18" t="b">
        <f ca="1">AND(C141&gt;='Interes Por Semana'!$C$4, C141&lt;='Interes Por Semana'!$E$4)</f>
        <v>0</v>
      </c>
      <c r="W141" s="18" t="str">
        <f t="shared" si="5"/>
        <v>lunes</v>
      </c>
    </row>
    <row r="142" spans="2:23" hidden="1" x14ac:dyDescent="0.25">
      <c r="B142" s="337">
        <v>46001</v>
      </c>
      <c r="C142" s="337">
        <v>46209</v>
      </c>
      <c r="D142" s="374" t="s">
        <v>78</v>
      </c>
      <c r="E142" s="309" t="s">
        <v>46</v>
      </c>
      <c r="F142" s="310" t="s">
        <v>87</v>
      </c>
      <c r="G142" s="312">
        <v>7.54</v>
      </c>
      <c r="H142" s="308">
        <v>11</v>
      </c>
      <c r="I142" s="340">
        <f>7.79</f>
        <v>7.79</v>
      </c>
      <c r="J142" s="340"/>
      <c r="K142" s="308"/>
      <c r="L142" s="340">
        <f t="shared" si="4"/>
        <v>7.79</v>
      </c>
      <c r="M142" s="308"/>
      <c r="N142" s="311"/>
      <c r="O142" s="312"/>
      <c r="P142" s="308"/>
      <c r="Q142" s="308"/>
      <c r="R142" s="392"/>
      <c r="S142" s="358">
        <f ca="1">IF(C142&lt;=EOMONTH('&gt;&gt;Vistas Consolidadas'!$D$2, '&gt;&gt;Vistas Consolidadas'!$F$2),J142+I142,J142)</f>
        <v>7.79</v>
      </c>
      <c r="T142" s="18" t="str">
        <f ca="1">IF(C142&gt;='&gt;&gt;Vistas Consolidadas'!$D$2,"SI","NO")</f>
        <v>NO</v>
      </c>
      <c r="U142" s="358">
        <f ca="1">IF(C142&lt;=EOMONTH('&gt;&gt;Vistas Consolidadas'!$D$2, '&gt;&gt;Vistas Consolidadas'!$F$2),I142,0)</f>
        <v>7.79</v>
      </c>
      <c r="V142" s="18" t="b">
        <f ca="1">AND(C142&gt;='Interes Por Semana'!$C$4, C142&lt;='Interes Por Semana'!$E$4)</f>
        <v>0</v>
      </c>
      <c r="W142" s="18" t="str">
        <f t="shared" si="5"/>
        <v>lunes</v>
      </c>
    </row>
    <row r="143" spans="2:23" hidden="1" x14ac:dyDescent="0.25">
      <c r="B143" s="337">
        <v>45943</v>
      </c>
      <c r="C143" s="337">
        <v>46213</v>
      </c>
      <c r="D143" s="374" t="s">
        <v>78</v>
      </c>
      <c r="E143" s="309" t="s">
        <v>47</v>
      </c>
      <c r="F143" s="310" t="s">
        <v>91</v>
      </c>
      <c r="G143" s="311">
        <v>7.54</v>
      </c>
      <c r="H143" s="311">
        <v>9.85</v>
      </c>
      <c r="I143" s="340">
        <v>35.25</v>
      </c>
      <c r="J143" s="340"/>
      <c r="K143" s="308"/>
      <c r="L143" s="340">
        <f t="shared" si="4"/>
        <v>35.25</v>
      </c>
      <c r="M143" s="311"/>
      <c r="N143" s="311"/>
      <c r="O143" s="311"/>
      <c r="P143" s="311"/>
      <c r="Q143" s="311"/>
      <c r="R143" s="392"/>
      <c r="S143" s="358">
        <f ca="1">IF(C143&lt;=EOMONTH('&gt;&gt;Vistas Consolidadas'!$D$2, '&gt;&gt;Vistas Consolidadas'!$F$2),J143+I143,J143)</f>
        <v>35.25</v>
      </c>
      <c r="T143" s="18" t="str">
        <f ca="1">IF(C143&gt;='&gt;&gt;Vistas Consolidadas'!$D$2,"SI","NO")</f>
        <v>NO</v>
      </c>
      <c r="U143" s="358">
        <f ca="1">IF(C143&lt;=EOMONTH('&gt;&gt;Vistas Consolidadas'!$D$2, '&gt;&gt;Vistas Consolidadas'!$F$2),I143,0)</f>
        <v>35.25</v>
      </c>
      <c r="V143" s="18" t="b">
        <f ca="1">AND(C143&gt;='Interes Por Semana'!$C$4, C143&lt;='Interes Por Semana'!$E$4)</f>
        <v>0</v>
      </c>
      <c r="W143" s="18" t="str">
        <f t="shared" si="5"/>
        <v>viernes</v>
      </c>
    </row>
    <row r="144" spans="2:23" hidden="1" x14ac:dyDescent="0.25">
      <c r="B144" s="337">
        <v>46121</v>
      </c>
      <c r="C144" s="337">
        <v>46215</v>
      </c>
      <c r="D144" s="374" t="s">
        <v>78</v>
      </c>
      <c r="E144" s="309" t="s">
        <v>47</v>
      </c>
      <c r="F144" s="310" t="s">
        <v>93</v>
      </c>
      <c r="G144" s="312">
        <v>4.71</v>
      </c>
      <c r="H144" s="308">
        <v>9.5</v>
      </c>
      <c r="I144" s="340">
        <v>3.53</v>
      </c>
      <c r="J144" s="340">
        <v>0</v>
      </c>
      <c r="K144" s="308"/>
      <c r="L144" s="340">
        <f t="shared" si="4"/>
        <v>3.53</v>
      </c>
      <c r="M144" s="308"/>
      <c r="N144" s="311"/>
      <c r="O144" s="312"/>
      <c r="P144" s="308"/>
      <c r="Q144" s="308"/>
      <c r="R144" s="392"/>
      <c r="S144" s="358">
        <f ca="1">IF(C144&lt;=EOMONTH('&gt;&gt;Vistas Consolidadas'!$D$2, '&gt;&gt;Vistas Consolidadas'!$F$2),J144+I144,J144)</f>
        <v>3.53</v>
      </c>
      <c r="T144" s="18" t="str">
        <f ca="1">IF(C144&gt;='&gt;&gt;Vistas Consolidadas'!$D$2,"SI","NO")</f>
        <v>NO</v>
      </c>
      <c r="U144" s="358">
        <f ca="1">IF(C144&lt;=EOMONTH('&gt;&gt;Vistas Consolidadas'!$D$2, '&gt;&gt;Vistas Consolidadas'!$F$2),I144,0)</f>
        <v>3.53</v>
      </c>
      <c r="V144" s="18" t="b">
        <f ca="1">AND(C144&gt;='Interes Por Semana'!$C$4, C144&lt;='Interes Por Semana'!$E$4)</f>
        <v>0</v>
      </c>
      <c r="W144" s="18" t="str">
        <f t="shared" si="5"/>
        <v>domingo</v>
      </c>
    </row>
    <row r="145" spans="2:23" hidden="1" x14ac:dyDescent="0.25">
      <c r="B145" s="337">
        <v>45323</v>
      </c>
      <c r="C145" s="337">
        <v>46237</v>
      </c>
      <c r="D145" s="374" t="s">
        <v>96</v>
      </c>
      <c r="E145" s="309" t="s">
        <v>47</v>
      </c>
      <c r="F145" s="310" t="s">
        <v>97</v>
      </c>
      <c r="G145" s="311">
        <v>6</v>
      </c>
      <c r="H145" s="311">
        <v>12</v>
      </c>
      <c r="I145" s="340">
        <v>16.670000000000002</v>
      </c>
      <c r="J145" s="340"/>
      <c r="K145" s="308"/>
      <c r="L145" s="340">
        <f t="shared" si="4"/>
        <v>16.670000000000002</v>
      </c>
      <c r="M145" s="311"/>
      <c r="N145" s="311"/>
      <c r="O145" s="311"/>
      <c r="P145" s="311"/>
      <c r="Q145" s="311"/>
      <c r="R145" s="392"/>
      <c r="S145" s="358">
        <f ca="1">IF(C145&lt;=EOMONTH('&gt;&gt;Vistas Consolidadas'!$D$2, '&gt;&gt;Vistas Consolidadas'!$F$2),J145+I145,J145)</f>
        <v>16.670000000000002</v>
      </c>
      <c r="T145" s="18" t="str">
        <f ca="1">IF(C145&gt;='&gt;&gt;Vistas Consolidadas'!$D$2,"SI","NO")</f>
        <v>NO</v>
      </c>
      <c r="U145" s="358">
        <f ca="1">IF(C145&lt;=EOMONTH('&gt;&gt;Vistas Consolidadas'!$D$2, '&gt;&gt;Vistas Consolidadas'!$F$2),I145,0)</f>
        <v>16.670000000000002</v>
      </c>
      <c r="V145" s="18" t="b">
        <f ca="1">AND(C145&gt;='Interes Por Semana'!$C$4, C145&lt;='Interes Por Semana'!$E$4)</f>
        <v>0</v>
      </c>
      <c r="W145" s="18" t="str">
        <f t="shared" si="5"/>
        <v>lunes</v>
      </c>
    </row>
    <row r="146" spans="2:23" hidden="1" x14ac:dyDescent="0.25">
      <c r="B146" s="337">
        <v>45356</v>
      </c>
      <c r="C146" s="337">
        <v>46237</v>
      </c>
      <c r="D146" s="374" t="s">
        <v>96</v>
      </c>
      <c r="E146" s="309" t="s">
        <v>47</v>
      </c>
      <c r="F146" s="310" t="s">
        <v>97</v>
      </c>
      <c r="G146" s="311">
        <v>6</v>
      </c>
      <c r="H146" s="311">
        <v>12</v>
      </c>
      <c r="I146" s="340">
        <v>108.33</v>
      </c>
      <c r="J146" s="340"/>
      <c r="K146" s="308"/>
      <c r="L146" s="340">
        <f t="shared" si="4"/>
        <v>108.33</v>
      </c>
      <c r="M146" s="311"/>
      <c r="N146" s="311"/>
      <c r="O146" s="311"/>
      <c r="P146" s="311"/>
      <c r="Q146" s="311"/>
      <c r="R146" s="392"/>
      <c r="S146" s="358">
        <f ca="1">IF(C146&lt;=EOMONTH('&gt;&gt;Vistas Consolidadas'!$D$2, '&gt;&gt;Vistas Consolidadas'!$F$2),J146+I146,J146)</f>
        <v>108.33</v>
      </c>
      <c r="T146" s="18" t="str">
        <f ca="1">IF(C146&gt;='&gt;&gt;Vistas Consolidadas'!$D$2,"SI","NO")</f>
        <v>NO</v>
      </c>
      <c r="U146" s="358">
        <f ca="1">IF(C146&lt;=EOMONTH('&gt;&gt;Vistas Consolidadas'!$D$2, '&gt;&gt;Vistas Consolidadas'!$F$2),I146,0)</f>
        <v>108.33</v>
      </c>
      <c r="V146" s="18" t="b">
        <f ca="1">AND(C146&gt;='Interes Por Semana'!$C$4, C146&lt;='Interes Por Semana'!$E$4)</f>
        <v>0</v>
      </c>
      <c r="W146" s="18" t="str">
        <f t="shared" si="5"/>
        <v>lunes</v>
      </c>
    </row>
    <row r="147" spans="2:23" hidden="1" x14ac:dyDescent="0.25">
      <c r="B147" s="337">
        <v>45006</v>
      </c>
      <c r="C147" s="337">
        <v>46237</v>
      </c>
      <c r="D147" s="374" t="s">
        <v>96</v>
      </c>
      <c r="E147" s="309" t="s">
        <v>46</v>
      </c>
      <c r="F147" s="310" t="s">
        <v>97</v>
      </c>
      <c r="G147" s="312">
        <v>6</v>
      </c>
      <c r="H147" s="308">
        <v>12</v>
      </c>
      <c r="I147" s="340">
        <v>62.5</v>
      </c>
      <c r="J147" s="340"/>
      <c r="K147" s="308"/>
      <c r="L147" s="340">
        <f t="shared" si="4"/>
        <v>62.5</v>
      </c>
      <c r="M147" s="308"/>
      <c r="N147" s="311"/>
      <c r="O147" s="312"/>
      <c r="P147" s="308"/>
      <c r="Q147" s="308"/>
      <c r="R147" s="392"/>
      <c r="S147" s="358">
        <f ca="1">IF(C147&lt;=EOMONTH('&gt;&gt;Vistas Consolidadas'!$D$2, '&gt;&gt;Vistas Consolidadas'!$F$2),J147+I147,J147)</f>
        <v>62.5</v>
      </c>
      <c r="T147" s="18" t="str">
        <f ca="1">IF(C147&gt;='&gt;&gt;Vistas Consolidadas'!$D$2,"SI","NO")</f>
        <v>NO</v>
      </c>
      <c r="U147" s="358">
        <f ca="1">IF(C147&lt;=EOMONTH('&gt;&gt;Vistas Consolidadas'!$D$2, '&gt;&gt;Vistas Consolidadas'!$F$2),I147,0)</f>
        <v>62.5</v>
      </c>
      <c r="V147" s="18" t="b">
        <f ca="1">AND(C147&gt;='Interes Por Semana'!$C$4, C147&lt;='Interes Por Semana'!$E$4)</f>
        <v>0</v>
      </c>
      <c r="W147" s="18" t="str">
        <f t="shared" si="5"/>
        <v>lunes</v>
      </c>
    </row>
    <row r="148" spans="2:23" hidden="1" x14ac:dyDescent="0.25">
      <c r="B148" s="337">
        <v>45397</v>
      </c>
      <c r="C148" s="337">
        <v>46237</v>
      </c>
      <c r="D148" s="374" t="s">
        <v>96</v>
      </c>
      <c r="E148" s="309" t="s">
        <v>47</v>
      </c>
      <c r="F148" s="310" t="s">
        <v>97</v>
      </c>
      <c r="G148" s="311">
        <v>6</v>
      </c>
      <c r="H148" s="311">
        <v>12</v>
      </c>
      <c r="I148" s="340">
        <v>54.16</v>
      </c>
      <c r="J148" s="340"/>
      <c r="K148" s="308"/>
      <c r="L148" s="340">
        <f t="shared" si="4"/>
        <v>54.16</v>
      </c>
      <c r="M148" s="311"/>
      <c r="N148" s="311"/>
      <c r="O148" s="311"/>
      <c r="P148" s="311"/>
      <c r="Q148" s="311"/>
      <c r="R148" s="392"/>
      <c r="S148" s="358">
        <f ca="1">IF(C148&lt;=EOMONTH('&gt;&gt;Vistas Consolidadas'!$D$2, '&gt;&gt;Vistas Consolidadas'!$F$2),J148+I148,J148)</f>
        <v>54.16</v>
      </c>
      <c r="T148" s="18" t="str">
        <f ca="1">IF(C148&gt;='&gt;&gt;Vistas Consolidadas'!$D$2,"SI","NO")</f>
        <v>NO</v>
      </c>
      <c r="U148" s="358">
        <f ca="1">IF(C148&lt;=EOMONTH('&gt;&gt;Vistas Consolidadas'!$D$2, '&gt;&gt;Vistas Consolidadas'!$F$2),I148,0)</f>
        <v>54.16</v>
      </c>
      <c r="V148" s="18" t="b">
        <f ca="1">AND(C148&gt;='Interes Por Semana'!$C$4, C148&lt;='Interes Por Semana'!$E$4)</f>
        <v>0</v>
      </c>
      <c r="W148" s="18" t="str">
        <f t="shared" si="5"/>
        <v>lunes</v>
      </c>
    </row>
    <row r="149" spans="2:23" hidden="1" x14ac:dyDescent="0.25">
      <c r="B149" s="337">
        <v>45397</v>
      </c>
      <c r="C149" s="337">
        <v>46237</v>
      </c>
      <c r="D149" s="374" t="s">
        <v>96</v>
      </c>
      <c r="E149" s="309" t="s">
        <v>46</v>
      </c>
      <c r="F149" s="310" t="s">
        <v>97</v>
      </c>
      <c r="G149" s="312">
        <v>6</v>
      </c>
      <c r="H149" s="308">
        <v>12</v>
      </c>
      <c r="I149" s="340">
        <v>62.5</v>
      </c>
      <c r="J149" s="340"/>
      <c r="K149" s="308"/>
      <c r="L149" s="340">
        <f t="shared" si="4"/>
        <v>62.5</v>
      </c>
      <c r="M149" s="308"/>
      <c r="N149" s="311"/>
      <c r="O149" s="312"/>
      <c r="P149" s="308"/>
      <c r="Q149" s="308"/>
      <c r="R149" s="392"/>
      <c r="S149" s="358">
        <f ca="1">IF(C149&lt;=EOMONTH('&gt;&gt;Vistas Consolidadas'!$D$2, '&gt;&gt;Vistas Consolidadas'!$F$2),J149+I149,J149)</f>
        <v>62.5</v>
      </c>
      <c r="T149" s="18" t="str">
        <f ca="1">IF(C149&gt;='&gt;&gt;Vistas Consolidadas'!$D$2,"SI","NO")</f>
        <v>NO</v>
      </c>
      <c r="U149" s="358">
        <f ca="1">IF(C149&lt;=EOMONTH('&gt;&gt;Vistas Consolidadas'!$D$2, '&gt;&gt;Vistas Consolidadas'!$F$2),I149,0)</f>
        <v>62.5</v>
      </c>
      <c r="V149" s="18" t="b">
        <f ca="1">AND(C149&gt;='Interes Por Semana'!$C$4, C149&lt;='Interes Por Semana'!$E$4)</f>
        <v>0</v>
      </c>
      <c r="W149" s="18" t="str">
        <f t="shared" si="5"/>
        <v>lunes</v>
      </c>
    </row>
    <row r="150" spans="2:23" hidden="1" x14ac:dyDescent="0.25">
      <c r="B150" s="337">
        <v>45398</v>
      </c>
      <c r="C150" s="337">
        <v>46237</v>
      </c>
      <c r="D150" s="374" t="s">
        <v>96</v>
      </c>
      <c r="E150" s="309" t="s">
        <v>47</v>
      </c>
      <c r="F150" s="310" t="s">
        <v>97</v>
      </c>
      <c r="G150" s="311">
        <v>6</v>
      </c>
      <c r="H150" s="311">
        <v>12</v>
      </c>
      <c r="I150" s="340">
        <v>16.670000000000002</v>
      </c>
      <c r="J150" s="340"/>
      <c r="K150" s="308"/>
      <c r="L150" s="340">
        <f t="shared" si="4"/>
        <v>16.670000000000002</v>
      </c>
      <c r="M150" s="311"/>
      <c r="N150" s="311"/>
      <c r="O150" s="311"/>
      <c r="P150" s="311"/>
      <c r="Q150" s="311"/>
      <c r="R150" s="392"/>
      <c r="S150" s="358">
        <f ca="1">IF(C150&lt;=EOMONTH('&gt;&gt;Vistas Consolidadas'!$D$2, '&gt;&gt;Vistas Consolidadas'!$F$2),J150+I150,J150)</f>
        <v>16.670000000000002</v>
      </c>
      <c r="T150" s="18" t="str">
        <f ca="1">IF(C150&gt;='&gt;&gt;Vistas Consolidadas'!$D$2,"SI","NO")</f>
        <v>NO</v>
      </c>
      <c r="U150" s="358">
        <f ca="1">IF(C150&lt;=EOMONTH('&gt;&gt;Vistas Consolidadas'!$D$2, '&gt;&gt;Vistas Consolidadas'!$F$2),I150,0)</f>
        <v>16.670000000000002</v>
      </c>
      <c r="V150" s="18" t="b">
        <f ca="1">AND(C150&gt;='Interes Por Semana'!$C$4, C150&lt;='Interes Por Semana'!$E$4)</f>
        <v>0</v>
      </c>
      <c r="W150" s="18" t="str">
        <f t="shared" si="5"/>
        <v>lunes</v>
      </c>
    </row>
    <row r="151" spans="2:23" hidden="1" x14ac:dyDescent="0.25">
      <c r="B151" s="337">
        <v>46105</v>
      </c>
      <c r="C151" s="337">
        <v>46237</v>
      </c>
      <c r="D151" s="374" t="s">
        <v>96</v>
      </c>
      <c r="E151" s="309" t="s">
        <v>47</v>
      </c>
      <c r="F151" s="310" t="s">
        <v>97</v>
      </c>
      <c r="G151" s="311">
        <v>6</v>
      </c>
      <c r="H151" s="311">
        <v>10</v>
      </c>
      <c r="I151" s="340">
        <v>16.670000000000002</v>
      </c>
      <c r="J151" s="340"/>
      <c r="K151" s="308"/>
      <c r="L151" s="340">
        <f t="shared" si="4"/>
        <v>16.670000000000002</v>
      </c>
      <c r="M151" s="311"/>
      <c r="N151" s="311"/>
      <c r="O151" s="311"/>
      <c r="P151" s="311"/>
      <c r="Q151" s="311"/>
      <c r="R151" s="392"/>
      <c r="S151" s="358">
        <f ca="1">IF(C151&lt;=EOMONTH('&gt;&gt;Vistas Consolidadas'!$D$2, '&gt;&gt;Vistas Consolidadas'!$F$2),J151+I151,J151)</f>
        <v>16.670000000000002</v>
      </c>
      <c r="T151" s="18" t="str">
        <f ca="1">IF(C151&gt;='&gt;&gt;Vistas Consolidadas'!$D$2,"SI","NO")</f>
        <v>NO</v>
      </c>
      <c r="U151" s="358">
        <f ca="1">IF(C151&lt;=EOMONTH('&gt;&gt;Vistas Consolidadas'!$D$2, '&gt;&gt;Vistas Consolidadas'!$F$2),I151,0)</f>
        <v>16.670000000000002</v>
      </c>
      <c r="V151" s="18" t="b">
        <f ca="1">AND(C151&gt;='Interes Por Semana'!$C$4, C151&lt;='Interes Por Semana'!$E$4)</f>
        <v>0</v>
      </c>
      <c r="W151" s="18" t="str">
        <f t="shared" si="5"/>
        <v>lunes</v>
      </c>
    </row>
    <row r="152" spans="2:23" hidden="1" x14ac:dyDescent="0.25">
      <c r="B152" s="337">
        <v>44462</v>
      </c>
      <c r="C152" s="337">
        <v>46220</v>
      </c>
      <c r="D152" s="374" t="s">
        <v>78</v>
      </c>
      <c r="E152" s="309" t="s">
        <v>46</v>
      </c>
      <c r="F152" s="310" t="s">
        <v>98</v>
      </c>
      <c r="G152" s="312">
        <v>5.64</v>
      </c>
      <c r="H152" s="308">
        <v>8.1999999999999993</v>
      </c>
      <c r="I152" s="340">
        <v>5.05</v>
      </c>
      <c r="J152" s="340"/>
      <c r="K152" s="308"/>
      <c r="L152" s="340">
        <f t="shared" si="4"/>
        <v>5.05</v>
      </c>
      <c r="M152" s="308"/>
      <c r="N152" s="311"/>
      <c r="O152" s="312"/>
      <c r="P152" s="308"/>
      <c r="Q152" s="308"/>
      <c r="R152" s="392"/>
      <c r="S152" s="358">
        <f ca="1">IF(C152&lt;=EOMONTH('&gt;&gt;Vistas Consolidadas'!$D$2, '&gt;&gt;Vistas Consolidadas'!$F$2),J152+I152,J152)</f>
        <v>5.05</v>
      </c>
      <c r="T152" s="18" t="str">
        <f ca="1">IF(C152&gt;='&gt;&gt;Vistas Consolidadas'!$D$2,"SI","NO")</f>
        <v>NO</v>
      </c>
      <c r="U152" s="358">
        <f ca="1">IF(C152&lt;=EOMONTH('&gt;&gt;Vistas Consolidadas'!$D$2, '&gt;&gt;Vistas Consolidadas'!$F$2),I152,0)</f>
        <v>5.05</v>
      </c>
      <c r="V152" s="18" t="b">
        <f ca="1">AND(C152&gt;='Interes Por Semana'!$C$4, C152&lt;='Interes Por Semana'!$E$4)</f>
        <v>0</v>
      </c>
      <c r="W152" s="18" t="str">
        <f t="shared" si="5"/>
        <v>viernes</v>
      </c>
    </row>
    <row r="153" spans="2:23" hidden="1" x14ac:dyDescent="0.25">
      <c r="B153" s="337">
        <v>45264</v>
      </c>
      <c r="C153" s="337">
        <v>46220</v>
      </c>
      <c r="D153" s="374" t="s">
        <v>78</v>
      </c>
      <c r="E153" s="309" t="s">
        <v>46</v>
      </c>
      <c r="F153" s="310" t="s">
        <v>99</v>
      </c>
      <c r="G153" s="312">
        <v>5.64</v>
      </c>
      <c r="H153" s="308">
        <v>13</v>
      </c>
      <c r="I153" s="340">
        <v>14.1</v>
      </c>
      <c r="J153" s="340"/>
      <c r="K153" s="308"/>
      <c r="L153" s="340">
        <f t="shared" si="4"/>
        <v>14.1</v>
      </c>
      <c r="M153" s="308"/>
      <c r="N153" s="311"/>
      <c r="O153" s="312"/>
      <c r="P153" s="308"/>
      <c r="Q153" s="308"/>
      <c r="R153" s="392"/>
      <c r="S153" s="358">
        <f ca="1">IF(C153&lt;=EOMONTH('&gt;&gt;Vistas Consolidadas'!$D$2, '&gt;&gt;Vistas Consolidadas'!$F$2),J153+I153,J153)</f>
        <v>14.1</v>
      </c>
      <c r="T153" s="18" t="str">
        <f ca="1">IF(C153&gt;='&gt;&gt;Vistas Consolidadas'!$D$2,"SI","NO")</f>
        <v>NO</v>
      </c>
      <c r="U153" s="358">
        <f ca="1">IF(C153&lt;=EOMONTH('&gt;&gt;Vistas Consolidadas'!$D$2, '&gt;&gt;Vistas Consolidadas'!$F$2),I153,0)</f>
        <v>14.1</v>
      </c>
      <c r="V153" s="18" t="b">
        <f ca="1">AND(C153&gt;='Interes Por Semana'!$C$4, C153&lt;='Interes Por Semana'!$E$4)</f>
        <v>0</v>
      </c>
      <c r="W153" s="18" t="str">
        <f t="shared" si="5"/>
        <v>viernes</v>
      </c>
    </row>
    <row r="154" spans="2:23" hidden="1" x14ac:dyDescent="0.25">
      <c r="B154" s="337">
        <v>45302</v>
      </c>
      <c r="C154" s="337">
        <v>46220</v>
      </c>
      <c r="D154" s="374" t="s">
        <v>78</v>
      </c>
      <c r="E154" s="309" t="s">
        <v>46</v>
      </c>
      <c r="F154" s="310" t="s">
        <v>99</v>
      </c>
      <c r="G154" s="312">
        <v>5.64</v>
      </c>
      <c r="H154" s="308">
        <v>12.75</v>
      </c>
      <c r="I154" s="340">
        <v>7.28</v>
      </c>
      <c r="J154" s="340"/>
      <c r="K154" s="308"/>
      <c r="L154" s="340">
        <f t="shared" si="4"/>
        <v>7.28</v>
      </c>
      <c r="M154" s="308"/>
      <c r="N154" s="311"/>
      <c r="O154" s="312"/>
      <c r="P154" s="308"/>
      <c r="Q154" s="308"/>
      <c r="R154" s="392"/>
      <c r="S154" s="358">
        <f ca="1">IF(C154&lt;=EOMONTH('&gt;&gt;Vistas Consolidadas'!$D$2, '&gt;&gt;Vistas Consolidadas'!$F$2),J154+I154,J154)</f>
        <v>7.28</v>
      </c>
      <c r="T154" s="18" t="str">
        <f ca="1">IF(C154&gt;='&gt;&gt;Vistas Consolidadas'!$D$2,"SI","NO")</f>
        <v>NO</v>
      </c>
      <c r="U154" s="358">
        <f ca="1">IF(C154&lt;=EOMONTH('&gt;&gt;Vistas Consolidadas'!$D$2, '&gt;&gt;Vistas Consolidadas'!$F$2),I154,0)</f>
        <v>7.28</v>
      </c>
      <c r="V154" s="18" t="b">
        <f ca="1">AND(C154&gt;='Interes Por Semana'!$C$4, C154&lt;='Interes Por Semana'!$E$4)</f>
        <v>0</v>
      </c>
      <c r="W154" s="18" t="str">
        <f t="shared" si="5"/>
        <v>viernes</v>
      </c>
    </row>
    <row r="155" spans="2:23" hidden="1" x14ac:dyDescent="0.25">
      <c r="B155" s="337">
        <v>46006</v>
      </c>
      <c r="C155" s="337">
        <v>46221</v>
      </c>
      <c r="D155" s="374" t="s">
        <v>78</v>
      </c>
      <c r="E155" s="309" t="s">
        <v>46</v>
      </c>
      <c r="F155" s="310" t="s">
        <v>100</v>
      </c>
      <c r="G155" s="312">
        <v>5.93</v>
      </c>
      <c r="H155" s="308">
        <v>8.5</v>
      </c>
      <c r="I155" s="340">
        <f>23.09-J155</f>
        <v>23.09</v>
      </c>
      <c r="J155" s="340"/>
      <c r="K155" s="308"/>
      <c r="L155" s="340">
        <f t="shared" si="4"/>
        <v>23.09</v>
      </c>
      <c r="M155" s="308"/>
      <c r="N155" s="311"/>
      <c r="O155" s="312"/>
      <c r="P155" s="308"/>
      <c r="Q155" s="308"/>
      <c r="R155" s="392"/>
      <c r="S155" s="358">
        <f ca="1">IF(C155&lt;=EOMONTH('&gt;&gt;Vistas Consolidadas'!$D$2, '&gt;&gt;Vistas Consolidadas'!$F$2),J155+I155,J155)</f>
        <v>23.09</v>
      </c>
      <c r="T155" s="18" t="str">
        <f ca="1">IF(C155&gt;='&gt;&gt;Vistas Consolidadas'!$D$2,"SI","NO")</f>
        <v>NO</v>
      </c>
      <c r="U155" s="358">
        <f ca="1">IF(C155&lt;=EOMONTH('&gt;&gt;Vistas Consolidadas'!$D$2, '&gt;&gt;Vistas Consolidadas'!$F$2),I155,0)</f>
        <v>23.09</v>
      </c>
      <c r="V155" s="18" t="b">
        <f ca="1">AND(C155&gt;='Interes Por Semana'!$C$4, C155&lt;='Interes Por Semana'!$E$4)</f>
        <v>0</v>
      </c>
      <c r="W155" s="18" t="str">
        <f t="shared" si="5"/>
        <v>sábado</v>
      </c>
    </row>
    <row r="156" spans="2:23" hidden="1" x14ac:dyDescent="0.25">
      <c r="B156" s="337">
        <v>45734</v>
      </c>
      <c r="C156" s="337">
        <v>46221</v>
      </c>
      <c r="D156" s="374" t="s">
        <v>78</v>
      </c>
      <c r="E156" s="309" t="s">
        <v>47</v>
      </c>
      <c r="F156" s="310" t="s">
        <v>101</v>
      </c>
      <c r="G156" s="311">
        <v>5.93</v>
      </c>
      <c r="H156" s="311">
        <v>12</v>
      </c>
      <c r="I156" s="340">
        <f>8.94</f>
        <v>8.94</v>
      </c>
      <c r="J156" s="340"/>
      <c r="K156" s="308"/>
      <c r="L156" s="340">
        <f t="shared" si="4"/>
        <v>8.94</v>
      </c>
      <c r="M156" s="311"/>
      <c r="N156" s="311"/>
      <c r="O156" s="311"/>
      <c r="P156" s="311"/>
      <c r="Q156" s="311"/>
      <c r="R156" s="392"/>
      <c r="S156" s="358">
        <f ca="1">IF(C156&lt;=EOMONTH('&gt;&gt;Vistas Consolidadas'!$D$2, '&gt;&gt;Vistas Consolidadas'!$F$2),J156+I156,J156)</f>
        <v>8.94</v>
      </c>
      <c r="T156" s="18" t="str">
        <f ca="1">IF(C156&gt;='&gt;&gt;Vistas Consolidadas'!$D$2,"SI","NO")</f>
        <v>NO</v>
      </c>
      <c r="U156" s="358">
        <f ca="1">IF(C156&lt;=EOMONTH('&gt;&gt;Vistas Consolidadas'!$D$2, '&gt;&gt;Vistas Consolidadas'!$F$2),I156,0)</f>
        <v>8.94</v>
      </c>
      <c r="V156" s="18" t="b">
        <f ca="1">AND(C156&gt;='Interes Por Semana'!$C$4, C156&lt;='Interes Por Semana'!$E$4)</f>
        <v>0</v>
      </c>
      <c r="W156" s="18" t="str">
        <f t="shared" si="5"/>
        <v>sábado</v>
      </c>
    </row>
    <row r="157" spans="2:23" hidden="1" x14ac:dyDescent="0.25">
      <c r="B157" s="337">
        <v>45264</v>
      </c>
      <c r="C157" s="337">
        <v>46224</v>
      </c>
      <c r="D157" s="374" t="s">
        <v>78</v>
      </c>
      <c r="E157" s="309" t="s">
        <v>46</v>
      </c>
      <c r="F157" s="310" t="s">
        <v>103</v>
      </c>
      <c r="G157" s="312">
        <v>5.36</v>
      </c>
      <c r="H157" s="308">
        <v>13</v>
      </c>
      <c r="I157" s="340">
        <v>5.58</v>
      </c>
      <c r="J157" s="340"/>
      <c r="K157" s="308"/>
      <c r="L157" s="340">
        <f t="shared" si="4"/>
        <v>5.58</v>
      </c>
      <c r="M157" s="308"/>
      <c r="N157" s="311"/>
      <c r="O157" s="312"/>
      <c r="P157" s="308"/>
      <c r="Q157" s="308"/>
      <c r="R157" s="392"/>
      <c r="S157" s="358">
        <f ca="1">IF(C157&lt;=EOMONTH('&gt;&gt;Vistas Consolidadas'!$D$2, '&gt;&gt;Vistas Consolidadas'!$F$2),J157+I157,J157)</f>
        <v>5.58</v>
      </c>
      <c r="T157" s="18" t="str">
        <f ca="1">IF(C157&gt;='&gt;&gt;Vistas Consolidadas'!$D$2,"SI","NO")</f>
        <v>NO</v>
      </c>
      <c r="U157" s="358">
        <f ca="1">IF(C157&lt;=EOMONTH('&gt;&gt;Vistas Consolidadas'!$D$2, '&gt;&gt;Vistas Consolidadas'!$F$2),I157,0)</f>
        <v>5.58</v>
      </c>
      <c r="V157" s="18" t="b">
        <f ca="1">AND(C157&gt;='Interes Por Semana'!$C$4, C157&lt;='Interes Por Semana'!$E$4)</f>
        <v>0</v>
      </c>
      <c r="W157" s="18" t="str">
        <f t="shared" si="5"/>
        <v>martes</v>
      </c>
    </row>
    <row r="158" spans="2:23" hidden="1" x14ac:dyDescent="0.25">
      <c r="B158" s="337">
        <v>45279</v>
      </c>
      <c r="C158" s="337">
        <v>46224</v>
      </c>
      <c r="D158" s="374" t="s">
        <v>78</v>
      </c>
      <c r="E158" s="309" t="s">
        <v>46</v>
      </c>
      <c r="F158" s="310" t="s">
        <v>103</v>
      </c>
      <c r="G158" s="312">
        <v>5.36</v>
      </c>
      <c r="H158" s="308">
        <v>13</v>
      </c>
      <c r="I158" s="340">
        <v>3.13</v>
      </c>
      <c r="J158" s="340"/>
      <c r="K158" s="308"/>
      <c r="L158" s="340">
        <f t="shared" si="4"/>
        <v>3.13</v>
      </c>
      <c r="M158" s="308"/>
      <c r="N158" s="311"/>
      <c r="O158" s="312"/>
      <c r="P158" s="308"/>
      <c r="Q158" s="308"/>
      <c r="R158" s="392"/>
      <c r="S158" s="358">
        <f ca="1">IF(C158&lt;=EOMONTH('&gt;&gt;Vistas Consolidadas'!$D$2, '&gt;&gt;Vistas Consolidadas'!$F$2),J158+I158,J158)</f>
        <v>3.13</v>
      </c>
      <c r="T158" s="18" t="str">
        <f ca="1">IF(C158&gt;='&gt;&gt;Vistas Consolidadas'!$D$2,"SI","NO")</f>
        <v>NO</v>
      </c>
      <c r="U158" s="358">
        <f ca="1">IF(C158&lt;=EOMONTH('&gt;&gt;Vistas Consolidadas'!$D$2, '&gt;&gt;Vistas Consolidadas'!$F$2),I158,0)</f>
        <v>3.13</v>
      </c>
      <c r="V158" s="18" t="b">
        <f ca="1">AND(C158&gt;='Interes Por Semana'!$C$4, C158&lt;='Interes Por Semana'!$E$4)</f>
        <v>0</v>
      </c>
      <c r="W158" s="18" t="str">
        <f t="shared" si="5"/>
        <v>martes</v>
      </c>
    </row>
    <row r="159" spans="2:23" hidden="1" x14ac:dyDescent="0.25">
      <c r="B159" s="337">
        <v>45552</v>
      </c>
      <c r="C159" s="337">
        <v>46224</v>
      </c>
      <c r="D159" s="374" t="s">
        <v>78</v>
      </c>
      <c r="E159" s="309" t="s">
        <v>47</v>
      </c>
      <c r="F159" s="310" t="s">
        <v>103</v>
      </c>
      <c r="G159" s="311">
        <v>5.36</v>
      </c>
      <c r="H159" s="311">
        <v>13.75</v>
      </c>
      <c r="I159" s="340">
        <f>4.47</f>
        <v>4.47</v>
      </c>
      <c r="J159" s="340"/>
      <c r="K159" s="308"/>
      <c r="L159" s="340">
        <f t="shared" si="4"/>
        <v>4.47</v>
      </c>
      <c r="M159" s="311"/>
      <c r="N159" s="311"/>
      <c r="O159" s="311"/>
      <c r="P159" s="311"/>
      <c r="Q159" s="311"/>
      <c r="R159" s="392"/>
      <c r="S159" s="358">
        <f ca="1">IF(C159&lt;=EOMONTH('&gt;&gt;Vistas Consolidadas'!$D$2, '&gt;&gt;Vistas Consolidadas'!$F$2),J159+I159,J159)</f>
        <v>4.47</v>
      </c>
      <c r="T159" s="18" t="str">
        <f ca="1">IF(C159&gt;='&gt;&gt;Vistas Consolidadas'!$D$2,"SI","NO")</f>
        <v>NO</v>
      </c>
      <c r="U159" s="358">
        <f ca="1">IF(C159&lt;=EOMONTH('&gt;&gt;Vistas Consolidadas'!$D$2, '&gt;&gt;Vistas Consolidadas'!$F$2),I159,0)</f>
        <v>4.47</v>
      </c>
      <c r="V159" s="18" t="b">
        <f ca="1">AND(C159&gt;='Interes Por Semana'!$C$4, C159&lt;='Interes Por Semana'!$E$4)</f>
        <v>0</v>
      </c>
      <c r="W159" s="18" t="str">
        <f t="shared" si="5"/>
        <v>martes</v>
      </c>
    </row>
    <row r="160" spans="2:23" hidden="1" x14ac:dyDescent="0.25">
      <c r="B160" s="337">
        <v>45447</v>
      </c>
      <c r="C160" s="337">
        <v>46227</v>
      </c>
      <c r="D160" s="374" t="s">
        <v>78</v>
      </c>
      <c r="E160" s="309" t="s">
        <v>47</v>
      </c>
      <c r="F160" s="310" t="s">
        <v>105</v>
      </c>
      <c r="G160" s="311">
        <v>5.93</v>
      </c>
      <c r="H160" s="311">
        <v>13.25</v>
      </c>
      <c r="I160" s="340">
        <f>29.65</f>
        <v>29.65</v>
      </c>
      <c r="J160" s="340"/>
      <c r="K160" s="308"/>
      <c r="L160" s="340">
        <f t="shared" si="4"/>
        <v>29.65</v>
      </c>
      <c r="M160" s="311"/>
      <c r="N160" s="311"/>
      <c r="O160" s="311"/>
      <c r="P160" s="311"/>
      <c r="Q160" s="311"/>
      <c r="R160" s="392"/>
      <c r="S160" s="358">
        <f ca="1">IF(C160&lt;=EOMONTH('&gt;&gt;Vistas Consolidadas'!$D$2, '&gt;&gt;Vistas Consolidadas'!$F$2),J160+I160,J160)</f>
        <v>29.65</v>
      </c>
      <c r="T160" s="18" t="str">
        <f ca="1">IF(C160&gt;='&gt;&gt;Vistas Consolidadas'!$D$2,"SI","NO")</f>
        <v>NO</v>
      </c>
      <c r="U160" s="358">
        <f ca="1">IF(C160&lt;=EOMONTH('&gt;&gt;Vistas Consolidadas'!$D$2, '&gt;&gt;Vistas Consolidadas'!$F$2),I160,0)</f>
        <v>29.65</v>
      </c>
      <c r="V160" s="18" t="b">
        <f ca="1">AND(C160&gt;='Interes Por Semana'!$C$4, C160&lt;='Interes Por Semana'!$E$4)</f>
        <v>0</v>
      </c>
      <c r="W160" s="18" t="str">
        <f t="shared" si="5"/>
        <v>viernes</v>
      </c>
    </row>
    <row r="161" spans="2:23" hidden="1" x14ac:dyDescent="0.25">
      <c r="B161" s="337">
        <v>45832</v>
      </c>
      <c r="C161" s="337">
        <v>46228</v>
      </c>
      <c r="D161" s="374" t="s">
        <v>78</v>
      </c>
      <c r="E161" s="309" t="s">
        <v>47</v>
      </c>
      <c r="F161" s="310" t="s">
        <v>106</v>
      </c>
      <c r="G161" s="311">
        <v>5.93</v>
      </c>
      <c r="H161" s="311">
        <v>11</v>
      </c>
      <c r="I161" s="340">
        <f>22.41</f>
        <v>22.41</v>
      </c>
      <c r="J161" s="340"/>
      <c r="K161" s="308"/>
      <c r="L161" s="340">
        <f t="shared" si="4"/>
        <v>22.41</v>
      </c>
      <c r="M161" s="311"/>
      <c r="N161" s="311"/>
      <c r="O161" s="311"/>
      <c r="P161" s="311"/>
      <c r="Q161" s="311"/>
      <c r="R161" s="392"/>
      <c r="S161" s="358">
        <f ca="1">IF(C161&lt;=EOMONTH('&gt;&gt;Vistas Consolidadas'!$D$2, '&gt;&gt;Vistas Consolidadas'!$F$2),J161+I161,J161)</f>
        <v>22.41</v>
      </c>
      <c r="T161" s="18" t="str">
        <f ca="1">IF(C161&gt;='&gt;&gt;Vistas Consolidadas'!$D$2,"SI","NO")</f>
        <v>NO</v>
      </c>
      <c r="U161" s="358">
        <f ca="1">IF(C161&lt;=EOMONTH('&gt;&gt;Vistas Consolidadas'!$D$2, '&gt;&gt;Vistas Consolidadas'!$F$2),I161,0)</f>
        <v>22.41</v>
      </c>
      <c r="V161" s="18" t="b">
        <f ca="1">AND(C161&gt;='Interes Por Semana'!$C$4, C161&lt;='Interes Por Semana'!$E$4)</f>
        <v>0</v>
      </c>
      <c r="W161" s="18" t="str">
        <f t="shared" si="5"/>
        <v>sábado</v>
      </c>
    </row>
    <row r="162" spans="2:23" hidden="1" x14ac:dyDescent="0.25">
      <c r="B162" s="337">
        <v>45889</v>
      </c>
      <c r="C162" s="337">
        <v>46228</v>
      </c>
      <c r="D162" s="374" t="s">
        <v>78</v>
      </c>
      <c r="E162" s="309" t="s">
        <v>47</v>
      </c>
      <c r="F162" s="310" t="s">
        <v>106</v>
      </c>
      <c r="G162" s="311">
        <v>6.21</v>
      </c>
      <c r="H162" s="311">
        <v>9.75</v>
      </c>
      <c r="I162" s="340">
        <v>4.5</v>
      </c>
      <c r="J162" s="340"/>
      <c r="K162" s="308"/>
      <c r="L162" s="340">
        <f t="shared" si="4"/>
        <v>4.5</v>
      </c>
      <c r="M162" s="311"/>
      <c r="N162" s="311"/>
      <c r="O162" s="311"/>
      <c r="P162" s="311"/>
      <c r="Q162" s="311"/>
      <c r="R162" s="392"/>
      <c r="S162" s="358">
        <f ca="1">IF(C162&lt;=EOMONTH('&gt;&gt;Vistas Consolidadas'!$D$2, '&gt;&gt;Vistas Consolidadas'!$F$2),J162+I162,J162)</f>
        <v>4.5</v>
      </c>
      <c r="T162" s="18" t="str">
        <f ca="1">IF(C162&gt;='&gt;&gt;Vistas Consolidadas'!$D$2,"SI","NO")</f>
        <v>NO</v>
      </c>
      <c r="U162" s="358">
        <f ca="1">IF(C162&lt;=EOMONTH('&gt;&gt;Vistas Consolidadas'!$D$2, '&gt;&gt;Vistas Consolidadas'!$F$2),I162,0)</f>
        <v>4.5</v>
      </c>
      <c r="V162" s="18" t="b">
        <f ca="1">AND(C162&gt;='Interes Por Semana'!$C$4, C162&lt;='Interes Por Semana'!$E$4)</f>
        <v>0</v>
      </c>
      <c r="W162" s="18" t="str">
        <f t="shared" si="5"/>
        <v>sábado</v>
      </c>
    </row>
    <row r="163" spans="2:23" hidden="1" x14ac:dyDescent="0.25">
      <c r="B163" s="337">
        <v>45889</v>
      </c>
      <c r="C163" s="337">
        <v>46228</v>
      </c>
      <c r="D163" s="374" t="s">
        <v>78</v>
      </c>
      <c r="E163" s="309" t="s">
        <v>46</v>
      </c>
      <c r="F163" s="310" t="s">
        <v>106</v>
      </c>
      <c r="G163" s="312">
        <v>6.21</v>
      </c>
      <c r="H163" s="308">
        <v>10.75</v>
      </c>
      <c r="I163" s="340">
        <v>25.88</v>
      </c>
      <c r="J163" s="340"/>
      <c r="K163" s="308"/>
      <c r="L163" s="340">
        <f t="shared" si="4"/>
        <v>25.88</v>
      </c>
      <c r="M163" s="308"/>
      <c r="N163" s="311"/>
      <c r="O163" s="312"/>
      <c r="P163" s="308"/>
      <c r="Q163" s="308"/>
      <c r="R163" s="392"/>
      <c r="S163" s="358">
        <f ca="1">IF(C163&lt;=EOMONTH('&gt;&gt;Vistas Consolidadas'!$D$2, '&gt;&gt;Vistas Consolidadas'!$F$2),J163+I163,J163)</f>
        <v>25.88</v>
      </c>
      <c r="T163" s="18" t="str">
        <f ca="1">IF(C163&gt;='&gt;&gt;Vistas Consolidadas'!$D$2,"SI","NO")</f>
        <v>NO</v>
      </c>
      <c r="U163" s="358">
        <f ca="1">IF(C163&lt;=EOMONTH('&gt;&gt;Vistas Consolidadas'!$D$2, '&gt;&gt;Vistas Consolidadas'!$F$2),I163,0)</f>
        <v>25.88</v>
      </c>
      <c r="V163" s="18" t="b">
        <f ca="1">AND(C163&gt;='Interes Por Semana'!$C$4, C163&lt;='Interes Por Semana'!$E$4)</f>
        <v>0</v>
      </c>
      <c r="W163" s="18" t="str">
        <f t="shared" si="5"/>
        <v>sábado</v>
      </c>
    </row>
    <row r="164" spans="2:23" hidden="1" x14ac:dyDescent="0.25">
      <c r="B164" s="337">
        <v>45593</v>
      </c>
      <c r="C164" s="337">
        <v>46229</v>
      </c>
      <c r="D164" s="374" t="s">
        <v>78</v>
      </c>
      <c r="E164" s="309" t="s">
        <v>47</v>
      </c>
      <c r="F164" s="310" t="s">
        <v>107</v>
      </c>
      <c r="G164" s="311">
        <v>5.07</v>
      </c>
      <c r="H164" s="311">
        <v>13</v>
      </c>
      <c r="I164" s="340">
        <f>11.41</f>
        <v>11.41</v>
      </c>
      <c r="J164" s="340"/>
      <c r="K164" s="308"/>
      <c r="L164" s="340">
        <f t="shared" si="4"/>
        <v>11.41</v>
      </c>
      <c r="M164" s="311"/>
      <c r="N164" s="311"/>
      <c r="O164" s="311"/>
      <c r="P164" s="311"/>
      <c r="Q164" s="311"/>
      <c r="R164" s="392"/>
      <c r="S164" s="358">
        <f ca="1">IF(C164&lt;=EOMONTH('&gt;&gt;Vistas Consolidadas'!$D$2, '&gt;&gt;Vistas Consolidadas'!$F$2),J164+I164,J164)</f>
        <v>11.41</v>
      </c>
      <c r="T164" s="18" t="str">
        <f ca="1">IF(C164&gt;='&gt;&gt;Vistas Consolidadas'!$D$2,"SI","NO")</f>
        <v>NO</v>
      </c>
      <c r="U164" s="358">
        <f ca="1">IF(C164&lt;=EOMONTH('&gt;&gt;Vistas Consolidadas'!$D$2, '&gt;&gt;Vistas Consolidadas'!$F$2),I164,0)</f>
        <v>11.41</v>
      </c>
      <c r="V164" s="18" t="b">
        <f ca="1">AND(C164&gt;='Interes Por Semana'!$C$4, C164&lt;='Interes Por Semana'!$E$4)</f>
        <v>0</v>
      </c>
      <c r="W164" s="18" t="str">
        <f t="shared" si="5"/>
        <v>domingo</v>
      </c>
    </row>
    <row r="165" spans="2:23" hidden="1" x14ac:dyDescent="0.25">
      <c r="B165" s="337">
        <v>44830</v>
      </c>
      <c r="C165" s="337">
        <v>46230</v>
      </c>
      <c r="D165" s="374" t="s">
        <v>78</v>
      </c>
      <c r="E165" s="309" t="s">
        <v>47</v>
      </c>
      <c r="F165" s="310" t="s">
        <v>108</v>
      </c>
      <c r="G165" s="311">
        <v>5.64</v>
      </c>
      <c r="H165" s="311">
        <v>10.199999999999999</v>
      </c>
      <c r="I165" s="340">
        <v>9.4</v>
      </c>
      <c r="J165" s="340"/>
      <c r="K165" s="308"/>
      <c r="L165" s="340">
        <f t="shared" si="4"/>
        <v>9.4</v>
      </c>
      <c r="M165" s="311"/>
      <c r="N165" s="311"/>
      <c r="O165" s="311"/>
      <c r="P165" s="311"/>
      <c r="Q165" s="311"/>
      <c r="R165" s="392"/>
      <c r="S165" s="358">
        <f ca="1">IF(C165&lt;=EOMONTH('&gt;&gt;Vistas Consolidadas'!$D$2, '&gt;&gt;Vistas Consolidadas'!$F$2),J165+I165,J165)</f>
        <v>9.4</v>
      </c>
      <c r="T165" s="18" t="str">
        <f ca="1">IF(C165&gt;='&gt;&gt;Vistas Consolidadas'!$D$2,"SI","NO")</f>
        <v>NO</v>
      </c>
      <c r="U165" s="358">
        <f ca="1">IF(C165&lt;=EOMONTH('&gt;&gt;Vistas Consolidadas'!$D$2, '&gt;&gt;Vistas Consolidadas'!$F$2),I165,0)</f>
        <v>9.4</v>
      </c>
      <c r="V165" s="18" t="b">
        <f ca="1">AND(C165&gt;='Interes Por Semana'!$C$4, C165&lt;='Interes Por Semana'!$E$4)</f>
        <v>0</v>
      </c>
      <c r="W165" s="18" t="str">
        <f t="shared" si="5"/>
        <v>lunes</v>
      </c>
    </row>
    <row r="166" spans="2:23" hidden="1" x14ac:dyDescent="0.25">
      <c r="B166" s="337">
        <v>46057</v>
      </c>
      <c r="C166" s="337">
        <v>46230</v>
      </c>
      <c r="D166" s="374" t="s">
        <v>78</v>
      </c>
      <c r="E166" s="309" t="s">
        <v>47</v>
      </c>
      <c r="F166" s="310" t="s">
        <v>109</v>
      </c>
      <c r="G166" s="311">
        <v>6.21</v>
      </c>
      <c r="H166" s="311">
        <v>11</v>
      </c>
      <c r="I166" s="340">
        <v>15.61</v>
      </c>
      <c r="J166" s="340"/>
      <c r="K166" s="308"/>
      <c r="L166" s="340">
        <f t="shared" si="4"/>
        <v>15.61</v>
      </c>
      <c r="M166" s="311"/>
      <c r="N166" s="311"/>
      <c r="O166" s="311"/>
      <c r="P166" s="311"/>
      <c r="Q166" s="311"/>
      <c r="R166" s="392"/>
      <c r="S166" s="358">
        <f ca="1">IF(C166&lt;=EOMONTH('&gt;&gt;Vistas Consolidadas'!$D$2, '&gt;&gt;Vistas Consolidadas'!$F$2),J166+I166,J166)</f>
        <v>15.61</v>
      </c>
      <c r="T166" s="18" t="str">
        <f ca="1">IF(C166&gt;='&gt;&gt;Vistas Consolidadas'!$D$2,"SI","NO")</f>
        <v>NO</v>
      </c>
      <c r="U166" s="358">
        <f ca="1">IF(C166&lt;=EOMONTH('&gt;&gt;Vistas Consolidadas'!$D$2, '&gt;&gt;Vistas Consolidadas'!$F$2),I166,0)</f>
        <v>15.61</v>
      </c>
      <c r="V166" s="18" t="b">
        <f ca="1">AND(C166&gt;='Interes Por Semana'!$C$4, C166&lt;='Interes Por Semana'!$E$4)</f>
        <v>0</v>
      </c>
      <c r="W166" s="18" t="str">
        <f t="shared" si="5"/>
        <v>lunes</v>
      </c>
    </row>
    <row r="167" spans="2:23" hidden="1" x14ac:dyDescent="0.25">
      <c r="B167" s="337">
        <v>46080</v>
      </c>
      <c r="C167" s="337">
        <v>46230</v>
      </c>
      <c r="D167" s="374" t="s">
        <v>78</v>
      </c>
      <c r="E167" s="309" t="s">
        <v>46</v>
      </c>
      <c r="F167" s="310" t="s">
        <v>110</v>
      </c>
      <c r="G167" s="312">
        <v>6.21</v>
      </c>
      <c r="H167" s="312">
        <v>10.6</v>
      </c>
      <c r="I167" s="340">
        <v>17.79</v>
      </c>
      <c r="J167" s="340"/>
      <c r="K167" s="308"/>
      <c r="L167" s="340">
        <f t="shared" si="4"/>
        <v>17.79</v>
      </c>
      <c r="M167" s="308"/>
      <c r="N167" s="311"/>
      <c r="O167" s="312"/>
      <c r="P167" s="308"/>
      <c r="Q167" s="308"/>
      <c r="R167" s="392"/>
      <c r="S167" s="358">
        <f ca="1">IF(C167&lt;=EOMONTH('&gt;&gt;Vistas Consolidadas'!$D$2, '&gt;&gt;Vistas Consolidadas'!$F$2),J167+I167,J167)</f>
        <v>17.79</v>
      </c>
      <c r="T167" s="18" t="str">
        <f ca="1">IF(C167&gt;='&gt;&gt;Vistas Consolidadas'!$D$2,"SI","NO")</f>
        <v>NO</v>
      </c>
      <c r="U167" s="358">
        <f ca="1">IF(C167&lt;=EOMONTH('&gt;&gt;Vistas Consolidadas'!$D$2, '&gt;&gt;Vistas Consolidadas'!$F$2),I167,0)</f>
        <v>17.79</v>
      </c>
      <c r="V167" s="18" t="b">
        <f ca="1">AND(C167&gt;='Interes Por Semana'!$C$4, C167&lt;='Interes Por Semana'!$E$4)</f>
        <v>0</v>
      </c>
      <c r="W167" s="18" t="str">
        <f t="shared" si="5"/>
        <v>lunes</v>
      </c>
    </row>
    <row r="168" spans="2:23" hidden="1" x14ac:dyDescent="0.25">
      <c r="B168" s="337">
        <v>45987</v>
      </c>
      <c r="C168" s="337">
        <v>46231</v>
      </c>
      <c r="D168" s="374" t="s">
        <v>78</v>
      </c>
      <c r="E168" s="309" t="s">
        <v>46</v>
      </c>
      <c r="F168" s="310" t="s">
        <v>111</v>
      </c>
      <c r="G168" s="312">
        <v>6.82</v>
      </c>
      <c r="H168" s="308">
        <v>11</v>
      </c>
      <c r="I168" s="340">
        <v>6.82</v>
      </c>
      <c r="J168" s="340">
        <v>0</v>
      </c>
      <c r="K168" s="308"/>
      <c r="L168" s="340">
        <f t="shared" si="4"/>
        <v>6.82</v>
      </c>
      <c r="M168" s="308"/>
      <c r="N168" s="311"/>
      <c r="O168" s="312"/>
      <c r="P168" s="308"/>
      <c r="Q168" s="308"/>
      <c r="R168" s="392"/>
      <c r="S168" s="358">
        <f ca="1">IF(C168&lt;=EOMONTH('&gt;&gt;Vistas Consolidadas'!$D$2, '&gt;&gt;Vistas Consolidadas'!$F$2),J168+I168,J168)</f>
        <v>6.82</v>
      </c>
      <c r="T168" s="18" t="str">
        <f ca="1">IF(C168&gt;='&gt;&gt;Vistas Consolidadas'!$D$2,"SI","NO")</f>
        <v>NO</v>
      </c>
      <c r="U168" s="358">
        <f ca="1">IF(C168&lt;=EOMONTH('&gt;&gt;Vistas Consolidadas'!$D$2, '&gt;&gt;Vistas Consolidadas'!$F$2),I168,0)</f>
        <v>6.82</v>
      </c>
      <c r="V168" s="18" t="b">
        <f ca="1">AND(C168&gt;='Interes Por Semana'!$C$4, C168&lt;='Interes Por Semana'!$E$4)</f>
        <v>0</v>
      </c>
      <c r="W168" s="18" t="str">
        <f t="shared" si="5"/>
        <v>martes</v>
      </c>
    </row>
    <row r="169" spans="2:23" hidden="1" x14ac:dyDescent="0.25">
      <c r="B169" s="337">
        <v>45748</v>
      </c>
      <c r="C169" s="337">
        <v>46239</v>
      </c>
      <c r="D169" s="374" t="s">
        <v>88</v>
      </c>
      <c r="E169" s="309" t="s">
        <v>47</v>
      </c>
      <c r="F169" s="310" t="s">
        <v>122</v>
      </c>
      <c r="G169" s="311">
        <v>9</v>
      </c>
      <c r="H169" s="311">
        <v>11.5</v>
      </c>
      <c r="I169" s="340">
        <v>36.1</v>
      </c>
      <c r="J169" s="340">
        <v>229.08</v>
      </c>
      <c r="K169" s="308"/>
      <c r="L169" s="340">
        <f t="shared" si="4"/>
        <v>36.1</v>
      </c>
      <c r="M169" s="308"/>
      <c r="N169" s="311"/>
      <c r="O169" s="312"/>
      <c r="P169" s="308"/>
      <c r="Q169" s="308"/>
      <c r="R169" s="392"/>
      <c r="S169" s="358">
        <f ca="1">IF(C169&lt;=EOMONTH('&gt;&gt;Vistas Consolidadas'!$D$2, '&gt;&gt;Vistas Consolidadas'!$F$2),J169+I169,J169)</f>
        <v>265.18</v>
      </c>
      <c r="T169" s="18" t="str">
        <f ca="1">IF(C169&gt;='&gt;&gt;Vistas Consolidadas'!$D$2,"SI","NO")</f>
        <v>NO</v>
      </c>
      <c r="U169" s="358">
        <f ca="1">IF(C169&lt;=EOMONTH('&gt;&gt;Vistas Consolidadas'!$D$2, '&gt;&gt;Vistas Consolidadas'!$F$2),I169,0)</f>
        <v>36.1</v>
      </c>
      <c r="V169" s="18" t="b">
        <f ca="1">AND(C169&gt;='Interes Por Semana'!$C$4, C169&lt;='Interes Por Semana'!$E$4)</f>
        <v>0</v>
      </c>
      <c r="W169" s="18" t="str">
        <f t="shared" si="5"/>
        <v>miércoles</v>
      </c>
    </row>
    <row r="170" spans="2:23" hidden="1" x14ac:dyDescent="0.25">
      <c r="B170" s="337">
        <v>45751</v>
      </c>
      <c r="C170" s="337">
        <v>46239</v>
      </c>
      <c r="D170" s="374" t="s">
        <v>88</v>
      </c>
      <c r="E170" s="309" t="s">
        <v>47</v>
      </c>
      <c r="F170" s="310" t="s">
        <v>122</v>
      </c>
      <c r="G170" s="311">
        <v>9</v>
      </c>
      <c r="H170" s="311">
        <v>11.5</v>
      </c>
      <c r="I170" s="340">
        <v>48.72</v>
      </c>
      <c r="J170" s="340">
        <v>255.04</v>
      </c>
      <c r="K170" s="308"/>
      <c r="L170" s="340">
        <f t="shared" si="4"/>
        <v>48.72</v>
      </c>
      <c r="M170" s="308"/>
      <c r="N170" s="311"/>
      <c r="O170" s="312"/>
      <c r="P170" s="308"/>
      <c r="Q170" s="308"/>
      <c r="R170" s="392"/>
      <c r="S170" s="358">
        <f ca="1">IF(C170&lt;=EOMONTH('&gt;&gt;Vistas Consolidadas'!$D$2, '&gt;&gt;Vistas Consolidadas'!$F$2),J170+I170,J170)</f>
        <v>303.76</v>
      </c>
      <c r="T170" s="18" t="str">
        <f ca="1">IF(C170&gt;='&gt;&gt;Vistas Consolidadas'!$D$2,"SI","NO")</f>
        <v>NO</v>
      </c>
      <c r="U170" s="358">
        <f ca="1">IF(C170&lt;=EOMONTH('&gt;&gt;Vistas Consolidadas'!$D$2, '&gt;&gt;Vistas Consolidadas'!$F$2),I170,0)</f>
        <v>48.72</v>
      </c>
      <c r="V170" s="18" t="b">
        <f ca="1">AND(C170&gt;='Interes Por Semana'!$C$4, C170&lt;='Interes Por Semana'!$E$4)</f>
        <v>0</v>
      </c>
      <c r="W170" s="18" t="str">
        <f t="shared" si="5"/>
        <v>miércoles</v>
      </c>
    </row>
    <row r="171" spans="2:23" hidden="1" x14ac:dyDescent="0.25">
      <c r="B171" s="337">
        <v>45755</v>
      </c>
      <c r="C171" s="337">
        <v>46239</v>
      </c>
      <c r="D171" s="374" t="s">
        <v>88</v>
      </c>
      <c r="E171" s="309" t="s">
        <v>47</v>
      </c>
      <c r="F171" s="310" t="s">
        <v>113</v>
      </c>
      <c r="G171" s="311">
        <v>9</v>
      </c>
      <c r="H171" s="311">
        <v>11.5</v>
      </c>
      <c r="I171" s="340">
        <v>109.76</v>
      </c>
      <c r="J171" s="340">
        <v>574.88</v>
      </c>
      <c r="K171" s="308"/>
      <c r="L171" s="340">
        <f t="shared" si="4"/>
        <v>109.76</v>
      </c>
      <c r="M171" s="308"/>
      <c r="N171" s="311"/>
      <c r="O171" s="312"/>
      <c r="P171" s="308"/>
      <c r="Q171" s="308"/>
      <c r="R171" s="392"/>
      <c r="S171" s="358">
        <f ca="1">IF(C171&lt;=EOMONTH('&gt;&gt;Vistas Consolidadas'!$D$2, '&gt;&gt;Vistas Consolidadas'!$F$2),J171+I171,J171)</f>
        <v>684.64</v>
      </c>
      <c r="T171" s="18" t="str">
        <f ca="1">IF(C171&gt;='&gt;&gt;Vistas Consolidadas'!$D$2,"SI","NO")</f>
        <v>NO</v>
      </c>
      <c r="U171" s="358">
        <f ca="1">IF(C171&lt;=EOMONTH('&gt;&gt;Vistas Consolidadas'!$D$2, '&gt;&gt;Vistas Consolidadas'!$F$2),I171,0)</f>
        <v>109.76</v>
      </c>
      <c r="V171" s="18" t="b">
        <f ca="1">AND(C171&gt;='Interes Por Semana'!$C$4, C171&lt;='Interes Por Semana'!$E$4)</f>
        <v>0</v>
      </c>
      <c r="W171" s="18" t="str">
        <f t="shared" si="5"/>
        <v>miércoles</v>
      </c>
    </row>
    <row r="172" spans="2:23" hidden="1" x14ac:dyDescent="0.25">
      <c r="B172" s="337">
        <v>45775</v>
      </c>
      <c r="C172" s="337">
        <v>46239</v>
      </c>
      <c r="D172" s="374" t="s">
        <v>88</v>
      </c>
      <c r="E172" s="309" t="s">
        <v>47</v>
      </c>
      <c r="F172" s="310" t="s">
        <v>113</v>
      </c>
      <c r="G172" s="311">
        <v>9</v>
      </c>
      <c r="H172" s="311">
        <v>11.5</v>
      </c>
      <c r="I172" s="340">
        <v>310.24</v>
      </c>
      <c r="J172" s="340">
        <v>1637.62</v>
      </c>
      <c r="K172" s="308"/>
      <c r="L172" s="340">
        <f t="shared" si="4"/>
        <v>310.24</v>
      </c>
      <c r="M172" s="308"/>
      <c r="N172" s="311"/>
      <c r="O172" s="312"/>
      <c r="P172" s="308"/>
      <c r="Q172" s="308"/>
      <c r="R172" s="392"/>
      <c r="S172" s="358">
        <f ca="1">IF(C172&lt;=EOMONTH('&gt;&gt;Vistas Consolidadas'!$D$2, '&gt;&gt;Vistas Consolidadas'!$F$2),J172+I172,J172)</f>
        <v>1947.86</v>
      </c>
      <c r="T172" s="18" t="str">
        <f ca="1">IF(C172&gt;='&gt;&gt;Vistas Consolidadas'!$D$2,"SI","NO")</f>
        <v>NO</v>
      </c>
      <c r="U172" s="358">
        <f ca="1">IF(C172&lt;=EOMONTH('&gt;&gt;Vistas Consolidadas'!$D$2, '&gt;&gt;Vistas Consolidadas'!$F$2),I172,0)</f>
        <v>310.24</v>
      </c>
      <c r="V172" s="18" t="b">
        <f ca="1">AND(C172&gt;='Interes Por Semana'!$C$4, C172&lt;='Interes Por Semana'!$E$4)</f>
        <v>0</v>
      </c>
      <c r="W172" s="18" t="str">
        <f t="shared" si="5"/>
        <v>miércoles</v>
      </c>
    </row>
    <row r="173" spans="2:23" hidden="1" x14ac:dyDescent="0.25">
      <c r="B173" s="337">
        <v>45793</v>
      </c>
      <c r="C173" s="337">
        <v>46243</v>
      </c>
      <c r="D173" s="374" t="s">
        <v>88</v>
      </c>
      <c r="E173" s="309" t="s">
        <v>46</v>
      </c>
      <c r="F173" s="310" t="s">
        <v>114</v>
      </c>
      <c r="G173" s="311">
        <v>9</v>
      </c>
      <c r="H173" s="311">
        <v>11.5</v>
      </c>
      <c r="I173" s="340">
        <v>369.63</v>
      </c>
      <c r="J173" s="340">
        <v>1694.73</v>
      </c>
      <c r="K173" s="308"/>
      <c r="L173" s="340">
        <f t="shared" si="4"/>
        <v>369.63</v>
      </c>
      <c r="M173" s="308"/>
      <c r="N173" s="311"/>
      <c r="O173" s="312"/>
      <c r="P173" s="308"/>
      <c r="Q173" s="308"/>
      <c r="R173" s="392"/>
      <c r="S173" s="358">
        <f ca="1">IF(C173&lt;=EOMONTH('&gt;&gt;Vistas Consolidadas'!$D$2, '&gt;&gt;Vistas Consolidadas'!$F$2),J173+I173,J173)</f>
        <v>2064.36</v>
      </c>
      <c r="T173" s="18" t="str">
        <f ca="1">IF(C173&gt;='&gt;&gt;Vistas Consolidadas'!$D$2,"SI","NO")</f>
        <v>NO</v>
      </c>
      <c r="U173" s="358">
        <f ca="1">IF(C173&lt;=EOMONTH('&gt;&gt;Vistas Consolidadas'!$D$2, '&gt;&gt;Vistas Consolidadas'!$F$2),I173,0)</f>
        <v>369.63</v>
      </c>
      <c r="V173" s="18" t="b">
        <f ca="1">AND(C173&gt;='Interes Por Semana'!$C$4, C173&lt;='Interes Por Semana'!$E$4)</f>
        <v>0</v>
      </c>
      <c r="W173" s="18" t="str">
        <f t="shared" si="5"/>
        <v>domingo</v>
      </c>
    </row>
    <row r="174" spans="2:23" hidden="1" x14ac:dyDescent="0.25">
      <c r="B174" s="337">
        <v>45897</v>
      </c>
      <c r="C174" s="337">
        <v>46255</v>
      </c>
      <c r="D174" s="374" t="s">
        <v>123</v>
      </c>
      <c r="E174" s="309" t="s">
        <v>47</v>
      </c>
      <c r="F174" s="310" t="s">
        <v>124</v>
      </c>
      <c r="G174" s="311">
        <v>10</v>
      </c>
      <c r="H174" s="311">
        <v>10</v>
      </c>
      <c r="I174" s="340">
        <v>304.18</v>
      </c>
      <c r="J174" s="410"/>
      <c r="K174" s="308"/>
      <c r="L174" s="340">
        <f t="shared" si="4"/>
        <v>304.18</v>
      </c>
      <c r="M174" s="308"/>
      <c r="N174" s="311"/>
      <c r="O174" s="312"/>
      <c r="P174" s="308"/>
      <c r="Q174" s="308"/>
      <c r="R174" s="392"/>
      <c r="S174" s="358">
        <f ca="1">IF(C174&lt;=EOMONTH('&gt;&gt;Vistas Consolidadas'!$D$2, '&gt;&gt;Vistas Consolidadas'!$F$2),J174+I174,J174)</f>
        <v>304.18</v>
      </c>
      <c r="T174" s="18" t="str">
        <f ca="1">IF(C174&gt;='&gt;&gt;Vistas Consolidadas'!$D$2,"SI","NO")</f>
        <v>NO</v>
      </c>
      <c r="U174" s="358">
        <f ca="1">IF(C174&lt;=EOMONTH('&gt;&gt;Vistas Consolidadas'!$D$2, '&gt;&gt;Vistas Consolidadas'!$F$2),I174,0)</f>
        <v>304.18</v>
      </c>
      <c r="V174" s="18" t="b">
        <f ca="1">AND(C174&gt;='Interes Por Semana'!$C$4, C174&lt;='Interes Por Semana'!$E$4)</f>
        <v>0</v>
      </c>
      <c r="W174" s="18" t="str">
        <f t="shared" si="5"/>
        <v>viernes</v>
      </c>
    </row>
    <row r="175" spans="2:23" hidden="1" x14ac:dyDescent="0.25">
      <c r="B175" s="337">
        <v>44923</v>
      </c>
      <c r="C175" s="337">
        <v>46264</v>
      </c>
      <c r="D175" s="374" t="s">
        <v>88</v>
      </c>
      <c r="E175" s="309" t="s">
        <v>46</v>
      </c>
      <c r="F175" s="310" t="s">
        <v>115</v>
      </c>
      <c r="G175" s="312">
        <v>8.5</v>
      </c>
      <c r="H175" s="308">
        <v>8.5</v>
      </c>
      <c r="I175" s="340">
        <v>142.55000000000001</v>
      </c>
      <c r="J175" s="340">
        <v>1204</v>
      </c>
      <c r="K175" s="308"/>
      <c r="L175" s="340">
        <f t="shared" si="4"/>
        <v>142.55000000000001</v>
      </c>
      <c r="M175" s="308"/>
      <c r="N175" s="311"/>
      <c r="O175" s="312"/>
      <c r="P175" s="308"/>
      <c r="Q175" s="308"/>
      <c r="R175" s="392"/>
      <c r="S175" s="358">
        <f ca="1">IF(C175&lt;=EOMONTH('&gt;&gt;Vistas Consolidadas'!$D$2, '&gt;&gt;Vistas Consolidadas'!$F$2),J175+I175,J175)</f>
        <v>1346.55</v>
      </c>
      <c r="T175" s="18" t="str">
        <f ca="1">IF(C175&gt;='&gt;&gt;Vistas Consolidadas'!$D$2,"SI","NO")</f>
        <v>NO</v>
      </c>
      <c r="U175" s="358">
        <f ca="1">IF(C175&lt;=EOMONTH('&gt;&gt;Vistas Consolidadas'!$D$2, '&gt;&gt;Vistas Consolidadas'!$F$2),I175,0)</f>
        <v>142.55000000000001</v>
      </c>
      <c r="V175" s="18" t="b">
        <f ca="1">AND(C175&gt;='Interes Por Semana'!$C$4, C175&lt;='Interes Por Semana'!$E$4)</f>
        <v>0</v>
      </c>
      <c r="W175" s="18" t="str">
        <f t="shared" si="5"/>
        <v>domingo</v>
      </c>
    </row>
    <row r="176" spans="2:23" hidden="1" x14ac:dyDescent="0.25">
      <c r="B176" s="337">
        <v>44988</v>
      </c>
      <c r="C176" s="337">
        <v>46264</v>
      </c>
      <c r="D176" s="374" t="s">
        <v>88</v>
      </c>
      <c r="E176" s="309" t="s">
        <v>46</v>
      </c>
      <c r="F176" s="310" t="s">
        <v>115</v>
      </c>
      <c r="G176" s="312">
        <v>8.5</v>
      </c>
      <c r="H176" s="308">
        <v>8.5</v>
      </c>
      <c r="I176" s="340">
        <v>193.51</v>
      </c>
      <c r="J176" s="340">
        <v>1634.5</v>
      </c>
      <c r="K176" s="308"/>
      <c r="L176" s="340">
        <f t="shared" si="4"/>
        <v>193.51</v>
      </c>
      <c r="M176" s="308"/>
      <c r="N176" s="311"/>
      <c r="O176" s="312"/>
      <c r="P176" s="308"/>
      <c r="Q176" s="308"/>
      <c r="R176" s="392"/>
      <c r="S176" s="358">
        <f ca="1">IF(C176&lt;=EOMONTH('&gt;&gt;Vistas Consolidadas'!$D$2, '&gt;&gt;Vistas Consolidadas'!$F$2),J176+I176,J176)</f>
        <v>1828.01</v>
      </c>
      <c r="T176" s="18" t="str">
        <f ca="1">IF(C176&gt;='&gt;&gt;Vistas Consolidadas'!$D$2,"SI","NO")</f>
        <v>NO</v>
      </c>
      <c r="U176" s="358">
        <f ca="1">IF(C176&lt;=EOMONTH('&gt;&gt;Vistas Consolidadas'!$D$2, '&gt;&gt;Vistas Consolidadas'!$F$2),I176,0)</f>
        <v>193.51</v>
      </c>
      <c r="V176" s="18" t="b">
        <f ca="1">AND(C176&gt;='Interes Por Semana'!$C$4, C176&lt;='Interes Por Semana'!$E$4)</f>
        <v>0</v>
      </c>
      <c r="W176" s="18" t="str">
        <f t="shared" si="5"/>
        <v>domingo</v>
      </c>
    </row>
    <row r="177" spans="2:23" hidden="1" x14ac:dyDescent="0.25">
      <c r="B177" s="337">
        <v>45552</v>
      </c>
      <c r="C177" s="337">
        <v>46237</v>
      </c>
      <c r="D177" s="374" t="s">
        <v>78</v>
      </c>
      <c r="E177" s="309" t="s">
        <v>47</v>
      </c>
      <c r="F177" s="310" t="s">
        <v>79</v>
      </c>
      <c r="G177" s="311">
        <v>5.36</v>
      </c>
      <c r="H177" s="311">
        <v>13.5</v>
      </c>
      <c r="I177" s="340">
        <f>15.63</f>
        <v>15.63</v>
      </c>
      <c r="J177" s="340"/>
      <c r="K177" s="308"/>
      <c r="L177" s="340">
        <f t="shared" si="4"/>
        <v>15.63</v>
      </c>
      <c r="M177" s="311"/>
      <c r="N177" s="311"/>
      <c r="O177" s="311"/>
      <c r="P177" s="311"/>
      <c r="Q177" s="311"/>
      <c r="R177" s="392"/>
      <c r="S177" s="358">
        <f ca="1">IF(C177&lt;=EOMONTH('&gt;&gt;Vistas Consolidadas'!$D$2, '&gt;&gt;Vistas Consolidadas'!$F$2),J177+I177,J177)</f>
        <v>15.63</v>
      </c>
      <c r="T177" s="18" t="str">
        <f ca="1">IF(C177&gt;='&gt;&gt;Vistas Consolidadas'!$D$2,"SI","NO")</f>
        <v>NO</v>
      </c>
      <c r="U177" s="358">
        <f ca="1">IF(C177&lt;=EOMONTH('&gt;&gt;Vistas Consolidadas'!$D$2, '&gt;&gt;Vistas Consolidadas'!$F$2),I177,0)</f>
        <v>15.63</v>
      </c>
      <c r="V177" s="18" t="b">
        <f ca="1">AND(C177&gt;='Interes Por Semana'!$C$4, C177&lt;='Interes Por Semana'!$E$4)</f>
        <v>0</v>
      </c>
      <c r="W177" s="18" t="str">
        <f t="shared" si="5"/>
        <v>lunes</v>
      </c>
    </row>
    <row r="178" spans="2:23" hidden="1" x14ac:dyDescent="0.25">
      <c r="B178" s="337">
        <v>45560</v>
      </c>
      <c r="C178" s="337">
        <v>46237</v>
      </c>
      <c r="D178" s="374" t="s">
        <v>78</v>
      </c>
      <c r="E178" s="309" t="s">
        <v>47</v>
      </c>
      <c r="F178" s="310" t="s">
        <v>79</v>
      </c>
      <c r="G178" s="311">
        <v>5.36</v>
      </c>
      <c r="H178" s="311">
        <v>12.5</v>
      </c>
      <c r="I178" s="340">
        <f>12.51</f>
        <v>12.51</v>
      </c>
      <c r="J178" s="340"/>
      <c r="K178" s="308"/>
      <c r="L178" s="340">
        <f t="shared" si="4"/>
        <v>12.51</v>
      </c>
      <c r="M178" s="311"/>
      <c r="N178" s="311"/>
      <c r="O178" s="311"/>
      <c r="P178" s="311"/>
      <c r="Q178" s="311"/>
      <c r="R178" s="392"/>
      <c r="S178" s="358">
        <f ca="1">IF(C178&lt;=EOMONTH('&gt;&gt;Vistas Consolidadas'!$D$2, '&gt;&gt;Vistas Consolidadas'!$F$2),J178+I178,J178)</f>
        <v>12.51</v>
      </c>
      <c r="T178" s="18" t="str">
        <f ca="1">IF(C178&gt;='&gt;&gt;Vistas Consolidadas'!$D$2,"SI","NO")</f>
        <v>NO</v>
      </c>
      <c r="U178" s="358">
        <f ca="1">IF(C178&lt;=EOMONTH('&gt;&gt;Vistas Consolidadas'!$D$2, '&gt;&gt;Vistas Consolidadas'!$F$2),I178,0)</f>
        <v>12.51</v>
      </c>
      <c r="V178" s="18" t="b">
        <f ca="1">AND(C178&gt;='Interes Por Semana'!$C$4, C178&lt;='Interes Por Semana'!$E$4)</f>
        <v>0</v>
      </c>
      <c r="W178" s="18" t="str">
        <f t="shared" si="5"/>
        <v>lunes</v>
      </c>
    </row>
    <row r="179" spans="2:23" hidden="1" x14ac:dyDescent="0.25">
      <c r="B179" s="337">
        <v>45708</v>
      </c>
      <c r="C179" s="337">
        <v>46238</v>
      </c>
      <c r="D179" s="374" t="s">
        <v>78</v>
      </c>
      <c r="E179" s="309" t="s">
        <v>46</v>
      </c>
      <c r="F179" s="310" t="s">
        <v>81</v>
      </c>
      <c r="G179" s="312">
        <v>5.36</v>
      </c>
      <c r="H179" s="308">
        <v>11.35</v>
      </c>
      <c r="I179" s="340">
        <f>16.79-J179</f>
        <v>16.79</v>
      </c>
      <c r="J179" s="340">
        <v>0</v>
      </c>
      <c r="K179" s="308"/>
      <c r="L179" s="340">
        <f t="shared" si="4"/>
        <v>16.79</v>
      </c>
      <c r="M179" s="308"/>
      <c r="N179" s="311"/>
      <c r="O179" s="312"/>
      <c r="P179" s="308"/>
      <c r="Q179" s="308"/>
      <c r="R179" s="392"/>
      <c r="S179" s="358">
        <f ca="1">IF(C179&lt;=EOMONTH('&gt;&gt;Vistas Consolidadas'!$D$2, '&gt;&gt;Vistas Consolidadas'!$F$2),J179+I179,J179)</f>
        <v>16.79</v>
      </c>
      <c r="T179" s="18" t="str">
        <f ca="1">IF(C179&gt;='&gt;&gt;Vistas Consolidadas'!$D$2,"SI","NO")</f>
        <v>NO</v>
      </c>
      <c r="U179" s="358">
        <f ca="1">IF(C179&lt;=EOMONTH('&gt;&gt;Vistas Consolidadas'!$D$2, '&gt;&gt;Vistas Consolidadas'!$F$2),I179,0)</f>
        <v>16.79</v>
      </c>
      <c r="V179" s="18" t="b">
        <f ca="1">AND(C179&gt;='Interes Por Semana'!$C$4, C179&lt;='Interes Por Semana'!$E$4)</f>
        <v>0</v>
      </c>
      <c r="W179" s="18" t="str">
        <f t="shared" si="5"/>
        <v>martes</v>
      </c>
    </row>
    <row r="180" spans="2:23" hidden="1" x14ac:dyDescent="0.25">
      <c r="B180" s="337">
        <v>46057</v>
      </c>
      <c r="C180" s="337">
        <v>46240</v>
      </c>
      <c r="D180" s="374" t="s">
        <v>78</v>
      </c>
      <c r="E180" s="309" t="s">
        <v>47</v>
      </c>
      <c r="F180" s="310" t="s">
        <v>85</v>
      </c>
      <c r="G180" s="311">
        <v>7.93</v>
      </c>
      <c r="H180" s="311">
        <v>11.25</v>
      </c>
      <c r="I180" s="340">
        <v>58.023180428134552</v>
      </c>
      <c r="J180" s="340"/>
      <c r="K180" s="308"/>
      <c r="L180" s="340">
        <f t="shared" si="4"/>
        <v>58.023180428134552</v>
      </c>
      <c r="M180" s="311"/>
      <c r="N180" s="311"/>
      <c r="O180" s="311"/>
      <c r="P180" s="311"/>
      <c r="Q180" s="311"/>
      <c r="R180" s="392"/>
      <c r="S180" s="358">
        <f ca="1">IF(C180&lt;=EOMONTH('&gt;&gt;Vistas Consolidadas'!$D$2, '&gt;&gt;Vistas Consolidadas'!$F$2),J180+I180,J180)</f>
        <v>58.023180428134552</v>
      </c>
      <c r="T180" s="18" t="str">
        <f ca="1">IF(C180&gt;='&gt;&gt;Vistas Consolidadas'!$D$2,"SI","NO")</f>
        <v>NO</v>
      </c>
      <c r="U180" s="358">
        <f ca="1">IF(C180&lt;=EOMONTH('&gt;&gt;Vistas Consolidadas'!$D$2, '&gt;&gt;Vistas Consolidadas'!$F$2),I180,0)</f>
        <v>58.023180428134552</v>
      </c>
      <c r="V180" s="18" t="b">
        <f ca="1">AND(C180&gt;='Interes Por Semana'!$C$4, C180&lt;='Interes Por Semana'!$E$4)</f>
        <v>0</v>
      </c>
      <c r="W180" s="18" t="str">
        <f t="shared" si="5"/>
        <v>jueves</v>
      </c>
    </row>
    <row r="181" spans="2:23" hidden="1" x14ac:dyDescent="0.25">
      <c r="B181" s="337">
        <v>46057</v>
      </c>
      <c r="C181" s="337">
        <v>46240</v>
      </c>
      <c r="D181" s="374" t="s">
        <v>78</v>
      </c>
      <c r="E181" s="309" t="s">
        <v>47</v>
      </c>
      <c r="F181" s="310" t="s">
        <v>86</v>
      </c>
      <c r="G181" s="311">
        <v>7.35</v>
      </c>
      <c r="H181" s="311">
        <v>11</v>
      </c>
      <c r="I181" s="340">
        <v>20.79</v>
      </c>
      <c r="J181" s="340"/>
      <c r="K181" s="308"/>
      <c r="L181" s="340">
        <f t="shared" si="4"/>
        <v>20.79</v>
      </c>
      <c r="M181" s="311"/>
      <c r="N181" s="311"/>
      <c r="O181" s="311"/>
      <c r="P181" s="311"/>
      <c r="Q181" s="311"/>
      <c r="R181" s="392"/>
      <c r="S181" s="358">
        <f ca="1">IF(C181&lt;=EOMONTH('&gt;&gt;Vistas Consolidadas'!$D$2, '&gt;&gt;Vistas Consolidadas'!$F$2),J181+I181,J181)</f>
        <v>20.79</v>
      </c>
      <c r="T181" s="18" t="str">
        <f ca="1">IF(C181&gt;='&gt;&gt;Vistas Consolidadas'!$D$2,"SI","NO")</f>
        <v>NO</v>
      </c>
      <c r="U181" s="358">
        <f ca="1">IF(C181&lt;=EOMONTH('&gt;&gt;Vistas Consolidadas'!$D$2, '&gt;&gt;Vistas Consolidadas'!$F$2),I181,0)</f>
        <v>20.79</v>
      </c>
      <c r="V181" s="18" t="b">
        <f ca="1">AND(C181&gt;='Interes Por Semana'!$C$4, C181&lt;='Interes Por Semana'!$E$4)</f>
        <v>0</v>
      </c>
      <c r="W181" s="18" t="str">
        <f t="shared" si="5"/>
        <v>jueves</v>
      </c>
    </row>
    <row r="182" spans="2:23" hidden="1" x14ac:dyDescent="0.25">
      <c r="B182" s="337">
        <v>46001</v>
      </c>
      <c r="C182" s="337">
        <v>46240</v>
      </c>
      <c r="D182" s="374" t="s">
        <v>78</v>
      </c>
      <c r="E182" s="309" t="s">
        <v>46</v>
      </c>
      <c r="F182" s="310" t="s">
        <v>87</v>
      </c>
      <c r="G182" s="312">
        <v>7.54</v>
      </c>
      <c r="H182" s="308">
        <v>11</v>
      </c>
      <c r="I182" s="340">
        <f>7.79</f>
        <v>7.79</v>
      </c>
      <c r="J182" s="340"/>
      <c r="K182" s="308"/>
      <c r="L182" s="340">
        <f t="shared" si="4"/>
        <v>7.79</v>
      </c>
      <c r="M182" s="308"/>
      <c r="N182" s="311"/>
      <c r="O182" s="312"/>
      <c r="P182" s="308"/>
      <c r="Q182" s="308"/>
      <c r="R182" s="392"/>
      <c r="S182" s="358">
        <f ca="1">IF(C182&lt;=EOMONTH('&gt;&gt;Vistas Consolidadas'!$D$2, '&gt;&gt;Vistas Consolidadas'!$F$2),J182+I182,J182)</f>
        <v>7.79</v>
      </c>
      <c r="T182" s="18" t="str">
        <f ca="1">IF(C182&gt;='&gt;&gt;Vistas Consolidadas'!$D$2,"SI","NO")</f>
        <v>NO</v>
      </c>
      <c r="U182" s="358">
        <f ca="1">IF(C182&lt;=EOMONTH('&gt;&gt;Vistas Consolidadas'!$D$2, '&gt;&gt;Vistas Consolidadas'!$F$2),I182,0)</f>
        <v>7.79</v>
      </c>
      <c r="V182" s="18" t="b">
        <f ca="1">AND(C182&gt;='Interes Por Semana'!$C$4, C182&lt;='Interes Por Semana'!$E$4)</f>
        <v>0</v>
      </c>
      <c r="W182" s="18" t="str">
        <f t="shared" si="5"/>
        <v>jueves</v>
      </c>
    </row>
    <row r="183" spans="2:23" hidden="1" x14ac:dyDescent="0.25">
      <c r="B183" s="337">
        <v>45943</v>
      </c>
      <c r="C183" s="337">
        <v>46244</v>
      </c>
      <c r="D183" s="374" t="s">
        <v>78</v>
      </c>
      <c r="E183" s="309" t="s">
        <v>47</v>
      </c>
      <c r="F183" s="310" t="s">
        <v>91</v>
      </c>
      <c r="G183" s="311">
        <v>7.54</v>
      </c>
      <c r="H183" s="311">
        <v>9.85</v>
      </c>
      <c r="I183" s="340">
        <v>35.25</v>
      </c>
      <c r="J183" s="340"/>
      <c r="K183" s="308"/>
      <c r="L183" s="340">
        <f t="shared" si="4"/>
        <v>35.25</v>
      </c>
      <c r="M183" s="311"/>
      <c r="N183" s="311"/>
      <c r="O183" s="311"/>
      <c r="P183" s="311"/>
      <c r="Q183" s="311"/>
      <c r="R183" s="392"/>
      <c r="S183" s="358">
        <f ca="1">IF(C183&lt;=EOMONTH('&gt;&gt;Vistas Consolidadas'!$D$2, '&gt;&gt;Vistas Consolidadas'!$F$2),J183+I183,J183)</f>
        <v>35.25</v>
      </c>
      <c r="T183" s="18" t="str">
        <f ca="1">IF(C183&gt;='&gt;&gt;Vistas Consolidadas'!$D$2,"SI","NO")</f>
        <v>NO</v>
      </c>
      <c r="U183" s="358">
        <f ca="1">IF(C183&lt;=EOMONTH('&gt;&gt;Vistas Consolidadas'!$D$2, '&gt;&gt;Vistas Consolidadas'!$F$2),I183,0)</f>
        <v>35.25</v>
      </c>
      <c r="V183" s="18" t="b">
        <f ca="1">AND(C183&gt;='Interes Por Semana'!$C$4, C183&lt;='Interes Por Semana'!$E$4)</f>
        <v>0</v>
      </c>
      <c r="W183" s="18" t="str">
        <f t="shared" si="5"/>
        <v>lunes</v>
      </c>
    </row>
    <row r="184" spans="2:23" hidden="1" x14ac:dyDescent="0.25">
      <c r="B184" s="337">
        <v>46121</v>
      </c>
      <c r="C184" s="337">
        <v>46246</v>
      </c>
      <c r="D184" s="374" t="s">
        <v>78</v>
      </c>
      <c r="E184" s="309" t="s">
        <v>47</v>
      </c>
      <c r="F184" s="310" t="s">
        <v>93</v>
      </c>
      <c r="G184" s="312">
        <v>4.71</v>
      </c>
      <c r="H184" s="308">
        <v>9.5</v>
      </c>
      <c r="I184" s="340">
        <v>3.53</v>
      </c>
      <c r="J184" s="340">
        <v>0</v>
      </c>
      <c r="K184" s="308"/>
      <c r="L184" s="340">
        <f t="shared" si="4"/>
        <v>3.53</v>
      </c>
      <c r="M184" s="308"/>
      <c r="N184" s="311"/>
      <c r="O184" s="312"/>
      <c r="P184" s="308"/>
      <c r="Q184" s="308"/>
      <c r="R184" s="392"/>
      <c r="S184" s="358">
        <f ca="1">IF(C184&lt;=EOMONTH('&gt;&gt;Vistas Consolidadas'!$D$2, '&gt;&gt;Vistas Consolidadas'!$F$2),J184+I184,J184)</f>
        <v>3.53</v>
      </c>
      <c r="T184" s="18" t="str">
        <f ca="1">IF(C184&gt;='&gt;&gt;Vistas Consolidadas'!$D$2,"SI","NO")</f>
        <v>NO</v>
      </c>
      <c r="U184" s="358">
        <f ca="1">IF(C184&lt;=EOMONTH('&gt;&gt;Vistas Consolidadas'!$D$2, '&gt;&gt;Vistas Consolidadas'!$F$2),I184,0)</f>
        <v>3.53</v>
      </c>
      <c r="V184" s="18" t="b">
        <f ca="1">AND(C184&gt;='Interes Por Semana'!$C$4, C184&lt;='Interes Por Semana'!$E$4)</f>
        <v>0</v>
      </c>
      <c r="W184" s="18" t="str">
        <f t="shared" si="5"/>
        <v>miércoles</v>
      </c>
    </row>
    <row r="185" spans="2:23" hidden="1" x14ac:dyDescent="0.25">
      <c r="B185" s="337">
        <v>45323</v>
      </c>
      <c r="C185" s="337">
        <v>46266</v>
      </c>
      <c r="D185" s="374" t="s">
        <v>96</v>
      </c>
      <c r="E185" s="309" t="s">
        <v>47</v>
      </c>
      <c r="F185" s="310" t="s">
        <v>97</v>
      </c>
      <c r="G185" s="311">
        <v>6</v>
      </c>
      <c r="H185" s="311">
        <v>12</v>
      </c>
      <c r="I185" s="340">
        <v>16.670000000000002</v>
      </c>
      <c r="J185" s="340"/>
      <c r="K185" s="308"/>
      <c r="L185" s="340">
        <f t="shared" si="4"/>
        <v>16.670000000000002</v>
      </c>
      <c r="M185" s="311"/>
      <c r="N185" s="311"/>
      <c r="O185" s="311"/>
      <c r="P185" s="311"/>
      <c r="Q185" s="311"/>
      <c r="R185" s="392"/>
      <c r="S185" s="358">
        <f ca="1">IF(C185&lt;=EOMONTH('&gt;&gt;Vistas Consolidadas'!$D$2, '&gt;&gt;Vistas Consolidadas'!$F$2),J185+I185,J185)</f>
        <v>16.670000000000002</v>
      </c>
      <c r="T185" s="18" t="str">
        <f ca="1">IF(C185&gt;='&gt;&gt;Vistas Consolidadas'!$D$2,"SI","NO")</f>
        <v>NO</v>
      </c>
      <c r="U185" s="358">
        <f ca="1">IF(C185&lt;=EOMONTH('&gt;&gt;Vistas Consolidadas'!$D$2, '&gt;&gt;Vistas Consolidadas'!$F$2),I185,0)</f>
        <v>16.670000000000002</v>
      </c>
      <c r="V185" s="18" t="b">
        <f ca="1">AND(C185&gt;='Interes Por Semana'!$C$4, C185&lt;='Interes Por Semana'!$E$4)</f>
        <v>0</v>
      </c>
      <c r="W185" s="18" t="str">
        <f t="shared" si="5"/>
        <v>martes</v>
      </c>
    </row>
    <row r="186" spans="2:23" hidden="1" x14ac:dyDescent="0.25">
      <c r="B186" s="337">
        <v>45356</v>
      </c>
      <c r="C186" s="337">
        <v>46266</v>
      </c>
      <c r="D186" s="374" t="s">
        <v>96</v>
      </c>
      <c r="E186" s="309" t="s">
        <v>47</v>
      </c>
      <c r="F186" s="310" t="s">
        <v>97</v>
      </c>
      <c r="G186" s="311">
        <v>6</v>
      </c>
      <c r="H186" s="311">
        <v>12</v>
      </c>
      <c r="I186" s="340">
        <v>108.33</v>
      </c>
      <c r="J186" s="340"/>
      <c r="K186" s="308"/>
      <c r="L186" s="340">
        <f t="shared" si="4"/>
        <v>108.33</v>
      </c>
      <c r="M186" s="311"/>
      <c r="N186" s="311"/>
      <c r="O186" s="311"/>
      <c r="P186" s="311"/>
      <c r="Q186" s="311"/>
      <c r="R186" s="392"/>
      <c r="S186" s="358">
        <f ca="1">IF(C186&lt;=EOMONTH('&gt;&gt;Vistas Consolidadas'!$D$2, '&gt;&gt;Vistas Consolidadas'!$F$2),J186+I186,J186)</f>
        <v>108.33</v>
      </c>
      <c r="T186" s="18" t="str">
        <f ca="1">IF(C186&gt;='&gt;&gt;Vistas Consolidadas'!$D$2,"SI","NO")</f>
        <v>NO</v>
      </c>
      <c r="U186" s="358">
        <f ca="1">IF(C186&lt;=EOMONTH('&gt;&gt;Vistas Consolidadas'!$D$2, '&gt;&gt;Vistas Consolidadas'!$F$2),I186,0)</f>
        <v>108.33</v>
      </c>
      <c r="V186" s="18" t="b">
        <f ca="1">AND(C186&gt;='Interes Por Semana'!$C$4, C186&lt;='Interes Por Semana'!$E$4)</f>
        <v>0</v>
      </c>
      <c r="W186" s="18" t="str">
        <f t="shared" si="5"/>
        <v>martes</v>
      </c>
    </row>
    <row r="187" spans="2:23" hidden="1" x14ac:dyDescent="0.25">
      <c r="B187" s="337">
        <v>45006</v>
      </c>
      <c r="C187" s="337">
        <v>46266</v>
      </c>
      <c r="D187" s="374" t="s">
        <v>96</v>
      </c>
      <c r="E187" s="309" t="s">
        <v>46</v>
      </c>
      <c r="F187" s="310" t="s">
        <v>97</v>
      </c>
      <c r="G187" s="312">
        <v>6</v>
      </c>
      <c r="H187" s="308">
        <v>12</v>
      </c>
      <c r="I187" s="340">
        <v>62.5</v>
      </c>
      <c r="J187" s="340"/>
      <c r="K187" s="308"/>
      <c r="L187" s="340">
        <f t="shared" si="4"/>
        <v>62.5</v>
      </c>
      <c r="M187" s="308"/>
      <c r="N187" s="311"/>
      <c r="O187" s="312"/>
      <c r="P187" s="308"/>
      <c r="Q187" s="308"/>
      <c r="R187" s="392"/>
      <c r="S187" s="358">
        <f ca="1">IF(C187&lt;=EOMONTH('&gt;&gt;Vistas Consolidadas'!$D$2, '&gt;&gt;Vistas Consolidadas'!$F$2),J187+I187,J187)</f>
        <v>62.5</v>
      </c>
      <c r="T187" s="18" t="str">
        <f ca="1">IF(C187&gt;='&gt;&gt;Vistas Consolidadas'!$D$2,"SI","NO")</f>
        <v>NO</v>
      </c>
      <c r="U187" s="358">
        <f ca="1">IF(C187&lt;=EOMONTH('&gt;&gt;Vistas Consolidadas'!$D$2, '&gt;&gt;Vistas Consolidadas'!$F$2),I187,0)</f>
        <v>62.5</v>
      </c>
      <c r="V187" s="18" t="b">
        <f ca="1">AND(C187&gt;='Interes Por Semana'!$C$4, C187&lt;='Interes Por Semana'!$E$4)</f>
        <v>0</v>
      </c>
      <c r="W187" s="18" t="str">
        <f t="shared" si="5"/>
        <v>martes</v>
      </c>
    </row>
    <row r="188" spans="2:23" hidden="1" x14ac:dyDescent="0.25">
      <c r="B188" s="337">
        <v>45397</v>
      </c>
      <c r="C188" s="337">
        <v>46266</v>
      </c>
      <c r="D188" s="374" t="s">
        <v>96</v>
      </c>
      <c r="E188" s="309" t="s">
        <v>47</v>
      </c>
      <c r="F188" s="310" t="s">
        <v>97</v>
      </c>
      <c r="G188" s="311">
        <v>6</v>
      </c>
      <c r="H188" s="311">
        <v>12</v>
      </c>
      <c r="I188" s="340">
        <v>54.16</v>
      </c>
      <c r="J188" s="340"/>
      <c r="K188" s="308"/>
      <c r="L188" s="340">
        <f t="shared" si="4"/>
        <v>54.16</v>
      </c>
      <c r="M188" s="311"/>
      <c r="N188" s="311"/>
      <c r="O188" s="311"/>
      <c r="P188" s="311"/>
      <c r="Q188" s="311"/>
      <c r="R188" s="392"/>
      <c r="S188" s="358">
        <f ca="1">IF(C188&lt;=EOMONTH('&gt;&gt;Vistas Consolidadas'!$D$2, '&gt;&gt;Vistas Consolidadas'!$F$2),J188+I188,J188)</f>
        <v>54.16</v>
      </c>
      <c r="T188" s="18" t="str">
        <f ca="1">IF(C188&gt;='&gt;&gt;Vistas Consolidadas'!$D$2,"SI","NO")</f>
        <v>NO</v>
      </c>
      <c r="U188" s="358">
        <f ca="1">IF(C188&lt;=EOMONTH('&gt;&gt;Vistas Consolidadas'!$D$2, '&gt;&gt;Vistas Consolidadas'!$F$2),I188,0)</f>
        <v>54.16</v>
      </c>
      <c r="V188" s="18" t="b">
        <f ca="1">AND(C188&gt;='Interes Por Semana'!$C$4, C188&lt;='Interes Por Semana'!$E$4)</f>
        <v>0</v>
      </c>
      <c r="W188" s="18" t="str">
        <f t="shared" si="5"/>
        <v>martes</v>
      </c>
    </row>
    <row r="189" spans="2:23" hidden="1" x14ac:dyDescent="0.25">
      <c r="B189" s="337">
        <v>45397</v>
      </c>
      <c r="C189" s="337">
        <v>46266</v>
      </c>
      <c r="D189" s="374" t="s">
        <v>96</v>
      </c>
      <c r="E189" s="309" t="s">
        <v>46</v>
      </c>
      <c r="F189" s="310" t="s">
        <v>97</v>
      </c>
      <c r="G189" s="312">
        <v>6</v>
      </c>
      <c r="H189" s="308">
        <v>12</v>
      </c>
      <c r="I189" s="340">
        <v>62.5</v>
      </c>
      <c r="J189" s="340"/>
      <c r="K189" s="308"/>
      <c r="L189" s="340">
        <f t="shared" si="4"/>
        <v>62.5</v>
      </c>
      <c r="M189" s="308"/>
      <c r="N189" s="311"/>
      <c r="O189" s="312"/>
      <c r="P189" s="308"/>
      <c r="Q189" s="308"/>
      <c r="R189" s="392"/>
      <c r="S189" s="358">
        <f ca="1">IF(C189&lt;=EOMONTH('&gt;&gt;Vistas Consolidadas'!$D$2, '&gt;&gt;Vistas Consolidadas'!$F$2),J189+I189,J189)</f>
        <v>62.5</v>
      </c>
      <c r="T189" s="18" t="str">
        <f ca="1">IF(C189&gt;='&gt;&gt;Vistas Consolidadas'!$D$2,"SI","NO")</f>
        <v>NO</v>
      </c>
      <c r="U189" s="358">
        <f ca="1">IF(C189&lt;=EOMONTH('&gt;&gt;Vistas Consolidadas'!$D$2, '&gt;&gt;Vistas Consolidadas'!$F$2),I189,0)</f>
        <v>62.5</v>
      </c>
      <c r="V189" s="18" t="b">
        <f ca="1">AND(C189&gt;='Interes Por Semana'!$C$4, C189&lt;='Interes Por Semana'!$E$4)</f>
        <v>0</v>
      </c>
      <c r="W189" s="18" t="str">
        <f t="shared" si="5"/>
        <v>martes</v>
      </c>
    </row>
    <row r="190" spans="2:23" hidden="1" x14ac:dyDescent="0.25">
      <c r="B190" s="337">
        <v>45398</v>
      </c>
      <c r="C190" s="337">
        <v>46266</v>
      </c>
      <c r="D190" s="374" t="s">
        <v>96</v>
      </c>
      <c r="E190" s="309" t="s">
        <v>47</v>
      </c>
      <c r="F190" s="310" t="s">
        <v>97</v>
      </c>
      <c r="G190" s="311">
        <v>6</v>
      </c>
      <c r="H190" s="311">
        <v>12</v>
      </c>
      <c r="I190" s="340">
        <v>16.670000000000002</v>
      </c>
      <c r="J190" s="340"/>
      <c r="K190" s="308"/>
      <c r="L190" s="340">
        <f t="shared" si="4"/>
        <v>16.670000000000002</v>
      </c>
      <c r="M190" s="311"/>
      <c r="N190" s="311"/>
      <c r="O190" s="311"/>
      <c r="P190" s="311"/>
      <c r="Q190" s="311"/>
      <c r="R190" s="392"/>
      <c r="S190" s="358">
        <f ca="1">IF(C190&lt;=EOMONTH('&gt;&gt;Vistas Consolidadas'!$D$2, '&gt;&gt;Vistas Consolidadas'!$F$2),J190+I190,J190)</f>
        <v>16.670000000000002</v>
      </c>
      <c r="T190" s="18" t="str">
        <f ca="1">IF(C190&gt;='&gt;&gt;Vistas Consolidadas'!$D$2,"SI","NO")</f>
        <v>NO</v>
      </c>
      <c r="U190" s="358">
        <f ca="1">IF(C190&lt;=EOMONTH('&gt;&gt;Vistas Consolidadas'!$D$2, '&gt;&gt;Vistas Consolidadas'!$F$2),I190,0)</f>
        <v>16.670000000000002</v>
      </c>
      <c r="V190" s="18" t="b">
        <f ca="1">AND(C190&gt;='Interes Por Semana'!$C$4, C190&lt;='Interes Por Semana'!$E$4)</f>
        <v>0</v>
      </c>
      <c r="W190" s="18" t="str">
        <f t="shared" si="5"/>
        <v>martes</v>
      </c>
    </row>
    <row r="191" spans="2:23" hidden="1" x14ac:dyDescent="0.25">
      <c r="B191" s="337">
        <v>46105</v>
      </c>
      <c r="C191" s="337">
        <v>46266</v>
      </c>
      <c r="D191" s="374" t="s">
        <v>96</v>
      </c>
      <c r="E191" s="309" t="s">
        <v>47</v>
      </c>
      <c r="F191" s="310" t="s">
        <v>97</v>
      </c>
      <c r="G191" s="311">
        <v>6</v>
      </c>
      <c r="H191" s="311">
        <v>10</v>
      </c>
      <c r="I191" s="340">
        <v>16.670000000000002</v>
      </c>
      <c r="J191" s="340"/>
      <c r="K191" s="308"/>
      <c r="L191" s="340">
        <f t="shared" si="4"/>
        <v>16.670000000000002</v>
      </c>
      <c r="M191" s="311"/>
      <c r="N191" s="311"/>
      <c r="O191" s="311"/>
      <c r="P191" s="311"/>
      <c r="Q191" s="311"/>
      <c r="R191" s="392"/>
      <c r="S191" s="358">
        <f ca="1">IF(C191&lt;=EOMONTH('&gt;&gt;Vistas Consolidadas'!$D$2, '&gt;&gt;Vistas Consolidadas'!$F$2),J191+I191,J191)</f>
        <v>16.670000000000002</v>
      </c>
      <c r="T191" s="18" t="str">
        <f ca="1">IF(C191&gt;='&gt;&gt;Vistas Consolidadas'!$D$2,"SI","NO")</f>
        <v>NO</v>
      </c>
      <c r="U191" s="358">
        <f ca="1">IF(C191&lt;=EOMONTH('&gt;&gt;Vistas Consolidadas'!$D$2, '&gt;&gt;Vistas Consolidadas'!$F$2),I191,0)</f>
        <v>16.670000000000002</v>
      </c>
      <c r="V191" s="18" t="b">
        <f ca="1">AND(C191&gt;='Interes Por Semana'!$C$4, C191&lt;='Interes Por Semana'!$E$4)</f>
        <v>0</v>
      </c>
      <c r="W191" s="18" t="str">
        <f t="shared" si="5"/>
        <v>martes</v>
      </c>
    </row>
    <row r="192" spans="2:23" hidden="1" x14ac:dyDescent="0.25">
      <c r="B192" s="337">
        <v>44462</v>
      </c>
      <c r="C192" s="337">
        <v>46251</v>
      </c>
      <c r="D192" s="374" t="s">
        <v>78</v>
      </c>
      <c r="E192" s="309" t="s">
        <v>46</v>
      </c>
      <c r="F192" s="310" t="s">
        <v>98</v>
      </c>
      <c r="G192" s="312">
        <v>5.64</v>
      </c>
      <c r="H192" s="308">
        <v>8.1999999999999993</v>
      </c>
      <c r="I192" s="340">
        <v>5.05</v>
      </c>
      <c r="J192" s="340"/>
      <c r="K192" s="308"/>
      <c r="L192" s="340">
        <f t="shared" si="4"/>
        <v>5.05</v>
      </c>
      <c r="M192" s="308"/>
      <c r="N192" s="311"/>
      <c r="O192" s="312"/>
      <c r="P192" s="308"/>
      <c r="Q192" s="308"/>
      <c r="R192" s="392"/>
      <c r="S192" s="358">
        <f ca="1">IF(C192&lt;=EOMONTH('&gt;&gt;Vistas Consolidadas'!$D$2, '&gt;&gt;Vistas Consolidadas'!$F$2),J192+I192,J192)</f>
        <v>5.05</v>
      </c>
      <c r="T192" s="18" t="str">
        <f ca="1">IF(C192&gt;='&gt;&gt;Vistas Consolidadas'!$D$2,"SI","NO")</f>
        <v>NO</v>
      </c>
      <c r="U192" s="358">
        <f ca="1">IF(C192&lt;=EOMONTH('&gt;&gt;Vistas Consolidadas'!$D$2, '&gt;&gt;Vistas Consolidadas'!$F$2),I192,0)</f>
        <v>5.05</v>
      </c>
      <c r="V192" s="18" t="b">
        <f ca="1">AND(C192&gt;='Interes Por Semana'!$C$4, C192&lt;='Interes Por Semana'!$E$4)</f>
        <v>0</v>
      </c>
      <c r="W192" s="18" t="str">
        <f t="shared" si="5"/>
        <v>lunes</v>
      </c>
    </row>
    <row r="193" spans="2:23" hidden="1" x14ac:dyDescent="0.25">
      <c r="B193" s="337">
        <v>45264</v>
      </c>
      <c r="C193" s="337">
        <v>46251</v>
      </c>
      <c r="D193" s="374" t="s">
        <v>78</v>
      </c>
      <c r="E193" s="309" t="s">
        <v>46</v>
      </c>
      <c r="F193" s="310" t="s">
        <v>99</v>
      </c>
      <c r="G193" s="312">
        <v>5.64</v>
      </c>
      <c r="H193" s="308">
        <v>13</v>
      </c>
      <c r="I193" s="340">
        <v>14.1</v>
      </c>
      <c r="J193" s="340"/>
      <c r="K193" s="308"/>
      <c r="L193" s="340">
        <f t="shared" si="4"/>
        <v>14.1</v>
      </c>
      <c r="M193" s="308"/>
      <c r="N193" s="311"/>
      <c r="O193" s="312"/>
      <c r="P193" s="308"/>
      <c r="Q193" s="308"/>
      <c r="R193" s="392"/>
      <c r="S193" s="358">
        <f ca="1">IF(C193&lt;=EOMONTH('&gt;&gt;Vistas Consolidadas'!$D$2, '&gt;&gt;Vistas Consolidadas'!$F$2),J193+I193,J193)</f>
        <v>14.1</v>
      </c>
      <c r="T193" s="18" t="str">
        <f ca="1">IF(C193&gt;='&gt;&gt;Vistas Consolidadas'!$D$2,"SI","NO")</f>
        <v>NO</v>
      </c>
      <c r="U193" s="358">
        <f ca="1">IF(C193&lt;=EOMONTH('&gt;&gt;Vistas Consolidadas'!$D$2, '&gt;&gt;Vistas Consolidadas'!$F$2),I193,0)</f>
        <v>14.1</v>
      </c>
      <c r="V193" s="18" t="b">
        <f ca="1">AND(C193&gt;='Interes Por Semana'!$C$4, C193&lt;='Interes Por Semana'!$E$4)</f>
        <v>0</v>
      </c>
      <c r="W193" s="18" t="str">
        <f t="shared" si="5"/>
        <v>lunes</v>
      </c>
    </row>
    <row r="194" spans="2:23" hidden="1" x14ac:dyDescent="0.25">
      <c r="B194" s="337">
        <v>45302</v>
      </c>
      <c r="C194" s="337">
        <v>46251</v>
      </c>
      <c r="D194" s="374" t="s">
        <v>78</v>
      </c>
      <c r="E194" s="309" t="s">
        <v>46</v>
      </c>
      <c r="F194" s="310" t="s">
        <v>99</v>
      </c>
      <c r="G194" s="312">
        <v>5.64</v>
      </c>
      <c r="H194" s="308">
        <v>12.75</v>
      </c>
      <c r="I194" s="340">
        <v>7.28</v>
      </c>
      <c r="J194" s="340"/>
      <c r="K194" s="308"/>
      <c r="L194" s="340">
        <f t="shared" si="4"/>
        <v>7.28</v>
      </c>
      <c r="M194" s="308"/>
      <c r="N194" s="311"/>
      <c r="O194" s="312"/>
      <c r="P194" s="308"/>
      <c r="Q194" s="308"/>
      <c r="R194" s="392"/>
      <c r="S194" s="358">
        <f ca="1">IF(C194&lt;=EOMONTH('&gt;&gt;Vistas Consolidadas'!$D$2, '&gt;&gt;Vistas Consolidadas'!$F$2),J194+I194,J194)</f>
        <v>7.28</v>
      </c>
      <c r="T194" s="18" t="str">
        <f ca="1">IF(C194&gt;='&gt;&gt;Vistas Consolidadas'!$D$2,"SI","NO")</f>
        <v>NO</v>
      </c>
      <c r="U194" s="358">
        <f ca="1">IF(C194&lt;=EOMONTH('&gt;&gt;Vistas Consolidadas'!$D$2, '&gt;&gt;Vistas Consolidadas'!$F$2),I194,0)</f>
        <v>7.28</v>
      </c>
      <c r="V194" s="18" t="b">
        <f ca="1">AND(C194&gt;='Interes Por Semana'!$C$4, C194&lt;='Interes Por Semana'!$E$4)</f>
        <v>0</v>
      </c>
      <c r="W194" s="18" t="str">
        <f t="shared" si="5"/>
        <v>lunes</v>
      </c>
    </row>
    <row r="195" spans="2:23" hidden="1" x14ac:dyDescent="0.25">
      <c r="B195" s="337">
        <v>46006</v>
      </c>
      <c r="C195" s="337">
        <v>46252</v>
      </c>
      <c r="D195" s="374" t="s">
        <v>78</v>
      </c>
      <c r="E195" s="309" t="s">
        <v>46</v>
      </c>
      <c r="F195" s="310" t="s">
        <v>100</v>
      </c>
      <c r="G195" s="312">
        <v>5.93</v>
      </c>
      <c r="H195" s="308">
        <v>8.5</v>
      </c>
      <c r="I195" s="340">
        <f>23.09-J195</f>
        <v>23.09</v>
      </c>
      <c r="J195" s="340"/>
      <c r="K195" s="308"/>
      <c r="L195" s="340">
        <f t="shared" ref="L195:L258" si="6">I195</f>
        <v>23.09</v>
      </c>
      <c r="M195" s="308"/>
      <c r="N195" s="311"/>
      <c r="O195" s="312"/>
      <c r="P195" s="308"/>
      <c r="Q195" s="308"/>
      <c r="R195" s="392"/>
      <c r="S195" s="358">
        <f ca="1">IF(C195&lt;=EOMONTH('&gt;&gt;Vistas Consolidadas'!$D$2, '&gt;&gt;Vistas Consolidadas'!$F$2),J195+I195,J195)</f>
        <v>23.09</v>
      </c>
      <c r="T195" s="18" t="str">
        <f ca="1">IF(C195&gt;='&gt;&gt;Vistas Consolidadas'!$D$2,"SI","NO")</f>
        <v>NO</v>
      </c>
      <c r="U195" s="358">
        <f ca="1">IF(C195&lt;=EOMONTH('&gt;&gt;Vistas Consolidadas'!$D$2, '&gt;&gt;Vistas Consolidadas'!$F$2),I195,0)</f>
        <v>23.09</v>
      </c>
      <c r="V195" s="18" t="b">
        <f ca="1">AND(C195&gt;='Interes Por Semana'!$C$4, C195&lt;='Interes Por Semana'!$E$4)</f>
        <v>0</v>
      </c>
      <c r="W195" s="18" t="str">
        <f t="shared" ref="W195:W258" si="7">TEXT(C195, "dddd")</f>
        <v>martes</v>
      </c>
    </row>
    <row r="196" spans="2:23" hidden="1" x14ac:dyDescent="0.25">
      <c r="B196" s="337">
        <v>45734</v>
      </c>
      <c r="C196" s="337">
        <v>46252</v>
      </c>
      <c r="D196" s="374" t="s">
        <v>78</v>
      </c>
      <c r="E196" s="309" t="s">
        <v>47</v>
      </c>
      <c r="F196" s="310" t="s">
        <v>101</v>
      </c>
      <c r="G196" s="311">
        <v>5.93</v>
      </c>
      <c r="H196" s="311">
        <v>12</v>
      </c>
      <c r="I196" s="340">
        <f>8.94</f>
        <v>8.94</v>
      </c>
      <c r="J196" s="340"/>
      <c r="K196" s="308"/>
      <c r="L196" s="340">
        <f t="shared" si="6"/>
        <v>8.94</v>
      </c>
      <c r="M196" s="311"/>
      <c r="N196" s="311"/>
      <c r="O196" s="311"/>
      <c r="P196" s="311"/>
      <c r="Q196" s="311"/>
      <c r="R196" s="392"/>
      <c r="S196" s="358">
        <f ca="1">IF(C196&lt;=EOMONTH('&gt;&gt;Vistas Consolidadas'!$D$2, '&gt;&gt;Vistas Consolidadas'!$F$2),J196+I196,J196)</f>
        <v>8.94</v>
      </c>
      <c r="T196" s="18" t="str">
        <f ca="1">IF(C196&gt;='&gt;&gt;Vistas Consolidadas'!$D$2,"SI","NO")</f>
        <v>NO</v>
      </c>
      <c r="U196" s="358">
        <f ca="1">IF(C196&lt;=EOMONTH('&gt;&gt;Vistas Consolidadas'!$D$2, '&gt;&gt;Vistas Consolidadas'!$F$2),I196,0)</f>
        <v>8.94</v>
      </c>
      <c r="V196" s="18" t="b">
        <f ca="1">AND(C196&gt;='Interes Por Semana'!$C$4, C196&lt;='Interes Por Semana'!$E$4)</f>
        <v>0</v>
      </c>
      <c r="W196" s="18" t="str">
        <f t="shared" si="7"/>
        <v>martes</v>
      </c>
    </row>
    <row r="197" spans="2:23" hidden="1" x14ac:dyDescent="0.25">
      <c r="B197" s="337">
        <v>45264</v>
      </c>
      <c r="C197" s="337">
        <v>46255</v>
      </c>
      <c r="D197" s="374" t="s">
        <v>78</v>
      </c>
      <c r="E197" s="309" t="s">
        <v>46</v>
      </c>
      <c r="F197" s="310" t="s">
        <v>103</v>
      </c>
      <c r="G197" s="312">
        <v>5.36</v>
      </c>
      <c r="H197" s="308">
        <v>13</v>
      </c>
      <c r="I197" s="340">
        <v>5.58</v>
      </c>
      <c r="J197" s="340"/>
      <c r="K197" s="308"/>
      <c r="L197" s="340">
        <f t="shared" si="6"/>
        <v>5.58</v>
      </c>
      <c r="M197" s="308"/>
      <c r="N197" s="311"/>
      <c r="O197" s="312"/>
      <c r="P197" s="308"/>
      <c r="Q197" s="308"/>
      <c r="R197" s="392"/>
      <c r="S197" s="358">
        <f ca="1">IF(C197&lt;=EOMONTH('&gt;&gt;Vistas Consolidadas'!$D$2, '&gt;&gt;Vistas Consolidadas'!$F$2),J197+I197,J197)</f>
        <v>5.58</v>
      </c>
      <c r="T197" s="18" t="str">
        <f ca="1">IF(C197&gt;='&gt;&gt;Vistas Consolidadas'!$D$2,"SI","NO")</f>
        <v>NO</v>
      </c>
      <c r="U197" s="358">
        <f ca="1">IF(C197&lt;=EOMONTH('&gt;&gt;Vistas Consolidadas'!$D$2, '&gt;&gt;Vistas Consolidadas'!$F$2),I197,0)</f>
        <v>5.58</v>
      </c>
      <c r="V197" s="18" t="b">
        <f ca="1">AND(C197&gt;='Interes Por Semana'!$C$4, C197&lt;='Interes Por Semana'!$E$4)</f>
        <v>0</v>
      </c>
      <c r="W197" s="18" t="str">
        <f t="shared" si="7"/>
        <v>viernes</v>
      </c>
    </row>
    <row r="198" spans="2:23" hidden="1" x14ac:dyDescent="0.25">
      <c r="B198" s="337">
        <v>45279</v>
      </c>
      <c r="C198" s="337">
        <v>46255</v>
      </c>
      <c r="D198" s="374" t="s">
        <v>78</v>
      </c>
      <c r="E198" s="309" t="s">
        <v>46</v>
      </c>
      <c r="F198" s="310" t="s">
        <v>103</v>
      </c>
      <c r="G198" s="312">
        <v>5.36</v>
      </c>
      <c r="H198" s="308">
        <v>13</v>
      </c>
      <c r="I198" s="340">
        <v>3.13</v>
      </c>
      <c r="J198" s="340"/>
      <c r="K198" s="308"/>
      <c r="L198" s="340">
        <f t="shared" si="6"/>
        <v>3.13</v>
      </c>
      <c r="M198" s="308"/>
      <c r="N198" s="311"/>
      <c r="O198" s="312"/>
      <c r="P198" s="308"/>
      <c r="Q198" s="308"/>
      <c r="R198" s="392"/>
      <c r="S198" s="358">
        <f ca="1">IF(C198&lt;=EOMONTH('&gt;&gt;Vistas Consolidadas'!$D$2, '&gt;&gt;Vistas Consolidadas'!$F$2),J198+I198,J198)</f>
        <v>3.13</v>
      </c>
      <c r="T198" s="18" t="str">
        <f ca="1">IF(C198&gt;='&gt;&gt;Vistas Consolidadas'!$D$2,"SI","NO")</f>
        <v>NO</v>
      </c>
      <c r="U198" s="358">
        <f ca="1">IF(C198&lt;=EOMONTH('&gt;&gt;Vistas Consolidadas'!$D$2, '&gt;&gt;Vistas Consolidadas'!$F$2),I198,0)</f>
        <v>3.13</v>
      </c>
      <c r="V198" s="18" t="b">
        <f ca="1">AND(C198&gt;='Interes Por Semana'!$C$4, C198&lt;='Interes Por Semana'!$E$4)</f>
        <v>0</v>
      </c>
      <c r="W198" s="18" t="str">
        <f t="shared" si="7"/>
        <v>viernes</v>
      </c>
    </row>
    <row r="199" spans="2:23" hidden="1" x14ac:dyDescent="0.25">
      <c r="B199" s="337">
        <v>45552</v>
      </c>
      <c r="C199" s="337">
        <v>46255</v>
      </c>
      <c r="D199" s="374" t="s">
        <v>78</v>
      </c>
      <c r="E199" s="309" t="s">
        <v>47</v>
      </c>
      <c r="F199" s="310" t="s">
        <v>103</v>
      </c>
      <c r="G199" s="311">
        <v>5.36</v>
      </c>
      <c r="H199" s="311">
        <v>13.75</v>
      </c>
      <c r="I199" s="340">
        <f>4.47</f>
        <v>4.47</v>
      </c>
      <c r="J199" s="340"/>
      <c r="K199" s="308"/>
      <c r="L199" s="340">
        <f t="shared" si="6"/>
        <v>4.47</v>
      </c>
      <c r="M199" s="311"/>
      <c r="N199" s="311"/>
      <c r="O199" s="311"/>
      <c r="P199" s="311"/>
      <c r="Q199" s="311"/>
      <c r="R199" s="392"/>
      <c r="S199" s="358">
        <f ca="1">IF(C199&lt;=EOMONTH('&gt;&gt;Vistas Consolidadas'!$D$2, '&gt;&gt;Vistas Consolidadas'!$F$2),J199+I199,J199)</f>
        <v>4.47</v>
      </c>
      <c r="T199" s="18" t="str">
        <f ca="1">IF(C199&gt;='&gt;&gt;Vistas Consolidadas'!$D$2,"SI","NO")</f>
        <v>NO</v>
      </c>
      <c r="U199" s="358">
        <f ca="1">IF(C199&lt;=EOMONTH('&gt;&gt;Vistas Consolidadas'!$D$2, '&gt;&gt;Vistas Consolidadas'!$F$2),I199,0)</f>
        <v>4.47</v>
      </c>
      <c r="V199" s="18" t="b">
        <f ca="1">AND(C199&gt;='Interes Por Semana'!$C$4, C199&lt;='Interes Por Semana'!$E$4)</f>
        <v>0</v>
      </c>
      <c r="W199" s="18" t="str">
        <f t="shared" si="7"/>
        <v>viernes</v>
      </c>
    </row>
    <row r="200" spans="2:23" hidden="1" x14ac:dyDescent="0.25">
      <c r="B200" s="337">
        <v>45447</v>
      </c>
      <c r="C200" s="337">
        <v>46258</v>
      </c>
      <c r="D200" s="374" t="s">
        <v>78</v>
      </c>
      <c r="E200" s="309" t="s">
        <v>47</v>
      </c>
      <c r="F200" s="310" t="s">
        <v>105</v>
      </c>
      <c r="G200" s="311">
        <v>5.93</v>
      </c>
      <c r="H200" s="311">
        <v>13.25</v>
      </c>
      <c r="I200" s="340">
        <f>29.65</f>
        <v>29.65</v>
      </c>
      <c r="J200" s="340"/>
      <c r="K200" s="308"/>
      <c r="L200" s="340">
        <f t="shared" si="6"/>
        <v>29.65</v>
      </c>
      <c r="M200" s="311"/>
      <c r="N200" s="311"/>
      <c r="O200" s="311"/>
      <c r="P200" s="311"/>
      <c r="Q200" s="311"/>
      <c r="R200" s="392"/>
      <c r="S200" s="358">
        <f ca="1">IF(C200&lt;=EOMONTH('&gt;&gt;Vistas Consolidadas'!$D$2, '&gt;&gt;Vistas Consolidadas'!$F$2),J200+I200,J200)</f>
        <v>29.65</v>
      </c>
      <c r="T200" s="18" t="str">
        <f ca="1">IF(C200&gt;='&gt;&gt;Vistas Consolidadas'!$D$2,"SI","NO")</f>
        <v>NO</v>
      </c>
      <c r="U200" s="358">
        <f ca="1">IF(C200&lt;=EOMONTH('&gt;&gt;Vistas Consolidadas'!$D$2, '&gt;&gt;Vistas Consolidadas'!$F$2),I200,0)</f>
        <v>29.65</v>
      </c>
      <c r="V200" s="18" t="b">
        <f ca="1">AND(C200&gt;='Interes Por Semana'!$C$4, C200&lt;='Interes Por Semana'!$E$4)</f>
        <v>0</v>
      </c>
      <c r="W200" s="18" t="str">
        <f t="shared" si="7"/>
        <v>lunes</v>
      </c>
    </row>
    <row r="201" spans="2:23" hidden="1" x14ac:dyDescent="0.25">
      <c r="B201" s="337">
        <v>45832</v>
      </c>
      <c r="C201" s="337">
        <v>46259</v>
      </c>
      <c r="D201" s="374" t="s">
        <v>78</v>
      </c>
      <c r="E201" s="309" t="s">
        <v>47</v>
      </c>
      <c r="F201" s="310" t="s">
        <v>106</v>
      </c>
      <c r="G201" s="311">
        <v>5.93</v>
      </c>
      <c r="H201" s="311">
        <v>11</v>
      </c>
      <c r="I201" s="340">
        <f>22.41</f>
        <v>22.41</v>
      </c>
      <c r="J201" s="340"/>
      <c r="K201" s="308"/>
      <c r="L201" s="340">
        <f t="shared" si="6"/>
        <v>22.41</v>
      </c>
      <c r="M201" s="311"/>
      <c r="N201" s="311"/>
      <c r="O201" s="311"/>
      <c r="P201" s="311"/>
      <c r="Q201" s="311"/>
      <c r="R201" s="392"/>
      <c r="S201" s="358">
        <f ca="1">IF(C201&lt;=EOMONTH('&gt;&gt;Vistas Consolidadas'!$D$2, '&gt;&gt;Vistas Consolidadas'!$F$2),J201+I201,J201)</f>
        <v>22.41</v>
      </c>
      <c r="T201" s="18" t="str">
        <f ca="1">IF(C201&gt;='&gt;&gt;Vistas Consolidadas'!$D$2,"SI","NO")</f>
        <v>NO</v>
      </c>
      <c r="U201" s="358">
        <f ca="1">IF(C201&lt;=EOMONTH('&gt;&gt;Vistas Consolidadas'!$D$2, '&gt;&gt;Vistas Consolidadas'!$F$2),I201,0)</f>
        <v>22.41</v>
      </c>
      <c r="V201" s="18" t="b">
        <f ca="1">AND(C201&gt;='Interes Por Semana'!$C$4, C201&lt;='Interes Por Semana'!$E$4)</f>
        <v>0</v>
      </c>
      <c r="W201" s="18" t="str">
        <f t="shared" si="7"/>
        <v>martes</v>
      </c>
    </row>
    <row r="202" spans="2:23" hidden="1" x14ac:dyDescent="0.25">
      <c r="B202" s="337">
        <v>45889</v>
      </c>
      <c r="C202" s="337">
        <v>46259</v>
      </c>
      <c r="D202" s="374" t="s">
        <v>78</v>
      </c>
      <c r="E202" s="309" t="s">
        <v>47</v>
      </c>
      <c r="F202" s="310" t="s">
        <v>106</v>
      </c>
      <c r="G202" s="311">
        <v>6.21</v>
      </c>
      <c r="H202" s="311">
        <v>9.75</v>
      </c>
      <c r="I202" s="340">
        <v>4.5</v>
      </c>
      <c r="J202" s="340"/>
      <c r="K202" s="308"/>
      <c r="L202" s="340">
        <f t="shared" si="6"/>
        <v>4.5</v>
      </c>
      <c r="M202" s="311"/>
      <c r="N202" s="311"/>
      <c r="O202" s="311"/>
      <c r="P202" s="311"/>
      <c r="Q202" s="311"/>
      <c r="R202" s="392"/>
      <c r="S202" s="358">
        <f ca="1">IF(C202&lt;=EOMONTH('&gt;&gt;Vistas Consolidadas'!$D$2, '&gt;&gt;Vistas Consolidadas'!$F$2),J202+I202,J202)</f>
        <v>4.5</v>
      </c>
      <c r="T202" s="18" t="str">
        <f ca="1">IF(C202&gt;='&gt;&gt;Vistas Consolidadas'!$D$2,"SI","NO")</f>
        <v>NO</v>
      </c>
      <c r="U202" s="358">
        <f ca="1">IF(C202&lt;=EOMONTH('&gt;&gt;Vistas Consolidadas'!$D$2, '&gt;&gt;Vistas Consolidadas'!$F$2),I202,0)</f>
        <v>4.5</v>
      </c>
      <c r="V202" s="18" t="b">
        <f ca="1">AND(C202&gt;='Interes Por Semana'!$C$4, C202&lt;='Interes Por Semana'!$E$4)</f>
        <v>0</v>
      </c>
      <c r="W202" s="18" t="str">
        <f t="shared" si="7"/>
        <v>martes</v>
      </c>
    </row>
    <row r="203" spans="2:23" hidden="1" x14ac:dyDescent="0.25">
      <c r="B203" s="337">
        <v>45889</v>
      </c>
      <c r="C203" s="337">
        <v>46259</v>
      </c>
      <c r="D203" s="374" t="s">
        <v>78</v>
      </c>
      <c r="E203" s="309" t="s">
        <v>46</v>
      </c>
      <c r="F203" s="310" t="s">
        <v>106</v>
      </c>
      <c r="G203" s="312">
        <v>6.21</v>
      </c>
      <c r="H203" s="308">
        <v>10.75</v>
      </c>
      <c r="I203" s="340">
        <v>25.88</v>
      </c>
      <c r="J203" s="340"/>
      <c r="K203" s="308"/>
      <c r="L203" s="340">
        <f t="shared" si="6"/>
        <v>25.88</v>
      </c>
      <c r="M203" s="308"/>
      <c r="N203" s="311"/>
      <c r="O203" s="312"/>
      <c r="P203" s="308"/>
      <c r="Q203" s="308"/>
      <c r="R203" s="392"/>
      <c r="S203" s="358">
        <f ca="1">IF(C203&lt;=EOMONTH('&gt;&gt;Vistas Consolidadas'!$D$2, '&gt;&gt;Vistas Consolidadas'!$F$2),J203+I203,J203)</f>
        <v>25.88</v>
      </c>
      <c r="T203" s="18" t="str">
        <f ca="1">IF(C203&gt;='&gt;&gt;Vistas Consolidadas'!$D$2,"SI","NO")</f>
        <v>NO</v>
      </c>
      <c r="U203" s="358">
        <f ca="1">IF(C203&lt;=EOMONTH('&gt;&gt;Vistas Consolidadas'!$D$2, '&gt;&gt;Vistas Consolidadas'!$F$2),I203,0)</f>
        <v>25.88</v>
      </c>
      <c r="V203" s="18" t="b">
        <f ca="1">AND(C203&gt;='Interes Por Semana'!$C$4, C203&lt;='Interes Por Semana'!$E$4)</f>
        <v>0</v>
      </c>
      <c r="W203" s="18" t="str">
        <f t="shared" si="7"/>
        <v>martes</v>
      </c>
    </row>
    <row r="204" spans="2:23" hidden="1" x14ac:dyDescent="0.25">
      <c r="B204" s="337">
        <v>45593</v>
      </c>
      <c r="C204" s="337">
        <v>46260</v>
      </c>
      <c r="D204" s="374" t="s">
        <v>78</v>
      </c>
      <c r="E204" s="309" t="s">
        <v>47</v>
      </c>
      <c r="F204" s="310" t="s">
        <v>107</v>
      </c>
      <c r="G204" s="311">
        <v>5.07</v>
      </c>
      <c r="H204" s="311">
        <v>13</v>
      </c>
      <c r="I204" s="340">
        <f>11.41</f>
        <v>11.41</v>
      </c>
      <c r="J204" s="340"/>
      <c r="K204" s="308"/>
      <c r="L204" s="340">
        <f t="shared" si="6"/>
        <v>11.41</v>
      </c>
      <c r="M204" s="311"/>
      <c r="N204" s="311"/>
      <c r="O204" s="311"/>
      <c r="P204" s="311"/>
      <c r="Q204" s="311"/>
      <c r="R204" s="392"/>
      <c r="S204" s="358">
        <f ca="1">IF(C204&lt;=EOMONTH('&gt;&gt;Vistas Consolidadas'!$D$2, '&gt;&gt;Vistas Consolidadas'!$F$2),J204+I204,J204)</f>
        <v>11.41</v>
      </c>
      <c r="T204" s="18" t="str">
        <f ca="1">IF(C204&gt;='&gt;&gt;Vistas Consolidadas'!$D$2,"SI","NO")</f>
        <v>NO</v>
      </c>
      <c r="U204" s="358">
        <f ca="1">IF(C204&lt;=EOMONTH('&gt;&gt;Vistas Consolidadas'!$D$2, '&gt;&gt;Vistas Consolidadas'!$F$2),I204,0)</f>
        <v>11.41</v>
      </c>
      <c r="V204" s="18" t="b">
        <f ca="1">AND(C204&gt;='Interes Por Semana'!$C$4, C204&lt;='Interes Por Semana'!$E$4)</f>
        <v>0</v>
      </c>
      <c r="W204" s="18" t="str">
        <f t="shared" si="7"/>
        <v>miércoles</v>
      </c>
    </row>
    <row r="205" spans="2:23" hidden="1" x14ac:dyDescent="0.25">
      <c r="B205" s="337">
        <v>44830</v>
      </c>
      <c r="C205" s="337">
        <v>46261</v>
      </c>
      <c r="D205" s="374" t="s">
        <v>78</v>
      </c>
      <c r="E205" s="309" t="s">
        <v>47</v>
      </c>
      <c r="F205" s="310" t="s">
        <v>108</v>
      </c>
      <c r="G205" s="311">
        <v>5.64</v>
      </c>
      <c r="H205" s="311">
        <v>10.199999999999999</v>
      </c>
      <c r="I205" s="340">
        <v>9.4</v>
      </c>
      <c r="J205" s="340"/>
      <c r="K205" s="308"/>
      <c r="L205" s="340">
        <f t="shared" si="6"/>
        <v>9.4</v>
      </c>
      <c r="M205" s="311"/>
      <c r="N205" s="311"/>
      <c r="O205" s="311"/>
      <c r="P205" s="311"/>
      <c r="Q205" s="311"/>
      <c r="R205" s="392"/>
      <c r="S205" s="358">
        <f ca="1">IF(C205&lt;=EOMONTH('&gt;&gt;Vistas Consolidadas'!$D$2, '&gt;&gt;Vistas Consolidadas'!$F$2),J205+I205,J205)</f>
        <v>9.4</v>
      </c>
      <c r="T205" s="18" t="str">
        <f ca="1">IF(C205&gt;='&gt;&gt;Vistas Consolidadas'!$D$2,"SI","NO")</f>
        <v>NO</v>
      </c>
      <c r="U205" s="358">
        <f ca="1">IF(C205&lt;=EOMONTH('&gt;&gt;Vistas Consolidadas'!$D$2, '&gt;&gt;Vistas Consolidadas'!$F$2),I205,0)</f>
        <v>9.4</v>
      </c>
      <c r="V205" s="18" t="b">
        <f ca="1">AND(C205&gt;='Interes Por Semana'!$C$4, C205&lt;='Interes Por Semana'!$E$4)</f>
        <v>0</v>
      </c>
      <c r="W205" s="18" t="str">
        <f t="shared" si="7"/>
        <v>jueves</v>
      </c>
    </row>
    <row r="206" spans="2:23" hidden="1" x14ac:dyDescent="0.25">
      <c r="B206" s="337">
        <v>46057</v>
      </c>
      <c r="C206" s="337">
        <v>46261</v>
      </c>
      <c r="D206" s="374" t="s">
        <v>78</v>
      </c>
      <c r="E206" s="309" t="s">
        <v>47</v>
      </c>
      <c r="F206" s="310" t="s">
        <v>109</v>
      </c>
      <c r="G206" s="311">
        <v>6.21</v>
      </c>
      <c r="H206" s="311">
        <v>11</v>
      </c>
      <c r="I206" s="340">
        <v>15.61</v>
      </c>
      <c r="J206" s="340"/>
      <c r="K206" s="308"/>
      <c r="L206" s="340">
        <f t="shared" si="6"/>
        <v>15.61</v>
      </c>
      <c r="M206" s="311"/>
      <c r="N206" s="311"/>
      <c r="O206" s="311"/>
      <c r="P206" s="311"/>
      <c r="Q206" s="311"/>
      <c r="R206" s="392"/>
      <c r="S206" s="358">
        <f ca="1">IF(C206&lt;=EOMONTH('&gt;&gt;Vistas Consolidadas'!$D$2, '&gt;&gt;Vistas Consolidadas'!$F$2),J206+I206,J206)</f>
        <v>15.61</v>
      </c>
      <c r="T206" s="18" t="str">
        <f ca="1">IF(C206&gt;='&gt;&gt;Vistas Consolidadas'!$D$2,"SI","NO")</f>
        <v>NO</v>
      </c>
      <c r="U206" s="358">
        <f ca="1">IF(C206&lt;=EOMONTH('&gt;&gt;Vistas Consolidadas'!$D$2, '&gt;&gt;Vistas Consolidadas'!$F$2),I206,0)</f>
        <v>15.61</v>
      </c>
      <c r="V206" s="18" t="b">
        <f ca="1">AND(C206&gt;='Interes Por Semana'!$C$4, C206&lt;='Interes Por Semana'!$E$4)</f>
        <v>0</v>
      </c>
      <c r="W206" s="18" t="str">
        <f t="shared" si="7"/>
        <v>jueves</v>
      </c>
    </row>
    <row r="207" spans="2:23" hidden="1" x14ac:dyDescent="0.25">
      <c r="B207" s="337">
        <v>46080</v>
      </c>
      <c r="C207" s="337">
        <v>46261</v>
      </c>
      <c r="D207" s="374" t="s">
        <v>78</v>
      </c>
      <c r="E207" s="309" t="s">
        <v>46</v>
      </c>
      <c r="F207" s="310" t="s">
        <v>110</v>
      </c>
      <c r="G207" s="312">
        <v>6.21</v>
      </c>
      <c r="H207" s="312">
        <v>10.6</v>
      </c>
      <c r="I207" s="340">
        <v>17.79</v>
      </c>
      <c r="J207" s="340"/>
      <c r="K207" s="308"/>
      <c r="L207" s="340">
        <f t="shared" si="6"/>
        <v>17.79</v>
      </c>
      <c r="M207" s="308"/>
      <c r="N207" s="311"/>
      <c r="O207" s="312"/>
      <c r="P207" s="308"/>
      <c r="Q207" s="308"/>
      <c r="R207" s="392"/>
      <c r="S207" s="358">
        <f ca="1">IF(C207&lt;=EOMONTH('&gt;&gt;Vistas Consolidadas'!$D$2, '&gt;&gt;Vistas Consolidadas'!$F$2),J207+I207,J207)</f>
        <v>17.79</v>
      </c>
      <c r="T207" s="18" t="str">
        <f ca="1">IF(C207&gt;='&gt;&gt;Vistas Consolidadas'!$D$2,"SI","NO")</f>
        <v>NO</v>
      </c>
      <c r="U207" s="358">
        <f ca="1">IF(C207&lt;=EOMONTH('&gt;&gt;Vistas Consolidadas'!$D$2, '&gt;&gt;Vistas Consolidadas'!$F$2),I207,0)</f>
        <v>17.79</v>
      </c>
      <c r="V207" s="18" t="b">
        <f ca="1">AND(C207&gt;='Interes Por Semana'!$C$4, C207&lt;='Interes Por Semana'!$E$4)</f>
        <v>0</v>
      </c>
      <c r="W207" s="18" t="str">
        <f t="shared" si="7"/>
        <v>jueves</v>
      </c>
    </row>
    <row r="208" spans="2:23" hidden="1" x14ac:dyDescent="0.25">
      <c r="B208" s="337">
        <v>45987</v>
      </c>
      <c r="C208" s="337">
        <v>46262</v>
      </c>
      <c r="D208" s="374" t="s">
        <v>78</v>
      </c>
      <c r="E208" s="309" t="s">
        <v>46</v>
      </c>
      <c r="F208" s="310" t="s">
        <v>111</v>
      </c>
      <c r="G208" s="312">
        <v>6.82</v>
      </c>
      <c r="H208" s="308">
        <v>11</v>
      </c>
      <c r="I208" s="340">
        <v>6.82</v>
      </c>
      <c r="J208" s="340">
        <v>0</v>
      </c>
      <c r="K208" s="308"/>
      <c r="L208" s="340">
        <f t="shared" si="6"/>
        <v>6.82</v>
      </c>
      <c r="M208" s="308"/>
      <c r="N208" s="311"/>
      <c r="O208" s="312"/>
      <c r="P208" s="308"/>
      <c r="Q208" s="308"/>
      <c r="R208" s="392"/>
      <c r="S208" s="358">
        <f ca="1">IF(C208&lt;=EOMONTH('&gt;&gt;Vistas Consolidadas'!$D$2, '&gt;&gt;Vistas Consolidadas'!$F$2),J208+I208,J208)</f>
        <v>6.82</v>
      </c>
      <c r="T208" s="18" t="str">
        <f ca="1">IF(C208&gt;='&gt;&gt;Vistas Consolidadas'!$D$2,"SI","NO")</f>
        <v>NO</v>
      </c>
      <c r="U208" s="358">
        <f ca="1">IF(C208&lt;=EOMONTH('&gt;&gt;Vistas Consolidadas'!$D$2, '&gt;&gt;Vistas Consolidadas'!$F$2),I208,0)</f>
        <v>6.82</v>
      </c>
      <c r="V208" s="18" t="b">
        <f ca="1">AND(C208&gt;='Interes Por Semana'!$C$4, C208&lt;='Interes Por Semana'!$E$4)</f>
        <v>0</v>
      </c>
      <c r="W208" s="18" t="str">
        <f t="shared" si="7"/>
        <v>viernes</v>
      </c>
    </row>
    <row r="209" spans="2:23" hidden="1" x14ac:dyDescent="0.25">
      <c r="B209" s="337">
        <v>44700</v>
      </c>
      <c r="C209" s="337">
        <v>46279</v>
      </c>
      <c r="D209" s="374" t="s">
        <v>88</v>
      </c>
      <c r="E209" s="309" t="s">
        <v>46</v>
      </c>
      <c r="F209" s="310" t="s">
        <v>116</v>
      </c>
      <c r="G209" s="312">
        <v>8.5</v>
      </c>
      <c r="H209" s="308">
        <v>8.75</v>
      </c>
      <c r="I209" s="340">
        <v>62.16</v>
      </c>
      <c r="J209" s="340">
        <v>975</v>
      </c>
      <c r="K209" s="308"/>
      <c r="L209" s="340">
        <f t="shared" si="6"/>
        <v>62.16</v>
      </c>
      <c r="M209" s="308"/>
      <c r="N209" s="311"/>
      <c r="O209" s="312"/>
      <c r="P209" s="308"/>
      <c r="Q209" s="308"/>
      <c r="R209" s="392"/>
      <c r="S209" s="358">
        <f ca="1">IF(C209&lt;=EOMONTH('&gt;&gt;Vistas Consolidadas'!$D$2, '&gt;&gt;Vistas Consolidadas'!$F$2),J209+I209,J209)</f>
        <v>1037.1600000000001</v>
      </c>
      <c r="T209" s="18" t="str">
        <f ca="1">IF(C209&gt;='&gt;&gt;Vistas Consolidadas'!$D$2,"SI","NO")</f>
        <v>NO</v>
      </c>
      <c r="U209" s="358">
        <f ca="1">IF(C209&lt;=EOMONTH('&gt;&gt;Vistas Consolidadas'!$D$2, '&gt;&gt;Vistas Consolidadas'!$F$2),I209,0)</f>
        <v>62.16</v>
      </c>
      <c r="V209" s="18" t="b">
        <f ca="1">AND(C209&gt;='Interes Por Semana'!$C$4, C209&lt;='Interes Por Semana'!$E$4)</f>
        <v>0</v>
      </c>
      <c r="W209" s="18" t="str">
        <f t="shared" si="7"/>
        <v>lunes</v>
      </c>
    </row>
    <row r="210" spans="2:23" hidden="1" x14ac:dyDescent="0.25">
      <c r="B210" s="337">
        <v>45706</v>
      </c>
      <c r="C210" s="337">
        <v>46275</v>
      </c>
      <c r="D210" s="374" t="s">
        <v>88</v>
      </c>
      <c r="E210" s="309" t="s">
        <v>46</v>
      </c>
      <c r="F210" s="310" t="s">
        <v>117</v>
      </c>
      <c r="G210" s="312">
        <v>9</v>
      </c>
      <c r="H210" s="308">
        <v>12</v>
      </c>
      <c r="I210" s="340">
        <v>457.38</v>
      </c>
      <c r="J210" s="340">
        <v>3385.31</v>
      </c>
      <c r="K210" s="308"/>
      <c r="L210" s="340">
        <f t="shared" si="6"/>
        <v>457.38</v>
      </c>
      <c r="M210" s="308"/>
      <c r="N210" s="311"/>
      <c r="O210" s="312"/>
      <c r="P210" s="308"/>
      <c r="Q210" s="308"/>
      <c r="R210" s="392"/>
      <c r="S210" s="358">
        <f ca="1">IF(C210&lt;=EOMONTH('&gt;&gt;Vistas Consolidadas'!$D$2, '&gt;&gt;Vistas Consolidadas'!$F$2),J210+I210,J210)</f>
        <v>3842.69</v>
      </c>
      <c r="T210" s="18" t="str">
        <f ca="1">IF(C210&gt;='&gt;&gt;Vistas Consolidadas'!$D$2,"SI","NO")</f>
        <v>NO</v>
      </c>
      <c r="U210" s="358">
        <f ca="1">IF(C210&lt;=EOMONTH('&gt;&gt;Vistas Consolidadas'!$D$2, '&gt;&gt;Vistas Consolidadas'!$F$2),I210,0)</f>
        <v>457.38</v>
      </c>
      <c r="V210" s="18" t="b">
        <f ca="1">AND(C210&gt;='Interes Por Semana'!$C$4, C210&lt;='Interes Por Semana'!$E$4)</f>
        <v>0</v>
      </c>
      <c r="W210" s="18" t="str">
        <f t="shared" si="7"/>
        <v>jueves</v>
      </c>
    </row>
    <row r="211" spans="2:23" hidden="1" x14ac:dyDescent="0.25">
      <c r="B211" s="337">
        <v>45559</v>
      </c>
      <c r="C211" s="337">
        <v>46338</v>
      </c>
      <c r="D211" s="374" t="s">
        <v>118</v>
      </c>
      <c r="E211" s="309" t="s">
        <v>47</v>
      </c>
      <c r="F211" s="310" t="s">
        <v>119</v>
      </c>
      <c r="G211" s="311">
        <v>8.5</v>
      </c>
      <c r="H211" s="311">
        <v>12</v>
      </c>
      <c r="I211" s="340">
        <v>339.39</v>
      </c>
      <c r="J211" s="340">
        <v>1467.81</v>
      </c>
      <c r="K211" s="308"/>
      <c r="L211" s="340">
        <f t="shared" si="6"/>
        <v>339.39</v>
      </c>
      <c r="M211" s="308"/>
      <c r="N211" s="311"/>
      <c r="O211" s="312"/>
      <c r="P211" s="308"/>
      <c r="Q211" s="308"/>
      <c r="R211" s="392"/>
      <c r="S211" s="358">
        <f ca="1">IF(C211&lt;=EOMONTH('&gt;&gt;Vistas Consolidadas'!$D$2, '&gt;&gt;Vistas Consolidadas'!$F$2),J211+I211,J211)</f>
        <v>1807.1999999999998</v>
      </c>
      <c r="T211" s="18" t="str">
        <f ca="1">IF(C211&gt;='&gt;&gt;Vistas Consolidadas'!$D$2,"SI","NO")</f>
        <v>SI</v>
      </c>
      <c r="U211" s="358">
        <f ca="1">IF(C211&lt;=EOMONTH('&gt;&gt;Vistas Consolidadas'!$D$2, '&gt;&gt;Vistas Consolidadas'!$F$2),I211,0)</f>
        <v>339.39</v>
      </c>
      <c r="V211" s="18" t="b">
        <f ca="1">AND(C211&gt;='Interes Por Semana'!$C$4, C211&lt;='Interes Por Semana'!$E$4)</f>
        <v>0</v>
      </c>
      <c r="W211" s="18" t="str">
        <f t="shared" si="7"/>
        <v>jueves</v>
      </c>
    </row>
    <row r="212" spans="2:23" hidden="1" x14ac:dyDescent="0.25">
      <c r="B212" s="337">
        <v>45559</v>
      </c>
      <c r="C212" s="337">
        <v>46338</v>
      </c>
      <c r="D212" s="374" t="s">
        <v>118</v>
      </c>
      <c r="E212" s="309" t="s">
        <v>46</v>
      </c>
      <c r="F212" s="310" t="s">
        <v>119</v>
      </c>
      <c r="G212" s="312">
        <v>8.5</v>
      </c>
      <c r="H212" s="308">
        <v>12</v>
      </c>
      <c r="I212" s="340">
        <v>53.83</v>
      </c>
      <c r="J212" s="340">
        <v>232.8</v>
      </c>
      <c r="K212" s="308"/>
      <c r="L212" s="340">
        <f t="shared" si="6"/>
        <v>53.83</v>
      </c>
      <c r="M212" s="308"/>
      <c r="N212" s="311"/>
      <c r="O212" s="312"/>
      <c r="P212" s="308"/>
      <c r="Q212" s="308"/>
      <c r="R212" s="392"/>
      <c r="S212" s="358">
        <f ca="1">IF(C212&lt;=EOMONTH('&gt;&gt;Vistas Consolidadas'!$D$2, '&gt;&gt;Vistas Consolidadas'!$F$2),J212+I212,J212)</f>
        <v>286.63</v>
      </c>
      <c r="T212" s="18" t="str">
        <f ca="1">IF(C212&gt;='&gt;&gt;Vistas Consolidadas'!$D$2,"SI","NO")</f>
        <v>SI</v>
      </c>
      <c r="U212" s="358">
        <f ca="1">IF(C212&lt;=EOMONTH('&gt;&gt;Vistas Consolidadas'!$D$2, '&gt;&gt;Vistas Consolidadas'!$F$2),I212,0)</f>
        <v>53.83</v>
      </c>
      <c r="V212" s="18" t="b">
        <f ca="1">AND(C212&gt;='Interes Por Semana'!$C$4, C212&lt;='Interes Por Semana'!$E$4)</f>
        <v>0</v>
      </c>
      <c r="W212" s="18" t="str">
        <f t="shared" si="7"/>
        <v>jueves</v>
      </c>
    </row>
    <row r="213" spans="2:23" ht="14.25" hidden="1" customHeight="1" x14ac:dyDescent="0.25">
      <c r="B213" s="337">
        <v>45559</v>
      </c>
      <c r="C213" s="337">
        <v>46338</v>
      </c>
      <c r="D213" s="374" t="s">
        <v>118</v>
      </c>
      <c r="E213" s="309" t="s">
        <v>48</v>
      </c>
      <c r="F213" s="310" t="s">
        <v>119</v>
      </c>
      <c r="G213" s="311">
        <v>8.5</v>
      </c>
      <c r="H213" s="311">
        <v>12</v>
      </c>
      <c r="I213" s="340">
        <v>218.69</v>
      </c>
      <c r="J213" s="340">
        <v>945.8</v>
      </c>
      <c r="K213" s="308"/>
      <c r="L213" s="340">
        <f t="shared" si="6"/>
        <v>218.69</v>
      </c>
      <c r="M213" s="311"/>
      <c r="N213" s="311"/>
      <c r="O213" s="311"/>
      <c r="P213" s="311"/>
      <c r="Q213" s="311"/>
      <c r="R213" s="392"/>
      <c r="S213" s="358">
        <f ca="1">IF(C213&lt;=EOMONTH('&gt;&gt;Vistas Consolidadas'!$D$2, '&gt;&gt;Vistas Consolidadas'!$F$2),J213+I213,J213)</f>
        <v>1164.49</v>
      </c>
      <c r="T213" s="18" t="str">
        <f ca="1">IF(C213&gt;='&gt;&gt;Vistas Consolidadas'!$D$2,"SI","NO")</f>
        <v>SI</v>
      </c>
      <c r="U213" s="358">
        <f ca="1">IF(C213&lt;=EOMONTH('&gt;&gt;Vistas Consolidadas'!$D$2, '&gt;&gt;Vistas Consolidadas'!$F$2),I213,0)</f>
        <v>218.69</v>
      </c>
      <c r="V213" s="18" t="b">
        <f ca="1">AND(C213&gt;='Interes Por Semana'!$C$4, C213&lt;='Interes Por Semana'!$E$4)</f>
        <v>0</v>
      </c>
      <c r="W213" s="18" t="str">
        <f t="shared" si="7"/>
        <v>jueves</v>
      </c>
    </row>
    <row r="214" spans="2:23" hidden="1" x14ac:dyDescent="0.25">
      <c r="B214" s="337">
        <v>46097</v>
      </c>
      <c r="C214" s="337">
        <v>46276</v>
      </c>
      <c r="D214" s="374" t="s">
        <v>88</v>
      </c>
      <c r="E214" s="309" t="s">
        <v>47</v>
      </c>
      <c r="F214" s="310" t="s">
        <v>121</v>
      </c>
      <c r="G214" s="311">
        <v>9</v>
      </c>
      <c r="H214" s="311">
        <v>10.25</v>
      </c>
      <c r="I214" s="340">
        <v>642.11</v>
      </c>
      <c r="J214" s="340">
        <v>965</v>
      </c>
      <c r="K214" s="311"/>
      <c r="L214" s="340">
        <f t="shared" si="6"/>
        <v>642.11</v>
      </c>
      <c r="M214" s="311"/>
      <c r="N214" s="311"/>
      <c r="O214" s="311"/>
      <c r="P214" s="311"/>
      <c r="Q214" s="311"/>
      <c r="R214" s="392"/>
      <c r="S214" s="358">
        <f ca="1">IF(C214&lt;=EOMONTH('&gt;&gt;Vistas Consolidadas'!$D$2, '&gt;&gt;Vistas Consolidadas'!$F$2),J214+I214,J214)</f>
        <v>1607.1100000000001</v>
      </c>
      <c r="T214" s="18" t="str">
        <f ca="1">IF(C214&gt;='&gt;&gt;Vistas Consolidadas'!$D$2,"SI","NO")</f>
        <v>NO</v>
      </c>
      <c r="U214" s="358">
        <f ca="1">IF(C214&lt;=EOMONTH('&gt;&gt;Vistas Consolidadas'!$D$2, '&gt;&gt;Vistas Consolidadas'!$F$2),I214,0)</f>
        <v>642.11</v>
      </c>
      <c r="V214" s="18" t="b">
        <f ca="1">AND(C214&gt;='Interes Por Semana'!$C$4, C214&lt;='Interes Por Semana'!$E$4)</f>
        <v>0</v>
      </c>
      <c r="W214" s="18" t="str">
        <f t="shared" si="7"/>
        <v>viernes</v>
      </c>
    </row>
    <row r="215" spans="2:23" hidden="1" x14ac:dyDescent="0.25">
      <c r="B215" s="337">
        <v>46105</v>
      </c>
      <c r="C215" s="337">
        <v>46276</v>
      </c>
      <c r="D215" s="374" t="s">
        <v>88</v>
      </c>
      <c r="E215" s="309" t="s">
        <v>47</v>
      </c>
      <c r="F215" s="310" t="s">
        <v>121</v>
      </c>
      <c r="G215" s="311">
        <v>9</v>
      </c>
      <c r="H215" s="311">
        <v>10.25</v>
      </c>
      <c r="I215" s="340">
        <v>106.07</v>
      </c>
      <c r="J215" s="340">
        <v>159.4</v>
      </c>
      <c r="K215" s="311"/>
      <c r="L215" s="340">
        <f t="shared" si="6"/>
        <v>106.07</v>
      </c>
      <c r="M215" s="311"/>
      <c r="N215" s="311"/>
      <c r="O215" s="311"/>
      <c r="P215" s="311"/>
      <c r="Q215" s="311"/>
      <c r="R215" s="392"/>
      <c r="S215" s="358">
        <f ca="1">IF(C215&lt;=EOMONTH('&gt;&gt;Vistas Consolidadas'!$D$2, '&gt;&gt;Vistas Consolidadas'!$F$2),J215+I215,J215)</f>
        <v>265.47000000000003</v>
      </c>
      <c r="T215" s="18" t="str">
        <f ca="1">IF(C215&gt;='&gt;&gt;Vistas Consolidadas'!$D$2,"SI","NO")</f>
        <v>NO</v>
      </c>
      <c r="U215" s="358">
        <f ca="1">IF(C215&lt;=EOMONTH('&gt;&gt;Vistas Consolidadas'!$D$2, '&gt;&gt;Vistas Consolidadas'!$F$2),I215,0)</f>
        <v>106.07</v>
      </c>
      <c r="V215" s="18" t="b">
        <f ca="1">AND(C215&gt;='Interes Por Semana'!$C$4, C215&lt;='Interes Por Semana'!$E$4)</f>
        <v>0</v>
      </c>
      <c r="W215" s="18" t="str">
        <f t="shared" si="7"/>
        <v>viernes</v>
      </c>
    </row>
    <row r="216" spans="2:23" hidden="1" x14ac:dyDescent="0.25">
      <c r="B216" s="337">
        <v>45552</v>
      </c>
      <c r="C216" s="337">
        <v>46268</v>
      </c>
      <c r="D216" s="374" t="s">
        <v>78</v>
      </c>
      <c r="E216" s="309" t="s">
        <v>47</v>
      </c>
      <c r="F216" s="310" t="s">
        <v>79</v>
      </c>
      <c r="G216" s="311">
        <v>5.36</v>
      </c>
      <c r="H216" s="311">
        <v>13.5</v>
      </c>
      <c r="I216" s="340">
        <f>15.63</f>
        <v>15.63</v>
      </c>
      <c r="J216" s="340"/>
      <c r="K216" s="308"/>
      <c r="L216" s="340">
        <f t="shared" si="6"/>
        <v>15.63</v>
      </c>
      <c r="M216" s="311"/>
      <c r="N216" s="311"/>
      <c r="O216" s="311"/>
      <c r="P216" s="311"/>
      <c r="Q216" s="311"/>
      <c r="R216" s="392"/>
      <c r="S216" s="358">
        <f ca="1">IF(C216&lt;=EOMONTH('&gt;&gt;Vistas Consolidadas'!$D$2, '&gt;&gt;Vistas Consolidadas'!$F$2),J216+I216,J216)</f>
        <v>15.63</v>
      </c>
      <c r="T216" s="18" t="str">
        <f ca="1">IF(C216&gt;='&gt;&gt;Vistas Consolidadas'!$D$2,"SI","NO")</f>
        <v>NO</v>
      </c>
      <c r="U216" s="358">
        <f ca="1">IF(C216&lt;=EOMONTH('&gt;&gt;Vistas Consolidadas'!$D$2, '&gt;&gt;Vistas Consolidadas'!$F$2),I216,0)</f>
        <v>15.63</v>
      </c>
      <c r="V216" s="18" t="b">
        <f ca="1">AND(C216&gt;='Interes Por Semana'!$C$4, C216&lt;='Interes Por Semana'!$E$4)</f>
        <v>0</v>
      </c>
      <c r="W216" s="18" t="str">
        <f t="shared" si="7"/>
        <v>jueves</v>
      </c>
    </row>
    <row r="217" spans="2:23" hidden="1" x14ac:dyDescent="0.25">
      <c r="B217" s="337">
        <v>45560</v>
      </c>
      <c r="C217" s="337">
        <v>46268</v>
      </c>
      <c r="D217" s="374" t="s">
        <v>78</v>
      </c>
      <c r="E217" s="309" t="s">
        <v>47</v>
      </c>
      <c r="F217" s="310" t="s">
        <v>79</v>
      </c>
      <c r="G217" s="311">
        <v>5.36</v>
      </c>
      <c r="H217" s="311">
        <v>12.5</v>
      </c>
      <c r="I217" s="340">
        <f>12.51</f>
        <v>12.51</v>
      </c>
      <c r="J217" s="340"/>
      <c r="K217" s="308"/>
      <c r="L217" s="340">
        <f t="shared" si="6"/>
        <v>12.51</v>
      </c>
      <c r="M217" s="311"/>
      <c r="N217" s="311"/>
      <c r="O217" s="311"/>
      <c r="P217" s="311"/>
      <c r="Q217" s="311"/>
      <c r="R217" s="392"/>
      <c r="S217" s="358">
        <f ca="1">IF(C217&lt;=EOMONTH('&gt;&gt;Vistas Consolidadas'!$D$2, '&gt;&gt;Vistas Consolidadas'!$F$2),J217+I217,J217)</f>
        <v>12.51</v>
      </c>
      <c r="T217" s="18" t="str">
        <f ca="1">IF(C217&gt;='&gt;&gt;Vistas Consolidadas'!$D$2,"SI","NO")</f>
        <v>NO</v>
      </c>
      <c r="U217" s="358">
        <f ca="1">IF(C217&lt;=EOMONTH('&gt;&gt;Vistas Consolidadas'!$D$2, '&gt;&gt;Vistas Consolidadas'!$F$2),I217,0)</f>
        <v>12.51</v>
      </c>
      <c r="V217" s="18" t="b">
        <f ca="1">AND(C217&gt;='Interes Por Semana'!$C$4, C217&lt;='Interes Por Semana'!$E$4)</f>
        <v>0</v>
      </c>
      <c r="W217" s="18" t="str">
        <f t="shared" si="7"/>
        <v>jueves</v>
      </c>
    </row>
    <row r="218" spans="2:23" hidden="1" x14ac:dyDescent="0.25">
      <c r="B218" s="337">
        <v>45708</v>
      </c>
      <c r="C218" s="337">
        <v>46269</v>
      </c>
      <c r="D218" s="374" t="s">
        <v>78</v>
      </c>
      <c r="E218" s="309" t="s">
        <v>46</v>
      </c>
      <c r="F218" s="310" t="s">
        <v>81</v>
      </c>
      <c r="G218" s="312">
        <v>5.36</v>
      </c>
      <c r="H218" s="308">
        <v>11.35</v>
      </c>
      <c r="I218" s="340">
        <f>16.79-J218</f>
        <v>16.79</v>
      </c>
      <c r="J218" s="340">
        <v>0</v>
      </c>
      <c r="K218" s="308"/>
      <c r="L218" s="340">
        <f t="shared" si="6"/>
        <v>16.79</v>
      </c>
      <c r="M218" s="308"/>
      <c r="N218" s="311"/>
      <c r="O218" s="312"/>
      <c r="P218" s="308"/>
      <c r="Q218" s="308"/>
      <c r="R218" s="392"/>
      <c r="S218" s="358">
        <f ca="1">IF(C218&lt;=EOMONTH('&gt;&gt;Vistas Consolidadas'!$D$2, '&gt;&gt;Vistas Consolidadas'!$F$2),J218+I218,J218)</f>
        <v>16.79</v>
      </c>
      <c r="T218" s="18" t="str">
        <f ca="1">IF(C218&gt;='&gt;&gt;Vistas Consolidadas'!$D$2,"SI","NO")</f>
        <v>NO</v>
      </c>
      <c r="U218" s="358">
        <f ca="1">IF(C218&lt;=EOMONTH('&gt;&gt;Vistas Consolidadas'!$D$2, '&gt;&gt;Vistas Consolidadas'!$F$2),I218,0)</f>
        <v>16.79</v>
      </c>
      <c r="V218" s="18" t="b">
        <f ca="1">AND(C218&gt;='Interes Por Semana'!$C$4, C218&lt;='Interes Por Semana'!$E$4)</f>
        <v>0</v>
      </c>
      <c r="W218" s="18" t="str">
        <f t="shared" si="7"/>
        <v>viernes</v>
      </c>
    </row>
    <row r="219" spans="2:23" hidden="1" x14ac:dyDescent="0.25">
      <c r="B219" s="337">
        <v>46057</v>
      </c>
      <c r="C219" s="337">
        <v>46271</v>
      </c>
      <c r="D219" s="374" t="s">
        <v>78</v>
      </c>
      <c r="E219" s="309" t="s">
        <v>47</v>
      </c>
      <c r="F219" s="310" t="s">
        <v>85</v>
      </c>
      <c r="G219" s="311">
        <v>7.93</v>
      </c>
      <c r="H219" s="311">
        <v>11.25</v>
      </c>
      <c r="I219" s="340">
        <v>58.023180428134552</v>
      </c>
      <c r="J219" s="340"/>
      <c r="K219" s="308"/>
      <c r="L219" s="340">
        <f t="shared" si="6"/>
        <v>58.023180428134552</v>
      </c>
      <c r="M219" s="311"/>
      <c r="N219" s="311"/>
      <c r="O219" s="311"/>
      <c r="P219" s="311"/>
      <c r="Q219" s="311"/>
      <c r="R219" s="392"/>
      <c r="S219" s="358">
        <f ca="1">IF(C219&lt;=EOMONTH('&gt;&gt;Vistas Consolidadas'!$D$2, '&gt;&gt;Vistas Consolidadas'!$F$2),J219+I219,J219)</f>
        <v>58.023180428134552</v>
      </c>
      <c r="T219" s="18" t="str">
        <f ca="1">IF(C219&gt;='&gt;&gt;Vistas Consolidadas'!$D$2,"SI","NO")</f>
        <v>NO</v>
      </c>
      <c r="U219" s="358">
        <f ca="1">IF(C219&lt;=EOMONTH('&gt;&gt;Vistas Consolidadas'!$D$2, '&gt;&gt;Vistas Consolidadas'!$F$2),I219,0)</f>
        <v>58.023180428134552</v>
      </c>
      <c r="V219" s="18" t="b">
        <f ca="1">AND(C219&gt;='Interes Por Semana'!$C$4, C219&lt;='Interes Por Semana'!$E$4)</f>
        <v>0</v>
      </c>
      <c r="W219" s="18" t="str">
        <f t="shared" si="7"/>
        <v>domingo</v>
      </c>
    </row>
    <row r="220" spans="2:23" hidden="1" x14ac:dyDescent="0.25">
      <c r="B220" s="337">
        <v>46057</v>
      </c>
      <c r="C220" s="337">
        <v>46271</v>
      </c>
      <c r="D220" s="374" t="s">
        <v>78</v>
      </c>
      <c r="E220" s="309" t="s">
        <v>47</v>
      </c>
      <c r="F220" s="310" t="s">
        <v>86</v>
      </c>
      <c r="G220" s="311">
        <v>7.35</v>
      </c>
      <c r="H220" s="311">
        <v>11</v>
      </c>
      <c r="I220" s="340">
        <v>20.79</v>
      </c>
      <c r="J220" s="340"/>
      <c r="K220" s="308"/>
      <c r="L220" s="340">
        <f t="shared" si="6"/>
        <v>20.79</v>
      </c>
      <c r="M220" s="311"/>
      <c r="N220" s="311"/>
      <c r="O220" s="311"/>
      <c r="P220" s="311"/>
      <c r="Q220" s="311"/>
      <c r="R220" s="392"/>
      <c r="S220" s="358">
        <f ca="1">IF(C220&lt;=EOMONTH('&gt;&gt;Vistas Consolidadas'!$D$2, '&gt;&gt;Vistas Consolidadas'!$F$2),J220+I220,J220)</f>
        <v>20.79</v>
      </c>
      <c r="T220" s="18" t="str">
        <f ca="1">IF(C220&gt;='&gt;&gt;Vistas Consolidadas'!$D$2,"SI","NO")</f>
        <v>NO</v>
      </c>
      <c r="U220" s="358">
        <f ca="1">IF(C220&lt;=EOMONTH('&gt;&gt;Vistas Consolidadas'!$D$2, '&gt;&gt;Vistas Consolidadas'!$F$2),I220,0)</f>
        <v>20.79</v>
      </c>
      <c r="V220" s="18" t="b">
        <f ca="1">AND(C220&gt;='Interes Por Semana'!$C$4, C220&lt;='Interes Por Semana'!$E$4)</f>
        <v>0</v>
      </c>
      <c r="W220" s="18" t="str">
        <f t="shared" si="7"/>
        <v>domingo</v>
      </c>
    </row>
    <row r="221" spans="2:23" hidden="1" x14ac:dyDescent="0.25">
      <c r="B221" s="337">
        <v>46001</v>
      </c>
      <c r="C221" s="337">
        <v>46271</v>
      </c>
      <c r="D221" s="374" t="s">
        <v>78</v>
      </c>
      <c r="E221" s="309" t="s">
        <v>46</v>
      </c>
      <c r="F221" s="310" t="s">
        <v>87</v>
      </c>
      <c r="G221" s="312">
        <v>7.54</v>
      </c>
      <c r="H221" s="308">
        <v>11</v>
      </c>
      <c r="I221" s="340">
        <f>7.79</f>
        <v>7.79</v>
      </c>
      <c r="J221" s="340"/>
      <c r="K221" s="308"/>
      <c r="L221" s="340">
        <f t="shared" si="6"/>
        <v>7.79</v>
      </c>
      <c r="M221" s="308"/>
      <c r="N221" s="311"/>
      <c r="O221" s="312"/>
      <c r="P221" s="308"/>
      <c r="Q221" s="308"/>
      <c r="R221" s="392"/>
      <c r="S221" s="358">
        <f ca="1">IF(C221&lt;=EOMONTH('&gt;&gt;Vistas Consolidadas'!$D$2, '&gt;&gt;Vistas Consolidadas'!$F$2),J221+I221,J221)</f>
        <v>7.79</v>
      </c>
      <c r="T221" s="18" t="str">
        <f ca="1">IF(C221&gt;='&gt;&gt;Vistas Consolidadas'!$D$2,"SI","NO")</f>
        <v>NO</v>
      </c>
      <c r="U221" s="358">
        <f ca="1">IF(C221&lt;=EOMONTH('&gt;&gt;Vistas Consolidadas'!$D$2, '&gt;&gt;Vistas Consolidadas'!$F$2),I221,0)</f>
        <v>7.79</v>
      </c>
      <c r="V221" s="18" t="b">
        <f ca="1">AND(C221&gt;='Interes Por Semana'!$C$4, C221&lt;='Interes Por Semana'!$E$4)</f>
        <v>0</v>
      </c>
      <c r="W221" s="18" t="str">
        <f t="shared" si="7"/>
        <v>domingo</v>
      </c>
    </row>
    <row r="222" spans="2:23" hidden="1" x14ac:dyDescent="0.25">
      <c r="B222" s="337">
        <v>45943</v>
      </c>
      <c r="C222" s="337">
        <v>46275</v>
      </c>
      <c r="D222" s="374" t="s">
        <v>78</v>
      </c>
      <c r="E222" s="309" t="s">
        <v>47</v>
      </c>
      <c r="F222" s="310" t="s">
        <v>91</v>
      </c>
      <c r="G222" s="311">
        <v>7.54</v>
      </c>
      <c r="H222" s="311">
        <v>9.85</v>
      </c>
      <c r="I222" s="340">
        <v>35.25</v>
      </c>
      <c r="J222" s="340"/>
      <c r="K222" s="308"/>
      <c r="L222" s="340">
        <f t="shared" si="6"/>
        <v>35.25</v>
      </c>
      <c r="M222" s="311"/>
      <c r="N222" s="311"/>
      <c r="O222" s="311"/>
      <c r="P222" s="311"/>
      <c r="Q222" s="311"/>
      <c r="R222" s="392"/>
      <c r="S222" s="358">
        <f ca="1">IF(C222&lt;=EOMONTH('&gt;&gt;Vistas Consolidadas'!$D$2, '&gt;&gt;Vistas Consolidadas'!$F$2),J222+I222,J222)</f>
        <v>35.25</v>
      </c>
      <c r="T222" s="18" t="str">
        <f ca="1">IF(C222&gt;='&gt;&gt;Vistas Consolidadas'!$D$2,"SI","NO")</f>
        <v>NO</v>
      </c>
      <c r="U222" s="358">
        <f ca="1">IF(C222&lt;=EOMONTH('&gt;&gt;Vistas Consolidadas'!$D$2, '&gt;&gt;Vistas Consolidadas'!$F$2),I222,0)</f>
        <v>35.25</v>
      </c>
      <c r="V222" s="18" t="b">
        <f ca="1">AND(C222&gt;='Interes Por Semana'!$C$4, C222&lt;='Interes Por Semana'!$E$4)</f>
        <v>0</v>
      </c>
      <c r="W222" s="18" t="str">
        <f t="shared" si="7"/>
        <v>jueves</v>
      </c>
    </row>
    <row r="223" spans="2:23" hidden="1" x14ac:dyDescent="0.25">
      <c r="B223" s="337">
        <v>46121</v>
      </c>
      <c r="C223" s="337">
        <v>46277</v>
      </c>
      <c r="D223" s="374" t="s">
        <v>78</v>
      </c>
      <c r="E223" s="309" t="s">
        <v>47</v>
      </c>
      <c r="F223" s="310" t="s">
        <v>93</v>
      </c>
      <c r="G223" s="312">
        <v>4.71</v>
      </c>
      <c r="H223" s="308">
        <v>9.5</v>
      </c>
      <c r="I223" s="340">
        <v>3.53</v>
      </c>
      <c r="J223" s="340">
        <v>0</v>
      </c>
      <c r="K223" s="308"/>
      <c r="L223" s="340">
        <f t="shared" si="6"/>
        <v>3.53</v>
      </c>
      <c r="M223" s="308"/>
      <c r="N223" s="311"/>
      <c r="O223" s="312"/>
      <c r="P223" s="308"/>
      <c r="Q223" s="308"/>
      <c r="R223" s="392"/>
      <c r="S223" s="358">
        <f ca="1">IF(C223&lt;=EOMONTH('&gt;&gt;Vistas Consolidadas'!$D$2, '&gt;&gt;Vistas Consolidadas'!$F$2),J223+I223,J223)</f>
        <v>3.53</v>
      </c>
      <c r="T223" s="18" t="str">
        <f ca="1">IF(C223&gt;='&gt;&gt;Vistas Consolidadas'!$D$2,"SI","NO")</f>
        <v>NO</v>
      </c>
      <c r="U223" s="358">
        <f ca="1">IF(C223&lt;=EOMONTH('&gt;&gt;Vistas Consolidadas'!$D$2, '&gt;&gt;Vistas Consolidadas'!$F$2),I223,0)</f>
        <v>3.53</v>
      </c>
      <c r="V223" s="18" t="b">
        <f ca="1">AND(C223&gt;='Interes Por Semana'!$C$4, C223&lt;='Interes Por Semana'!$E$4)</f>
        <v>0</v>
      </c>
      <c r="W223" s="18" t="str">
        <f t="shared" si="7"/>
        <v>sábado</v>
      </c>
    </row>
    <row r="224" spans="2:23" hidden="1" x14ac:dyDescent="0.25">
      <c r="B224" s="337">
        <v>45323</v>
      </c>
      <c r="C224" s="337">
        <v>46295</v>
      </c>
      <c r="D224" s="374" t="s">
        <v>96</v>
      </c>
      <c r="E224" s="309" t="s">
        <v>47</v>
      </c>
      <c r="F224" s="310" t="s">
        <v>97</v>
      </c>
      <c r="G224" s="311">
        <v>6</v>
      </c>
      <c r="H224" s="311">
        <v>12</v>
      </c>
      <c r="I224" s="340">
        <v>16.670000000000002</v>
      </c>
      <c r="J224" s="340"/>
      <c r="K224" s="308"/>
      <c r="L224" s="340">
        <f t="shared" si="6"/>
        <v>16.670000000000002</v>
      </c>
      <c r="M224" s="311"/>
      <c r="N224" s="311"/>
      <c r="O224" s="311"/>
      <c r="P224" s="311"/>
      <c r="Q224" s="311"/>
      <c r="R224" s="392"/>
      <c r="S224" s="358">
        <f ca="1">IF(C224&lt;=EOMONTH('&gt;&gt;Vistas Consolidadas'!$D$2, '&gt;&gt;Vistas Consolidadas'!$F$2),J224+I224,J224)</f>
        <v>16.670000000000002</v>
      </c>
      <c r="T224" s="18" t="str">
        <f ca="1">IF(C224&gt;='&gt;&gt;Vistas Consolidadas'!$D$2,"SI","NO")</f>
        <v>NO</v>
      </c>
      <c r="U224" s="358">
        <f ca="1">IF(C224&lt;=EOMONTH('&gt;&gt;Vistas Consolidadas'!$D$2, '&gt;&gt;Vistas Consolidadas'!$F$2),I224,0)</f>
        <v>16.670000000000002</v>
      </c>
      <c r="V224" s="18" t="b">
        <f ca="1">AND(C224&gt;='Interes Por Semana'!$C$4, C224&lt;='Interes Por Semana'!$E$4)</f>
        <v>0</v>
      </c>
      <c r="W224" s="18" t="str">
        <f t="shared" si="7"/>
        <v>miércoles</v>
      </c>
    </row>
    <row r="225" spans="2:23" hidden="1" x14ac:dyDescent="0.25">
      <c r="B225" s="337">
        <v>45356</v>
      </c>
      <c r="C225" s="337">
        <v>46295</v>
      </c>
      <c r="D225" s="374" t="s">
        <v>96</v>
      </c>
      <c r="E225" s="309" t="s">
        <v>47</v>
      </c>
      <c r="F225" s="310" t="s">
        <v>97</v>
      </c>
      <c r="G225" s="311">
        <v>6</v>
      </c>
      <c r="H225" s="311">
        <v>12</v>
      </c>
      <c r="I225" s="340">
        <v>108.33</v>
      </c>
      <c r="J225" s="340"/>
      <c r="K225" s="308"/>
      <c r="L225" s="340">
        <f t="shared" si="6"/>
        <v>108.33</v>
      </c>
      <c r="M225" s="311"/>
      <c r="N225" s="311"/>
      <c r="O225" s="311"/>
      <c r="P225" s="311"/>
      <c r="Q225" s="311"/>
      <c r="R225" s="392"/>
      <c r="S225" s="358">
        <f ca="1">IF(C225&lt;=EOMONTH('&gt;&gt;Vistas Consolidadas'!$D$2, '&gt;&gt;Vistas Consolidadas'!$F$2),J225+I225,J225)</f>
        <v>108.33</v>
      </c>
      <c r="T225" s="18" t="str">
        <f ca="1">IF(C225&gt;='&gt;&gt;Vistas Consolidadas'!$D$2,"SI","NO")</f>
        <v>NO</v>
      </c>
      <c r="U225" s="358">
        <f ca="1">IF(C225&lt;=EOMONTH('&gt;&gt;Vistas Consolidadas'!$D$2, '&gt;&gt;Vistas Consolidadas'!$F$2),I225,0)</f>
        <v>108.33</v>
      </c>
      <c r="V225" s="18" t="b">
        <f ca="1">AND(C225&gt;='Interes Por Semana'!$C$4, C225&lt;='Interes Por Semana'!$E$4)</f>
        <v>0</v>
      </c>
      <c r="W225" s="18" t="str">
        <f t="shared" si="7"/>
        <v>miércoles</v>
      </c>
    </row>
    <row r="226" spans="2:23" hidden="1" x14ac:dyDescent="0.25">
      <c r="B226" s="337">
        <v>45006</v>
      </c>
      <c r="C226" s="337">
        <v>46295</v>
      </c>
      <c r="D226" s="374" t="s">
        <v>96</v>
      </c>
      <c r="E226" s="309" t="s">
        <v>46</v>
      </c>
      <c r="F226" s="310" t="s">
        <v>97</v>
      </c>
      <c r="G226" s="312">
        <v>6</v>
      </c>
      <c r="H226" s="308">
        <v>12</v>
      </c>
      <c r="I226" s="340">
        <v>62.5</v>
      </c>
      <c r="J226" s="340"/>
      <c r="K226" s="308"/>
      <c r="L226" s="340">
        <f t="shared" si="6"/>
        <v>62.5</v>
      </c>
      <c r="M226" s="308"/>
      <c r="N226" s="311"/>
      <c r="O226" s="312"/>
      <c r="P226" s="308"/>
      <c r="Q226" s="308"/>
      <c r="R226" s="392"/>
      <c r="S226" s="358">
        <f ca="1">IF(C226&lt;=EOMONTH('&gt;&gt;Vistas Consolidadas'!$D$2, '&gt;&gt;Vistas Consolidadas'!$F$2),J226+I226,J226)</f>
        <v>62.5</v>
      </c>
      <c r="T226" s="18" t="str">
        <f ca="1">IF(C226&gt;='&gt;&gt;Vistas Consolidadas'!$D$2,"SI","NO")</f>
        <v>NO</v>
      </c>
      <c r="U226" s="358">
        <f ca="1">IF(C226&lt;=EOMONTH('&gt;&gt;Vistas Consolidadas'!$D$2, '&gt;&gt;Vistas Consolidadas'!$F$2),I226,0)</f>
        <v>62.5</v>
      </c>
      <c r="V226" s="18" t="b">
        <f ca="1">AND(C226&gt;='Interes Por Semana'!$C$4, C226&lt;='Interes Por Semana'!$E$4)</f>
        <v>0</v>
      </c>
      <c r="W226" s="18" t="str">
        <f t="shared" si="7"/>
        <v>miércoles</v>
      </c>
    </row>
    <row r="227" spans="2:23" hidden="1" x14ac:dyDescent="0.25">
      <c r="B227" s="337">
        <v>45397</v>
      </c>
      <c r="C227" s="337">
        <v>46295</v>
      </c>
      <c r="D227" s="374" t="s">
        <v>96</v>
      </c>
      <c r="E227" s="309" t="s">
        <v>47</v>
      </c>
      <c r="F227" s="310" t="s">
        <v>97</v>
      </c>
      <c r="G227" s="311">
        <v>6</v>
      </c>
      <c r="H227" s="311">
        <v>12</v>
      </c>
      <c r="I227" s="340">
        <v>54.16</v>
      </c>
      <c r="J227" s="340"/>
      <c r="K227" s="308"/>
      <c r="L227" s="340">
        <f t="shared" si="6"/>
        <v>54.16</v>
      </c>
      <c r="M227" s="311"/>
      <c r="N227" s="311"/>
      <c r="O227" s="311"/>
      <c r="P227" s="311"/>
      <c r="Q227" s="311"/>
      <c r="R227" s="392"/>
      <c r="S227" s="358">
        <f ca="1">IF(C227&lt;=EOMONTH('&gt;&gt;Vistas Consolidadas'!$D$2, '&gt;&gt;Vistas Consolidadas'!$F$2),J227+I227,J227)</f>
        <v>54.16</v>
      </c>
      <c r="T227" s="18" t="str">
        <f ca="1">IF(C227&gt;='&gt;&gt;Vistas Consolidadas'!$D$2,"SI","NO")</f>
        <v>NO</v>
      </c>
      <c r="U227" s="358">
        <f ca="1">IF(C227&lt;=EOMONTH('&gt;&gt;Vistas Consolidadas'!$D$2, '&gt;&gt;Vistas Consolidadas'!$F$2),I227,0)</f>
        <v>54.16</v>
      </c>
      <c r="V227" s="18" t="b">
        <f ca="1">AND(C227&gt;='Interes Por Semana'!$C$4, C227&lt;='Interes Por Semana'!$E$4)</f>
        <v>0</v>
      </c>
      <c r="W227" s="18" t="str">
        <f t="shared" si="7"/>
        <v>miércoles</v>
      </c>
    </row>
    <row r="228" spans="2:23" hidden="1" x14ac:dyDescent="0.25">
      <c r="B228" s="337">
        <v>45397</v>
      </c>
      <c r="C228" s="337">
        <v>46295</v>
      </c>
      <c r="D228" s="374" t="s">
        <v>96</v>
      </c>
      <c r="E228" s="309" t="s">
        <v>46</v>
      </c>
      <c r="F228" s="310" t="s">
        <v>97</v>
      </c>
      <c r="G228" s="312">
        <v>6</v>
      </c>
      <c r="H228" s="308">
        <v>12</v>
      </c>
      <c r="I228" s="340">
        <v>62.5</v>
      </c>
      <c r="J228" s="340"/>
      <c r="K228" s="308"/>
      <c r="L228" s="340">
        <f t="shared" si="6"/>
        <v>62.5</v>
      </c>
      <c r="M228" s="308"/>
      <c r="N228" s="311"/>
      <c r="O228" s="312"/>
      <c r="P228" s="308"/>
      <c r="Q228" s="308"/>
      <c r="R228" s="392"/>
      <c r="S228" s="358">
        <f ca="1">IF(C228&lt;=EOMONTH('&gt;&gt;Vistas Consolidadas'!$D$2, '&gt;&gt;Vistas Consolidadas'!$F$2),J228+I228,J228)</f>
        <v>62.5</v>
      </c>
      <c r="T228" s="18" t="str">
        <f ca="1">IF(C228&gt;='&gt;&gt;Vistas Consolidadas'!$D$2,"SI","NO")</f>
        <v>NO</v>
      </c>
      <c r="U228" s="358">
        <f ca="1">IF(C228&lt;=EOMONTH('&gt;&gt;Vistas Consolidadas'!$D$2, '&gt;&gt;Vistas Consolidadas'!$F$2),I228,0)</f>
        <v>62.5</v>
      </c>
      <c r="V228" s="18" t="b">
        <f ca="1">AND(C228&gt;='Interes Por Semana'!$C$4, C228&lt;='Interes Por Semana'!$E$4)</f>
        <v>0</v>
      </c>
      <c r="W228" s="18" t="str">
        <f t="shared" si="7"/>
        <v>miércoles</v>
      </c>
    </row>
    <row r="229" spans="2:23" hidden="1" x14ac:dyDescent="0.25">
      <c r="B229" s="337">
        <v>45398</v>
      </c>
      <c r="C229" s="337">
        <v>46295</v>
      </c>
      <c r="D229" s="374" t="s">
        <v>96</v>
      </c>
      <c r="E229" s="309" t="s">
        <v>47</v>
      </c>
      <c r="F229" s="310" t="s">
        <v>97</v>
      </c>
      <c r="G229" s="311">
        <v>6</v>
      </c>
      <c r="H229" s="311">
        <v>12</v>
      </c>
      <c r="I229" s="340">
        <v>16.670000000000002</v>
      </c>
      <c r="J229" s="340"/>
      <c r="K229" s="308"/>
      <c r="L229" s="340">
        <f t="shared" si="6"/>
        <v>16.670000000000002</v>
      </c>
      <c r="M229" s="311"/>
      <c r="N229" s="311"/>
      <c r="O229" s="311"/>
      <c r="P229" s="311"/>
      <c r="Q229" s="311"/>
      <c r="R229" s="392"/>
      <c r="S229" s="358">
        <f ca="1">IF(C229&lt;=EOMONTH('&gt;&gt;Vistas Consolidadas'!$D$2, '&gt;&gt;Vistas Consolidadas'!$F$2),J229+I229,J229)</f>
        <v>16.670000000000002</v>
      </c>
      <c r="T229" s="18" t="str">
        <f ca="1">IF(C229&gt;='&gt;&gt;Vistas Consolidadas'!$D$2,"SI","NO")</f>
        <v>NO</v>
      </c>
      <c r="U229" s="358">
        <f ca="1">IF(C229&lt;=EOMONTH('&gt;&gt;Vistas Consolidadas'!$D$2, '&gt;&gt;Vistas Consolidadas'!$F$2),I229,0)</f>
        <v>16.670000000000002</v>
      </c>
      <c r="V229" s="18" t="b">
        <f ca="1">AND(C229&gt;='Interes Por Semana'!$C$4, C229&lt;='Interes Por Semana'!$E$4)</f>
        <v>0</v>
      </c>
      <c r="W229" s="18" t="str">
        <f t="shared" si="7"/>
        <v>miércoles</v>
      </c>
    </row>
    <row r="230" spans="2:23" hidden="1" x14ac:dyDescent="0.25">
      <c r="B230" s="337">
        <v>46105</v>
      </c>
      <c r="C230" s="337">
        <v>46295</v>
      </c>
      <c r="D230" s="374" t="s">
        <v>96</v>
      </c>
      <c r="E230" s="309" t="s">
        <v>47</v>
      </c>
      <c r="F230" s="310" t="s">
        <v>97</v>
      </c>
      <c r="G230" s="311">
        <v>6</v>
      </c>
      <c r="H230" s="311">
        <v>10</v>
      </c>
      <c r="I230" s="340">
        <v>16.670000000000002</v>
      </c>
      <c r="J230" s="340"/>
      <c r="K230" s="308"/>
      <c r="L230" s="340">
        <f t="shared" si="6"/>
        <v>16.670000000000002</v>
      </c>
      <c r="M230" s="311"/>
      <c r="N230" s="311"/>
      <c r="O230" s="311"/>
      <c r="P230" s="311"/>
      <c r="Q230" s="311"/>
      <c r="R230" s="392"/>
      <c r="S230" s="358">
        <f ca="1">IF(C230&lt;=EOMONTH('&gt;&gt;Vistas Consolidadas'!$D$2, '&gt;&gt;Vistas Consolidadas'!$F$2),J230+I230,J230)</f>
        <v>16.670000000000002</v>
      </c>
      <c r="T230" s="18" t="str">
        <f ca="1">IF(C230&gt;='&gt;&gt;Vistas Consolidadas'!$D$2,"SI","NO")</f>
        <v>NO</v>
      </c>
      <c r="U230" s="358">
        <f ca="1">IF(C230&lt;=EOMONTH('&gt;&gt;Vistas Consolidadas'!$D$2, '&gt;&gt;Vistas Consolidadas'!$F$2),I230,0)</f>
        <v>16.670000000000002</v>
      </c>
      <c r="V230" s="18" t="b">
        <f ca="1">AND(C230&gt;='Interes Por Semana'!$C$4, C230&lt;='Interes Por Semana'!$E$4)</f>
        <v>0</v>
      </c>
      <c r="W230" s="18" t="str">
        <f t="shared" si="7"/>
        <v>miércoles</v>
      </c>
    </row>
    <row r="231" spans="2:23" hidden="1" x14ac:dyDescent="0.25">
      <c r="B231" s="337">
        <v>44462</v>
      </c>
      <c r="C231" s="337">
        <v>46282</v>
      </c>
      <c r="D231" s="374" t="s">
        <v>78</v>
      </c>
      <c r="E231" s="309" t="s">
        <v>46</v>
      </c>
      <c r="F231" s="310" t="s">
        <v>98</v>
      </c>
      <c r="G231" s="312">
        <v>5.64</v>
      </c>
      <c r="H231" s="308">
        <v>8.1999999999999993</v>
      </c>
      <c r="I231" s="340">
        <v>5.05</v>
      </c>
      <c r="J231" s="340"/>
      <c r="K231" s="308"/>
      <c r="L231" s="340">
        <f t="shared" si="6"/>
        <v>5.05</v>
      </c>
      <c r="M231" s="308"/>
      <c r="N231" s="311"/>
      <c r="O231" s="312"/>
      <c r="P231" s="308"/>
      <c r="Q231" s="308"/>
      <c r="R231" s="392"/>
      <c r="S231" s="358">
        <f ca="1">IF(C231&lt;=EOMONTH('&gt;&gt;Vistas Consolidadas'!$D$2, '&gt;&gt;Vistas Consolidadas'!$F$2),J231+I231,J231)</f>
        <v>5.05</v>
      </c>
      <c r="T231" s="18" t="str">
        <f ca="1">IF(C231&gt;='&gt;&gt;Vistas Consolidadas'!$D$2,"SI","NO")</f>
        <v>NO</v>
      </c>
      <c r="U231" s="358">
        <f ca="1">IF(C231&lt;=EOMONTH('&gt;&gt;Vistas Consolidadas'!$D$2, '&gt;&gt;Vistas Consolidadas'!$F$2),I231,0)</f>
        <v>5.05</v>
      </c>
      <c r="V231" s="18" t="b">
        <f ca="1">AND(C231&gt;='Interes Por Semana'!$C$4, C231&lt;='Interes Por Semana'!$E$4)</f>
        <v>0</v>
      </c>
      <c r="W231" s="18" t="str">
        <f t="shared" si="7"/>
        <v>jueves</v>
      </c>
    </row>
    <row r="232" spans="2:23" hidden="1" x14ac:dyDescent="0.25">
      <c r="B232" s="337">
        <v>45264</v>
      </c>
      <c r="C232" s="337">
        <v>46282</v>
      </c>
      <c r="D232" s="374" t="s">
        <v>78</v>
      </c>
      <c r="E232" s="309" t="s">
        <v>46</v>
      </c>
      <c r="F232" s="310" t="s">
        <v>99</v>
      </c>
      <c r="G232" s="312">
        <v>5.64</v>
      </c>
      <c r="H232" s="308">
        <v>13</v>
      </c>
      <c r="I232" s="340">
        <v>14.1</v>
      </c>
      <c r="J232" s="340"/>
      <c r="K232" s="308"/>
      <c r="L232" s="340">
        <f t="shared" si="6"/>
        <v>14.1</v>
      </c>
      <c r="M232" s="308"/>
      <c r="N232" s="311"/>
      <c r="O232" s="312"/>
      <c r="P232" s="308"/>
      <c r="Q232" s="308"/>
      <c r="R232" s="392"/>
      <c r="S232" s="358">
        <f ca="1">IF(C232&lt;=EOMONTH('&gt;&gt;Vistas Consolidadas'!$D$2, '&gt;&gt;Vistas Consolidadas'!$F$2),J232+I232,J232)</f>
        <v>14.1</v>
      </c>
      <c r="T232" s="18" t="str">
        <f ca="1">IF(C232&gt;='&gt;&gt;Vistas Consolidadas'!$D$2,"SI","NO")</f>
        <v>NO</v>
      </c>
      <c r="U232" s="358">
        <f ca="1">IF(C232&lt;=EOMONTH('&gt;&gt;Vistas Consolidadas'!$D$2, '&gt;&gt;Vistas Consolidadas'!$F$2),I232,0)</f>
        <v>14.1</v>
      </c>
      <c r="V232" s="18" t="b">
        <f ca="1">AND(C232&gt;='Interes Por Semana'!$C$4, C232&lt;='Interes Por Semana'!$E$4)</f>
        <v>0</v>
      </c>
      <c r="W232" s="18" t="str">
        <f t="shared" si="7"/>
        <v>jueves</v>
      </c>
    </row>
    <row r="233" spans="2:23" hidden="1" x14ac:dyDescent="0.25">
      <c r="B233" s="337">
        <v>45302</v>
      </c>
      <c r="C233" s="337">
        <v>46282</v>
      </c>
      <c r="D233" s="374" t="s">
        <v>78</v>
      </c>
      <c r="E233" s="309" t="s">
        <v>46</v>
      </c>
      <c r="F233" s="310" t="s">
        <v>99</v>
      </c>
      <c r="G233" s="312">
        <v>5.64</v>
      </c>
      <c r="H233" s="308">
        <v>12.75</v>
      </c>
      <c r="I233" s="340">
        <v>7.28</v>
      </c>
      <c r="J233" s="340"/>
      <c r="K233" s="308"/>
      <c r="L233" s="340">
        <f t="shared" si="6"/>
        <v>7.28</v>
      </c>
      <c r="M233" s="308"/>
      <c r="N233" s="311"/>
      <c r="O233" s="312"/>
      <c r="P233" s="308"/>
      <c r="Q233" s="308"/>
      <c r="R233" s="392"/>
      <c r="S233" s="358">
        <f ca="1">IF(C233&lt;=EOMONTH('&gt;&gt;Vistas Consolidadas'!$D$2, '&gt;&gt;Vistas Consolidadas'!$F$2),J233+I233,J233)</f>
        <v>7.28</v>
      </c>
      <c r="T233" s="18" t="str">
        <f ca="1">IF(C233&gt;='&gt;&gt;Vistas Consolidadas'!$D$2,"SI","NO")</f>
        <v>NO</v>
      </c>
      <c r="U233" s="358">
        <f ca="1">IF(C233&lt;=EOMONTH('&gt;&gt;Vistas Consolidadas'!$D$2, '&gt;&gt;Vistas Consolidadas'!$F$2),I233,0)</f>
        <v>7.28</v>
      </c>
      <c r="V233" s="18" t="b">
        <f ca="1">AND(C233&gt;='Interes Por Semana'!$C$4, C233&lt;='Interes Por Semana'!$E$4)</f>
        <v>0</v>
      </c>
      <c r="W233" s="18" t="str">
        <f t="shared" si="7"/>
        <v>jueves</v>
      </c>
    </row>
    <row r="234" spans="2:23" hidden="1" x14ac:dyDescent="0.25">
      <c r="B234" s="337">
        <v>46006</v>
      </c>
      <c r="C234" s="337">
        <v>46283</v>
      </c>
      <c r="D234" s="374" t="s">
        <v>78</v>
      </c>
      <c r="E234" s="309" t="s">
        <v>46</v>
      </c>
      <c r="F234" s="310" t="s">
        <v>100</v>
      </c>
      <c r="G234" s="312">
        <v>5.93</v>
      </c>
      <c r="H234" s="308">
        <v>8.5</v>
      </c>
      <c r="I234" s="340">
        <f>23.09-J234</f>
        <v>23.09</v>
      </c>
      <c r="J234" s="340"/>
      <c r="K234" s="308"/>
      <c r="L234" s="340">
        <f t="shared" si="6"/>
        <v>23.09</v>
      </c>
      <c r="M234" s="308"/>
      <c r="N234" s="311"/>
      <c r="O234" s="312"/>
      <c r="P234" s="308"/>
      <c r="Q234" s="308"/>
      <c r="R234" s="392"/>
      <c r="S234" s="358">
        <f ca="1">IF(C234&lt;=EOMONTH('&gt;&gt;Vistas Consolidadas'!$D$2, '&gt;&gt;Vistas Consolidadas'!$F$2),J234+I234,J234)</f>
        <v>23.09</v>
      </c>
      <c r="T234" s="18" t="str">
        <f ca="1">IF(C234&gt;='&gt;&gt;Vistas Consolidadas'!$D$2,"SI","NO")</f>
        <v>NO</v>
      </c>
      <c r="U234" s="358">
        <f ca="1">IF(C234&lt;=EOMONTH('&gt;&gt;Vistas Consolidadas'!$D$2, '&gt;&gt;Vistas Consolidadas'!$F$2),I234,0)</f>
        <v>23.09</v>
      </c>
      <c r="V234" s="18" t="b">
        <f ca="1">AND(C234&gt;='Interes Por Semana'!$C$4, C234&lt;='Interes Por Semana'!$E$4)</f>
        <v>0</v>
      </c>
      <c r="W234" s="18" t="str">
        <f t="shared" si="7"/>
        <v>viernes</v>
      </c>
    </row>
    <row r="235" spans="2:23" hidden="1" x14ac:dyDescent="0.25">
      <c r="B235" s="337">
        <v>45734</v>
      </c>
      <c r="C235" s="337">
        <v>46283</v>
      </c>
      <c r="D235" s="374" t="s">
        <v>78</v>
      </c>
      <c r="E235" s="309" t="s">
        <v>47</v>
      </c>
      <c r="F235" s="310" t="s">
        <v>101</v>
      </c>
      <c r="G235" s="311">
        <v>5.93</v>
      </c>
      <c r="H235" s="311">
        <v>12</v>
      </c>
      <c r="I235" s="340">
        <f>8.94</f>
        <v>8.94</v>
      </c>
      <c r="J235" s="340"/>
      <c r="K235" s="308"/>
      <c r="L235" s="340">
        <f t="shared" si="6"/>
        <v>8.94</v>
      </c>
      <c r="M235" s="311"/>
      <c r="N235" s="311"/>
      <c r="O235" s="311"/>
      <c r="P235" s="311"/>
      <c r="Q235" s="311"/>
      <c r="R235" s="392"/>
      <c r="S235" s="358">
        <f ca="1">IF(C235&lt;=EOMONTH('&gt;&gt;Vistas Consolidadas'!$D$2, '&gt;&gt;Vistas Consolidadas'!$F$2),J235+I235,J235)</f>
        <v>8.94</v>
      </c>
      <c r="T235" s="18" t="str">
        <f ca="1">IF(C235&gt;='&gt;&gt;Vistas Consolidadas'!$D$2,"SI","NO")</f>
        <v>NO</v>
      </c>
      <c r="U235" s="358">
        <f ca="1">IF(C235&lt;=EOMONTH('&gt;&gt;Vistas Consolidadas'!$D$2, '&gt;&gt;Vistas Consolidadas'!$F$2),I235,0)</f>
        <v>8.94</v>
      </c>
      <c r="V235" s="18" t="b">
        <f ca="1">AND(C235&gt;='Interes Por Semana'!$C$4, C235&lt;='Interes Por Semana'!$E$4)</f>
        <v>0</v>
      </c>
      <c r="W235" s="18" t="str">
        <f t="shared" si="7"/>
        <v>viernes</v>
      </c>
    </row>
    <row r="236" spans="2:23" hidden="1" x14ac:dyDescent="0.25">
      <c r="B236" s="337">
        <v>45264</v>
      </c>
      <c r="C236" s="337">
        <v>46286</v>
      </c>
      <c r="D236" s="374" t="s">
        <v>78</v>
      </c>
      <c r="E236" s="309" t="s">
        <v>46</v>
      </c>
      <c r="F236" s="310" t="s">
        <v>103</v>
      </c>
      <c r="G236" s="312">
        <v>5.36</v>
      </c>
      <c r="H236" s="308">
        <v>13</v>
      </c>
      <c r="I236" s="340">
        <v>5.58</v>
      </c>
      <c r="J236" s="340"/>
      <c r="K236" s="308"/>
      <c r="L236" s="340">
        <f t="shared" si="6"/>
        <v>5.58</v>
      </c>
      <c r="M236" s="308"/>
      <c r="N236" s="311"/>
      <c r="O236" s="312"/>
      <c r="P236" s="308"/>
      <c r="Q236" s="308"/>
      <c r="R236" s="392"/>
      <c r="S236" s="358">
        <f ca="1">IF(C236&lt;=EOMONTH('&gt;&gt;Vistas Consolidadas'!$D$2, '&gt;&gt;Vistas Consolidadas'!$F$2),J236+I236,J236)</f>
        <v>5.58</v>
      </c>
      <c r="T236" s="18" t="str">
        <f ca="1">IF(C236&gt;='&gt;&gt;Vistas Consolidadas'!$D$2,"SI","NO")</f>
        <v>NO</v>
      </c>
      <c r="U236" s="358">
        <f ca="1">IF(C236&lt;=EOMONTH('&gt;&gt;Vistas Consolidadas'!$D$2, '&gt;&gt;Vistas Consolidadas'!$F$2),I236,0)</f>
        <v>5.58</v>
      </c>
      <c r="V236" s="18" t="b">
        <f ca="1">AND(C236&gt;='Interes Por Semana'!$C$4, C236&lt;='Interes Por Semana'!$E$4)</f>
        <v>0</v>
      </c>
      <c r="W236" s="18" t="str">
        <f t="shared" si="7"/>
        <v>lunes</v>
      </c>
    </row>
    <row r="237" spans="2:23" hidden="1" x14ac:dyDescent="0.25">
      <c r="B237" s="337">
        <v>45279</v>
      </c>
      <c r="C237" s="337">
        <v>46286</v>
      </c>
      <c r="D237" s="374" t="s">
        <v>78</v>
      </c>
      <c r="E237" s="309" t="s">
        <v>46</v>
      </c>
      <c r="F237" s="310" t="s">
        <v>103</v>
      </c>
      <c r="G237" s="312">
        <v>5.36</v>
      </c>
      <c r="H237" s="308">
        <v>13</v>
      </c>
      <c r="I237" s="340">
        <v>3.13</v>
      </c>
      <c r="J237" s="340"/>
      <c r="K237" s="308"/>
      <c r="L237" s="340">
        <f t="shared" si="6"/>
        <v>3.13</v>
      </c>
      <c r="M237" s="308"/>
      <c r="N237" s="311"/>
      <c r="O237" s="312"/>
      <c r="P237" s="308"/>
      <c r="Q237" s="308"/>
      <c r="R237" s="392"/>
      <c r="S237" s="358">
        <f ca="1">IF(C237&lt;=EOMONTH('&gt;&gt;Vistas Consolidadas'!$D$2, '&gt;&gt;Vistas Consolidadas'!$F$2),J237+I237,J237)</f>
        <v>3.13</v>
      </c>
      <c r="T237" s="18" t="str">
        <f ca="1">IF(C237&gt;='&gt;&gt;Vistas Consolidadas'!$D$2,"SI","NO")</f>
        <v>NO</v>
      </c>
      <c r="U237" s="358">
        <f ca="1">IF(C237&lt;=EOMONTH('&gt;&gt;Vistas Consolidadas'!$D$2, '&gt;&gt;Vistas Consolidadas'!$F$2),I237,0)</f>
        <v>3.13</v>
      </c>
      <c r="V237" s="18" t="b">
        <f ca="1">AND(C237&gt;='Interes Por Semana'!$C$4, C237&lt;='Interes Por Semana'!$E$4)</f>
        <v>0</v>
      </c>
      <c r="W237" s="18" t="str">
        <f t="shared" si="7"/>
        <v>lunes</v>
      </c>
    </row>
    <row r="238" spans="2:23" hidden="1" x14ac:dyDescent="0.25">
      <c r="B238" s="337">
        <v>45552</v>
      </c>
      <c r="C238" s="337">
        <v>46286</v>
      </c>
      <c r="D238" s="374" t="s">
        <v>78</v>
      </c>
      <c r="E238" s="309" t="s">
        <v>47</v>
      </c>
      <c r="F238" s="310" t="s">
        <v>103</v>
      </c>
      <c r="G238" s="311">
        <v>5.36</v>
      </c>
      <c r="H238" s="311">
        <v>13.75</v>
      </c>
      <c r="I238" s="340">
        <f>4.47</f>
        <v>4.47</v>
      </c>
      <c r="J238" s="340"/>
      <c r="K238" s="308"/>
      <c r="L238" s="340">
        <f t="shared" si="6"/>
        <v>4.47</v>
      </c>
      <c r="M238" s="311"/>
      <c r="N238" s="311"/>
      <c r="O238" s="311"/>
      <c r="P238" s="311"/>
      <c r="Q238" s="311"/>
      <c r="R238" s="392"/>
      <c r="S238" s="358">
        <f ca="1">IF(C238&lt;=EOMONTH('&gt;&gt;Vistas Consolidadas'!$D$2, '&gt;&gt;Vistas Consolidadas'!$F$2),J238+I238,J238)</f>
        <v>4.47</v>
      </c>
      <c r="T238" s="18" t="str">
        <f ca="1">IF(C238&gt;='&gt;&gt;Vistas Consolidadas'!$D$2,"SI","NO")</f>
        <v>NO</v>
      </c>
      <c r="U238" s="358">
        <f ca="1">IF(C238&lt;=EOMONTH('&gt;&gt;Vistas Consolidadas'!$D$2, '&gt;&gt;Vistas Consolidadas'!$F$2),I238,0)</f>
        <v>4.47</v>
      </c>
      <c r="V238" s="18" t="b">
        <f ca="1">AND(C238&gt;='Interes Por Semana'!$C$4, C238&lt;='Interes Por Semana'!$E$4)</f>
        <v>0</v>
      </c>
      <c r="W238" s="18" t="str">
        <f t="shared" si="7"/>
        <v>lunes</v>
      </c>
    </row>
    <row r="239" spans="2:23" hidden="1" x14ac:dyDescent="0.25">
      <c r="B239" s="337">
        <v>45447</v>
      </c>
      <c r="C239" s="337">
        <v>46289</v>
      </c>
      <c r="D239" s="374" t="s">
        <v>78</v>
      </c>
      <c r="E239" s="309" t="s">
        <v>47</v>
      </c>
      <c r="F239" s="310" t="s">
        <v>105</v>
      </c>
      <c r="G239" s="311">
        <v>5.93</v>
      </c>
      <c r="H239" s="311">
        <v>13.25</v>
      </c>
      <c r="I239" s="340">
        <f>29.65</f>
        <v>29.65</v>
      </c>
      <c r="J239" s="340"/>
      <c r="K239" s="308"/>
      <c r="L239" s="340">
        <f t="shared" si="6"/>
        <v>29.65</v>
      </c>
      <c r="M239" s="311"/>
      <c r="N239" s="311"/>
      <c r="O239" s="311"/>
      <c r="P239" s="311"/>
      <c r="Q239" s="311"/>
      <c r="R239" s="392"/>
      <c r="S239" s="358">
        <f ca="1">IF(C239&lt;=EOMONTH('&gt;&gt;Vistas Consolidadas'!$D$2, '&gt;&gt;Vistas Consolidadas'!$F$2),J239+I239,J239)</f>
        <v>29.65</v>
      </c>
      <c r="T239" s="18" t="str">
        <f ca="1">IF(C239&gt;='&gt;&gt;Vistas Consolidadas'!$D$2,"SI","NO")</f>
        <v>NO</v>
      </c>
      <c r="U239" s="358">
        <f ca="1">IF(C239&lt;=EOMONTH('&gt;&gt;Vistas Consolidadas'!$D$2, '&gt;&gt;Vistas Consolidadas'!$F$2),I239,0)</f>
        <v>29.65</v>
      </c>
      <c r="V239" s="18" t="b">
        <f ca="1">AND(C239&gt;='Interes Por Semana'!$C$4, C239&lt;='Interes Por Semana'!$E$4)</f>
        <v>0</v>
      </c>
      <c r="W239" s="18" t="str">
        <f t="shared" si="7"/>
        <v>jueves</v>
      </c>
    </row>
    <row r="240" spans="2:23" hidden="1" x14ac:dyDescent="0.25">
      <c r="B240" s="337">
        <v>45832</v>
      </c>
      <c r="C240" s="337">
        <v>46290</v>
      </c>
      <c r="D240" s="374" t="s">
        <v>78</v>
      </c>
      <c r="E240" s="309" t="s">
        <v>47</v>
      </c>
      <c r="F240" s="310" t="s">
        <v>106</v>
      </c>
      <c r="G240" s="311">
        <v>5.93</v>
      </c>
      <c r="H240" s="311">
        <v>11</v>
      </c>
      <c r="I240" s="340">
        <f>22.41</f>
        <v>22.41</v>
      </c>
      <c r="J240" s="340"/>
      <c r="K240" s="308"/>
      <c r="L240" s="340">
        <f t="shared" si="6"/>
        <v>22.41</v>
      </c>
      <c r="M240" s="311"/>
      <c r="N240" s="311"/>
      <c r="O240" s="311"/>
      <c r="P240" s="311"/>
      <c r="Q240" s="311"/>
      <c r="R240" s="392"/>
      <c r="S240" s="358">
        <f ca="1">IF(C240&lt;=EOMONTH('&gt;&gt;Vistas Consolidadas'!$D$2, '&gt;&gt;Vistas Consolidadas'!$F$2),J240+I240,J240)</f>
        <v>22.41</v>
      </c>
      <c r="T240" s="18" t="str">
        <f ca="1">IF(C240&gt;='&gt;&gt;Vistas Consolidadas'!$D$2,"SI","NO")</f>
        <v>NO</v>
      </c>
      <c r="U240" s="358">
        <f ca="1">IF(C240&lt;=EOMONTH('&gt;&gt;Vistas Consolidadas'!$D$2, '&gt;&gt;Vistas Consolidadas'!$F$2),I240,0)</f>
        <v>22.41</v>
      </c>
      <c r="V240" s="18" t="b">
        <f ca="1">AND(C240&gt;='Interes Por Semana'!$C$4, C240&lt;='Interes Por Semana'!$E$4)</f>
        <v>0</v>
      </c>
      <c r="W240" s="18" t="str">
        <f t="shared" si="7"/>
        <v>viernes</v>
      </c>
    </row>
    <row r="241" spans="2:23" hidden="1" x14ac:dyDescent="0.25">
      <c r="B241" s="337">
        <v>45889</v>
      </c>
      <c r="C241" s="337">
        <v>46290</v>
      </c>
      <c r="D241" s="374" t="s">
        <v>78</v>
      </c>
      <c r="E241" s="309" t="s">
        <v>47</v>
      </c>
      <c r="F241" s="310" t="s">
        <v>106</v>
      </c>
      <c r="G241" s="311">
        <v>6.21</v>
      </c>
      <c r="H241" s="311">
        <v>9.75</v>
      </c>
      <c r="I241" s="340">
        <v>4.5</v>
      </c>
      <c r="J241" s="340"/>
      <c r="K241" s="308"/>
      <c r="L241" s="340">
        <f t="shared" si="6"/>
        <v>4.5</v>
      </c>
      <c r="M241" s="311"/>
      <c r="N241" s="311"/>
      <c r="O241" s="311"/>
      <c r="P241" s="311"/>
      <c r="Q241" s="311"/>
      <c r="R241" s="392"/>
      <c r="S241" s="358">
        <f ca="1">IF(C241&lt;=EOMONTH('&gt;&gt;Vistas Consolidadas'!$D$2, '&gt;&gt;Vistas Consolidadas'!$F$2),J241+I241,J241)</f>
        <v>4.5</v>
      </c>
      <c r="T241" s="18" t="str">
        <f ca="1">IF(C241&gt;='&gt;&gt;Vistas Consolidadas'!$D$2,"SI","NO")</f>
        <v>NO</v>
      </c>
      <c r="U241" s="358">
        <f ca="1">IF(C241&lt;=EOMONTH('&gt;&gt;Vistas Consolidadas'!$D$2, '&gt;&gt;Vistas Consolidadas'!$F$2),I241,0)</f>
        <v>4.5</v>
      </c>
      <c r="V241" s="18" t="b">
        <f ca="1">AND(C241&gt;='Interes Por Semana'!$C$4, C241&lt;='Interes Por Semana'!$E$4)</f>
        <v>0</v>
      </c>
      <c r="W241" s="18" t="str">
        <f t="shared" si="7"/>
        <v>viernes</v>
      </c>
    </row>
    <row r="242" spans="2:23" hidden="1" x14ac:dyDescent="0.25">
      <c r="B242" s="337">
        <v>45889</v>
      </c>
      <c r="C242" s="337">
        <v>46290</v>
      </c>
      <c r="D242" s="374" t="s">
        <v>78</v>
      </c>
      <c r="E242" s="309" t="s">
        <v>46</v>
      </c>
      <c r="F242" s="310" t="s">
        <v>106</v>
      </c>
      <c r="G242" s="312">
        <v>6.21</v>
      </c>
      <c r="H242" s="308">
        <v>10.75</v>
      </c>
      <c r="I242" s="340">
        <v>25.88</v>
      </c>
      <c r="J242" s="340"/>
      <c r="K242" s="308"/>
      <c r="L242" s="340">
        <f t="shared" si="6"/>
        <v>25.88</v>
      </c>
      <c r="M242" s="308"/>
      <c r="N242" s="311"/>
      <c r="O242" s="312"/>
      <c r="P242" s="308"/>
      <c r="Q242" s="308"/>
      <c r="R242" s="392"/>
      <c r="S242" s="358">
        <f ca="1">IF(C242&lt;=EOMONTH('&gt;&gt;Vistas Consolidadas'!$D$2, '&gt;&gt;Vistas Consolidadas'!$F$2),J242+I242,J242)</f>
        <v>25.88</v>
      </c>
      <c r="T242" s="18" t="str">
        <f ca="1">IF(C242&gt;='&gt;&gt;Vistas Consolidadas'!$D$2,"SI","NO")</f>
        <v>NO</v>
      </c>
      <c r="U242" s="358">
        <f ca="1">IF(C242&lt;=EOMONTH('&gt;&gt;Vistas Consolidadas'!$D$2, '&gt;&gt;Vistas Consolidadas'!$F$2),I242,0)</f>
        <v>25.88</v>
      </c>
      <c r="V242" s="18" t="b">
        <f ca="1">AND(C242&gt;='Interes Por Semana'!$C$4, C242&lt;='Interes Por Semana'!$E$4)</f>
        <v>0</v>
      </c>
      <c r="W242" s="18" t="str">
        <f t="shared" si="7"/>
        <v>viernes</v>
      </c>
    </row>
    <row r="243" spans="2:23" hidden="1" x14ac:dyDescent="0.25">
      <c r="B243" s="337">
        <v>45593</v>
      </c>
      <c r="C243" s="337">
        <v>46291</v>
      </c>
      <c r="D243" s="374" t="s">
        <v>78</v>
      </c>
      <c r="E243" s="309" t="s">
        <v>47</v>
      </c>
      <c r="F243" s="310" t="s">
        <v>107</v>
      </c>
      <c r="G243" s="311">
        <v>5.07</v>
      </c>
      <c r="H243" s="311">
        <v>13</v>
      </c>
      <c r="I243" s="340">
        <f>11.41</f>
        <v>11.41</v>
      </c>
      <c r="J243" s="340"/>
      <c r="K243" s="308"/>
      <c r="L243" s="340">
        <f t="shared" si="6"/>
        <v>11.41</v>
      </c>
      <c r="M243" s="311"/>
      <c r="N243" s="311"/>
      <c r="O243" s="311"/>
      <c r="P243" s="311"/>
      <c r="Q243" s="311"/>
      <c r="R243" s="392"/>
      <c r="S243" s="358">
        <f ca="1">IF(C243&lt;=EOMONTH('&gt;&gt;Vistas Consolidadas'!$D$2, '&gt;&gt;Vistas Consolidadas'!$F$2),J243+I243,J243)</f>
        <v>11.41</v>
      </c>
      <c r="T243" s="18" t="str">
        <f ca="1">IF(C243&gt;='&gt;&gt;Vistas Consolidadas'!$D$2,"SI","NO")</f>
        <v>NO</v>
      </c>
      <c r="U243" s="358">
        <f ca="1">IF(C243&lt;=EOMONTH('&gt;&gt;Vistas Consolidadas'!$D$2, '&gt;&gt;Vistas Consolidadas'!$F$2),I243,0)</f>
        <v>11.41</v>
      </c>
      <c r="V243" s="18" t="b">
        <f ca="1">AND(C243&gt;='Interes Por Semana'!$C$4, C243&lt;='Interes Por Semana'!$E$4)</f>
        <v>0</v>
      </c>
      <c r="W243" s="18" t="str">
        <f t="shared" si="7"/>
        <v>sábado</v>
      </c>
    </row>
    <row r="244" spans="2:23" hidden="1" x14ac:dyDescent="0.25">
      <c r="B244" s="337">
        <v>44830</v>
      </c>
      <c r="C244" s="337">
        <v>46292</v>
      </c>
      <c r="D244" s="374" t="s">
        <v>78</v>
      </c>
      <c r="E244" s="309" t="s">
        <v>47</v>
      </c>
      <c r="F244" s="310" t="s">
        <v>108</v>
      </c>
      <c r="G244" s="311">
        <v>5.64</v>
      </c>
      <c r="H244" s="311">
        <v>10.199999999999999</v>
      </c>
      <c r="I244" s="340">
        <v>9.4</v>
      </c>
      <c r="J244" s="340"/>
      <c r="K244" s="308"/>
      <c r="L244" s="340">
        <f t="shared" si="6"/>
        <v>9.4</v>
      </c>
      <c r="M244" s="311"/>
      <c r="N244" s="311"/>
      <c r="O244" s="311"/>
      <c r="P244" s="311"/>
      <c r="Q244" s="311"/>
      <c r="R244" s="392"/>
      <c r="S244" s="358">
        <f ca="1">IF(C244&lt;=EOMONTH('&gt;&gt;Vistas Consolidadas'!$D$2, '&gt;&gt;Vistas Consolidadas'!$F$2),J244+I244,J244)</f>
        <v>9.4</v>
      </c>
      <c r="T244" s="18" t="str">
        <f ca="1">IF(C244&gt;='&gt;&gt;Vistas Consolidadas'!$D$2,"SI","NO")</f>
        <v>NO</v>
      </c>
      <c r="U244" s="358">
        <f ca="1">IF(C244&lt;=EOMONTH('&gt;&gt;Vistas Consolidadas'!$D$2, '&gt;&gt;Vistas Consolidadas'!$F$2),I244,0)</f>
        <v>9.4</v>
      </c>
      <c r="V244" s="18" t="b">
        <f ca="1">AND(C244&gt;='Interes Por Semana'!$C$4, C244&lt;='Interes Por Semana'!$E$4)</f>
        <v>0</v>
      </c>
      <c r="W244" s="18" t="str">
        <f t="shared" si="7"/>
        <v>domingo</v>
      </c>
    </row>
    <row r="245" spans="2:23" hidden="1" x14ac:dyDescent="0.25">
      <c r="B245" s="337">
        <v>46057</v>
      </c>
      <c r="C245" s="337">
        <v>46292</v>
      </c>
      <c r="D245" s="374" t="s">
        <v>78</v>
      </c>
      <c r="E245" s="309" t="s">
        <v>47</v>
      </c>
      <c r="F245" s="310" t="s">
        <v>109</v>
      </c>
      <c r="G245" s="311">
        <v>6.21</v>
      </c>
      <c r="H245" s="311">
        <v>11</v>
      </c>
      <c r="I245" s="340">
        <v>15.61</v>
      </c>
      <c r="J245" s="340"/>
      <c r="K245" s="308"/>
      <c r="L245" s="340">
        <f t="shared" si="6"/>
        <v>15.61</v>
      </c>
      <c r="M245" s="311"/>
      <c r="N245" s="311"/>
      <c r="O245" s="311"/>
      <c r="P245" s="311"/>
      <c r="Q245" s="311"/>
      <c r="R245" s="392"/>
      <c r="S245" s="358">
        <f ca="1">IF(C245&lt;=EOMONTH('&gt;&gt;Vistas Consolidadas'!$D$2, '&gt;&gt;Vistas Consolidadas'!$F$2),J245+I245,J245)</f>
        <v>15.61</v>
      </c>
      <c r="T245" s="18" t="str">
        <f ca="1">IF(C245&gt;='&gt;&gt;Vistas Consolidadas'!$D$2,"SI","NO")</f>
        <v>NO</v>
      </c>
      <c r="U245" s="358">
        <f ca="1">IF(C245&lt;=EOMONTH('&gt;&gt;Vistas Consolidadas'!$D$2, '&gt;&gt;Vistas Consolidadas'!$F$2),I245,0)</f>
        <v>15.61</v>
      </c>
      <c r="V245" s="18" t="b">
        <f ca="1">AND(C245&gt;='Interes Por Semana'!$C$4, C245&lt;='Interes Por Semana'!$E$4)</f>
        <v>0</v>
      </c>
      <c r="W245" s="18" t="str">
        <f t="shared" si="7"/>
        <v>domingo</v>
      </c>
    </row>
    <row r="246" spans="2:23" hidden="1" x14ac:dyDescent="0.25">
      <c r="B246" s="337">
        <v>46080</v>
      </c>
      <c r="C246" s="337">
        <v>46292</v>
      </c>
      <c r="D246" s="374" t="s">
        <v>78</v>
      </c>
      <c r="E246" s="309" t="s">
        <v>46</v>
      </c>
      <c r="F246" s="310" t="s">
        <v>110</v>
      </c>
      <c r="G246" s="312">
        <v>6.21</v>
      </c>
      <c r="H246" s="312">
        <v>10.6</v>
      </c>
      <c r="I246" s="340">
        <v>17.79</v>
      </c>
      <c r="J246" s="340"/>
      <c r="K246" s="308"/>
      <c r="L246" s="340">
        <f t="shared" si="6"/>
        <v>17.79</v>
      </c>
      <c r="M246" s="308"/>
      <c r="N246" s="311"/>
      <c r="O246" s="312"/>
      <c r="P246" s="308"/>
      <c r="Q246" s="308"/>
      <c r="R246" s="392"/>
      <c r="S246" s="358">
        <f ca="1">IF(C246&lt;=EOMONTH('&gt;&gt;Vistas Consolidadas'!$D$2, '&gt;&gt;Vistas Consolidadas'!$F$2),J246+I246,J246)</f>
        <v>17.79</v>
      </c>
      <c r="T246" s="18" t="str">
        <f ca="1">IF(C246&gt;='&gt;&gt;Vistas Consolidadas'!$D$2,"SI","NO")</f>
        <v>NO</v>
      </c>
      <c r="U246" s="358">
        <f ca="1">IF(C246&lt;=EOMONTH('&gt;&gt;Vistas Consolidadas'!$D$2, '&gt;&gt;Vistas Consolidadas'!$F$2),I246,0)</f>
        <v>17.79</v>
      </c>
      <c r="V246" s="18" t="b">
        <f ca="1">AND(C246&gt;='Interes Por Semana'!$C$4, C246&lt;='Interes Por Semana'!$E$4)</f>
        <v>0</v>
      </c>
      <c r="W246" s="18" t="str">
        <f t="shared" si="7"/>
        <v>domingo</v>
      </c>
    </row>
    <row r="247" spans="2:23" hidden="1" x14ac:dyDescent="0.25">
      <c r="B247" s="337">
        <v>45987</v>
      </c>
      <c r="C247" s="337">
        <v>46293</v>
      </c>
      <c r="D247" s="374" t="s">
        <v>78</v>
      </c>
      <c r="E247" s="309" t="s">
        <v>46</v>
      </c>
      <c r="F247" s="310" t="s">
        <v>111</v>
      </c>
      <c r="G247" s="312">
        <v>6.82</v>
      </c>
      <c r="H247" s="308">
        <v>11</v>
      </c>
      <c r="I247" s="340">
        <v>6.82</v>
      </c>
      <c r="J247" s="340">
        <v>0</v>
      </c>
      <c r="K247" s="308"/>
      <c r="L247" s="340">
        <f t="shared" si="6"/>
        <v>6.82</v>
      </c>
      <c r="M247" s="308"/>
      <c r="N247" s="311"/>
      <c r="O247" s="312"/>
      <c r="P247" s="308"/>
      <c r="Q247" s="308"/>
      <c r="R247" s="392"/>
      <c r="S247" s="358">
        <f ca="1">IF(C247&lt;=EOMONTH('&gt;&gt;Vistas Consolidadas'!$D$2, '&gt;&gt;Vistas Consolidadas'!$F$2),J247+I247,J247)</f>
        <v>6.82</v>
      </c>
      <c r="T247" s="18" t="str">
        <f ca="1">IF(C247&gt;='&gt;&gt;Vistas Consolidadas'!$D$2,"SI","NO")</f>
        <v>NO</v>
      </c>
      <c r="U247" s="358">
        <f ca="1">IF(C247&lt;=EOMONTH('&gt;&gt;Vistas Consolidadas'!$D$2, '&gt;&gt;Vistas Consolidadas'!$F$2),I247,0)</f>
        <v>6.82</v>
      </c>
      <c r="V247" s="18" t="b">
        <f ca="1">AND(C247&gt;='Interes Por Semana'!$C$4, C247&lt;='Interes Por Semana'!$E$4)</f>
        <v>0</v>
      </c>
      <c r="W247" s="18" t="str">
        <f t="shared" si="7"/>
        <v>lunes</v>
      </c>
    </row>
    <row r="248" spans="2:23" hidden="1" x14ac:dyDescent="0.25">
      <c r="B248" s="337">
        <v>45775</v>
      </c>
      <c r="C248" s="337">
        <v>46303</v>
      </c>
      <c r="D248" s="374" t="s">
        <v>88</v>
      </c>
      <c r="E248" s="309" t="s">
        <v>47</v>
      </c>
      <c r="F248" s="310" t="s">
        <v>89</v>
      </c>
      <c r="G248" s="311">
        <v>9</v>
      </c>
      <c r="H248" s="311">
        <v>11.5</v>
      </c>
      <c r="I248" s="340">
        <v>322.75</v>
      </c>
      <c r="J248" s="340">
        <v>1663.68</v>
      </c>
      <c r="K248" s="308"/>
      <c r="L248" s="340">
        <f t="shared" si="6"/>
        <v>322.75</v>
      </c>
      <c r="M248" s="308"/>
      <c r="N248" s="311"/>
      <c r="O248" s="312"/>
      <c r="P248" s="308"/>
      <c r="Q248" s="308"/>
      <c r="R248" s="392"/>
      <c r="S248" s="358">
        <f ca="1">IF(C248&lt;=EOMONTH('&gt;&gt;Vistas Consolidadas'!$D$2, '&gt;&gt;Vistas Consolidadas'!$F$2),J248+I248,J248)</f>
        <v>1986.43</v>
      </c>
      <c r="T248" s="18" t="str">
        <f ca="1">IF(C248&gt;='&gt;&gt;Vistas Consolidadas'!$D$2,"SI","NO")</f>
        <v>NO</v>
      </c>
      <c r="U248" s="358">
        <f ca="1">IF(C248&lt;=EOMONTH('&gt;&gt;Vistas Consolidadas'!$D$2, '&gt;&gt;Vistas Consolidadas'!$F$2),I248,0)</f>
        <v>322.75</v>
      </c>
      <c r="V248" s="18" t="b">
        <f ca="1">AND(C248&gt;='Interes Por Semana'!$C$4, C248&lt;='Interes Por Semana'!$E$4)</f>
        <v>0</v>
      </c>
      <c r="W248" s="18" t="str">
        <f t="shared" si="7"/>
        <v>jueves</v>
      </c>
    </row>
    <row r="249" spans="2:23" hidden="1" x14ac:dyDescent="0.25">
      <c r="B249" s="337">
        <v>45775</v>
      </c>
      <c r="C249" s="337">
        <v>46303</v>
      </c>
      <c r="D249" s="374" t="s">
        <v>88</v>
      </c>
      <c r="E249" s="309" t="s">
        <v>47</v>
      </c>
      <c r="F249" s="310" t="s">
        <v>89</v>
      </c>
      <c r="G249" s="311">
        <v>9</v>
      </c>
      <c r="H249" s="311">
        <v>11.5</v>
      </c>
      <c r="I249" s="340">
        <v>146.47</v>
      </c>
      <c r="J249" s="340">
        <v>759.96</v>
      </c>
      <c r="K249" s="308"/>
      <c r="L249" s="340">
        <f t="shared" si="6"/>
        <v>146.47</v>
      </c>
      <c r="M249" s="308"/>
      <c r="N249" s="311"/>
      <c r="O249" s="312"/>
      <c r="P249" s="308"/>
      <c r="Q249" s="308"/>
      <c r="R249" s="392"/>
      <c r="S249" s="358">
        <f ca="1">IF(C249&lt;=EOMONTH('&gt;&gt;Vistas Consolidadas'!$D$2, '&gt;&gt;Vistas Consolidadas'!$F$2),J249+I249,J249)</f>
        <v>906.43000000000006</v>
      </c>
      <c r="T249" s="18" t="str">
        <f ca="1">IF(C249&gt;='&gt;&gt;Vistas Consolidadas'!$D$2,"SI","NO")</f>
        <v>NO</v>
      </c>
      <c r="U249" s="358">
        <f ca="1">IF(C249&lt;=EOMONTH('&gt;&gt;Vistas Consolidadas'!$D$2, '&gt;&gt;Vistas Consolidadas'!$F$2),I249,0)</f>
        <v>146.47</v>
      </c>
      <c r="V249" s="18" t="b">
        <f ca="1">AND(C249&gt;='Interes Por Semana'!$C$4, C249&lt;='Interes Por Semana'!$E$4)</f>
        <v>0</v>
      </c>
      <c r="W249" s="18" t="str">
        <f t="shared" si="7"/>
        <v>jueves</v>
      </c>
    </row>
    <row r="250" spans="2:23" hidden="1" x14ac:dyDescent="0.25">
      <c r="B250" s="337">
        <v>46072</v>
      </c>
      <c r="C250" s="337">
        <v>46308</v>
      </c>
      <c r="D250" s="374" t="s">
        <v>88</v>
      </c>
      <c r="E250" s="309" t="s">
        <v>46</v>
      </c>
      <c r="F250" s="310" t="s">
        <v>94</v>
      </c>
      <c r="G250" s="312">
        <v>9</v>
      </c>
      <c r="H250" s="308">
        <v>10.5</v>
      </c>
      <c r="I250" s="340">
        <v>422.28</v>
      </c>
      <c r="J250" s="340">
        <v>948.02</v>
      </c>
      <c r="K250" s="308"/>
      <c r="L250" s="340">
        <f t="shared" si="6"/>
        <v>422.28</v>
      </c>
      <c r="M250" s="308"/>
      <c r="N250" s="311"/>
      <c r="O250" s="312"/>
      <c r="P250" s="308"/>
      <c r="Q250" s="308"/>
      <c r="R250" s="392"/>
      <c r="S250" s="358">
        <f ca="1">IF(C250&lt;=EOMONTH('&gt;&gt;Vistas Consolidadas'!$D$2, '&gt;&gt;Vistas Consolidadas'!$F$2),J250+I250,J250)</f>
        <v>1370.3</v>
      </c>
      <c r="T250" s="18" t="str">
        <f ca="1">IF(C250&gt;='&gt;&gt;Vistas Consolidadas'!$D$2,"SI","NO")</f>
        <v>SI</v>
      </c>
      <c r="U250" s="358">
        <f ca="1">IF(C250&lt;=EOMONTH('&gt;&gt;Vistas Consolidadas'!$D$2, '&gt;&gt;Vistas Consolidadas'!$F$2),I250,0)</f>
        <v>422.28</v>
      </c>
      <c r="V250" s="18" t="b">
        <f ca="1">AND(C250&gt;='Interes Por Semana'!$C$4, C250&lt;='Interes Por Semana'!$E$4)</f>
        <v>1</v>
      </c>
      <c r="W250" s="18" t="str">
        <f t="shared" si="7"/>
        <v>martes</v>
      </c>
    </row>
    <row r="251" spans="2:23" hidden="1" x14ac:dyDescent="0.25">
      <c r="B251" s="337">
        <v>46072</v>
      </c>
      <c r="C251" s="337">
        <v>46316</v>
      </c>
      <c r="D251" s="374" t="s">
        <v>88</v>
      </c>
      <c r="E251" s="309" t="s">
        <v>46</v>
      </c>
      <c r="F251" s="310" t="s">
        <v>104</v>
      </c>
      <c r="G251" s="312">
        <v>9</v>
      </c>
      <c r="H251" s="308">
        <v>10.25</v>
      </c>
      <c r="I251" s="340">
        <v>378.99</v>
      </c>
      <c r="J251" s="340">
        <v>1570.16</v>
      </c>
      <c r="K251" s="308"/>
      <c r="L251" s="340">
        <f t="shared" si="6"/>
        <v>378.99</v>
      </c>
      <c r="M251" s="308"/>
      <c r="N251" s="311"/>
      <c r="O251" s="312"/>
      <c r="P251" s="308"/>
      <c r="Q251" s="308"/>
      <c r="R251" s="392"/>
      <c r="S251" s="358">
        <f ca="1">IF(C251&lt;=EOMONTH('&gt;&gt;Vistas Consolidadas'!$D$2, '&gt;&gt;Vistas Consolidadas'!$F$2),J251+I251,J251)</f>
        <v>1949.15</v>
      </c>
      <c r="T251" s="18" t="str">
        <f ca="1">IF(C251&gt;='&gt;&gt;Vistas Consolidadas'!$D$2,"SI","NO")</f>
        <v>SI</v>
      </c>
      <c r="U251" s="358">
        <f ca="1">IF(C251&lt;=EOMONTH('&gt;&gt;Vistas Consolidadas'!$D$2, '&gt;&gt;Vistas Consolidadas'!$F$2),I251,0)</f>
        <v>378.99</v>
      </c>
      <c r="V251" s="18" t="b">
        <f ca="1">AND(C251&gt;='Interes Por Semana'!$C$4, C251&lt;='Interes Por Semana'!$E$4)</f>
        <v>0</v>
      </c>
      <c r="W251" s="18" t="str">
        <f t="shared" si="7"/>
        <v>miércoles</v>
      </c>
    </row>
    <row r="252" spans="2:23" hidden="1" x14ac:dyDescent="0.25">
      <c r="B252" s="337">
        <v>45552</v>
      </c>
      <c r="C252" s="337">
        <v>46298</v>
      </c>
      <c r="D252" s="374" t="s">
        <v>78</v>
      </c>
      <c r="E252" s="309" t="s">
        <v>47</v>
      </c>
      <c r="F252" s="310" t="s">
        <v>79</v>
      </c>
      <c r="G252" s="311">
        <v>5.36</v>
      </c>
      <c r="H252" s="311">
        <v>13.5</v>
      </c>
      <c r="I252" s="340">
        <f>15.63</f>
        <v>15.63</v>
      </c>
      <c r="J252" s="340"/>
      <c r="K252" s="308"/>
      <c r="L252" s="340">
        <f t="shared" si="6"/>
        <v>15.63</v>
      </c>
      <c r="M252" s="311"/>
      <c r="N252" s="311"/>
      <c r="O252" s="311"/>
      <c r="P252" s="311"/>
      <c r="Q252" s="311"/>
      <c r="R252" s="392"/>
      <c r="S252" s="358">
        <f ca="1">IF(C252&lt;=EOMONTH('&gt;&gt;Vistas Consolidadas'!$D$2, '&gt;&gt;Vistas Consolidadas'!$F$2),J252+I252,J252)</f>
        <v>15.63</v>
      </c>
      <c r="T252" s="18" t="str">
        <f ca="1">IF(C252&gt;='&gt;&gt;Vistas Consolidadas'!$D$2,"SI","NO")</f>
        <v>NO</v>
      </c>
      <c r="U252" s="358">
        <f ca="1">IF(C252&lt;=EOMONTH('&gt;&gt;Vistas Consolidadas'!$D$2, '&gt;&gt;Vistas Consolidadas'!$F$2),I252,0)</f>
        <v>15.63</v>
      </c>
      <c r="V252" s="18" t="b">
        <f ca="1">AND(C252&gt;='Interes Por Semana'!$C$4, C252&lt;='Interes Por Semana'!$E$4)</f>
        <v>0</v>
      </c>
      <c r="W252" s="18" t="str">
        <f t="shared" si="7"/>
        <v>sábado</v>
      </c>
    </row>
    <row r="253" spans="2:23" hidden="1" x14ac:dyDescent="0.25">
      <c r="B253" s="337">
        <v>45560</v>
      </c>
      <c r="C253" s="337">
        <v>46298</v>
      </c>
      <c r="D253" s="374" t="s">
        <v>78</v>
      </c>
      <c r="E253" s="309" t="s">
        <v>47</v>
      </c>
      <c r="F253" s="310" t="s">
        <v>79</v>
      </c>
      <c r="G253" s="311">
        <v>5.36</v>
      </c>
      <c r="H253" s="311">
        <v>12.5</v>
      </c>
      <c r="I253" s="340">
        <f>12.51</f>
        <v>12.51</v>
      </c>
      <c r="J253" s="340"/>
      <c r="K253" s="308"/>
      <c r="L253" s="340">
        <f t="shared" si="6"/>
        <v>12.51</v>
      </c>
      <c r="M253" s="311"/>
      <c r="N253" s="311"/>
      <c r="O253" s="311"/>
      <c r="P253" s="311"/>
      <c r="Q253" s="311"/>
      <c r="R253" s="392"/>
      <c r="S253" s="358">
        <f ca="1">IF(C253&lt;=EOMONTH('&gt;&gt;Vistas Consolidadas'!$D$2, '&gt;&gt;Vistas Consolidadas'!$F$2),J253+I253,J253)</f>
        <v>12.51</v>
      </c>
      <c r="T253" s="18" t="str">
        <f ca="1">IF(C253&gt;='&gt;&gt;Vistas Consolidadas'!$D$2,"SI","NO")</f>
        <v>NO</v>
      </c>
      <c r="U253" s="358">
        <f ca="1">IF(C253&lt;=EOMONTH('&gt;&gt;Vistas Consolidadas'!$D$2, '&gt;&gt;Vistas Consolidadas'!$F$2),I253,0)</f>
        <v>12.51</v>
      </c>
      <c r="V253" s="18" t="b">
        <f ca="1">AND(C253&gt;='Interes Por Semana'!$C$4, C253&lt;='Interes Por Semana'!$E$4)</f>
        <v>0</v>
      </c>
      <c r="W253" s="18" t="str">
        <f t="shared" si="7"/>
        <v>sábado</v>
      </c>
    </row>
    <row r="254" spans="2:23" hidden="1" x14ac:dyDescent="0.25">
      <c r="B254" s="337">
        <v>45708</v>
      </c>
      <c r="C254" s="337">
        <v>46299</v>
      </c>
      <c r="D254" s="374" t="s">
        <v>78</v>
      </c>
      <c r="E254" s="309" t="s">
        <v>46</v>
      </c>
      <c r="F254" s="310" t="s">
        <v>81</v>
      </c>
      <c r="G254" s="312">
        <v>5.36</v>
      </c>
      <c r="H254" s="308">
        <v>11.35</v>
      </c>
      <c r="I254" s="340">
        <f>16.79-J254</f>
        <v>16.79</v>
      </c>
      <c r="J254" s="340">
        <v>0</v>
      </c>
      <c r="K254" s="308"/>
      <c r="L254" s="340">
        <f t="shared" si="6"/>
        <v>16.79</v>
      </c>
      <c r="M254" s="308"/>
      <c r="N254" s="311"/>
      <c r="O254" s="312"/>
      <c r="P254" s="308"/>
      <c r="Q254" s="308"/>
      <c r="R254" s="392"/>
      <c r="S254" s="358">
        <f ca="1">IF(C254&lt;=EOMONTH('&gt;&gt;Vistas Consolidadas'!$D$2, '&gt;&gt;Vistas Consolidadas'!$F$2),J254+I254,J254)</f>
        <v>16.79</v>
      </c>
      <c r="T254" s="18" t="str">
        <f ca="1">IF(C254&gt;='&gt;&gt;Vistas Consolidadas'!$D$2,"SI","NO")</f>
        <v>NO</v>
      </c>
      <c r="U254" s="358">
        <f ca="1">IF(C254&lt;=EOMONTH('&gt;&gt;Vistas Consolidadas'!$D$2, '&gt;&gt;Vistas Consolidadas'!$F$2),I254,0)</f>
        <v>16.79</v>
      </c>
      <c r="V254" s="18" t="b">
        <f ca="1">AND(C254&gt;='Interes Por Semana'!$C$4, C254&lt;='Interes Por Semana'!$E$4)</f>
        <v>0</v>
      </c>
      <c r="W254" s="18" t="str">
        <f t="shared" si="7"/>
        <v>domingo</v>
      </c>
    </row>
    <row r="255" spans="2:23" hidden="1" x14ac:dyDescent="0.25">
      <c r="B255" s="337">
        <v>46057</v>
      </c>
      <c r="C255" s="337">
        <v>46301</v>
      </c>
      <c r="D255" s="374" t="s">
        <v>78</v>
      </c>
      <c r="E255" s="309" t="s">
        <v>47</v>
      </c>
      <c r="F255" s="310" t="s">
        <v>85</v>
      </c>
      <c r="G255" s="311">
        <v>7.93</v>
      </c>
      <c r="H255" s="311">
        <v>11.25</v>
      </c>
      <c r="I255" s="340">
        <v>58.023180428134552</v>
      </c>
      <c r="J255" s="340"/>
      <c r="K255" s="308"/>
      <c r="L255" s="340">
        <f t="shared" si="6"/>
        <v>58.023180428134552</v>
      </c>
      <c r="M255" s="311"/>
      <c r="N255" s="311"/>
      <c r="O255" s="311"/>
      <c r="P255" s="311"/>
      <c r="Q255" s="311"/>
      <c r="R255" s="392"/>
      <c r="S255" s="358">
        <f ca="1">IF(C255&lt;=EOMONTH('&gt;&gt;Vistas Consolidadas'!$D$2, '&gt;&gt;Vistas Consolidadas'!$F$2),J255+I255,J255)</f>
        <v>58.023180428134552</v>
      </c>
      <c r="T255" s="18" t="str">
        <f ca="1">IF(C255&gt;='&gt;&gt;Vistas Consolidadas'!$D$2,"SI","NO")</f>
        <v>NO</v>
      </c>
      <c r="U255" s="358">
        <f ca="1">IF(C255&lt;=EOMONTH('&gt;&gt;Vistas Consolidadas'!$D$2, '&gt;&gt;Vistas Consolidadas'!$F$2),I255,0)</f>
        <v>58.023180428134552</v>
      </c>
      <c r="V255" s="18" t="b">
        <f ca="1">AND(C255&gt;='Interes Por Semana'!$C$4, C255&lt;='Interes Por Semana'!$E$4)</f>
        <v>0</v>
      </c>
      <c r="W255" s="18" t="str">
        <f t="shared" si="7"/>
        <v>martes</v>
      </c>
    </row>
    <row r="256" spans="2:23" hidden="1" x14ac:dyDescent="0.25">
      <c r="B256" s="337">
        <v>46057</v>
      </c>
      <c r="C256" s="337">
        <v>46301</v>
      </c>
      <c r="D256" s="374" t="s">
        <v>78</v>
      </c>
      <c r="E256" s="309" t="s">
        <v>47</v>
      </c>
      <c r="F256" s="310" t="s">
        <v>86</v>
      </c>
      <c r="G256" s="311">
        <v>7.35</v>
      </c>
      <c r="H256" s="311">
        <v>11</v>
      </c>
      <c r="I256" s="340">
        <v>20.79</v>
      </c>
      <c r="J256" s="340"/>
      <c r="K256" s="308"/>
      <c r="L256" s="340">
        <f t="shared" si="6"/>
        <v>20.79</v>
      </c>
      <c r="M256" s="311"/>
      <c r="N256" s="311"/>
      <c r="O256" s="311"/>
      <c r="P256" s="311"/>
      <c r="Q256" s="311"/>
      <c r="R256" s="392"/>
      <c r="S256" s="358">
        <f ca="1">IF(C256&lt;=EOMONTH('&gt;&gt;Vistas Consolidadas'!$D$2, '&gt;&gt;Vistas Consolidadas'!$F$2),J256+I256,J256)</f>
        <v>20.79</v>
      </c>
      <c r="T256" s="18" t="str">
        <f ca="1">IF(C256&gt;='&gt;&gt;Vistas Consolidadas'!$D$2,"SI","NO")</f>
        <v>NO</v>
      </c>
      <c r="U256" s="358">
        <f ca="1">IF(C256&lt;=EOMONTH('&gt;&gt;Vistas Consolidadas'!$D$2, '&gt;&gt;Vistas Consolidadas'!$F$2),I256,0)</f>
        <v>20.79</v>
      </c>
      <c r="V256" s="18" t="b">
        <f ca="1">AND(C256&gt;='Interes Por Semana'!$C$4, C256&lt;='Interes Por Semana'!$E$4)</f>
        <v>0</v>
      </c>
      <c r="W256" s="18" t="str">
        <f t="shared" si="7"/>
        <v>martes</v>
      </c>
    </row>
    <row r="257" spans="2:23" hidden="1" x14ac:dyDescent="0.25">
      <c r="B257" s="337">
        <v>46001</v>
      </c>
      <c r="C257" s="337">
        <v>46301</v>
      </c>
      <c r="D257" s="374" t="s">
        <v>78</v>
      </c>
      <c r="E257" s="309" t="s">
        <v>46</v>
      </c>
      <c r="F257" s="310" t="s">
        <v>87</v>
      </c>
      <c r="G257" s="312">
        <v>7.54</v>
      </c>
      <c r="H257" s="308">
        <v>11</v>
      </c>
      <c r="I257" s="340">
        <f>7.79</f>
        <v>7.79</v>
      </c>
      <c r="J257" s="340"/>
      <c r="K257" s="308"/>
      <c r="L257" s="340">
        <f t="shared" si="6"/>
        <v>7.79</v>
      </c>
      <c r="M257" s="308"/>
      <c r="N257" s="311"/>
      <c r="O257" s="312"/>
      <c r="P257" s="308"/>
      <c r="Q257" s="308"/>
      <c r="R257" s="392"/>
      <c r="S257" s="358">
        <f ca="1">IF(C257&lt;=EOMONTH('&gt;&gt;Vistas Consolidadas'!$D$2, '&gt;&gt;Vistas Consolidadas'!$F$2),J257+I257,J257)</f>
        <v>7.79</v>
      </c>
      <c r="T257" s="18" t="str">
        <f ca="1">IF(C257&gt;='&gt;&gt;Vistas Consolidadas'!$D$2,"SI","NO")</f>
        <v>NO</v>
      </c>
      <c r="U257" s="358">
        <f ca="1">IF(C257&lt;=EOMONTH('&gt;&gt;Vistas Consolidadas'!$D$2, '&gt;&gt;Vistas Consolidadas'!$F$2),I257,0)</f>
        <v>7.79</v>
      </c>
      <c r="V257" s="18" t="b">
        <f ca="1">AND(C257&gt;='Interes Por Semana'!$C$4, C257&lt;='Interes Por Semana'!$E$4)</f>
        <v>0</v>
      </c>
      <c r="W257" s="18" t="str">
        <f t="shared" si="7"/>
        <v>martes</v>
      </c>
    </row>
    <row r="258" spans="2:23" hidden="1" x14ac:dyDescent="0.25">
      <c r="B258" s="337">
        <v>45943</v>
      </c>
      <c r="C258" s="337">
        <v>46305</v>
      </c>
      <c r="D258" s="374" t="s">
        <v>78</v>
      </c>
      <c r="E258" s="309" t="s">
        <v>47</v>
      </c>
      <c r="F258" s="310" t="s">
        <v>91</v>
      </c>
      <c r="G258" s="311">
        <v>7.54</v>
      </c>
      <c r="H258" s="311">
        <v>9.85</v>
      </c>
      <c r="I258" s="340">
        <v>35.25</v>
      </c>
      <c r="J258" s="340"/>
      <c r="K258" s="308"/>
      <c r="L258" s="340">
        <f t="shared" si="6"/>
        <v>35.25</v>
      </c>
      <c r="M258" s="311"/>
      <c r="N258" s="311"/>
      <c r="O258" s="311"/>
      <c r="P258" s="311"/>
      <c r="Q258" s="311"/>
      <c r="R258" s="392"/>
      <c r="S258" s="358">
        <f ca="1">IF(C258&lt;=EOMONTH('&gt;&gt;Vistas Consolidadas'!$D$2, '&gt;&gt;Vistas Consolidadas'!$F$2),J258+I258,J258)</f>
        <v>35.25</v>
      </c>
      <c r="T258" s="18" t="str">
        <f ca="1">IF(C258&gt;='&gt;&gt;Vistas Consolidadas'!$D$2,"SI","NO")</f>
        <v>NO</v>
      </c>
      <c r="U258" s="358">
        <f ca="1">IF(C258&lt;=EOMONTH('&gt;&gt;Vistas Consolidadas'!$D$2, '&gt;&gt;Vistas Consolidadas'!$F$2),I258,0)</f>
        <v>35.25</v>
      </c>
      <c r="V258" s="18" t="b">
        <f ca="1">AND(C258&gt;='Interes Por Semana'!$C$4, C258&lt;='Interes Por Semana'!$E$4)</f>
        <v>1</v>
      </c>
      <c r="W258" s="18" t="str">
        <f t="shared" si="7"/>
        <v>sábado</v>
      </c>
    </row>
    <row r="259" spans="2:23" hidden="1" x14ac:dyDescent="0.25">
      <c r="B259" s="337">
        <v>46121</v>
      </c>
      <c r="C259" s="337">
        <v>46307</v>
      </c>
      <c r="D259" s="374" t="s">
        <v>78</v>
      </c>
      <c r="E259" s="309" t="s">
        <v>47</v>
      </c>
      <c r="F259" s="310" t="s">
        <v>93</v>
      </c>
      <c r="G259" s="312">
        <v>4.71</v>
      </c>
      <c r="H259" s="308">
        <v>9.5</v>
      </c>
      <c r="I259" s="340">
        <v>3.53</v>
      </c>
      <c r="J259" s="340">
        <v>0</v>
      </c>
      <c r="K259" s="308"/>
      <c r="L259" s="340">
        <f t="shared" ref="L259:L322" si="8">I259</f>
        <v>3.53</v>
      </c>
      <c r="M259" s="308"/>
      <c r="N259" s="311"/>
      <c r="O259" s="312"/>
      <c r="P259" s="308"/>
      <c r="Q259" s="308"/>
      <c r="R259" s="392"/>
      <c r="S259" s="358">
        <f ca="1">IF(C259&lt;=EOMONTH('&gt;&gt;Vistas Consolidadas'!$D$2, '&gt;&gt;Vistas Consolidadas'!$F$2),J259+I259,J259)</f>
        <v>3.53</v>
      </c>
      <c r="T259" s="18" t="str">
        <f ca="1">IF(C259&gt;='&gt;&gt;Vistas Consolidadas'!$D$2,"SI","NO")</f>
        <v>SI</v>
      </c>
      <c r="U259" s="358">
        <f ca="1">IF(C259&lt;=EOMONTH('&gt;&gt;Vistas Consolidadas'!$D$2, '&gt;&gt;Vistas Consolidadas'!$F$2),I259,0)</f>
        <v>3.53</v>
      </c>
      <c r="V259" s="18" t="b">
        <f ca="1">AND(C259&gt;='Interes Por Semana'!$C$4, C259&lt;='Interes Por Semana'!$E$4)</f>
        <v>1</v>
      </c>
      <c r="W259" s="18" t="str">
        <f t="shared" ref="W259:W322" si="9">TEXT(C259, "dddd")</f>
        <v>lunes</v>
      </c>
    </row>
    <row r="260" spans="2:23" hidden="1" x14ac:dyDescent="0.25">
      <c r="B260" s="337">
        <v>45323</v>
      </c>
      <c r="C260" s="337">
        <v>46325</v>
      </c>
      <c r="D260" s="374" t="s">
        <v>96</v>
      </c>
      <c r="E260" s="309" t="s">
        <v>47</v>
      </c>
      <c r="F260" s="310" t="s">
        <v>97</v>
      </c>
      <c r="G260" s="311">
        <v>6</v>
      </c>
      <c r="H260" s="311">
        <v>12</v>
      </c>
      <c r="I260" s="340">
        <v>16.670000000000002</v>
      </c>
      <c r="J260" s="340"/>
      <c r="K260" s="308"/>
      <c r="L260" s="340">
        <f t="shared" si="8"/>
        <v>16.670000000000002</v>
      </c>
      <c r="M260" s="311"/>
      <c r="N260" s="311"/>
      <c r="O260" s="311"/>
      <c r="P260" s="311"/>
      <c r="Q260" s="311"/>
      <c r="R260" s="392"/>
      <c r="S260" s="358">
        <f ca="1">IF(C260&lt;=EOMONTH('&gt;&gt;Vistas Consolidadas'!$D$2, '&gt;&gt;Vistas Consolidadas'!$F$2),J260+I260,J260)</f>
        <v>16.670000000000002</v>
      </c>
      <c r="T260" s="18" t="str">
        <f ca="1">IF(C260&gt;='&gt;&gt;Vistas Consolidadas'!$D$2,"SI","NO")</f>
        <v>SI</v>
      </c>
      <c r="U260" s="358">
        <f ca="1">IF(C260&lt;=EOMONTH('&gt;&gt;Vistas Consolidadas'!$D$2, '&gt;&gt;Vistas Consolidadas'!$F$2),I260,0)</f>
        <v>16.670000000000002</v>
      </c>
      <c r="V260" s="18" t="b">
        <f ca="1">AND(C260&gt;='Interes Por Semana'!$C$4, C260&lt;='Interes Por Semana'!$E$4)</f>
        <v>0</v>
      </c>
      <c r="W260" s="18" t="str">
        <f t="shared" si="9"/>
        <v>viernes</v>
      </c>
    </row>
    <row r="261" spans="2:23" hidden="1" x14ac:dyDescent="0.25">
      <c r="B261" s="337">
        <v>45356</v>
      </c>
      <c r="C261" s="337">
        <v>46325</v>
      </c>
      <c r="D261" s="374" t="s">
        <v>96</v>
      </c>
      <c r="E261" s="309" t="s">
        <v>47</v>
      </c>
      <c r="F261" s="310" t="s">
        <v>97</v>
      </c>
      <c r="G261" s="311">
        <v>6</v>
      </c>
      <c r="H261" s="311">
        <v>12</v>
      </c>
      <c r="I261" s="340">
        <v>108.33</v>
      </c>
      <c r="J261" s="340"/>
      <c r="K261" s="308"/>
      <c r="L261" s="340">
        <f t="shared" si="8"/>
        <v>108.33</v>
      </c>
      <c r="M261" s="311"/>
      <c r="N261" s="311"/>
      <c r="O261" s="311"/>
      <c r="P261" s="311"/>
      <c r="Q261" s="311"/>
      <c r="R261" s="392"/>
      <c r="S261" s="358">
        <f ca="1">IF(C261&lt;=EOMONTH('&gt;&gt;Vistas Consolidadas'!$D$2, '&gt;&gt;Vistas Consolidadas'!$F$2),J261+I261,J261)</f>
        <v>108.33</v>
      </c>
      <c r="T261" s="18" t="str">
        <f ca="1">IF(C261&gt;='&gt;&gt;Vistas Consolidadas'!$D$2,"SI","NO")</f>
        <v>SI</v>
      </c>
      <c r="U261" s="358">
        <f ca="1">IF(C261&lt;=EOMONTH('&gt;&gt;Vistas Consolidadas'!$D$2, '&gt;&gt;Vistas Consolidadas'!$F$2),I261,0)</f>
        <v>108.33</v>
      </c>
      <c r="V261" s="18" t="b">
        <f ca="1">AND(C261&gt;='Interes Por Semana'!$C$4, C261&lt;='Interes Por Semana'!$E$4)</f>
        <v>0</v>
      </c>
      <c r="W261" s="18" t="str">
        <f t="shared" si="9"/>
        <v>viernes</v>
      </c>
    </row>
    <row r="262" spans="2:23" hidden="1" x14ac:dyDescent="0.25">
      <c r="B262" s="337">
        <v>45006</v>
      </c>
      <c r="C262" s="337">
        <v>46325</v>
      </c>
      <c r="D262" s="374" t="s">
        <v>96</v>
      </c>
      <c r="E262" s="309" t="s">
        <v>46</v>
      </c>
      <c r="F262" s="310" t="s">
        <v>97</v>
      </c>
      <c r="G262" s="312">
        <v>6</v>
      </c>
      <c r="H262" s="308">
        <v>12</v>
      </c>
      <c r="I262" s="340">
        <v>62.5</v>
      </c>
      <c r="J262" s="340"/>
      <c r="K262" s="308"/>
      <c r="L262" s="340">
        <f t="shared" si="8"/>
        <v>62.5</v>
      </c>
      <c r="M262" s="308"/>
      <c r="N262" s="311"/>
      <c r="O262" s="312"/>
      <c r="P262" s="308"/>
      <c r="Q262" s="308"/>
      <c r="R262" s="392"/>
      <c r="S262" s="358">
        <f ca="1">IF(C262&lt;=EOMONTH('&gt;&gt;Vistas Consolidadas'!$D$2, '&gt;&gt;Vistas Consolidadas'!$F$2),J262+I262,J262)</f>
        <v>62.5</v>
      </c>
      <c r="T262" s="18" t="str">
        <f ca="1">IF(C262&gt;='&gt;&gt;Vistas Consolidadas'!$D$2,"SI","NO")</f>
        <v>SI</v>
      </c>
      <c r="U262" s="358">
        <f ca="1">IF(C262&lt;=EOMONTH('&gt;&gt;Vistas Consolidadas'!$D$2, '&gt;&gt;Vistas Consolidadas'!$F$2),I262,0)</f>
        <v>62.5</v>
      </c>
      <c r="V262" s="18" t="b">
        <f ca="1">AND(C262&gt;='Interes Por Semana'!$C$4, C262&lt;='Interes Por Semana'!$E$4)</f>
        <v>0</v>
      </c>
      <c r="W262" s="18" t="str">
        <f t="shared" si="9"/>
        <v>viernes</v>
      </c>
    </row>
    <row r="263" spans="2:23" hidden="1" x14ac:dyDescent="0.25">
      <c r="B263" s="337">
        <v>45397</v>
      </c>
      <c r="C263" s="337">
        <v>46325</v>
      </c>
      <c r="D263" s="374" t="s">
        <v>96</v>
      </c>
      <c r="E263" s="309" t="s">
        <v>47</v>
      </c>
      <c r="F263" s="310" t="s">
        <v>97</v>
      </c>
      <c r="G263" s="311">
        <v>6</v>
      </c>
      <c r="H263" s="311">
        <v>12</v>
      </c>
      <c r="I263" s="340">
        <v>54.16</v>
      </c>
      <c r="J263" s="340"/>
      <c r="K263" s="308"/>
      <c r="L263" s="340">
        <f t="shared" si="8"/>
        <v>54.16</v>
      </c>
      <c r="M263" s="311"/>
      <c r="N263" s="311"/>
      <c r="O263" s="311"/>
      <c r="P263" s="311"/>
      <c r="Q263" s="311"/>
      <c r="R263" s="392"/>
      <c r="S263" s="358">
        <f ca="1">IF(C263&lt;=EOMONTH('&gt;&gt;Vistas Consolidadas'!$D$2, '&gt;&gt;Vistas Consolidadas'!$F$2),J263+I263,J263)</f>
        <v>54.16</v>
      </c>
      <c r="T263" s="18" t="str">
        <f ca="1">IF(C263&gt;='&gt;&gt;Vistas Consolidadas'!$D$2,"SI","NO")</f>
        <v>SI</v>
      </c>
      <c r="U263" s="358">
        <f ca="1">IF(C263&lt;=EOMONTH('&gt;&gt;Vistas Consolidadas'!$D$2, '&gt;&gt;Vistas Consolidadas'!$F$2),I263,0)</f>
        <v>54.16</v>
      </c>
      <c r="V263" s="18" t="b">
        <f ca="1">AND(C263&gt;='Interes Por Semana'!$C$4, C263&lt;='Interes Por Semana'!$E$4)</f>
        <v>0</v>
      </c>
      <c r="W263" s="18" t="str">
        <f t="shared" si="9"/>
        <v>viernes</v>
      </c>
    </row>
    <row r="264" spans="2:23" hidden="1" x14ac:dyDescent="0.25">
      <c r="B264" s="337">
        <v>45397</v>
      </c>
      <c r="C264" s="337">
        <v>46325</v>
      </c>
      <c r="D264" s="374" t="s">
        <v>96</v>
      </c>
      <c r="E264" s="309" t="s">
        <v>46</v>
      </c>
      <c r="F264" s="310" t="s">
        <v>97</v>
      </c>
      <c r="G264" s="312">
        <v>6</v>
      </c>
      <c r="H264" s="308">
        <v>12</v>
      </c>
      <c r="I264" s="340">
        <v>62.5</v>
      </c>
      <c r="J264" s="340"/>
      <c r="K264" s="308"/>
      <c r="L264" s="340">
        <f t="shared" si="8"/>
        <v>62.5</v>
      </c>
      <c r="M264" s="308"/>
      <c r="N264" s="311"/>
      <c r="O264" s="312"/>
      <c r="P264" s="308"/>
      <c r="Q264" s="308"/>
      <c r="R264" s="392"/>
      <c r="S264" s="358">
        <f ca="1">IF(C264&lt;=EOMONTH('&gt;&gt;Vistas Consolidadas'!$D$2, '&gt;&gt;Vistas Consolidadas'!$F$2),J264+I264,J264)</f>
        <v>62.5</v>
      </c>
      <c r="T264" s="18" t="str">
        <f ca="1">IF(C264&gt;='&gt;&gt;Vistas Consolidadas'!$D$2,"SI","NO")</f>
        <v>SI</v>
      </c>
      <c r="U264" s="358">
        <f ca="1">IF(C264&lt;=EOMONTH('&gt;&gt;Vistas Consolidadas'!$D$2, '&gt;&gt;Vistas Consolidadas'!$F$2),I264,0)</f>
        <v>62.5</v>
      </c>
      <c r="V264" s="18" t="b">
        <f ca="1">AND(C264&gt;='Interes Por Semana'!$C$4, C264&lt;='Interes Por Semana'!$E$4)</f>
        <v>0</v>
      </c>
      <c r="W264" s="18" t="str">
        <f t="shared" si="9"/>
        <v>viernes</v>
      </c>
    </row>
    <row r="265" spans="2:23" hidden="1" x14ac:dyDescent="0.25">
      <c r="B265" s="337">
        <v>45398</v>
      </c>
      <c r="C265" s="337">
        <v>46325</v>
      </c>
      <c r="D265" s="374" t="s">
        <v>96</v>
      </c>
      <c r="E265" s="309" t="s">
        <v>47</v>
      </c>
      <c r="F265" s="310" t="s">
        <v>97</v>
      </c>
      <c r="G265" s="311">
        <v>6</v>
      </c>
      <c r="H265" s="311">
        <v>12</v>
      </c>
      <c r="I265" s="340">
        <v>16.670000000000002</v>
      </c>
      <c r="J265" s="340"/>
      <c r="K265" s="308"/>
      <c r="L265" s="340">
        <f t="shared" si="8"/>
        <v>16.670000000000002</v>
      </c>
      <c r="M265" s="311"/>
      <c r="N265" s="311"/>
      <c r="O265" s="311"/>
      <c r="P265" s="311"/>
      <c r="Q265" s="311"/>
      <c r="R265" s="392"/>
      <c r="S265" s="358">
        <f ca="1">IF(C265&lt;=EOMONTH('&gt;&gt;Vistas Consolidadas'!$D$2, '&gt;&gt;Vistas Consolidadas'!$F$2),J265+I265,J265)</f>
        <v>16.670000000000002</v>
      </c>
      <c r="T265" s="18" t="str">
        <f ca="1">IF(C265&gt;='&gt;&gt;Vistas Consolidadas'!$D$2,"SI","NO")</f>
        <v>SI</v>
      </c>
      <c r="U265" s="358">
        <f ca="1">IF(C265&lt;=EOMONTH('&gt;&gt;Vistas Consolidadas'!$D$2, '&gt;&gt;Vistas Consolidadas'!$F$2),I265,0)</f>
        <v>16.670000000000002</v>
      </c>
      <c r="V265" s="18" t="b">
        <f ca="1">AND(C265&gt;='Interes Por Semana'!$C$4, C265&lt;='Interes Por Semana'!$E$4)</f>
        <v>0</v>
      </c>
      <c r="W265" s="18" t="str">
        <f t="shared" si="9"/>
        <v>viernes</v>
      </c>
    </row>
    <row r="266" spans="2:23" hidden="1" x14ac:dyDescent="0.25">
      <c r="B266" s="337">
        <v>46105</v>
      </c>
      <c r="C266" s="337">
        <v>46325</v>
      </c>
      <c r="D266" s="374" t="s">
        <v>96</v>
      </c>
      <c r="E266" s="309" t="s">
        <v>47</v>
      </c>
      <c r="F266" s="310" t="s">
        <v>97</v>
      </c>
      <c r="G266" s="311">
        <v>6</v>
      </c>
      <c r="H266" s="311">
        <v>10</v>
      </c>
      <c r="I266" s="340">
        <v>16.670000000000002</v>
      </c>
      <c r="J266" s="340"/>
      <c r="K266" s="308"/>
      <c r="L266" s="340">
        <f t="shared" si="8"/>
        <v>16.670000000000002</v>
      </c>
      <c r="M266" s="311"/>
      <c r="N266" s="311"/>
      <c r="O266" s="311"/>
      <c r="P266" s="311"/>
      <c r="Q266" s="311"/>
      <c r="R266" s="392"/>
      <c r="S266" s="358">
        <f ca="1">IF(C266&lt;=EOMONTH('&gt;&gt;Vistas Consolidadas'!$D$2, '&gt;&gt;Vistas Consolidadas'!$F$2),J266+I266,J266)</f>
        <v>16.670000000000002</v>
      </c>
      <c r="T266" s="18" t="str">
        <f ca="1">IF(C266&gt;='&gt;&gt;Vistas Consolidadas'!$D$2,"SI","NO")</f>
        <v>SI</v>
      </c>
      <c r="U266" s="358">
        <f ca="1">IF(C266&lt;=EOMONTH('&gt;&gt;Vistas Consolidadas'!$D$2, '&gt;&gt;Vistas Consolidadas'!$F$2),I266,0)</f>
        <v>16.670000000000002</v>
      </c>
      <c r="V266" s="18" t="b">
        <f ca="1">AND(C266&gt;='Interes Por Semana'!$C$4, C266&lt;='Interes Por Semana'!$E$4)</f>
        <v>0</v>
      </c>
      <c r="W266" s="18" t="str">
        <f t="shared" si="9"/>
        <v>viernes</v>
      </c>
    </row>
    <row r="267" spans="2:23" hidden="1" x14ac:dyDescent="0.25">
      <c r="B267" s="337">
        <v>44462</v>
      </c>
      <c r="C267" s="337">
        <v>46312</v>
      </c>
      <c r="D267" s="374" t="s">
        <v>78</v>
      </c>
      <c r="E267" s="309" t="s">
        <v>46</v>
      </c>
      <c r="F267" s="310" t="s">
        <v>98</v>
      </c>
      <c r="G267" s="312">
        <v>5.64</v>
      </c>
      <c r="H267" s="308">
        <v>8.1999999999999993</v>
      </c>
      <c r="I267" s="340">
        <v>5.05</v>
      </c>
      <c r="J267" s="340"/>
      <c r="K267" s="308"/>
      <c r="L267" s="340">
        <f t="shared" si="8"/>
        <v>5.05</v>
      </c>
      <c r="M267" s="308"/>
      <c r="N267" s="311"/>
      <c r="O267" s="312"/>
      <c r="P267" s="308"/>
      <c r="Q267" s="308"/>
      <c r="R267" s="392"/>
      <c r="S267" s="358">
        <f ca="1">IF(C267&lt;=EOMONTH('&gt;&gt;Vistas Consolidadas'!$D$2, '&gt;&gt;Vistas Consolidadas'!$F$2),J267+I267,J267)</f>
        <v>5.05</v>
      </c>
      <c r="T267" s="18" t="str">
        <f ca="1">IF(C267&gt;='&gt;&gt;Vistas Consolidadas'!$D$2,"SI","NO")</f>
        <v>SI</v>
      </c>
      <c r="U267" s="358">
        <f ca="1">IF(C267&lt;=EOMONTH('&gt;&gt;Vistas Consolidadas'!$D$2, '&gt;&gt;Vistas Consolidadas'!$F$2),I267,0)</f>
        <v>5.05</v>
      </c>
      <c r="V267" s="18" t="b">
        <f ca="1">AND(C267&gt;='Interes Por Semana'!$C$4, C267&lt;='Interes Por Semana'!$E$4)</f>
        <v>0</v>
      </c>
      <c r="W267" s="18" t="str">
        <f t="shared" si="9"/>
        <v>sábado</v>
      </c>
    </row>
    <row r="268" spans="2:23" hidden="1" x14ac:dyDescent="0.25">
      <c r="B268" s="337">
        <v>45264</v>
      </c>
      <c r="C268" s="337">
        <v>46312</v>
      </c>
      <c r="D268" s="374" t="s">
        <v>78</v>
      </c>
      <c r="E268" s="309" t="s">
        <v>46</v>
      </c>
      <c r="F268" s="310" t="s">
        <v>99</v>
      </c>
      <c r="G268" s="312">
        <v>5.64</v>
      </c>
      <c r="H268" s="308">
        <v>13</v>
      </c>
      <c r="I268" s="340">
        <v>14.1</v>
      </c>
      <c r="J268" s="340"/>
      <c r="K268" s="308"/>
      <c r="L268" s="340">
        <f t="shared" si="8"/>
        <v>14.1</v>
      </c>
      <c r="M268" s="308"/>
      <c r="N268" s="311"/>
      <c r="O268" s="312"/>
      <c r="P268" s="308"/>
      <c r="Q268" s="308"/>
      <c r="R268" s="392"/>
      <c r="S268" s="358">
        <f ca="1">IF(C268&lt;=EOMONTH('&gt;&gt;Vistas Consolidadas'!$D$2, '&gt;&gt;Vistas Consolidadas'!$F$2),J268+I268,J268)</f>
        <v>14.1</v>
      </c>
      <c r="T268" s="18" t="str">
        <f ca="1">IF(C268&gt;='&gt;&gt;Vistas Consolidadas'!$D$2,"SI","NO")</f>
        <v>SI</v>
      </c>
      <c r="U268" s="358">
        <f ca="1">IF(C268&lt;=EOMONTH('&gt;&gt;Vistas Consolidadas'!$D$2, '&gt;&gt;Vistas Consolidadas'!$F$2),I268,0)</f>
        <v>14.1</v>
      </c>
      <c r="V268" s="18" t="b">
        <f ca="1">AND(C268&gt;='Interes Por Semana'!$C$4, C268&lt;='Interes Por Semana'!$E$4)</f>
        <v>0</v>
      </c>
      <c r="W268" s="18" t="str">
        <f t="shared" si="9"/>
        <v>sábado</v>
      </c>
    </row>
    <row r="269" spans="2:23" hidden="1" x14ac:dyDescent="0.25">
      <c r="B269" s="337">
        <v>45302</v>
      </c>
      <c r="C269" s="337">
        <v>46312</v>
      </c>
      <c r="D269" s="374" t="s">
        <v>78</v>
      </c>
      <c r="E269" s="309" t="s">
        <v>46</v>
      </c>
      <c r="F269" s="310" t="s">
        <v>99</v>
      </c>
      <c r="G269" s="312">
        <v>5.64</v>
      </c>
      <c r="H269" s="308">
        <v>12.75</v>
      </c>
      <c r="I269" s="340">
        <v>7.28</v>
      </c>
      <c r="J269" s="340"/>
      <c r="K269" s="308"/>
      <c r="L269" s="340">
        <f t="shared" si="8"/>
        <v>7.28</v>
      </c>
      <c r="M269" s="308"/>
      <c r="N269" s="311"/>
      <c r="O269" s="312"/>
      <c r="P269" s="308"/>
      <c r="Q269" s="308"/>
      <c r="R269" s="392"/>
      <c r="S269" s="358">
        <f ca="1">IF(C269&lt;=EOMONTH('&gt;&gt;Vistas Consolidadas'!$D$2, '&gt;&gt;Vistas Consolidadas'!$F$2),J269+I269,J269)</f>
        <v>7.28</v>
      </c>
      <c r="T269" s="18" t="str">
        <f ca="1">IF(C269&gt;='&gt;&gt;Vistas Consolidadas'!$D$2,"SI","NO")</f>
        <v>SI</v>
      </c>
      <c r="U269" s="358">
        <f ca="1">IF(C269&lt;=EOMONTH('&gt;&gt;Vistas Consolidadas'!$D$2, '&gt;&gt;Vistas Consolidadas'!$F$2),I269,0)</f>
        <v>7.28</v>
      </c>
      <c r="V269" s="18" t="b">
        <f ca="1">AND(C269&gt;='Interes Por Semana'!$C$4, C269&lt;='Interes Por Semana'!$E$4)</f>
        <v>0</v>
      </c>
      <c r="W269" s="18" t="str">
        <f t="shared" si="9"/>
        <v>sábado</v>
      </c>
    </row>
    <row r="270" spans="2:23" hidden="1" x14ac:dyDescent="0.25">
      <c r="B270" s="337">
        <v>46006</v>
      </c>
      <c r="C270" s="337">
        <v>46313</v>
      </c>
      <c r="D270" s="374" t="s">
        <v>78</v>
      </c>
      <c r="E270" s="309" t="s">
        <v>46</v>
      </c>
      <c r="F270" s="310" t="s">
        <v>100</v>
      </c>
      <c r="G270" s="312">
        <v>5.93</v>
      </c>
      <c r="H270" s="308">
        <v>8.5</v>
      </c>
      <c r="I270" s="340">
        <f>23.09-J270</f>
        <v>23.09</v>
      </c>
      <c r="J270" s="340"/>
      <c r="K270" s="308"/>
      <c r="L270" s="340">
        <f t="shared" si="8"/>
        <v>23.09</v>
      </c>
      <c r="M270" s="308"/>
      <c r="N270" s="311"/>
      <c r="O270" s="312"/>
      <c r="P270" s="308"/>
      <c r="Q270" s="308"/>
      <c r="R270" s="392"/>
      <c r="S270" s="358">
        <f ca="1">IF(C270&lt;=EOMONTH('&gt;&gt;Vistas Consolidadas'!$D$2, '&gt;&gt;Vistas Consolidadas'!$F$2),J270+I270,J270)</f>
        <v>23.09</v>
      </c>
      <c r="T270" s="18" t="str">
        <f ca="1">IF(C270&gt;='&gt;&gt;Vistas Consolidadas'!$D$2,"SI","NO")</f>
        <v>SI</v>
      </c>
      <c r="U270" s="358">
        <f ca="1">IF(C270&lt;=EOMONTH('&gt;&gt;Vistas Consolidadas'!$D$2, '&gt;&gt;Vistas Consolidadas'!$F$2),I270,0)</f>
        <v>23.09</v>
      </c>
      <c r="V270" s="18" t="b">
        <f ca="1">AND(C270&gt;='Interes Por Semana'!$C$4, C270&lt;='Interes Por Semana'!$E$4)</f>
        <v>0</v>
      </c>
      <c r="W270" s="18" t="str">
        <f t="shared" si="9"/>
        <v>domingo</v>
      </c>
    </row>
    <row r="271" spans="2:23" hidden="1" x14ac:dyDescent="0.25">
      <c r="B271" s="337">
        <v>45734</v>
      </c>
      <c r="C271" s="337">
        <v>46313</v>
      </c>
      <c r="D271" s="374" t="s">
        <v>78</v>
      </c>
      <c r="E271" s="309" t="s">
        <v>47</v>
      </c>
      <c r="F271" s="310" t="s">
        <v>101</v>
      </c>
      <c r="G271" s="311">
        <v>5.93</v>
      </c>
      <c r="H271" s="311">
        <v>12</v>
      </c>
      <c r="I271" s="340">
        <f>8.94</f>
        <v>8.94</v>
      </c>
      <c r="J271" s="340"/>
      <c r="K271" s="308"/>
      <c r="L271" s="340">
        <f t="shared" si="8"/>
        <v>8.94</v>
      </c>
      <c r="M271" s="311"/>
      <c r="N271" s="311"/>
      <c r="O271" s="311"/>
      <c r="P271" s="311"/>
      <c r="Q271" s="311"/>
      <c r="R271" s="392"/>
      <c r="S271" s="358">
        <f ca="1">IF(C271&lt;=EOMONTH('&gt;&gt;Vistas Consolidadas'!$D$2, '&gt;&gt;Vistas Consolidadas'!$F$2),J271+I271,J271)</f>
        <v>8.94</v>
      </c>
      <c r="T271" s="18" t="str">
        <f ca="1">IF(C271&gt;='&gt;&gt;Vistas Consolidadas'!$D$2,"SI","NO")</f>
        <v>SI</v>
      </c>
      <c r="U271" s="358">
        <f ca="1">IF(C271&lt;=EOMONTH('&gt;&gt;Vistas Consolidadas'!$D$2, '&gt;&gt;Vistas Consolidadas'!$F$2),I271,0)</f>
        <v>8.94</v>
      </c>
      <c r="V271" s="18" t="b">
        <f ca="1">AND(C271&gt;='Interes Por Semana'!$C$4, C271&lt;='Interes Por Semana'!$E$4)</f>
        <v>0</v>
      </c>
      <c r="W271" s="18" t="str">
        <f t="shared" si="9"/>
        <v>domingo</v>
      </c>
    </row>
    <row r="272" spans="2:23" hidden="1" x14ac:dyDescent="0.25">
      <c r="B272" s="337">
        <v>45264</v>
      </c>
      <c r="C272" s="337">
        <v>46316</v>
      </c>
      <c r="D272" s="374" t="s">
        <v>78</v>
      </c>
      <c r="E272" s="309" t="s">
        <v>46</v>
      </c>
      <c r="F272" s="310" t="s">
        <v>103</v>
      </c>
      <c r="G272" s="312">
        <v>5.36</v>
      </c>
      <c r="H272" s="308">
        <v>13</v>
      </c>
      <c r="I272" s="340">
        <v>5.58</v>
      </c>
      <c r="J272" s="340"/>
      <c r="K272" s="308"/>
      <c r="L272" s="340">
        <f t="shared" si="8"/>
        <v>5.58</v>
      </c>
      <c r="M272" s="308"/>
      <c r="N272" s="311"/>
      <c r="O272" s="312"/>
      <c r="P272" s="308"/>
      <c r="Q272" s="308"/>
      <c r="R272" s="392"/>
      <c r="S272" s="358">
        <f ca="1">IF(C272&lt;=EOMONTH('&gt;&gt;Vistas Consolidadas'!$D$2, '&gt;&gt;Vistas Consolidadas'!$F$2),J272+I272,J272)</f>
        <v>5.58</v>
      </c>
      <c r="T272" s="18" t="str">
        <f ca="1">IF(C272&gt;='&gt;&gt;Vistas Consolidadas'!$D$2,"SI","NO")</f>
        <v>SI</v>
      </c>
      <c r="U272" s="358">
        <f ca="1">IF(C272&lt;=EOMONTH('&gt;&gt;Vistas Consolidadas'!$D$2, '&gt;&gt;Vistas Consolidadas'!$F$2),I272,0)</f>
        <v>5.58</v>
      </c>
      <c r="V272" s="18" t="b">
        <f ca="1">AND(C272&gt;='Interes Por Semana'!$C$4, C272&lt;='Interes Por Semana'!$E$4)</f>
        <v>0</v>
      </c>
      <c r="W272" s="18" t="str">
        <f t="shared" si="9"/>
        <v>miércoles</v>
      </c>
    </row>
    <row r="273" spans="2:23" hidden="1" x14ac:dyDescent="0.25">
      <c r="B273" s="337">
        <v>45279</v>
      </c>
      <c r="C273" s="337">
        <v>46316</v>
      </c>
      <c r="D273" s="374" t="s">
        <v>78</v>
      </c>
      <c r="E273" s="309" t="s">
        <v>46</v>
      </c>
      <c r="F273" s="310" t="s">
        <v>103</v>
      </c>
      <c r="G273" s="312">
        <v>5.36</v>
      </c>
      <c r="H273" s="308">
        <v>13</v>
      </c>
      <c r="I273" s="340">
        <v>3.13</v>
      </c>
      <c r="J273" s="340"/>
      <c r="K273" s="308"/>
      <c r="L273" s="340">
        <f t="shared" si="8"/>
        <v>3.13</v>
      </c>
      <c r="M273" s="308"/>
      <c r="N273" s="311"/>
      <c r="O273" s="312"/>
      <c r="P273" s="308"/>
      <c r="Q273" s="308"/>
      <c r="R273" s="392"/>
      <c r="S273" s="358">
        <f ca="1">IF(C273&lt;=EOMONTH('&gt;&gt;Vistas Consolidadas'!$D$2, '&gt;&gt;Vistas Consolidadas'!$F$2),J273+I273,J273)</f>
        <v>3.13</v>
      </c>
      <c r="T273" s="18" t="str">
        <f ca="1">IF(C273&gt;='&gt;&gt;Vistas Consolidadas'!$D$2,"SI","NO")</f>
        <v>SI</v>
      </c>
      <c r="U273" s="358">
        <f ca="1">IF(C273&lt;=EOMONTH('&gt;&gt;Vistas Consolidadas'!$D$2, '&gt;&gt;Vistas Consolidadas'!$F$2),I273,0)</f>
        <v>3.13</v>
      </c>
      <c r="V273" s="18" t="b">
        <f ca="1">AND(C273&gt;='Interes Por Semana'!$C$4, C273&lt;='Interes Por Semana'!$E$4)</f>
        <v>0</v>
      </c>
      <c r="W273" s="18" t="str">
        <f t="shared" si="9"/>
        <v>miércoles</v>
      </c>
    </row>
    <row r="274" spans="2:23" hidden="1" x14ac:dyDescent="0.25">
      <c r="B274" s="337">
        <v>45552</v>
      </c>
      <c r="C274" s="337">
        <v>46316</v>
      </c>
      <c r="D274" s="374" t="s">
        <v>78</v>
      </c>
      <c r="E274" s="309" t="s">
        <v>47</v>
      </c>
      <c r="F274" s="310" t="s">
        <v>103</v>
      </c>
      <c r="G274" s="311">
        <v>5.36</v>
      </c>
      <c r="H274" s="311">
        <v>13.75</v>
      </c>
      <c r="I274" s="340">
        <f>4.47</f>
        <v>4.47</v>
      </c>
      <c r="J274" s="340"/>
      <c r="K274" s="308"/>
      <c r="L274" s="340">
        <f t="shared" si="8"/>
        <v>4.47</v>
      </c>
      <c r="M274" s="311"/>
      <c r="N274" s="311"/>
      <c r="O274" s="311"/>
      <c r="P274" s="311"/>
      <c r="Q274" s="311"/>
      <c r="R274" s="392"/>
      <c r="S274" s="358">
        <f ca="1">IF(C274&lt;=EOMONTH('&gt;&gt;Vistas Consolidadas'!$D$2, '&gt;&gt;Vistas Consolidadas'!$F$2),J274+I274,J274)</f>
        <v>4.47</v>
      </c>
      <c r="T274" s="18" t="str">
        <f ca="1">IF(C274&gt;='&gt;&gt;Vistas Consolidadas'!$D$2,"SI","NO")</f>
        <v>SI</v>
      </c>
      <c r="U274" s="358">
        <f ca="1">IF(C274&lt;=EOMONTH('&gt;&gt;Vistas Consolidadas'!$D$2, '&gt;&gt;Vistas Consolidadas'!$F$2),I274,0)</f>
        <v>4.47</v>
      </c>
      <c r="V274" s="18" t="b">
        <f ca="1">AND(C274&gt;='Interes Por Semana'!$C$4, C274&lt;='Interes Por Semana'!$E$4)</f>
        <v>0</v>
      </c>
      <c r="W274" s="18" t="str">
        <f t="shared" si="9"/>
        <v>miércoles</v>
      </c>
    </row>
    <row r="275" spans="2:23" hidden="1" x14ac:dyDescent="0.25">
      <c r="B275" s="337">
        <v>45447</v>
      </c>
      <c r="C275" s="337">
        <v>46319</v>
      </c>
      <c r="D275" s="374" t="s">
        <v>78</v>
      </c>
      <c r="E275" s="309" t="s">
        <v>47</v>
      </c>
      <c r="F275" s="310" t="s">
        <v>105</v>
      </c>
      <c r="G275" s="311">
        <v>5.93</v>
      </c>
      <c r="H275" s="311">
        <v>13.25</v>
      </c>
      <c r="I275" s="340">
        <f>29.65</f>
        <v>29.65</v>
      </c>
      <c r="J275" s="340"/>
      <c r="K275" s="308"/>
      <c r="L275" s="340">
        <f t="shared" si="8"/>
        <v>29.65</v>
      </c>
      <c r="M275" s="311"/>
      <c r="N275" s="311"/>
      <c r="O275" s="311"/>
      <c r="P275" s="311"/>
      <c r="Q275" s="311"/>
      <c r="R275" s="392"/>
      <c r="S275" s="358">
        <f ca="1">IF(C275&lt;=EOMONTH('&gt;&gt;Vistas Consolidadas'!$D$2, '&gt;&gt;Vistas Consolidadas'!$F$2),J275+I275,J275)</f>
        <v>29.65</v>
      </c>
      <c r="T275" s="18" t="str">
        <f ca="1">IF(C275&gt;='&gt;&gt;Vistas Consolidadas'!$D$2,"SI","NO")</f>
        <v>SI</v>
      </c>
      <c r="U275" s="358">
        <f ca="1">IF(C275&lt;=EOMONTH('&gt;&gt;Vistas Consolidadas'!$D$2, '&gt;&gt;Vistas Consolidadas'!$F$2),I275,0)</f>
        <v>29.65</v>
      </c>
      <c r="V275" s="18" t="b">
        <f ca="1">AND(C275&gt;='Interes Por Semana'!$C$4, C275&lt;='Interes Por Semana'!$E$4)</f>
        <v>0</v>
      </c>
      <c r="W275" s="18" t="str">
        <f t="shared" si="9"/>
        <v>sábado</v>
      </c>
    </row>
    <row r="276" spans="2:23" hidden="1" x14ac:dyDescent="0.25">
      <c r="B276" s="337">
        <v>45832</v>
      </c>
      <c r="C276" s="337">
        <v>46320</v>
      </c>
      <c r="D276" s="374" t="s">
        <v>78</v>
      </c>
      <c r="E276" s="309" t="s">
        <v>47</v>
      </c>
      <c r="F276" s="310" t="s">
        <v>106</v>
      </c>
      <c r="G276" s="311">
        <v>5.93</v>
      </c>
      <c r="H276" s="311">
        <v>11</v>
      </c>
      <c r="I276" s="340">
        <f>22.41</f>
        <v>22.41</v>
      </c>
      <c r="J276" s="340"/>
      <c r="K276" s="308"/>
      <c r="L276" s="340">
        <f t="shared" si="8"/>
        <v>22.41</v>
      </c>
      <c r="M276" s="311"/>
      <c r="N276" s="311"/>
      <c r="O276" s="311"/>
      <c r="P276" s="311"/>
      <c r="Q276" s="311"/>
      <c r="R276" s="392"/>
      <c r="S276" s="358">
        <f ca="1">IF(C276&lt;=EOMONTH('&gt;&gt;Vistas Consolidadas'!$D$2, '&gt;&gt;Vistas Consolidadas'!$F$2),J276+I276,J276)</f>
        <v>22.41</v>
      </c>
      <c r="T276" s="18" t="str">
        <f ca="1">IF(C276&gt;='&gt;&gt;Vistas Consolidadas'!$D$2,"SI","NO")</f>
        <v>SI</v>
      </c>
      <c r="U276" s="358">
        <f ca="1">IF(C276&lt;=EOMONTH('&gt;&gt;Vistas Consolidadas'!$D$2, '&gt;&gt;Vistas Consolidadas'!$F$2),I276,0)</f>
        <v>22.41</v>
      </c>
      <c r="V276" s="18" t="b">
        <f ca="1">AND(C276&gt;='Interes Por Semana'!$C$4, C276&lt;='Interes Por Semana'!$E$4)</f>
        <v>0</v>
      </c>
      <c r="W276" s="18" t="str">
        <f t="shared" si="9"/>
        <v>domingo</v>
      </c>
    </row>
    <row r="277" spans="2:23" hidden="1" x14ac:dyDescent="0.25">
      <c r="B277" s="337">
        <v>45889</v>
      </c>
      <c r="C277" s="337">
        <v>46320</v>
      </c>
      <c r="D277" s="374" t="s">
        <v>78</v>
      </c>
      <c r="E277" s="309" t="s">
        <v>47</v>
      </c>
      <c r="F277" s="310" t="s">
        <v>106</v>
      </c>
      <c r="G277" s="311">
        <v>6.21</v>
      </c>
      <c r="H277" s="311">
        <v>9.75</v>
      </c>
      <c r="I277" s="340">
        <v>4.5</v>
      </c>
      <c r="J277" s="340"/>
      <c r="K277" s="308"/>
      <c r="L277" s="340">
        <f t="shared" si="8"/>
        <v>4.5</v>
      </c>
      <c r="M277" s="311"/>
      <c r="N277" s="311"/>
      <c r="O277" s="311"/>
      <c r="P277" s="311"/>
      <c r="Q277" s="311"/>
      <c r="R277" s="392"/>
      <c r="S277" s="358">
        <f ca="1">IF(C277&lt;=EOMONTH('&gt;&gt;Vistas Consolidadas'!$D$2, '&gt;&gt;Vistas Consolidadas'!$F$2),J277+I277,J277)</f>
        <v>4.5</v>
      </c>
      <c r="T277" s="18" t="str">
        <f ca="1">IF(C277&gt;='&gt;&gt;Vistas Consolidadas'!$D$2,"SI","NO")</f>
        <v>SI</v>
      </c>
      <c r="U277" s="358">
        <f ca="1">IF(C277&lt;=EOMONTH('&gt;&gt;Vistas Consolidadas'!$D$2, '&gt;&gt;Vistas Consolidadas'!$F$2),I277,0)</f>
        <v>4.5</v>
      </c>
      <c r="V277" s="18" t="b">
        <f ca="1">AND(C277&gt;='Interes Por Semana'!$C$4, C277&lt;='Interes Por Semana'!$E$4)</f>
        <v>0</v>
      </c>
      <c r="W277" s="18" t="str">
        <f t="shared" si="9"/>
        <v>domingo</v>
      </c>
    </row>
    <row r="278" spans="2:23" hidden="1" x14ac:dyDescent="0.25">
      <c r="B278" s="337">
        <v>45889</v>
      </c>
      <c r="C278" s="337">
        <v>46320</v>
      </c>
      <c r="D278" s="374" t="s">
        <v>78</v>
      </c>
      <c r="E278" s="309" t="s">
        <v>46</v>
      </c>
      <c r="F278" s="310" t="s">
        <v>106</v>
      </c>
      <c r="G278" s="312">
        <v>6.21</v>
      </c>
      <c r="H278" s="308">
        <v>10.75</v>
      </c>
      <c r="I278" s="340">
        <v>25.88</v>
      </c>
      <c r="J278" s="340"/>
      <c r="K278" s="308"/>
      <c r="L278" s="340">
        <f t="shared" si="8"/>
        <v>25.88</v>
      </c>
      <c r="M278" s="308"/>
      <c r="N278" s="311"/>
      <c r="O278" s="312"/>
      <c r="P278" s="308"/>
      <c r="Q278" s="308"/>
      <c r="R278" s="392"/>
      <c r="S278" s="358">
        <f ca="1">IF(C278&lt;=EOMONTH('&gt;&gt;Vistas Consolidadas'!$D$2, '&gt;&gt;Vistas Consolidadas'!$F$2),J278+I278,J278)</f>
        <v>25.88</v>
      </c>
      <c r="T278" s="18" t="str">
        <f ca="1">IF(C278&gt;='&gt;&gt;Vistas Consolidadas'!$D$2,"SI","NO")</f>
        <v>SI</v>
      </c>
      <c r="U278" s="358">
        <f ca="1">IF(C278&lt;=EOMONTH('&gt;&gt;Vistas Consolidadas'!$D$2, '&gt;&gt;Vistas Consolidadas'!$F$2),I278,0)</f>
        <v>25.88</v>
      </c>
      <c r="V278" s="18" t="b">
        <f ca="1">AND(C278&gt;='Interes Por Semana'!$C$4, C278&lt;='Interes Por Semana'!$E$4)</f>
        <v>0</v>
      </c>
      <c r="W278" s="18" t="str">
        <f t="shared" si="9"/>
        <v>domingo</v>
      </c>
    </row>
    <row r="279" spans="2:23" hidden="1" x14ac:dyDescent="0.25">
      <c r="B279" s="337">
        <v>45593</v>
      </c>
      <c r="C279" s="337">
        <v>46321</v>
      </c>
      <c r="D279" s="374" t="s">
        <v>78</v>
      </c>
      <c r="E279" s="309" t="s">
        <v>47</v>
      </c>
      <c r="F279" s="310" t="s">
        <v>107</v>
      </c>
      <c r="G279" s="311">
        <v>5.07</v>
      </c>
      <c r="H279" s="311">
        <v>13</v>
      </c>
      <c r="I279" s="340">
        <f>11.41</f>
        <v>11.41</v>
      </c>
      <c r="J279" s="340"/>
      <c r="K279" s="308"/>
      <c r="L279" s="340">
        <f t="shared" si="8"/>
        <v>11.41</v>
      </c>
      <c r="M279" s="311"/>
      <c r="N279" s="311"/>
      <c r="O279" s="311"/>
      <c r="P279" s="311"/>
      <c r="Q279" s="311"/>
      <c r="R279" s="392"/>
      <c r="S279" s="358">
        <f ca="1">IF(C279&lt;=EOMONTH('&gt;&gt;Vistas Consolidadas'!$D$2, '&gt;&gt;Vistas Consolidadas'!$F$2),J279+I279,J279)</f>
        <v>11.41</v>
      </c>
      <c r="T279" s="18" t="str">
        <f ca="1">IF(C279&gt;='&gt;&gt;Vistas Consolidadas'!$D$2,"SI","NO")</f>
        <v>SI</v>
      </c>
      <c r="U279" s="358">
        <f ca="1">IF(C279&lt;=EOMONTH('&gt;&gt;Vistas Consolidadas'!$D$2, '&gt;&gt;Vistas Consolidadas'!$F$2),I279,0)</f>
        <v>11.41</v>
      </c>
      <c r="V279" s="18" t="b">
        <f ca="1">AND(C279&gt;='Interes Por Semana'!$C$4, C279&lt;='Interes Por Semana'!$E$4)</f>
        <v>0</v>
      </c>
      <c r="W279" s="18" t="str">
        <f t="shared" si="9"/>
        <v>lunes</v>
      </c>
    </row>
    <row r="280" spans="2:23" hidden="1" x14ac:dyDescent="0.25">
      <c r="B280" s="337">
        <v>44830</v>
      </c>
      <c r="C280" s="337">
        <v>46322</v>
      </c>
      <c r="D280" s="374" t="s">
        <v>78</v>
      </c>
      <c r="E280" s="309" t="s">
        <v>47</v>
      </c>
      <c r="F280" s="310" t="s">
        <v>108</v>
      </c>
      <c r="G280" s="311">
        <v>5.64</v>
      </c>
      <c r="H280" s="311">
        <v>10.199999999999999</v>
      </c>
      <c r="I280" s="340">
        <v>9.4</v>
      </c>
      <c r="J280" s="340"/>
      <c r="K280" s="308"/>
      <c r="L280" s="340">
        <f t="shared" si="8"/>
        <v>9.4</v>
      </c>
      <c r="M280" s="311"/>
      <c r="N280" s="311"/>
      <c r="O280" s="311"/>
      <c r="P280" s="311"/>
      <c r="Q280" s="311"/>
      <c r="R280" s="392"/>
      <c r="S280" s="358">
        <f ca="1">IF(C280&lt;=EOMONTH('&gt;&gt;Vistas Consolidadas'!$D$2, '&gt;&gt;Vistas Consolidadas'!$F$2),J280+I280,J280)</f>
        <v>9.4</v>
      </c>
      <c r="T280" s="18" t="str">
        <f ca="1">IF(C280&gt;='&gt;&gt;Vistas Consolidadas'!$D$2,"SI","NO")</f>
        <v>SI</v>
      </c>
      <c r="U280" s="358">
        <f ca="1">IF(C280&lt;=EOMONTH('&gt;&gt;Vistas Consolidadas'!$D$2, '&gt;&gt;Vistas Consolidadas'!$F$2),I280,0)</f>
        <v>9.4</v>
      </c>
      <c r="V280" s="18" t="b">
        <f ca="1">AND(C280&gt;='Interes Por Semana'!$C$4, C280&lt;='Interes Por Semana'!$E$4)</f>
        <v>0</v>
      </c>
      <c r="W280" s="18" t="str">
        <f t="shared" si="9"/>
        <v>martes</v>
      </c>
    </row>
    <row r="281" spans="2:23" hidden="1" x14ac:dyDescent="0.25">
      <c r="B281" s="337">
        <v>46057</v>
      </c>
      <c r="C281" s="337">
        <v>46322</v>
      </c>
      <c r="D281" s="374" t="s">
        <v>78</v>
      </c>
      <c r="E281" s="309" t="s">
        <v>47</v>
      </c>
      <c r="F281" s="310" t="s">
        <v>109</v>
      </c>
      <c r="G281" s="311">
        <v>6.21</v>
      </c>
      <c r="H281" s="311">
        <v>11</v>
      </c>
      <c r="I281" s="340">
        <v>15.61</v>
      </c>
      <c r="J281" s="340"/>
      <c r="K281" s="308"/>
      <c r="L281" s="340">
        <f t="shared" si="8"/>
        <v>15.61</v>
      </c>
      <c r="M281" s="311"/>
      <c r="N281" s="311"/>
      <c r="O281" s="311"/>
      <c r="P281" s="311"/>
      <c r="Q281" s="311"/>
      <c r="R281" s="392"/>
      <c r="S281" s="358">
        <f ca="1">IF(C281&lt;=EOMONTH('&gt;&gt;Vistas Consolidadas'!$D$2, '&gt;&gt;Vistas Consolidadas'!$F$2),J281+I281,J281)</f>
        <v>15.61</v>
      </c>
      <c r="T281" s="18" t="str">
        <f ca="1">IF(C281&gt;='&gt;&gt;Vistas Consolidadas'!$D$2,"SI","NO")</f>
        <v>SI</v>
      </c>
      <c r="U281" s="358">
        <f ca="1">IF(C281&lt;=EOMONTH('&gt;&gt;Vistas Consolidadas'!$D$2, '&gt;&gt;Vistas Consolidadas'!$F$2),I281,0)</f>
        <v>15.61</v>
      </c>
      <c r="V281" s="18" t="b">
        <f ca="1">AND(C281&gt;='Interes Por Semana'!$C$4, C281&lt;='Interes Por Semana'!$E$4)</f>
        <v>0</v>
      </c>
      <c r="W281" s="18" t="str">
        <f t="shared" si="9"/>
        <v>martes</v>
      </c>
    </row>
    <row r="282" spans="2:23" hidden="1" x14ac:dyDescent="0.25">
      <c r="B282" s="337">
        <v>46080</v>
      </c>
      <c r="C282" s="337">
        <v>46322</v>
      </c>
      <c r="D282" s="374" t="s">
        <v>78</v>
      </c>
      <c r="E282" s="309" t="s">
        <v>46</v>
      </c>
      <c r="F282" s="310" t="s">
        <v>110</v>
      </c>
      <c r="G282" s="312">
        <v>6.21</v>
      </c>
      <c r="H282" s="312">
        <v>10.6</v>
      </c>
      <c r="I282" s="340">
        <v>17.79</v>
      </c>
      <c r="J282" s="340"/>
      <c r="K282" s="308"/>
      <c r="L282" s="340">
        <f t="shared" si="8"/>
        <v>17.79</v>
      </c>
      <c r="M282" s="308"/>
      <c r="N282" s="311"/>
      <c r="O282" s="312"/>
      <c r="P282" s="308"/>
      <c r="Q282" s="308"/>
      <c r="R282" s="392"/>
      <c r="S282" s="358">
        <f ca="1">IF(C282&lt;=EOMONTH('&gt;&gt;Vistas Consolidadas'!$D$2, '&gt;&gt;Vistas Consolidadas'!$F$2),J282+I282,J282)</f>
        <v>17.79</v>
      </c>
      <c r="T282" s="18" t="str">
        <f ca="1">IF(C282&gt;='&gt;&gt;Vistas Consolidadas'!$D$2,"SI","NO")</f>
        <v>SI</v>
      </c>
      <c r="U282" s="358">
        <f ca="1">IF(C282&lt;=EOMONTH('&gt;&gt;Vistas Consolidadas'!$D$2, '&gt;&gt;Vistas Consolidadas'!$F$2),I282,0)</f>
        <v>17.79</v>
      </c>
      <c r="V282" s="18" t="b">
        <f ca="1">AND(C282&gt;='Interes Por Semana'!$C$4, C282&lt;='Interes Por Semana'!$E$4)</f>
        <v>0</v>
      </c>
      <c r="W282" s="18" t="str">
        <f t="shared" si="9"/>
        <v>martes</v>
      </c>
    </row>
    <row r="283" spans="2:23" hidden="1" x14ac:dyDescent="0.25">
      <c r="B283" s="337">
        <v>45987</v>
      </c>
      <c r="C283" s="337">
        <v>46323</v>
      </c>
      <c r="D283" s="374" t="s">
        <v>78</v>
      </c>
      <c r="E283" s="309" t="s">
        <v>46</v>
      </c>
      <c r="F283" s="310" t="s">
        <v>111</v>
      </c>
      <c r="G283" s="312">
        <v>6.82</v>
      </c>
      <c r="H283" s="308">
        <v>11</v>
      </c>
      <c r="I283" s="340">
        <v>6.82</v>
      </c>
      <c r="J283" s="340">
        <v>0</v>
      </c>
      <c r="K283" s="308"/>
      <c r="L283" s="340">
        <f t="shared" si="8"/>
        <v>6.82</v>
      </c>
      <c r="M283" s="308"/>
      <c r="N283" s="311"/>
      <c r="O283" s="312"/>
      <c r="P283" s="308"/>
      <c r="Q283" s="308"/>
      <c r="R283" s="392"/>
      <c r="S283" s="358">
        <f ca="1">IF(C283&lt;=EOMONTH('&gt;&gt;Vistas Consolidadas'!$D$2, '&gt;&gt;Vistas Consolidadas'!$F$2),J283+I283,J283)</f>
        <v>6.82</v>
      </c>
      <c r="T283" s="18" t="str">
        <f ca="1">IF(C283&gt;='&gt;&gt;Vistas Consolidadas'!$D$2,"SI","NO")</f>
        <v>SI</v>
      </c>
      <c r="U283" s="358">
        <f ca="1">IF(C283&lt;=EOMONTH('&gt;&gt;Vistas Consolidadas'!$D$2, '&gt;&gt;Vistas Consolidadas'!$F$2),I283,0)</f>
        <v>6.82</v>
      </c>
      <c r="V283" s="18" t="b">
        <f ca="1">AND(C283&gt;='Interes Por Semana'!$C$4, C283&lt;='Interes Por Semana'!$E$4)</f>
        <v>0</v>
      </c>
      <c r="W283" s="18" t="str">
        <f t="shared" si="9"/>
        <v>miércoles</v>
      </c>
    </row>
    <row r="284" spans="2:23" hidden="1" x14ac:dyDescent="0.25">
      <c r="B284" s="337">
        <v>45748</v>
      </c>
      <c r="C284" s="337">
        <v>46331</v>
      </c>
      <c r="D284" s="374" t="s">
        <v>88</v>
      </c>
      <c r="E284" s="309" t="s">
        <v>47</v>
      </c>
      <c r="F284" s="310" t="s">
        <v>113</v>
      </c>
      <c r="G284" s="311">
        <v>9</v>
      </c>
      <c r="H284" s="311">
        <v>11.5</v>
      </c>
      <c r="I284" s="340">
        <v>30.95</v>
      </c>
      <c r="J284" s="340">
        <v>229.08</v>
      </c>
      <c r="K284" s="308"/>
      <c r="L284" s="340">
        <f t="shared" si="8"/>
        <v>30.95</v>
      </c>
      <c r="M284" s="308"/>
      <c r="N284" s="311"/>
      <c r="O284" s="312"/>
      <c r="P284" s="308"/>
      <c r="Q284" s="308"/>
      <c r="R284" s="392"/>
      <c r="S284" s="358">
        <f ca="1">IF(C284&lt;=EOMONTH('&gt;&gt;Vistas Consolidadas'!$D$2, '&gt;&gt;Vistas Consolidadas'!$F$2),J284+I284,J284)</f>
        <v>260.03000000000003</v>
      </c>
      <c r="T284" s="18" t="str">
        <f ca="1">IF(C284&gt;='&gt;&gt;Vistas Consolidadas'!$D$2,"SI","NO")</f>
        <v>SI</v>
      </c>
      <c r="U284" s="358">
        <f ca="1">IF(C284&lt;=EOMONTH('&gt;&gt;Vistas Consolidadas'!$D$2, '&gt;&gt;Vistas Consolidadas'!$F$2),I284,0)</f>
        <v>30.95</v>
      </c>
      <c r="V284" s="18" t="b">
        <f ca="1">AND(C284&gt;='Interes Por Semana'!$C$4, C284&lt;='Interes Por Semana'!$E$4)</f>
        <v>0</v>
      </c>
      <c r="W284" s="18" t="str">
        <f t="shared" si="9"/>
        <v>jueves</v>
      </c>
    </row>
    <row r="285" spans="2:23" hidden="1" x14ac:dyDescent="0.25">
      <c r="B285" s="337">
        <v>45754</v>
      </c>
      <c r="C285" s="337">
        <v>46331</v>
      </c>
      <c r="D285" s="374" t="s">
        <v>88</v>
      </c>
      <c r="E285" s="309" t="s">
        <v>47</v>
      </c>
      <c r="F285" s="310" t="s">
        <v>113</v>
      </c>
      <c r="G285" s="311">
        <v>9</v>
      </c>
      <c r="H285" s="311">
        <v>11.5</v>
      </c>
      <c r="I285" s="340">
        <v>42.810000000000031</v>
      </c>
      <c r="J285" s="340">
        <v>255.04</v>
      </c>
      <c r="K285" s="308"/>
      <c r="L285" s="340">
        <f t="shared" si="8"/>
        <v>42.810000000000031</v>
      </c>
      <c r="M285" s="308"/>
      <c r="N285" s="311"/>
      <c r="O285" s="312"/>
      <c r="P285" s="308"/>
      <c r="Q285" s="308"/>
      <c r="R285" s="392"/>
      <c r="S285" s="358">
        <f ca="1">IF(C285&lt;=EOMONTH('&gt;&gt;Vistas Consolidadas'!$D$2, '&gt;&gt;Vistas Consolidadas'!$F$2),J285+I285,J285)</f>
        <v>297.85000000000002</v>
      </c>
      <c r="T285" s="18" t="str">
        <f ca="1">IF(C285&gt;='&gt;&gt;Vistas Consolidadas'!$D$2,"SI","NO")</f>
        <v>SI</v>
      </c>
      <c r="U285" s="358">
        <f ca="1">IF(C285&lt;=EOMONTH('&gt;&gt;Vistas Consolidadas'!$D$2, '&gt;&gt;Vistas Consolidadas'!$F$2),I285,0)</f>
        <v>42.810000000000031</v>
      </c>
      <c r="V285" s="18" t="b">
        <f ca="1">AND(C285&gt;='Interes Por Semana'!$C$4, C285&lt;='Interes Por Semana'!$E$4)</f>
        <v>0</v>
      </c>
      <c r="W285" s="18" t="str">
        <f t="shared" si="9"/>
        <v>jueves</v>
      </c>
    </row>
    <row r="286" spans="2:23" hidden="1" x14ac:dyDescent="0.25">
      <c r="B286" s="337">
        <v>45755</v>
      </c>
      <c r="C286" s="337">
        <v>46331</v>
      </c>
      <c r="D286" s="374" t="s">
        <v>88</v>
      </c>
      <c r="E286" s="309" t="s">
        <v>47</v>
      </c>
      <c r="F286" s="310" t="s">
        <v>113</v>
      </c>
      <c r="G286" s="311">
        <v>9</v>
      </c>
      <c r="H286" s="311">
        <v>11.5</v>
      </c>
      <c r="I286" s="340">
        <v>96.460000000000036</v>
      </c>
      <c r="J286" s="340">
        <v>574.88</v>
      </c>
      <c r="K286" s="308"/>
      <c r="L286" s="340">
        <f t="shared" si="8"/>
        <v>96.460000000000036</v>
      </c>
      <c r="M286" s="308"/>
      <c r="N286" s="311"/>
      <c r="O286" s="312"/>
      <c r="P286" s="308"/>
      <c r="Q286" s="308"/>
      <c r="R286" s="392"/>
      <c r="S286" s="358">
        <f ca="1">IF(C286&lt;=EOMONTH('&gt;&gt;Vistas Consolidadas'!$D$2, '&gt;&gt;Vistas Consolidadas'!$F$2),J286+I286,J286)</f>
        <v>671.34</v>
      </c>
      <c r="T286" s="18" t="str">
        <f ca="1">IF(C286&gt;='&gt;&gt;Vistas Consolidadas'!$D$2,"SI","NO")</f>
        <v>SI</v>
      </c>
      <c r="U286" s="358">
        <f ca="1">IF(C286&lt;=EOMONTH('&gt;&gt;Vistas Consolidadas'!$D$2, '&gt;&gt;Vistas Consolidadas'!$F$2),I286,0)</f>
        <v>96.460000000000036</v>
      </c>
      <c r="V286" s="18" t="b">
        <f ca="1">AND(C286&gt;='Interes Por Semana'!$C$4, C286&lt;='Interes Por Semana'!$E$4)</f>
        <v>0</v>
      </c>
      <c r="W286" s="18" t="str">
        <f t="shared" si="9"/>
        <v>jueves</v>
      </c>
    </row>
    <row r="287" spans="2:23" hidden="1" x14ac:dyDescent="0.25">
      <c r="B287" s="337">
        <v>45775</v>
      </c>
      <c r="C287" s="337">
        <v>46331</v>
      </c>
      <c r="D287" s="374" t="s">
        <v>88</v>
      </c>
      <c r="E287" s="309" t="s">
        <v>47</v>
      </c>
      <c r="F287" s="310" t="s">
        <v>113</v>
      </c>
      <c r="G287" s="311">
        <v>9</v>
      </c>
      <c r="H287" s="311">
        <v>11.5</v>
      </c>
      <c r="I287" s="340">
        <v>272.38</v>
      </c>
      <c r="J287" s="340">
        <v>1637.62</v>
      </c>
      <c r="K287" s="308"/>
      <c r="L287" s="340">
        <f t="shared" si="8"/>
        <v>272.38</v>
      </c>
      <c r="M287" s="308"/>
      <c r="N287" s="311"/>
      <c r="O287" s="312"/>
      <c r="P287" s="308"/>
      <c r="Q287" s="308"/>
      <c r="R287" s="392"/>
      <c r="S287" s="358">
        <f ca="1">IF(C287&lt;=EOMONTH('&gt;&gt;Vistas Consolidadas'!$D$2, '&gt;&gt;Vistas Consolidadas'!$F$2),J287+I287,J287)</f>
        <v>1910</v>
      </c>
      <c r="T287" s="18" t="str">
        <f ca="1">IF(C287&gt;='&gt;&gt;Vistas Consolidadas'!$D$2,"SI","NO")</f>
        <v>SI</v>
      </c>
      <c r="U287" s="358">
        <f ca="1">IF(C287&lt;=EOMONTH('&gt;&gt;Vistas Consolidadas'!$D$2, '&gt;&gt;Vistas Consolidadas'!$F$2),I287,0)</f>
        <v>272.38</v>
      </c>
      <c r="V287" s="18" t="b">
        <f ca="1">AND(C287&gt;='Interes Por Semana'!$C$4, C287&lt;='Interes Por Semana'!$E$4)</f>
        <v>0</v>
      </c>
      <c r="W287" s="18" t="str">
        <f t="shared" si="9"/>
        <v>jueves</v>
      </c>
    </row>
    <row r="288" spans="2:23" hidden="1" x14ac:dyDescent="0.25">
      <c r="B288" s="337">
        <v>45793</v>
      </c>
      <c r="C288" s="337">
        <v>46335</v>
      </c>
      <c r="D288" s="374" t="s">
        <v>88</v>
      </c>
      <c r="E288" s="309" t="s">
        <v>46</v>
      </c>
      <c r="F288" s="310" t="s">
        <v>114</v>
      </c>
      <c r="G288" s="311">
        <v>9</v>
      </c>
      <c r="H288" s="311">
        <v>11.5</v>
      </c>
      <c r="I288" s="340">
        <v>330.27</v>
      </c>
      <c r="J288" s="340">
        <v>1694.73</v>
      </c>
      <c r="K288" s="308"/>
      <c r="L288" s="340">
        <f t="shared" si="8"/>
        <v>330.27</v>
      </c>
      <c r="M288" s="308"/>
      <c r="N288" s="311"/>
      <c r="O288" s="312"/>
      <c r="P288" s="308"/>
      <c r="Q288" s="308"/>
      <c r="R288" s="392"/>
      <c r="S288" s="358">
        <f ca="1">IF(C288&lt;=EOMONTH('&gt;&gt;Vistas Consolidadas'!$D$2, '&gt;&gt;Vistas Consolidadas'!$F$2),J288+I288,J288)</f>
        <v>2025</v>
      </c>
      <c r="T288" s="18" t="str">
        <f ca="1">IF(C288&gt;='&gt;&gt;Vistas Consolidadas'!$D$2,"SI","NO")</f>
        <v>SI</v>
      </c>
      <c r="U288" s="358">
        <f ca="1">IF(C288&lt;=EOMONTH('&gt;&gt;Vistas Consolidadas'!$D$2, '&gt;&gt;Vistas Consolidadas'!$F$2),I288,0)</f>
        <v>330.27</v>
      </c>
      <c r="V288" s="18" t="b">
        <f ca="1">AND(C288&gt;='Interes Por Semana'!$C$4, C288&lt;='Interes Por Semana'!$E$4)</f>
        <v>0</v>
      </c>
      <c r="W288" s="18" t="str">
        <f t="shared" si="9"/>
        <v>lunes</v>
      </c>
    </row>
    <row r="289" spans="2:23" hidden="1" x14ac:dyDescent="0.25">
      <c r="B289" s="337">
        <v>44923</v>
      </c>
      <c r="C289" s="337">
        <v>46356</v>
      </c>
      <c r="D289" s="374" t="s">
        <v>88</v>
      </c>
      <c r="E289" s="309" t="s">
        <v>46</v>
      </c>
      <c r="F289" s="310" t="s">
        <v>115</v>
      </c>
      <c r="G289" s="312">
        <v>8.5</v>
      </c>
      <c r="H289" s="308">
        <v>8.5</v>
      </c>
      <c r="I289" s="340">
        <v>116.96</v>
      </c>
      <c r="J289" s="340">
        <v>1376</v>
      </c>
      <c r="K289" s="308"/>
      <c r="L289" s="340">
        <f t="shared" si="8"/>
        <v>116.96</v>
      </c>
      <c r="M289" s="308"/>
      <c r="N289" s="311"/>
      <c r="O289" s="312"/>
      <c r="P289" s="308"/>
      <c r="Q289" s="308"/>
      <c r="R289" s="392"/>
      <c r="S289" s="358">
        <f ca="1">IF(C289&lt;=EOMONTH('&gt;&gt;Vistas Consolidadas'!$D$2, '&gt;&gt;Vistas Consolidadas'!$F$2),J289+I289,J289)</f>
        <v>1492.96</v>
      </c>
      <c r="T289" s="18" t="str">
        <f ca="1">IF(C289&gt;='&gt;&gt;Vistas Consolidadas'!$D$2,"SI","NO")</f>
        <v>SI</v>
      </c>
      <c r="U289" s="358">
        <f ca="1">IF(C289&lt;=EOMONTH('&gt;&gt;Vistas Consolidadas'!$D$2, '&gt;&gt;Vistas Consolidadas'!$F$2),I289,0)</f>
        <v>116.96</v>
      </c>
      <c r="V289" s="18" t="b">
        <f ca="1">AND(C289&gt;='Interes Por Semana'!$C$4, C289&lt;='Interes Por Semana'!$E$4)</f>
        <v>0</v>
      </c>
      <c r="W289" s="18" t="str">
        <f t="shared" si="9"/>
        <v>lunes</v>
      </c>
    </row>
    <row r="290" spans="2:23" hidden="1" x14ac:dyDescent="0.25">
      <c r="B290" s="337">
        <v>44988</v>
      </c>
      <c r="C290" s="337">
        <v>46356</v>
      </c>
      <c r="D290" s="374" t="s">
        <v>88</v>
      </c>
      <c r="E290" s="309" t="s">
        <v>46</v>
      </c>
      <c r="F290" s="310" t="s">
        <v>115</v>
      </c>
      <c r="G290" s="312">
        <v>8.5</v>
      </c>
      <c r="H290" s="308">
        <v>8.5</v>
      </c>
      <c r="I290" s="340">
        <v>158.78</v>
      </c>
      <c r="J290" s="340">
        <v>1868</v>
      </c>
      <c r="K290" s="308"/>
      <c r="L290" s="340">
        <f t="shared" si="8"/>
        <v>158.78</v>
      </c>
      <c r="M290" s="308"/>
      <c r="N290" s="311"/>
      <c r="O290" s="312"/>
      <c r="P290" s="308"/>
      <c r="Q290" s="308"/>
      <c r="R290" s="392"/>
      <c r="S290" s="358">
        <f ca="1">IF(C290&lt;=EOMONTH('&gt;&gt;Vistas Consolidadas'!$D$2, '&gt;&gt;Vistas Consolidadas'!$F$2),J290+I290,J290)</f>
        <v>2026.78</v>
      </c>
      <c r="T290" s="18" t="str">
        <f ca="1">IF(C290&gt;='&gt;&gt;Vistas Consolidadas'!$D$2,"SI","NO")</f>
        <v>SI</v>
      </c>
      <c r="U290" s="358">
        <f ca="1">IF(C290&lt;=EOMONTH('&gt;&gt;Vistas Consolidadas'!$D$2, '&gt;&gt;Vistas Consolidadas'!$F$2),I290,0)</f>
        <v>158.78</v>
      </c>
      <c r="V290" s="18" t="b">
        <f ca="1">AND(C290&gt;='Interes Por Semana'!$C$4, C290&lt;='Interes Por Semana'!$E$4)</f>
        <v>0</v>
      </c>
      <c r="W290" s="18" t="str">
        <f t="shared" si="9"/>
        <v>lunes</v>
      </c>
    </row>
    <row r="291" spans="2:23" hidden="1" x14ac:dyDescent="0.25">
      <c r="B291" s="337">
        <v>45552</v>
      </c>
      <c r="C291" s="337">
        <v>46329</v>
      </c>
      <c r="D291" s="374" t="s">
        <v>78</v>
      </c>
      <c r="E291" s="309" t="s">
        <v>47</v>
      </c>
      <c r="F291" s="310" t="s">
        <v>79</v>
      </c>
      <c r="G291" s="311">
        <v>5.36</v>
      </c>
      <c r="H291" s="311">
        <v>13.5</v>
      </c>
      <c r="I291" s="340">
        <f>15.63</f>
        <v>15.63</v>
      </c>
      <c r="J291" s="340"/>
      <c r="K291" s="308"/>
      <c r="L291" s="340">
        <f t="shared" si="8"/>
        <v>15.63</v>
      </c>
      <c r="M291" s="311"/>
      <c r="N291" s="311"/>
      <c r="O291" s="311"/>
      <c r="P291" s="311"/>
      <c r="Q291" s="311"/>
      <c r="R291" s="392"/>
      <c r="S291" s="358">
        <f ca="1">IF(C291&lt;=EOMONTH('&gt;&gt;Vistas Consolidadas'!$D$2, '&gt;&gt;Vistas Consolidadas'!$F$2),J291+I291,J291)</f>
        <v>15.63</v>
      </c>
      <c r="T291" s="18" t="str">
        <f ca="1">IF(C291&gt;='&gt;&gt;Vistas Consolidadas'!$D$2,"SI","NO")</f>
        <v>SI</v>
      </c>
      <c r="U291" s="358">
        <f ca="1">IF(C291&lt;=EOMONTH('&gt;&gt;Vistas Consolidadas'!$D$2, '&gt;&gt;Vistas Consolidadas'!$F$2),I291,0)</f>
        <v>15.63</v>
      </c>
      <c r="V291" s="18" t="b">
        <f ca="1">AND(C291&gt;='Interes Por Semana'!$C$4, C291&lt;='Interes Por Semana'!$E$4)</f>
        <v>0</v>
      </c>
      <c r="W291" s="18" t="str">
        <f t="shared" si="9"/>
        <v>martes</v>
      </c>
    </row>
    <row r="292" spans="2:23" hidden="1" x14ac:dyDescent="0.25">
      <c r="B292" s="337">
        <v>45560</v>
      </c>
      <c r="C292" s="337">
        <v>46329</v>
      </c>
      <c r="D292" s="374" t="s">
        <v>78</v>
      </c>
      <c r="E292" s="309" t="s">
        <v>47</v>
      </c>
      <c r="F292" s="310" t="s">
        <v>79</v>
      </c>
      <c r="G292" s="311">
        <v>5.36</v>
      </c>
      <c r="H292" s="311">
        <v>12.5</v>
      </c>
      <c r="I292" s="340">
        <f>12.51</f>
        <v>12.51</v>
      </c>
      <c r="J292" s="340"/>
      <c r="K292" s="308"/>
      <c r="L292" s="340">
        <f t="shared" si="8"/>
        <v>12.51</v>
      </c>
      <c r="M292" s="311"/>
      <c r="N292" s="311"/>
      <c r="O292" s="311"/>
      <c r="P292" s="311"/>
      <c r="Q292" s="311"/>
      <c r="R292" s="392"/>
      <c r="S292" s="358">
        <f ca="1">IF(C292&lt;=EOMONTH('&gt;&gt;Vistas Consolidadas'!$D$2, '&gt;&gt;Vistas Consolidadas'!$F$2),J292+I292,J292)</f>
        <v>12.51</v>
      </c>
      <c r="T292" s="18" t="str">
        <f ca="1">IF(C292&gt;='&gt;&gt;Vistas Consolidadas'!$D$2,"SI","NO")</f>
        <v>SI</v>
      </c>
      <c r="U292" s="358">
        <f ca="1">IF(C292&lt;=EOMONTH('&gt;&gt;Vistas Consolidadas'!$D$2, '&gt;&gt;Vistas Consolidadas'!$F$2),I292,0)</f>
        <v>12.51</v>
      </c>
      <c r="V292" s="18" t="b">
        <f ca="1">AND(C292&gt;='Interes Por Semana'!$C$4, C292&lt;='Interes Por Semana'!$E$4)</f>
        <v>0</v>
      </c>
      <c r="W292" s="18" t="str">
        <f t="shared" si="9"/>
        <v>martes</v>
      </c>
    </row>
    <row r="293" spans="2:23" hidden="1" x14ac:dyDescent="0.25">
      <c r="B293" s="337">
        <v>45708</v>
      </c>
      <c r="C293" s="337">
        <v>46330</v>
      </c>
      <c r="D293" s="374" t="s">
        <v>78</v>
      </c>
      <c r="E293" s="309" t="s">
        <v>46</v>
      </c>
      <c r="F293" s="310" t="s">
        <v>81</v>
      </c>
      <c r="G293" s="312">
        <v>5.36</v>
      </c>
      <c r="H293" s="308">
        <v>11.35</v>
      </c>
      <c r="I293" s="340">
        <f>16.79-J293</f>
        <v>16.79</v>
      </c>
      <c r="J293" s="340">
        <v>0</v>
      </c>
      <c r="K293" s="308"/>
      <c r="L293" s="340">
        <f t="shared" si="8"/>
        <v>16.79</v>
      </c>
      <c r="M293" s="308"/>
      <c r="N293" s="311"/>
      <c r="O293" s="312"/>
      <c r="P293" s="308"/>
      <c r="Q293" s="308"/>
      <c r="R293" s="392"/>
      <c r="S293" s="358">
        <f ca="1">IF(C293&lt;=EOMONTH('&gt;&gt;Vistas Consolidadas'!$D$2, '&gt;&gt;Vistas Consolidadas'!$F$2),J293+I293,J293)</f>
        <v>16.79</v>
      </c>
      <c r="T293" s="18" t="str">
        <f ca="1">IF(C293&gt;='&gt;&gt;Vistas Consolidadas'!$D$2,"SI","NO")</f>
        <v>SI</v>
      </c>
      <c r="U293" s="358">
        <f ca="1">IF(C293&lt;=EOMONTH('&gt;&gt;Vistas Consolidadas'!$D$2, '&gt;&gt;Vistas Consolidadas'!$F$2),I293,0)</f>
        <v>16.79</v>
      </c>
      <c r="V293" s="18" t="b">
        <f ca="1">AND(C293&gt;='Interes Por Semana'!$C$4, C293&lt;='Interes Por Semana'!$E$4)</f>
        <v>0</v>
      </c>
      <c r="W293" s="18" t="str">
        <f t="shared" si="9"/>
        <v>miércoles</v>
      </c>
    </row>
    <row r="294" spans="2:23" hidden="1" x14ac:dyDescent="0.25">
      <c r="B294" s="337">
        <v>46057</v>
      </c>
      <c r="C294" s="337">
        <v>46332</v>
      </c>
      <c r="D294" s="374" t="s">
        <v>78</v>
      </c>
      <c r="E294" s="309" t="s">
        <v>47</v>
      </c>
      <c r="F294" s="310" t="s">
        <v>85</v>
      </c>
      <c r="G294" s="311">
        <v>7.93</v>
      </c>
      <c r="H294" s="311">
        <v>11.25</v>
      </c>
      <c r="I294" s="340">
        <v>58.023180428134552</v>
      </c>
      <c r="J294" s="340"/>
      <c r="K294" s="308"/>
      <c r="L294" s="340">
        <f t="shared" si="8"/>
        <v>58.023180428134552</v>
      </c>
      <c r="M294" s="311"/>
      <c r="N294" s="311"/>
      <c r="O294" s="311"/>
      <c r="P294" s="311"/>
      <c r="Q294" s="311"/>
      <c r="R294" s="392"/>
      <c r="S294" s="358">
        <f ca="1">IF(C294&lt;=EOMONTH('&gt;&gt;Vistas Consolidadas'!$D$2, '&gt;&gt;Vistas Consolidadas'!$F$2),J294+I294,J294)</f>
        <v>58.023180428134552</v>
      </c>
      <c r="T294" s="18" t="str">
        <f ca="1">IF(C294&gt;='&gt;&gt;Vistas Consolidadas'!$D$2,"SI","NO")</f>
        <v>SI</v>
      </c>
      <c r="U294" s="358">
        <f ca="1">IF(C294&lt;=EOMONTH('&gt;&gt;Vistas Consolidadas'!$D$2, '&gt;&gt;Vistas Consolidadas'!$F$2),I294,0)</f>
        <v>58.023180428134552</v>
      </c>
      <c r="V294" s="18" t="b">
        <f ca="1">AND(C294&gt;='Interes Por Semana'!$C$4, C294&lt;='Interes Por Semana'!$E$4)</f>
        <v>0</v>
      </c>
      <c r="W294" s="18" t="str">
        <f t="shared" si="9"/>
        <v>viernes</v>
      </c>
    </row>
    <row r="295" spans="2:23" hidden="1" x14ac:dyDescent="0.25">
      <c r="B295" s="337">
        <v>46057</v>
      </c>
      <c r="C295" s="337">
        <v>46332</v>
      </c>
      <c r="D295" s="374" t="s">
        <v>78</v>
      </c>
      <c r="E295" s="309" t="s">
        <v>47</v>
      </c>
      <c r="F295" s="310" t="s">
        <v>86</v>
      </c>
      <c r="G295" s="311">
        <v>7.35</v>
      </c>
      <c r="H295" s="311">
        <v>11</v>
      </c>
      <c r="I295" s="340">
        <v>20.79</v>
      </c>
      <c r="J295" s="340"/>
      <c r="K295" s="308"/>
      <c r="L295" s="340">
        <f t="shared" si="8"/>
        <v>20.79</v>
      </c>
      <c r="M295" s="311"/>
      <c r="N295" s="311"/>
      <c r="O295" s="311"/>
      <c r="P295" s="311"/>
      <c r="Q295" s="311"/>
      <c r="R295" s="392"/>
      <c r="S295" s="358">
        <f ca="1">IF(C295&lt;=EOMONTH('&gt;&gt;Vistas Consolidadas'!$D$2, '&gt;&gt;Vistas Consolidadas'!$F$2),J295+I295,J295)</f>
        <v>20.79</v>
      </c>
      <c r="T295" s="18" t="str">
        <f ca="1">IF(C295&gt;='&gt;&gt;Vistas Consolidadas'!$D$2,"SI","NO")</f>
        <v>SI</v>
      </c>
      <c r="U295" s="358">
        <f ca="1">IF(C295&lt;=EOMONTH('&gt;&gt;Vistas Consolidadas'!$D$2, '&gt;&gt;Vistas Consolidadas'!$F$2),I295,0)</f>
        <v>20.79</v>
      </c>
      <c r="V295" s="18" t="b">
        <f ca="1">AND(C295&gt;='Interes Por Semana'!$C$4, C295&lt;='Interes Por Semana'!$E$4)</f>
        <v>0</v>
      </c>
      <c r="W295" s="18" t="str">
        <f t="shared" si="9"/>
        <v>viernes</v>
      </c>
    </row>
    <row r="296" spans="2:23" hidden="1" x14ac:dyDescent="0.25">
      <c r="B296" s="337">
        <v>46001</v>
      </c>
      <c r="C296" s="337">
        <v>46332</v>
      </c>
      <c r="D296" s="374" t="s">
        <v>78</v>
      </c>
      <c r="E296" s="309" t="s">
        <v>46</v>
      </c>
      <c r="F296" s="310" t="s">
        <v>87</v>
      </c>
      <c r="G296" s="312">
        <v>7.54</v>
      </c>
      <c r="H296" s="308">
        <v>11</v>
      </c>
      <c r="I296" s="340">
        <f>7.79</f>
        <v>7.79</v>
      </c>
      <c r="J296" s="340"/>
      <c r="K296" s="308"/>
      <c r="L296" s="340">
        <f t="shared" si="8"/>
        <v>7.79</v>
      </c>
      <c r="M296" s="308"/>
      <c r="N296" s="311"/>
      <c r="O296" s="312"/>
      <c r="P296" s="308"/>
      <c r="Q296" s="308"/>
      <c r="R296" s="392"/>
      <c r="S296" s="358">
        <f ca="1">IF(C296&lt;=EOMONTH('&gt;&gt;Vistas Consolidadas'!$D$2, '&gt;&gt;Vistas Consolidadas'!$F$2),J296+I296,J296)</f>
        <v>7.79</v>
      </c>
      <c r="T296" s="18" t="str">
        <f ca="1">IF(C296&gt;='&gt;&gt;Vistas Consolidadas'!$D$2,"SI","NO")</f>
        <v>SI</v>
      </c>
      <c r="U296" s="358">
        <f ca="1">IF(C296&lt;=EOMONTH('&gt;&gt;Vistas Consolidadas'!$D$2, '&gt;&gt;Vistas Consolidadas'!$F$2),I296,0)</f>
        <v>7.79</v>
      </c>
      <c r="V296" s="18" t="b">
        <f ca="1">AND(C296&gt;='Interes Por Semana'!$C$4, C296&lt;='Interes Por Semana'!$E$4)</f>
        <v>0</v>
      </c>
      <c r="W296" s="18" t="str">
        <f t="shared" si="9"/>
        <v>viernes</v>
      </c>
    </row>
    <row r="297" spans="2:23" hidden="1" x14ac:dyDescent="0.25">
      <c r="B297" s="337">
        <v>45943</v>
      </c>
      <c r="C297" s="337">
        <v>46336</v>
      </c>
      <c r="D297" s="374" t="s">
        <v>78</v>
      </c>
      <c r="E297" s="309" t="s">
        <v>47</v>
      </c>
      <c r="F297" s="310" t="s">
        <v>91</v>
      </c>
      <c r="G297" s="311">
        <v>7.54</v>
      </c>
      <c r="H297" s="311">
        <v>9.85</v>
      </c>
      <c r="I297" s="340">
        <v>35.25</v>
      </c>
      <c r="J297" s="340"/>
      <c r="K297" s="308"/>
      <c r="L297" s="340">
        <f t="shared" si="8"/>
        <v>35.25</v>
      </c>
      <c r="M297" s="311"/>
      <c r="N297" s="311"/>
      <c r="O297" s="311"/>
      <c r="P297" s="311"/>
      <c r="Q297" s="311"/>
      <c r="R297" s="392"/>
      <c r="S297" s="358">
        <f ca="1">IF(C297&lt;=EOMONTH('&gt;&gt;Vistas Consolidadas'!$D$2, '&gt;&gt;Vistas Consolidadas'!$F$2),J297+I297,J297)</f>
        <v>35.25</v>
      </c>
      <c r="T297" s="18" t="str">
        <f ca="1">IF(C297&gt;='&gt;&gt;Vistas Consolidadas'!$D$2,"SI","NO")</f>
        <v>SI</v>
      </c>
      <c r="U297" s="358">
        <f ca="1">IF(C297&lt;=EOMONTH('&gt;&gt;Vistas Consolidadas'!$D$2, '&gt;&gt;Vistas Consolidadas'!$F$2),I297,0)</f>
        <v>35.25</v>
      </c>
      <c r="V297" s="18" t="b">
        <f ca="1">AND(C297&gt;='Interes Por Semana'!$C$4, C297&lt;='Interes Por Semana'!$E$4)</f>
        <v>0</v>
      </c>
      <c r="W297" s="18" t="str">
        <f t="shared" si="9"/>
        <v>martes</v>
      </c>
    </row>
    <row r="298" spans="2:23" hidden="1" x14ac:dyDescent="0.25">
      <c r="B298" s="337">
        <v>46121</v>
      </c>
      <c r="C298" s="337">
        <v>46338</v>
      </c>
      <c r="D298" s="374" t="s">
        <v>78</v>
      </c>
      <c r="E298" s="309" t="s">
        <v>47</v>
      </c>
      <c r="F298" s="310" t="s">
        <v>93</v>
      </c>
      <c r="G298" s="312">
        <v>4.71</v>
      </c>
      <c r="H298" s="308">
        <v>9.5</v>
      </c>
      <c r="I298" s="340">
        <v>3.53</v>
      </c>
      <c r="J298" s="340">
        <v>0</v>
      </c>
      <c r="K298" s="308"/>
      <c r="L298" s="340">
        <f t="shared" si="8"/>
        <v>3.53</v>
      </c>
      <c r="M298" s="308"/>
      <c r="N298" s="311"/>
      <c r="O298" s="312"/>
      <c r="P298" s="308"/>
      <c r="Q298" s="308"/>
      <c r="R298" s="392"/>
      <c r="S298" s="358">
        <f ca="1">IF(C298&lt;=EOMONTH('&gt;&gt;Vistas Consolidadas'!$D$2, '&gt;&gt;Vistas Consolidadas'!$F$2),J298+I298,J298)</f>
        <v>3.53</v>
      </c>
      <c r="T298" s="18" t="str">
        <f ca="1">IF(C298&gt;='&gt;&gt;Vistas Consolidadas'!$D$2,"SI","NO")</f>
        <v>SI</v>
      </c>
      <c r="U298" s="358">
        <f ca="1">IF(C298&lt;=EOMONTH('&gt;&gt;Vistas Consolidadas'!$D$2, '&gt;&gt;Vistas Consolidadas'!$F$2),I298,0)</f>
        <v>3.53</v>
      </c>
      <c r="V298" s="18" t="b">
        <f ca="1">AND(C298&gt;='Interes Por Semana'!$C$4, C298&lt;='Interes Por Semana'!$E$4)</f>
        <v>0</v>
      </c>
      <c r="W298" s="18" t="str">
        <f t="shared" si="9"/>
        <v>jueves</v>
      </c>
    </row>
    <row r="299" spans="2:23" hidden="1" x14ac:dyDescent="0.25">
      <c r="B299" s="337">
        <v>45323</v>
      </c>
      <c r="C299" s="337">
        <v>46341</v>
      </c>
      <c r="D299" s="374" t="s">
        <v>96</v>
      </c>
      <c r="E299" s="309" t="s">
        <v>47</v>
      </c>
      <c r="F299" s="310" t="s">
        <v>97</v>
      </c>
      <c r="G299" s="311">
        <v>6</v>
      </c>
      <c r="H299" s="311">
        <v>12</v>
      </c>
      <c r="I299" s="340">
        <v>16.670000000000002</v>
      </c>
      <c r="J299" s="340"/>
      <c r="K299" s="308"/>
      <c r="L299" s="340">
        <f t="shared" si="8"/>
        <v>16.670000000000002</v>
      </c>
      <c r="M299" s="311"/>
      <c r="N299" s="311"/>
      <c r="O299" s="311"/>
      <c r="P299" s="311"/>
      <c r="Q299" s="311"/>
      <c r="R299" s="392"/>
      <c r="S299" s="358">
        <f ca="1">IF(C299&lt;=EOMONTH('&gt;&gt;Vistas Consolidadas'!$D$2, '&gt;&gt;Vistas Consolidadas'!$F$2),J299+I299,J299)</f>
        <v>16.670000000000002</v>
      </c>
      <c r="T299" s="18" t="str">
        <f ca="1">IF(C299&gt;='&gt;&gt;Vistas Consolidadas'!$D$2,"SI","NO")</f>
        <v>SI</v>
      </c>
      <c r="U299" s="358">
        <f ca="1">IF(C299&lt;=EOMONTH('&gt;&gt;Vistas Consolidadas'!$D$2, '&gt;&gt;Vistas Consolidadas'!$F$2),I299,0)</f>
        <v>16.670000000000002</v>
      </c>
      <c r="V299" s="18" t="b">
        <f ca="1">AND(C299&gt;='Interes Por Semana'!$C$4, C299&lt;='Interes Por Semana'!$E$4)</f>
        <v>0</v>
      </c>
      <c r="W299" s="18" t="str">
        <f t="shared" si="9"/>
        <v>domingo</v>
      </c>
    </row>
    <row r="300" spans="2:23" hidden="1" x14ac:dyDescent="0.25">
      <c r="B300" s="337">
        <v>45356</v>
      </c>
      <c r="C300" s="337">
        <v>46341</v>
      </c>
      <c r="D300" s="374" t="s">
        <v>96</v>
      </c>
      <c r="E300" s="309" t="s">
        <v>47</v>
      </c>
      <c r="F300" s="310" t="s">
        <v>97</v>
      </c>
      <c r="G300" s="311">
        <v>6</v>
      </c>
      <c r="H300" s="311">
        <v>12</v>
      </c>
      <c r="I300" s="340">
        <v>108.33</v>
      </c>
      <c r="J300" s="340"/>
      <c r="K300" s="308"/>
      <c r="L300" s="340">
        <f t="shared" si="8"/>
        <v>108.33</v>
      </c>
      <c r="M300" s="311"/>
      <c r="N300" s="311"/>
      <c r="O300" s="311"/>
      <c r="P300" s="311"/>
      <c r="Q300" s="311"/>
      <c r="R300" s="392"/>
      <c r="S300" s="358">
        <f ca="1">IF(C300&lt;=EOMONTH('&gt;&gt;Vistas Consolidadas'!$D$2, '&gt;&gt;Vistas Consolidadas'!$F$2),J300+I300,J300)</f>
        <v>108.33</v>
      </c>
      <c r="T300" s="18" t="str">
        <f ca="1">IF(C300&gt;='&gt;&gt;Vistas Consolidadas'!$D$2,"SI","NO")</f>
        <v>SI</v>
      </c>
      <c r="U300" s="358">
        <f ca="1">IF(C300&lt;=EOMONTH('&gt;&gt;Vistas Consolidadas'!$D$2, '&gt;&gt;Vistas Consolidadas'!$F$2),I300,0)</f>
        <v>108.33</v>
      </c>
      <c r="V300" s="18" t="b">
        <f ca="1">AND(C300&gt;='Interes Por Semana'!$C$4, C300&lt;='Interes Por Semana'!$E$4)</f>
        <v>0</v>
      </c>
      <c r="W300" s="18" t="str">
        <f t="shared" si="9"/>
        <v>domingo</v>
      </c>
    </row>
    <row r="301" spans="2:23" hidden="1" x14ac:dyDescent="0.25">
      <c r="B301" s="337">
        <v>45006</v>
      </c>
      <c r="C301" s="337">
        <v>46341</v>
      </c>
      <c r="D301" s="374" t="s">
        <v>96</v>
      </c>
      <c r="E301" s="309" t="s">
        <v>46</v>
      </c>
      <c r="F301" s="310" t="s">
        <v>97</v>
      </c>
      <c r="G301" s="312">
        <v>6</v>
      </c>
      <c r="H301" s="308">
        <v>12</v>
      </c>
      <c r="I301" s="340">
        <v>62.5</v>
      </c>
      <c r="J301" s="340"/>
      <c r="K301" s="308"/>
      <c r="L301" s="340">
        <f t="shared" si="8"/>
        <v>62.5</v>
      </c>
      <c r="M301" s="308"/>
      <c r="N301" s="311"/>
      <c r="O301" s="312"/>
      <c r="P301" s="308"/>
      <c r="Q301" s="308"/>
      <c r="R301" s="392"/>
      <c r="S301" s="358">
        <f ca="1">IF(C301&lt;=EOMONTH('&gt;&gt;Vistas Consolidadas'!$D$2, '&gt;&gt;Vistas Consolidadas'!$F$2),J301+I301,J301)</f>
        <v>62.5</v>
      </c>
      <c r="T301" s="18" t="str">
        <f ca="1">IF(C301&gt;='&gt;&gt;Vistas Consolidadas'!$D$2,"SI","NO")</f>
        <v>SI</v>
      </c>
      <c r="U301" s="358">
        <f ca="1">IF(C301&lt;=EOMONTH('&gt;&gt;Vistas Consolidadas'!$D$2, '&gt;&gt;Vistas Consolidadas'!$F$2),I301,0)</f>
        <v>62.5</v>
      </c>
      <c r="V301" s="18" t="b">
        <f ca="1">AND(C301&gt;='Interes Por Semana'!$C$4, C301&lt;='Interes Por Semana'!$E$4)</f>
        <v>0</v>
      </c>
      <c r="W301" s="18" t="str">
        <f t="shared" si="9"/>
        <v>domingo</v>
      </c>
    </row>
    <row r="302" spans="2:23" hidden="1" x14ac:dyDescent="0.25">
      <c r="B302" s="337">
        <v>45397</v>
      </c>
      <c r="C302" s="337">
        <v>46341</v>
      </c>
      <c r="D302" s="374" t="s">
        <v>96</v>
      </c>
      <c r="E302" s="309" t="s">
        <v>47</v>
      </c>
      <c r="F302" s="310" t="s">
        <v>97</v>
      </c>
      <c r="G302" s="311">
        <v>6</v>
      </c>
      <c r="H302" s="311">
        <v>12</v>
      </c>
      <c r="I302" s="340">
        <v>54.16</v>
      </c>
      <c r="J302" s="340"/>
      <c r="K302" s="308"/>
      <c r="L302" s="340">
        <f t="shared" si="8"/>
        <v>54.16</v>
      </c>
      <c r="M302" s="311"/>
      <c r="N302" s="311"/>
      <c r="O302" s="311"/>
      <c r="P302" s="311"/>
      <c r="Q302" s="311"/>
      <c r="R302" s="392"/>
      <c r="S302" s="358">
        <f ca="1">IF(C302&lt;=EOMONTH('&gt;&gt;Vistas Consolidadas'!$D$2, '&gt;&gt;Vistas Consolidadas'!$F$2),J302+I302,J302)</f>
        <v>54.16</v>
      </c>
      <c r="T302" s="18" t="str">
        <f ca="1">IF(C302&gt;='&gt;&gt;Vistas Consolidadas'!$D$2,"SI","NO")</f>
        <v>SI</v>
      </c>
      <c r="U302" s="358">
        <f ca="1">IF(C302&lt;=EOMONTH('&gt;&gt;Vistas Consolidadas'!$D$2, '&gt;&gt;Vistas Consolidadas'!$F$2),I302,0)</f>
        <v>54.16</v>
      </c>
      <c r="V302" s="18" t="b">
        <f ca="1">AND(C302&gt;='Interes Por Semana'!$C$4, C302&lt;='Interes Por Semana'!$E$4)</f>
        <v>0</v>
      </c>
      <c r="W302" s="18" t="str">
        <f t="shared" si="9"/>
        <v>domingo</v>
      </c>
    </row>
    <row r="303" spans="2:23" hidden="1" x14ac:dyDescent="0.25">
      <c r="B303" s="337">
        <v>45397</v>
      </c>
      <c r="C303" s="337">
        <v>46341</v>
      </c>
      <c r="D303" s="374" t="s">
        <v>96</v>
      </c>
      <c r="E303" s="309" t="s">
        <v>46</v>
      </c>
      <c r="F303" s="310" t="s">
        <v>97</v>
      </c>
      <c r="G303" s="312">
        <v>6</v>
      </c>
      <c r="H303" s="308">
        <v>12</v>
      </c>
      <c r="I303" s="340">
        <v>62.5</v>
      </c>
      <c r="J303" s="340"/>
      <c r="K303" s="308"/>
      <c r="L303" s="340">
        <f t="shared" si="8"/>
        <v>62.5</v>
      </c>
      <c r="M303" s="308"/>
      <c r="N303" s="311"/>
      <c r="O303" s="312"/>
      <c r="P303" s="308"/>
      <c r="Q303" s="308"/>
      <c r="R303" s="392"/>
      <c r="S303" s="358">
        <f ca="1">IF(C303&lt;=EOMONTH('&gt;&gt;Vistas Consolidadas'!$D$2, '&gt;&gt;Vistas Consolidadas'!$F$2),J303+I303,J303)</f>
        <v>62.5</v>
      </c>
      <c r="T303" s="18" t="str">
        <f ca="1">IF(C303&gt;='&gt;&gt;Vistas Consolidadas'!$D$2,"SI","NO")</f>
        <v>SI</v>
      </c>
      <c r="U303" s="358">
        <f ca="1">IF(C303&lt;=EOMONTH('&gt;&gt;Vistas Consolidadas'!$D$2, '&gt;&gt;Vistas Consolidadas'!$F$2),I303,0)</f>
        <v>62.5</v>
      </c>
      <c r="V303" s="18" t="b">
        <f ca="1">AND(C303&gt;='Interes Por Semana'!$C$4, C303&lt;='Interes Por Semana'!$E$4)</f>
        <v>0</v>
      </c>
      <c r="W303" s="18" t="str">
        <f t="shared" si="9"/>
        <v>domingo</v>
      </c>
    </row>
    <row r="304" spans="2:23" hidden="1" x14ac:dyDescent="0.25">
      <c r="B304" s="337">
        <v>45398</v>
      </c>
      <c r="C304" s="337">
        <v>46341</v>
      </c>
      <c r="D304" s="374" t="s">
        <v>96</v>
      </c>
      <c r="E304" s="309" t="s">
        <v>47</v>
      </c>
      <c r="F304" s="310" t="s">
        <v>97</v>
      </c>
      <c r="G304" s="311">
        <v>6</v>
      </c>
      <c r="H304" s="311">
        <v>12</v>
      </c>
      <c r="I304" s="340">
        <v>16.670000000000002</v>
      </c>
      <c r="J304" s="340"/>
      <c r="K304" s="308"/>
      <c r="L304" s="340">
        <f t="shared" si="8"/>
        <v>16.670000000000002</v>
      </c>
      <c r="M304" s="311"/>
      <c r="N304" s="311"/>
      <c r="O304" s="311"/>
      <c r="P304" s="311"/>
      <c r="Q304" s="311"/>
      <c r="R304" s="392"/>
      <c r="S304" s="358">
        <f ca="1">IF(C304&lt;=EOMONTH('&gt;&gt;Vistas Consolidadas'!$D$2, '&gt;&gt;Vistas Consolidadas'!$F$2),J304+I304,J304)</f>
        <v>16.670000000000002</v>
      </c>
      <c r="T304" s="18" t="str">
        <f ca="1">IF(C304&gt;='&gt;&gt;Vistas Consolidadas'!$D$2,"SI","NO")</f>
        <v>SI</v>
      </c>
      <c r="U304" s="358">
        <f ca="1">IF(C304&lt;=EOMONTH('&gt;&gt;Vistas Consolidadas'!$D$2, '&gt;&gt;Vistas Consolidadas'!$F$2),I304,0)</f>
        <v>16.670000000000002</v>
      </c>
      <c r="V304" s="18" t="b">
        <f ca="1">AND(C304&gt;='Interes Por Semana'!$C$4, C304&lt;='Interes Por Semana'!$E$4)</f>
        <v>0</v>
      </c>
      <c r="W304" s="18" t="str">
        <f t="shared" si="9"/>
        <v>domingo</v>
      </c>
    </row>
    <row r="305" spans="2:23" hidden="1" x14ac:dyDescent="0.25">
      <c r="B305" s="337">
        <v>46105</v>
      </c>
      <c r="C305" s="337">
        <v>46341</v>
      </c>
      <c r="D305" s="374" t="s">
        <v>96</v>
      </c>
      <c r="E305" s="309" t="s">
        <v>47</v>
      </c>
      <c r="F305" s="310" t="s">
        <v>97</v>
      </c>
      <c r="G305" s="311">
        <v>6</v>
      </c>
      <c r="H305" s="311">
        <v>10</v>
      </c>
      <c r="I305" s="340">
        <v>16.670000000000002</v>
      </c>
      <c r="J305" s="340"/>
      <c r="K305" s="308"/>
      <c r="L305" s="340">
        <f t="shared" si="8"/>
        <v>16.670000000000002</v>
      </c>
      <c r="M305" s="311"/>
      <c r="N305" s="311"/>
      <c r="O305" s="311"/>
      <c r="P305" s="311"/>
      <c r="Q305" s="311"/>
      <c r="R305" s="392"/>
      <c r="S305" s="358">
        <f ca="1">IF(C305&lt;=EOMONTH('&gt;&gt;Vistas Consolidadas'!$D$2, '&gt;&gt;Vistas Consolidadas'!$F$2),J305+I305,J305)</f>
        <v>16.670000000000002</v>
      </c>
      <c r="T305" s="18" t="str">
        <f ca="1">IF(C305&gt;='&gt;&gt;Vistas Consolidadas'!$D$2,"SI","NO")</f>
        <v>SI</v>
      </c>
      <c r="U305" s="358">
        <f ca="1">IF(C305&lt;=EOMONTH('&gt;&gt;Vistas Consolidadas'!$D$2, '&gt;&gt;Vistas Consolidadas'!$F$2),I305,0)</f>
        <v>16.670000000000002</v>
      </c>
      <c r="V305" s="18" t="b">
        <f ca="1">AND(C305&gt;='Interes Por Semana'!$C$4, C305&lt;='Interes Por Semana'!$E$4)</f>
        <v>0</v>
      </c>
      <c r="W305" s="18" t="str">
        <f t="shared" si="9"/>
        <v>domingo</v>
      </c>
    </row>
    <row r="306" spans="2:23" hidden="1" x14ac:dyDescent="0.25">
      <c r="B306" s="337">
        <v>44462</v>
      </c>
      <c r="C306" s="337">
        <v>46343</v>
      </c>
      <c r="D306" s="374" t="s">
        <v>78</v>
      </c>
      <c r="E306" s="309" t="s">
        <v>46</v>
      </c>
      <c r="F306" s="310" t="s">
        <v>98</v>
      </c>
      <c r="G306" s="312">
        <v>5.64</v>
      </c>
      <c r="H306" s="308">
        <v>8.1999999999999993</v>
      </c>
      <c r="I306" s="340">
        <v>5.05</v>
      </c>
      <c r="J306" s="340"/>
      <c r="K306" s="308"/>
      <c r="L306" s="340">
        <f t="shared" si="8"/>
        <v>5.05</v>
      </c>
      <c r="M306" s="308"/>
      <c r="N306" s="311"/>
      <c r="O306" s="312"/>
      <c r="P306" s="308"/>
      <c r="Q306" s="308"/>
      <c r="R306" s="392"/>
      <c r="S306" s="358">
        <f ca="1">IF(C306&lt;=EOMONTH('&gt;&gt;Vistas Consolidadas'!$D$2, '&gt;&gt;Vistas Consolidadas'!$F$2),J306+I306,J306)</f>
        <v>5.05</v>
      </c>
      <c r="T306" s="18" t="str">
        <f ca="1">IF(C306&gt;='&gt;&gt;Vistas Consolidadas'!$D$2,"SI","NO")</f>
        <v>SI</v>
      </c>
      <c r="U306" s="358">
        <f ca="1">IF(C306&lt;=EOMONTH('&gt;&gt;Vistas Consolidadas'!$D$2, '&gt;&gt;Vistas Consolidadas'!$F$2),I306,0)</f>
        <v>5.05</v>
      </c>
      <c r="V306" s="18" t="b">
        <f ca="1">AND(C306&gt;='Interes Por Semana'!$C$4, C306&lt;='Interes Por Semana'!$E$4)</f>
        <v>0</v>
      </c>
      <c r="W306" s="18" t="str">
        <f t="shared" si="9"/>
        <v>martes</v>
      </c>
    </row>
    <row r="307" spans="2:23" hidden="1" x14ac:dyDescent="0.25">
      <c r="B307" s="337">
        <v>45264</v>
      </c>
      <c r="C307" s="337">
        <v>46343</v>
      </c>
      <c r="D307" s="374" t="s">
        <v>78</v>
      </c>
      <c r="E307" s="309" t="s">
        <v>46</v>
      </c>
      <c r="F307" s="310" t="s">
        <v>99</v>
      </c>
      <c r="G307" s="312">
        <v>5.64</v>
      </c>
      <c r="H307" s="308">
        <v>13</v>
      </c>
      <c r="I307" s="340">
        <v>14.1</v>
      </c>
      <c r="J307" s="340"/>
      <c r="K307" s="308"/>
      <c r="L307" s="340">
        <f t="shared" si="8"/>
        <v>14.1</v>
      </c>
      <c r="M307" s="308"/>
      <c r="N307" s="311"/>
      <c r="O307" s="312"/>
      <c r="P307" s="308"/>
      <c r="Q307" s="308"/>
      <c r="R307" s="392"/>
      <c r="S307" s="358">
        <f ca="1">IF(C307&lt;=EOMONTH('&gt;&gt;Vistas Consolidadas'!$D$2, '&gt;&gt;Vistas Consolidadas'!$F$2),J307+I307,J307)</f>
        <v>14.1</v>
      </c>
      <c r="T307" s="18" t="str">
        <f ca="1">IF(C307&gt;='&gt;&gt;Vistas Consolidadas'!$D$2,"SI","NO")</f>
        <v>SI</v>
      </c>
      <c r="U307" s="358">
        <f ca="1">IF(C307&lt;=EOMONTH('&gt;&gt;Vistas Consolidadas'!$D$2, '&gt;&gt;Vistas Consolidadas'!$F$2),I307,0)</f>
        <v>14.1</v>
      </c>
      <c r="V307" s="18" t="b">
        <f ca="1">AND(C307&gt;='Interes Por Semana'!$C$4, C307&lt;='Interes Por Semana'!$E$4)</f>
        <v>0</v>
      </c>
      <c r="W307" s="18" t="str">
        <f t="shared" si="9"/>
        <v>martes</v>
      </c>
    </row>
    <row r="308" spans="2:23" hidden="1" x14ac:dyDescent="0.25">
      <c r="B308" s="337">
        <v>45302</v>
      </c>
      <c r="C308" s="337">
        <v>46343</v>
      </c>
      <c r="D308" s="374" t="s">
        <v>78</v>
      </c>
      <c r="E308" s="309" t="s">
        <v>46</v>
      </c>
      <c r="F308" s="310" t="s">
        <v>99</v>
      </c>
      <c r="G308" s="312">
        <v>5.64</v>
      </c>
      <c r="H308" s="308">
        <v>12.75</v>
      </c>
      <c r="I308" s="340">
        <v>7.28</v>
      </c>
      <c r="J308" s="340"/>
      <c r="K308" s="308"/>
      <c r="L308" s="340">
        <f t="shared" si="8"/>
        <v>7.28</v>
      </c>
      <c r="M308" s="308"/>
      <c r="N308" s="311"/>
      <c r="O308" s="312"/>
      <c r="P308" s="308"/>
      <c r="Q308" s="308"/>
      <c r="R308" s="392"/>
      <c r="S308" s="358">
        <f ca="1">IF(C308&lt;=EOMONTH('&gt;&gt;Vistas Consolidadas'!$D$2, '&gt;&gt;Vistas Consolidadas'!$F$2),J308+I308,J308)</f>
        <v>7.28</v>
      </c>
      <c r="T308" s="18" t="str">
        <f ca="1">IF(C308&gt;='&gt;&gt;Vistas Consolidadas'!$D$2,"SI","NO")</f>
        <v>SI</v>
      </c>
      <c r="U308" s="358">
        <f ca="1">IF(C308&lt;=EOMONTH('&gt;&gt;Vistas Consolidadas'!$D$2, '&gt;&gt;Vistas Consolidadas'!$F$2),I308,0)</f>
        <v>7.28</v>
      </c>
      <c r="V308" s="18" t="b">
        <f ca="1">AND(C308&gt;='Interes Por Semana'!$C$4, C308&lt;='Interes Por Semana'!$E$4)</f>
        <v>0</v>
      </c>
      <c r="W308" s="18" t="str">
        <f t="shared" si="9"/>
        <v>martes</v>
      </c>
    </row>
    <row r="309" spans="2:23" hidden="1" x14ac:dyDescent="0.25">
      <c r="B309" s="337">
        <v>46006</v>
      </c>
      <c r="C309" s="337">
        <v>46344</v>
      </c>
      <c r="D309" s="374" t="s">
        <v>78</v>
      </c>
      <c r="E309" s="309" t="s">
        <v>46</v>
      </c>
      <c r="F309" s="310" t="s">
        <v>100</v>
      </c>
      <c r="G309" s="312">
        <v>5.93</v>
      </c>
      <c r="H309" s="308">
        <v>8.5</v>
      </c>
      <c r="I309" s="340">
        <f>23.09-J309</f>
        <v>23.09</v>
      </c>
      <c r="J309" s="340"/>
      <c r="K309" s="308"/>
      <c r="L309" s="340">
        <f t="shared" si="8"/>
        <v>23.09</v>
      </c>
      <c r="M309" s="308"/>
      <c r="N309" s="311"/>
      <c r="O309" s="312"/>
      <c r="P309" s="308"/>
      <c r="Q309" s="308"/>
      <c r="R309" s="392"/>
      <c r="S309" s="358">
        <f ca="1">IF(C309&lt;=EOMONTH('&gt;&gt;Vistas Consolidadas'!$D$2, '&gt;&gt;Vistas Consolidadas'!$F$2),J309+I309,J309)</f>
        <v>23.09</v>
      </c>
      <c r="T309" s="18" t="str">
        <f ca="1">IF(C309&gt;='&gt;&gt;Vistas Consolidadas'!$D$2,"SI","NO")</f>
        <v>SI</v>
      </c>
      <c r="U309" s="358">
        <f ca="1">IF(C309&lt;=EOMONTH('&gt;&gt;Vistas Consolidadas'!$D$2, '&gt;&gt;Vistas Consolidadas'!$F$2),I309,0)</f>
        <v>23.09</v>
      </c>
      <c r="V309" s="18" t="b">
        <f ca="1">AND(C309&gt;='Interes Por Semana'!$C$4, C309&lt;='Interes Por Semana'!$E$4)</f>
        <v>0</v>
      </c>
      <c r="W309" s="18" t="str">
        <f t="shared" si="9"/>
        <v>miércoles</v>
      </c>
    </row>
    <row r="310" spans="2:23" hidden="1" x14ac:dyDescent="0.25">
      <c r="B310" s="337">
        <v>45734</v>
      </c>
      <c r="C310" s="337">
        <v>46344</v>
      </c>
      <c r="D310" s="374" t="s">
        <v>78</v>
      </c>
      <c r="E310" s="309" t="s">
        <v>47</v>
      </c>
      <c r="F310" s="310" t="s">
        <v>101</v>
      </c>
      <c r="G310" s="311">
        <v>5.93</v>
      </c>
      <c r="H310" s="311">
        <v>12</v>
      </c>
      <c r="I310" s="340">
        <f>8.94</f>
        <v>8.94</v>
      </c>
      <c r="J310" s="340"/>
      <c r="K310" s="308"/>
      <c r="L310" s="340">
        <f t="shared" si="8"/>
        <v>8.94</v>
      </c>
      <c r="M310" s="311"/>
      <c r="N310" s="311"/>
      <c r="O310" s="311"/>
      <c r="P310" s="311"/>
      <c r="Q310" s="311"/>
      <c r="R310" s="392"/>
      <c r="S310" s="358">
        <f ca="1">IF(C310&lt;=EOMONTH('&gt;&gt;Vistas Consolidadas'!$D$2, '&gt;&gt;Vistas Consolidadas'!$F$2),J310+I310,J310)</f>
        <v>8.94</v>
      </c>
      <c r="T310" s="18" t="str">
        <f ca="1">IF(C310&gt;='&gt;&gt;Vistas Consolidadas'!$D$2,"SI","NO")</f>
        <v>SI</v>
      </c>
      <c r="U310" s="358">
        <f ca="1">IF(C310&lt;=EOMONTH('&gt;&gt;Vistas Consolidadas'!$D$2, '&gt;&gt;Vistas Consolidadas'!$F$2),I310,0)</f>
        <v>8.94</v>
      </c>
      <c r="V310" s="18" t="b">
        <f ca="1">AND(C310&gt;='Interes Por Semana'!$C$4, C310&lt;='Interes Por Semana'!$E$4)</f>
        <v>0</v>
      </c>
      <c r="W310" s="18" t="str">
        <f t="shared" si="9"/>
        <v>miércoles</v>
      </c>
    </row>
    <row r="311" spans="2:23" hidden="1" x14ac:dyDescent="0.25">
      <c r="B311" s="337">
        <v>45264</v>
      </c>
      <c r="C311" s="337">
        <v>46347</v>
      </c>
      <c r="D311" s="374" t="s">
        <v>78</v>
      </c>
      <c r="E311" s="309" t="s">
        <v>46</v>
      </c>
      <c r="F311" s="310" t="s">
        <v>103</v>
      </c>
      <c r="G311" s="312">
        <v>5.36</v>
      </c>
      <c r="H311" s="308">
        <v>13</v>
      </c>
      <c r="I311" s="340">
        <v>5.58</v>
      </c>
      <c r="J311" s="340"/>
      <c r="K311" s="308"/>
      <c r="L311" s="340">
        <f t="shared" si="8"/>
        <v>5.58</v>
      </c>
      <c r="M311" s="308"/>
      <c r="N311" s="311"/>
      <c r="O311" s="312"/>
      <c r="P311" s="308"/>
      <c r="Q311" s="308"/>
      <c r="R311" s="392"/>
      <c r="S311" s="358">
        <f ca="1">IF(C311&lt;=EOMONTH('&gt;&gt;Vistas Consolidadas'!$D$2, '&gt;&gt;Vistas Consolidadas'!$F$2),J311+I311,J311)</f>
        <v>5.58</v>
      </c>
      <c r="T311" s="18" t="str">
        <f ca="1">IF(C311&gt;='&gt;&gt;Vistas Consolidadas'!$D$2,"SI","NO")</f>
        <v>SI</v>
      </c>
      <c r="U311" s="358">
        <f ca="1">IF(C311&lt;=EOMONTH('&gt;&gt;Vistas Consolidadas'!$D$2, '&gt;&gt;Vistas Consolidadas'!$F$2),I311,0)</f>
        <v>5.58</v>
      </c>
      <c r="V311" s="18" t="b">
        <f ca="1">AND(C311&gt;='Interes Por Semana'!$C$4, C311&lt;='Interes Por Semana'!$E$4)</f>
        <v>0</v>
      </c>
      <c r="W311" s="18" t="str">
        <f t="shared" si="9"/>
        <v>sábado</v>
      </c>
    </row>
    <row r="312" spans="2:23" hidden="1" x14ac:dyDescent="0.25">
      <c r="B312" s="337">
        <v>45279</v>
      </c>
      <c r="C312" s="337">
        <v>46347</v>
      </c>
      <c r="D312" s="374" t="s">
        <v>78</v>
      </c>
      <c r="E312" s="309" t="s">
        <v>46</v>
      </c>
      <c r="F312" s="310" t="s">
        <v>103</v>
      </c>
      <c r="G312" s="312">
        <v>5.36</v>
      </c>
      <c r="H312" s="308">
        <v>13</v>
      </c>
      <c r="I312" s="340">
        <v>3.13</v>
      </c>
      <c r="J312" s="340"/>
      <c r="K312" s="308"/>
      <c r="L312" s="340">
        <f t="shared" si="8"/>
        <v>3.13</v>
      </c>
      <c r="M312" s="308"/>
      <c r="N312" s="311"/>
      <c r="O312" s="312"/>
      <c r="P312" s="308"/>
      <c r="Q312" s="308"/>
      <c r="R312" s="392"/>
      <c r="S312" s="358">
        <f ca="1">IF(C312&lt;=EOMONTH('&gt;&gt;Vistas Consolidadas'!$D$2, '&gt;&gt;Vistas Consolidadas'!$F$2),J312+I312,J312)</f>
        <v>3.13</v>
      </c>
      <c r="T312" s="18" t="str">
        <f ca="1">IF(C312&gt;='&gt;&gt;Vistas Consolidadas'!$D$2,"SI","NO")</f>
        <v>SI</v>
      </c>
      <c r="U312" s="358">
        <f ca="1">IF(C312&lt;=EOMONTH('&gt;&gt;Vistas Consolidadas'!$D$2, '&gt;&gt;Vistas Consolidadas'!$F$2),I312,0)</f>
        <v>3.13</v>
      </c>
      <c r="V312" s="18" t="b">
        <f ca="1">AND(C312&gt;='Interes Por Semana'!$C$4, C312&lt;='Interes Por Semana'!$E$4)</f>
        <v>0</v>
      </c>
      <c r="W312" s="18" t="str">
        <f t="shared" si="9"/>
        <v>sábado</v>
      </c>
    </row>
    <row r="313" spans="2:23" hidden="1" x14ac:dyDescent="0.25">
      <c r="B313" s="337">
        <v>45552</v>
      </c>
      <c r="C313" s="337">
        <v>46347</v>
      </c>
      <c r="D313" s="374" t="s">
        <v>78</v>
      </c>
      <c r="E313" s="309" t="s">
        <v>47</v>
      </c>
      <c r="F313" s="310" t="s">
        <v>103</v>
      </c>
      <c r="G313" s="311">
        <v>5.36</v>
      </c>
      <c r="H313" s="311">
        <v>13.75</v>
      </c>
      <c r="I313" s="340">
        <f>4.47</f>
        <v>4.47</v>
      </c>
      <c r="J313" s="340"/>
      <c r="K313" s="308"/>
      <c r="L313" s="340">
        <f t="shared" si="8"/>
        <v>4.47</v>
      </c>
      <c r="M313" s="311"/>
      <c r="N313" s="311"/>
      <c r="O313" s="311"/>
      <c r="P313" s="311"/>
      <c r="Q313" s="311"/>
      <c r="R313" s="392"/>
      <c r="S313" s="358">
        <f ca="1">IF(C313&lt;=EOMONTH('&gt;&gt;Vistas Consolidadas'!$D$2, '&gt;&gt;Vistas Consolidadas'!$F$2),J313+I313,J313)</f>
        <v>4.47</v>
      </c>
      <c r="T313" s="18" t="str">
        <f ca="1">IF(C313&gt;='&gt;&gt;Vistas Consolidadas'!$D$2,"SI","NO")</f>
        <v>SI</v>
      </c>
      <c r="U313" s="358">
        <f ca="1">IF(C313&lt;=EOMONTH('&gt;&gt;Vistas Consolidadas'!$D$2, '&gt;&gt;Vistas Consolidadas'!$F$2),I313,0)</f>
        <v>4.47</v>
      </c>
      <c r="V313" s="18" t="b">
        <f ca="1">AND(C313&gt;='Interes Por Semana'!$C$4, C313&lt;='Interes Por Semana'!$E$4)</f>
        <v>0</v>
      </c>
      <c r="W313" s="18" t="str">
        <f t="shared" si="9"/>
        <v>sábado</v>
      </c>
    </row>
    <row r="314" spans="2:23" hidden="1" x14ac:dyDescent="0.25">
      <c r="B314" s="337">
        <v>45447</v>
      </c>
      <c r="C314" s="337">
        <v>46350</v>
      </c>
      <c r="D314" s="374" t="s">
        <v>78</v>
      </c>
      <c r="E314" s="309" t="s">
        <v>47</v>
      </c>
      <c r="F314" s="310" t="s">
        <v>105</v>
      </c>
      <c r="G314" s="311">
        <v>5.93</v>
      </c>
      <c r="H314" s="311">
        <v>13.25</v>
      </c>
      <c r="I314" s="340">
        <f>29.65</f>
        <v>29.65</v>
      </c>
      <c r="J314" s="340"/>
      <c r="K314" s="308"/>
      <c r="L314" s="340">
        <f t="shared" si="8"/>
        <v>29.65</v>
      </c>
      <c r="M314" s="311"/>
      <c r="N314" s="311"/>
      <c r="O314" s="311"/>
      <c r="P314" s="311"/>
      <c r="Q314" s="311"/>
      <c r="R314" s="392"/>
      <c r="S314" s="358">
        <f ca="1">IF(C314&lt;=EOMONTH('&gt;&gt;Vistas Consolidadas'!$D$2, '&gt;&gt;Vistas Consolidadas'!$F$2),J314+I314,J314)</f>
        <v>29.65</v>
      </c>
      <c r="T314" s="18" t="str">
        <f ca="1">IF(C314&gt;='&gt;&gt;Vistas Consolidadas'!$D$2,"SI","NO")</f>
        <v>SI</v>
      </c>
      <c r="U314" s="358">
        <f ca="1">IF(C314&lt;=EOMONTH('&gt;&gt;Vistas Consolidadas'!$D$2, '&gt;&gt;Vistas Consolidadas'!$F$2),I314,0)</f>
        <v>29.65</v>
      </c>
      <c r="V314" s="18" t="b">
        <f ca="1">AND(C314&gt;='Interes Por Semana'!$C$4, C314&lt;='Interes Por Semana'!$E$4)</f>
        <v>0</v>
      </c>
      <c r="W314" s="18" t="str">
        <f t="shared" si="9"/>
        <v>martes</v>
      </c>
    </row>
    <row r="315" spans="2:23" hidden="1" x14ac:dyDescent="0.25">
      <c r="B315" s="337">
        <v>45832</v>
      </c>
      <c r="C315" s="337">
        <v>46351</v>
      </c>
      <c r="D315" s="374" t="s">
        <v>78</v>
      </c>
      <c r="E315" s="309" t="s">
        <v>47</v>
      </c>
      <c r="F315" s="310" t="s">
        <v>106</v>
      </c>
      <c r="G315" s="311">
        <v>5.93</v>
      </c>
      <c r="H315" s="311">
        <v>11</v>
      </c>
      <c r="I315" s="340">
        <f>22.41</f>
        <v>22.41</v>
      </c>
      <c r="J315" s="340"/>
      <c r="K315" s="308"/>
      <c r="L315" s="340">
        <f t="shared" si="8"/>
        <v>22.41</v>
      </c>
      <c r="M315" s="311"/>
      <c r="N315" s="311"/>
      <c r="O315" s="311"/>
      <c r="P315" s="311"/>
      <c r="Q315" s="311"/>
      <c r="R315" s="392"/>
      <c r="S315" s="358">
        <f ca="1">IF(C315&lt;=EOMONTH('&gt;&gt;Vistas Consolidadas'!$D$2, '&gt;&gt;Vistas Consolidadas'!$F$2),J315+I315,J315)</f>
        <v>22.41</v>
      </c>
      <c r="T315" s="18" t="str">
        <f ca="1">IF(C315&gt;='&gt;&gt;Vistas Consolidadas'!$D$2,"SI","NO")</f>
        <v>SI</v>
      </c>
      <c r="U315" s="358">
        <f ca="1">IF(C315&lt;=EOMONTH('&gt;&gt;Vistas Consolidadas'!$D$2, '&gt;&gt;Vistas Consolidadas'!$F$2),I315,0)</f>
        <v>22.41</v>
      </c>
      <c r="V315" s="18" t="b">
        <f ca="1">AND(C315&gt;='Interes Por Semana'!$C$4, C315&lt;='Interes Por Semana'!$E$4)</f>
        <v>0</v>
      </c>
      <c r="W315" s="18" t="str">
        <f t="shared" si="9"/>
        <v>miércoles</v>
      </c>
    </row>
    <row r="316" spans="2:23" hidden="1" x14ac:dyDescent="0.25">
      <c r="B316" s="337">
        <v>45889</v>
      </c>
      <c r="C316" s="337">
        <v>46351</v>
      </c>
      <c r="D316" s="374" t="s">
        <v>78</v>
      </c>
      <c r="E316" s="309" t="s">
        <v>47</v>
      </c>
      <c r="F316" s="310" t="s">
        <v>106</v>
      </c>
      <c r="G316" s="311">
        <v>6.21</v>
      </c>
      <c r="H316" s="311">
        <v>9.75</v>
      </c>
      <c r="I316" s="340">
        <v>4.5</v>
      </c>
      <c r="J316" s="340"/>
      <c r="K316" s="308"/>
      <c r="L316" s="340">
        <f t="shared" si="8"/>
        <v>4.5</v>
      </c>
      <c r="M316" s="311"/>
      <c r="N316" s="311"/>
      <c r="O316" s="311"/>
      <c r="P316" s="311"/>
      <c r="Q316" s="311"/>
      <c r="R316" s="392"/>
      <c r="S316" s="358">
        <f ca="1">IF(C316&lt;=EOMONTH('&gt;&gt;Vistas Consolidadas'!$D$2, '&gt;&gt;Vistas Consolidadas'!$F$2),J316+I316,J316)</f>
        <v>4.5</v>
      </c>
      <c r="T316" s="18" t="str">
        <f ca="1">IF(C316&gt;='&gt;&gt;Vistas Consolidadas'!$D$2,"SI","NO")</f>
        <v>SI</v>
      </c>
      <c r="U316" s="358">
        <f ca="1">IF(C316&lt;=EOMONTH('&gt;&gt;Vistas Consolidadas'!$D$2, '&gt;&gt;Vistas Consolidadas'!$F$2),I316,0)</f>
        <v>4.5</v>
      </c>
      <c r="V316" s="18" t="b">
        <f ca="1">AND(C316&gt;='Interes Por Semana'!$C$4, C316&lt;='Interes Por Semana'!$E$4)</f>
        <v>0</v>
      </c>
      <c r="W316" s="18" t="str">
        <f t="shared" si="9"/>
        <v>miércoles</v>
      </c>
    </row>
    <row r="317" spans="2:23" hidden="1" x14ac:dyDescent="0.25">
      <c r="B317" s="337">
        <v>45889</v>
      </c>
      <c r="C317" s="337">
        <v>46351</v>
      </c>
      <c r="D317" s="374" t="s">
        <v>78</v>
      </c>
      <c r="E317" s="309" t="s">
        <v>46</v>
      </c>
      <c r="F317" s="310" t="s">
        <v>106</v>
      </c>
      <c r="G317" s="312">
        <v>6.21</v>
      </c>
      <c r="H317" s="308">
        <v>10.75</v>
      </c>
      <c r="I317" s="340">
        <v>25.88</v>
      </c>
      <c r="J317" s="340"/>
      <c r="K317" s="308"/>
      <c r="L317" s="340">
        <f t="shared" si="8"/>
        <v>25.88</v>
      </c>
      <c r="M317" s="308"/>
      <c r="N317" s="311"/>
      <c r="O317" s="312"/>
      <c r="P317" s="308"/>
      <c r="Q317" s="308"/>
      <c r="R317" s="392"/>
      <c r="S317" s="358">
        <f ca="1">IF(C317&lt;=EOMONTH('&gt;&gt;Vistas Consolidadas'!$D$2, '&gt;&gt;Vistas Consolidadas'!$F$2),J317+I317,J317)</f>
        <v>25.88</v>
      </c>
      <c r="T317" s="18" t="str">
        <f ca="1">IF(C317&gt;='&gt;&gt;Vistas Consolidadas'!$D$2,"SI","NO")</f>
        <v>SI</v>
      </c>
      <c r="U317" s="358">
        <f ca="1">IF(C317&lt;=EOMONTH('&gt;&gt;Vistas Consolidadas'!$D$2, '&gt;&gt;Vistas Consolidadas'!$F$2),I317,0)</f>
        <v>25.88</v>
      </c>
      <c r="V317" s="18" t="b">
        <f ca="1">AND(C317&gt;='Interes Por Semana'!$C$4, C317&lt;='Interes Por Semana'!$E$4)</f>
        <v>0</v>
      </c>
      <c r="W317" s="18" t="str">
        <f t="shared" si="9"/>
        <v>miércoles</v>
      </c>
    </row>
    <row r="318" spans="2:23" hidden="1" x14ac:dyDescent="0.25">
      <c r="B318" s="337">
        <v>45593</v>
      </c>
      <c r="C318" s="337">
        <v>46352</v>
      </c>
      <c r="D318" s="374" t="s">
        <v>78</v>
      </c>
      <c r="E318" s="309" t="s">
        <v>47</v>
      </c>
      <c r="F318" s="310" t="s">
        <v>107</v>
      </c>
      <c r="G318" s="311">
        <v>5.07</v>
      </c>
      <c r="H318" s="311">
        <v>13</v>
      </c>
      <c r="I318" s="340">
        <f>11.41</f>
        <v>11.41</v>
      </c>
      <c r="J318" s="340"/>
      <c r="K318" s="308"/>
      <c r="L318" s="340">
        <f t="shared" si="8"/>
        <v>11.41</v>
      </c>
      <c r="M318" s="311"/>
      <c r="N318" s="311"/>
      <c r="O318" s="311"/>
      <c r="P318" s="311"/>
      <c r="Q318" s="311"/>
      <c r="R318" s="392"/>
      <c r="S318" s="358">
        <f ca="1">IF(C318&lt;=EOMONTH('&gt;&gt;Vistas Consolidadas'!$D$2, '&gt;&gt;Vistas Consolidadas'!$F$2),J318+I318,J318)</f>
        <v>11.41</v>
      </c>
      <c r="T318" s="18" t="str">
        <f ca="1">IF(C318&gt;='&gt;&gt;Vistas Consolidadas'!$D$2,"SI","NO")</f>
        <v>SI</v>
      </c>
      <c r="U318" s="358">
        <f ca="1">IF(C318&lt;=EOMONTH('&gt;&gt;Vistas Consolidadas'!$D$2, '&gt;&gt;Vistas Consolidadas'!$F$2),I318,0)</f>
        <v>11.41</v>
      </c>
      <c r="V318" s="18" t="b">
        <f ca="1">AND(C318&gt;='Interes Por Semana'!$C$4, C318&lt;='Interes Por Semana'!$E$4)</f>
        <v>0</v>
      </c>
      <c r="W318" s="18" t="str">
        <f t="shared" si="9"/>
        <v>jueves</v>
      </c>
    </row>
    <row r="319" spans="2:23" hidden="1" x14ac:dyDescent="0.25">
      <c r="B319" s="337">
        <v>44830</v>
      </c>
      <c r="C319" s="337">
        <v>46353</v>
      </c>
      <c r="D319" s="374" t="s">
        <v>78</v>
      </c>
      <c r="E319" s="309" t="s">
        <v>47</v>
      </c>
      <c r="F319" s="310" t="s">
        <v>108</v>
      </c>
      <c r="G319" s="311">
        <v>5.64</v>
      </c>
      <c r="H319" s="311">
        <v>10.199999999999999</v>
      </c>
      <c r="I319" s="340">
        <v>9.4</v>
      </c>
      <c r="J319" s="340"/>
      <c r="K319" s="308"/>
      <c r="L319" s="340">
        <f t="shared" si="8"/>
        <v>9.4</v>
      </c>
      <c r="M319" s="311"/>
      <c r="N319" s="311"/>
      <c r="O319" s="311"/>
      <c r="P319" s="311"/>
      <c r="Q319" s="311"/>
      <c r="R319" s="392"/>
      <c r="S319" s="358">
        <f ca="1">IF(C319&lt;=EOMONTH('&gt;&gt;Vistas Consolidadas'!$D$2, '&gt;&gt;Vistas Consolidadas'!$F$2),J319+I319,J319)</f>
        <v>9.4</v>
      </c>
      <c r="T319" s="18" t="str">
        <f ca="1">IF(C319&gt;='&gt;&gt;Vistas Consolidadas'!$D$2,"SI","NO")</f>
        <v>SI</v>
      </c>
      <c r="U319" s="358">
        <f ca="1">IF(C319&lt;=EOMONTH('&gt;&gt;Vistas Consolidadas'!$D$2, '&gt;&gt;Vistas Consolidadas'!$F$2),I319,0)</f>
        <v>9.4</v>
      </c>
      <c r="V319" s="18" t="b">
        <f ca="1">AND(C319&gt;='Interes Por Semana'!$C$4, C319&lt;='Interes Por Semana'!$E$4)</f>
        <v>0</v>
      </c>
      <c r="W319" s="18" t="str">
        <f t="shared" si="9"/>
        <v>viernes</v>
      </c>
    </row>
    <row r="320" spans="2:23" hidden="1" x14ac:dyDescent="0.25">
      <c r="B320" s="337">
        <v>46057</v>
      </c>
      <c r="C320" s="337">
        <v>46353</v>
      </c>
      <c r="D320" s="374" t="s">
        <v>78</v>
      </c>
      <c r="E320" s="309" t="s">
        <v>47</v>
      </c>
      <c r="F320" s="310" t="s">
        <v>109</v>
      </c>
      <c r="G320" s="311">
        <v>6.21</v>
      </c>
      <c r="H320" s="311">
        <v>11</v>
      </c>
      <c r="I320" s="340">
        <v>15.61</v>
      </c>
      <c r="J320" s="340"/>
      <c r="K320" s="308"/>
      <c r="L320" s="340">
        <f t="shared" si="8"/>
        <v>15.61</v>
      </c>
      <c r="M320" s="311"/>
      <c r="N320" s="311"/>
      <c r="O320" s="311"/>
      <c r="P320" s="311"/>
      <c r="Q320" s="311"/>
      <c r="R320" s="392"/>
      <c r="S320" s="358">
        <f ca="1">IF(C320&lt;=EOMONTH('&gt;&gt;Vistas Consolidadas'!$D$2, '&gt;&gt;Vistas Consolidadas'!$F$2),J320+I320,J320)</f>
        <v>15.61</v>
      </c>
      <c r="T320" s="18" t="str">
        <f ca="1">IF(C320&gt;='&gt;&gt;Vistas Consolidadas'!$D$2,"SI","NO")</f>
        <v>SI</v>
      </c>
      <c r="U320" s="358">
        <f ca="1">IF(C320&lt;=EOMONTH('&gt;&gt;Vistas Consolidadas'!$D$2, '&gt;&gt;Vistas Consolidadas'!$F$2),I320,0)</f>
        <v>15.61</v>
      </c>
      <c r="V320" s="18" t="b">
        <f ca="1">AND(C320&gt;='Interes Por Semana'!$C$4, C320&lt;='Interes Por Semana'!$E$4)</f>
        <v>0</v>
      </c>
      <c r="W320" s="18" t="str">
        <f t="shared" si="9"/>
        <v>viernes</v>
      </c>
    </row>
    <row r="321" spans="2:23" hidden="1" x14ac:dyDescent="0.25">
      <c r="B321" s="337">
        <v>46080</v>
      </c>
      <c r="C321" s="337">
        <v>46353</v>
      </c>
      <c r="D321" s="374" t="s">
        <v>78</v>
      </c>
      <c r="E321" s="309" t="s">
        <v>46</v>
      </c>
      <c r="F321" s="310" t="s">
        <v>110</v>
      </c>
      <c r="G321" s="312">
        <v>6.21</v>
      </c>
      <c r="H321" s="312">
        <v>10.6</v>
      </c>
      <c r="I321" s="340">
        <v>17.79</v>
      </c>
      <c r="J321" s="340"/>
      <c r="K321" s="308"/>
      <c r="L321" s="340">
        <f t="shared" si="8"/>
        <v>17.79</v>
      </c>
      <c r="M321" s="308"/>
      <c r="N321" s="311"/>
      <c r="O321" s="312"/>
      <c r="P321" s="308"/>
      <c r="Q321" s="308"/>
      <c r="R321" s="392"/>
      <c r="S321" s="358">
        <f ca="1">IF(C321&lt;=EOMONTH('&gt;&gt;Vistas Consolidadas'!$D$2, '&gt;&gt;Vistas Consolidadas'!$F$2),J321+I321,J321)</f>
        <v>17.79</v>
      </c>
      <c r="T321" s="18" t="str">
        <f ca="1">IF(C321&gt;='&gt;&gt;Vistas Consolidadas'!$D$2,"SI","NO")</f>
        <v>SI</v>
      </c>
      <c r="U321" s="358">
        <f ca="1">IF(C321&lt;=EOMONTH('&gt;&gt;Vistas Consolidadas'!$D$2, '&gt;&gt;Vistas Consolidadas'!$F$2),I321,0)</f>
        <v>17.79</v>
      </c>
      <c r="V321" s="18" t="b">
        <f ca="1">AND(C321&gt;='Interes Por Semana'!$C$4, C321&lt;='Interes Por Semana'!$E$4)</f>
        <v>0</v>
      </c>
      <c r="W321" s="18" t="str">
        <f t="shared" si="9"/>
        <v>viernes</v>
      </c>
    </row>
    <row r="322" spans="2:23" hidden="1" x14ac:dyDescent="0.25">
      <c r="B322" s="337">
        <v>45987</v>
      </c>
      <c r="C322" s="337">
        <v>46354</v>
      </c>
      <c r="D322" s="374" t="s">
        <v>78</v>
      </c>
      <c r="E322" s="309" t="s">
        <v>46</v>
      </c>
      <c r="F322" s="310" t="s">
        <v>111</v>
      </c>
      <c r="G322" s="312">
        <v>6.82</v>
      </c>
      <c r="H322" s="308">
        <v>11</v>
      </c>
      <c r="I322" s="340">
        <v>6.82</v>
      </c>
      <c r="J322" s="340">
        <v>0</v>
      </c>
      <c r="K322" s="308"/>
      <c r="L322" s="340">
        <f t="shared" si="8"/>
        <v>6.82</v>
      </c>
      <c r="M322" s="308"/>
      <c r="N322" s="311"/>
      <c r="O322" s="312"/>
      <c r="P322" s="308"/>
      <c r="Q322" s="308"/>
      <c r="R322" s="392"/>
      <c r="S322" s="358">
        <f ca="1">IF(C322&lt;=EOMONTH('&gt;&gt;Vistas Consolidadas'!$D$2, '&gt;&gt;Vistas Consolidadas'!$F$2),J322+I322,J322)</f>
        <v>6.82</v>
      </c>
      <c r="T322" s="18" t="str">
        <f ca="1">IF(C322&gt;='&gt;&gt;Vistas Consolidadas'!$D$2,"SI","NO")</f>
        <v>SI</v>
      </c>
      <c r="U322" s="358">
        <f ca="1">IF(C322&lt;=EOMONTH('&gt;&gt;Vistas Consolidadas'!$D$2, '&gt;&gt;Vistas Consolidadas'!$F$2),I322,0)</f>
        <v>6.82</v>
      </c>
      <c r="V322" s="18" t="b">
        <f ca="1">AND(C322&gt;='Interes Por Semana'!$C$4, C322&lt;='Interes Por Semana'!$E$4)</f>
        <v>0</v>
      </c>
      <c r="W322" s="18" t="str">
        <f t="shared" si="9"/>
        <v>sábado</v>
      </c>
    </row>
    <row r="323" spans="2:23" hidden="1" x14ac:dyDescent="0.25">
      <c r="B323" s="337">
        <v>44700</v>
      </c>
      <c r="C323" s="337">
        <v>46370</v>
      </c>
      <c r="D323" s="374" t="s">
        <v>88</v>
      </c>
      <c r="E323" s="309" t="s">
        <v>46</v>
      </c>
      <c r="F323" s="310" t="s">
        <v>116</v>
      </c>
      <c r="G323" s="312">
        <v>8.5</v>
      </c>
      <c r="H323" s="308">
        <v>8.75</v>
      </c>
      <c r="I323" s="340">
        <v>41.44</v>
      </c>
      <c r="J323" s="340">
        <v>975</v>
      </c>
      <c r="K323" s="308"/>
      <c r="L323" s="340">
        <f t="shared" ref="L323:L386" si="10">I323</f>
        <v>41.44</v>
      </c>
      <c r="M323" s="308"/>
      <c r="N323" s="311"/>
      <c r="O323" s="312"/>
      <c r="P323" s="308"/>
      <c r="Q323" s="308"/>
      <c r="R323" s="392"/>
      <c r="S323" s="358">
        <f ca="1">IF(C323&lt;=EOMONTH('&gt;&gt;Vistas Consolidadas'!$D$2, '&gt;&gt;Vistas Consolidadas'!$F$2),J323+I323,J323)</f>
        <v>1016.44</v>
      </c>
      <c r="T323" s="18" t="str">
        <f ca="1">IF(C323&gt;='&gt;&gt;Vistas Consolidadas'!$D$2,"SI","NO")</f>
        <v>SI</v>
      </c>
      <c r="U323" s="358">
        <f ca="1">IF(C323&lt;=EOMONTH('&gt;&gt;Vistas Consolidadas'!$D$2, '&gt;&gt;Vistas Consolidadas'!$F$2),I323,0)</f>
        <v>41.44</v>
      </c>
      <c r="V323" s="18" t="b">
        <f ca="1">AND(C323&gt;='Interes Por Semana'!$C$4, C323&lt;='Interes Por Semana'!$E$4)</f>
        <v>0</v>
      </c>
      <c r="W323" s="18" t="str">
        <f t="shared" ref="W323:W386" si="11">TEXT(C323, "dddd")</f>
        <v>lunes</v>
      </c>
    </row>
    <row r="324" spans="2:23" hidden="1" x14ac:dyDescent="0.25">
      <c r="B324" s="337">
        <v>45706</v>
      </c>
      <c r="C324" s="337">
        <v>46366</v>
      </c>
      <c r="D324" s="374" t="s">
        <v>88</v>
      </c>
      <c r="E324" s="309" t="s">
        <v>46</v>
      </c>
      <c r="F324" s="310" t="s">
        <v>117</v>
      </c>
      <c r="G324" s="312">
        <v>9</v>
      </c>
      <c r="H324" s="308">
        <v>12</v>
      </c>
      <c r="I324" s="340">
        <v>381.21</v>
      </c>
      <c r="J324" s="340">
        <v>3385.31</v>
      </c>
      <c r="K324" s="308"/>
      <c r="L324" s="340">
        <f t="shared" si="10"/>
        <v>381.21</v>
      </c>
      <c r="M324" s="308"/>
      <c r="N324" s="311"/>
      <c r="O324" s="312"/>
      <c r="P324" s="308"/>
      <c r="Q324" s="308"/>
      <c r="R324" s="392"/>
      <c r="S324" s="358">
        <f ca="1">IF(C324&lt;=EOMONTH('&gt;&gt;Vistas Consolidadas'!$D$2, '&gt;&gt;Vistas Consolidadas'!$F$2),J324+I324,J324)</f>
        <v>3766.52</v>
      </c>
      <c r="T324" s="18" t="str">
        <f ca="1">IF(C324&gt;='&gt;&gt;Vistas Consolidadas'!$D$2,"SI","NO")</f>
        <v>SI</v>
      </c>
      <c r="U324" s="358">
        <f ca="1">IF(C324&lt;=EOMONTH('&gt;&gt;Vistas Consolidadas'!$D$2, '&gt;&gt;Vistas Consolidadas'!$F$2),I324,0)</f>
        <v>381.21</v>
      </c>
      <c r="V324" s="18" t="b">
        <f ca="1">AND(C324&gt;='Interes Por Semana'!$C$4, C324&lt;='Interes Por Semana'!$E$4)</f>
        <v>0</v>
      </c>
      <c r="W324" s="18" t="str">
        <f t="shared" si="11"/>
        <v>jueves</v>
      </c>
    </row>
    <row r="325" spans="2:23" hidden="1" x14ac:dyDescent="0.25">
      <c r="B325" s="337">
        <v>45559</v>
      </c>
      <c r="C325" s="337">
        <v>46368</v>
      </c>
      <c r="D325" s="374" t="s">
        <v>118</v>
      </c>
      <c r="E325" s="309" t="s">
        <v>47</v>
      </c>
      <c r="F325" s="310" t="s">
        <v>119</v>
      </c>
      <c r="G325" s="311">
        <v>8.5</v>
      </c>
      <c r="H325" s="311">
        <v>12</v>
      </c>
      <c r="I325" s="340">
        <v>308.2</v>
      </c>
      <c r="J325" s="340">
        <v>1493.47</v>
      </c>
      <c r="K325" s="308"/>
      <c r="L325" s="340">
        <f t="shared" si="10"/>
        <v>308.2</v>
      </c>
      <c r="M325" s="308"/>
      <c r="N325" s="311"/>
      <c r="O325" s="312"/>
      <c r="P325" s="308"/>
      <c r="Q325" s="308"/>
      <c r="R325" s="392"/>
      <c r="S325" s="358">
        <f ca="1">IF(C325&lt;=EOMONTH('&gt;&gt;Vistas Consolidadas'!$D$2, '&gt;&gt;Vistas Consolidadas'!$F$2),J325+I325,J325)</f>
        <v>1801.67</v>
      </c>
      <c r="T325" s="18" t="str">
        <f ca="1">IF(C325&gt;='&gt;&gt;Vistas Consolidadas'!$D$2,"SI","NO")</f>
        <v>SI</v>
      </c>
      <c r="U325" s="358">
        <f ca="1">IF(C325&lt;=EOMONTH('&gt;&gt;Vistas Consolidadas'!$D$2, '&gt;&gt;Vistas Consolidadas'!$F$2),I325,0)</f>
        <v>308.2</v>
      </c>
      <c r="V325" s="18" t="b">
        <f ca="1">AND(C325&gt;='Interes Por Semana'!$C$4, C325&lt;='Interes Por Semana'!$E$4)</f>
        <v>0</v>
      </c>
      <c r="W325" s="18" t="str">
        <f t="shared" si="11"/>
        <v>sábado</v>
      </c>
    </row>
    <row r="326" spans="2:23" hidden="1" x14ac:dyDescent="0.25">
      <c r="B326" s="337">
        <v>45559</v>
      </c>
      <c r="C326" s="337">
        <v>46368</v>
      </c>
      <c r="D326" s="374" t="s">
        <v>118</v>
      </c>
      <c r="E326" s="309" t="s">
        <v>46</v>
      </c>
      <c r="F326" s="310" t="s">
        <v>119</v>
      </c>
      <c r="G326" s="312">
        <v>8.5</v>
      </c>
      <c r="H326" s="308">
        <v>12</v>
      </c>
      <c r="I326" s="340">
        <v>48.88</v>
      </c>
      <c r="J326" s="340">
        <v>236.87</v>
      </c>
      <c r="K326" s="308"/>
      <c r="L326" s="340">
        <f t="shared" si="10"/>
        <v>48.88</v>
      </c>
      <c r="M326" s="308"/>
      <c r="N326" s="311"/>
      <c r="O326" s="312"/>
      <c r="P326" s="308"/>
      <c r="Q326" s="308"/>
      <c r="R326" s="392"/>
      <c r="S326" s="358">
        <f ca="1">IF(C326&lt;=EOMONTH('&gt;&gt;Vistas Consolidadas'!$D$2, '&gt;&gt;Vistas Consolidadas'!$F$2),J326+I326,J326)</f>
        <v>285.75</v>
      </c>
      <c r="T326" s="18" t="str">
        <f ca="1">IF(C326&gt;='&gt;&gt;Vistas Consolidadas'!$D$2,"SI","NO")</f>
        <v>SI</v>
      </c>
      <c r="U326" s="358">
        <f ca="1">IF(C326&lt;=EOMONTH('&gt;&gt;Vistas Consolidadas'!$D$2, '&gt;&gt;Vistas Consolidadas'!$F$2),I326,0)</f>
        <v>48.88</v>
      </c>
      <c r="V326" s="18" t="b">
        <f ca="1">AND(C326&gt;='Interes Por Semana'!$C$4, C326&lt;='Interes Por Semana'!$E$4)</f>
        <v>0</v>
      </c>
      <c r="W326" s="18" t="str">
        <f t="shared" si="11"/>
        <v>sábado</v>
      </c>
    </row>
    <row r="327" spans="2:23" hidden="1" x14ac:dyDescent="0.25">
      <c r="B327" s="337">
        <v>45559</v>
      </c>
      <c r="C327" s="337">
        <v>46368</v>
      </c>
      <c r="D327" s="374" t="s">
        <v>118</v>
      </c>
      <c r="E327" s="309" t="s">
        <v>48</v>
      </c>
      <c r="F327" s="310" t="s">
        <v>119</v>
      </c>
      <c r="G327" s="312">
        <v>8.5</v>
      </c>
      <c r="H327" s="308">
        <v>12</v>
      </c>
      <c r="I327" s="340">
        <v>198.59</v>
      </c>
      <c r="J327" s="340">
        <v>962.34</v>
      </c>
      <c r="K327" s="308"/>
      <c r="L327" s="340">
        <f t="shared" si="10"/>
        <v>198.59</v>
      </c>
      <c r="M327" s="308"/>
      <c r="N327" s="311"/>
      <c r="O327" s="312"/>
      <c r="P327" s="308"/>
      <c r="Q327" s="308"/>
      <c r="R327" s="392"/>
      <c r="S327" s="358">
        <f ca="1">IF(C327&lt;=EOMONTH('&gt;&gt;Vistas Consolidadas'!$D$2, '&gt;&gt;Vistas Consolidadas'!$F$2),J327+I327,J327)</f>
        <v>1160.93</v>
      </c>
      <c r="T327" s="18" t="str">
        <f ca="1">IF(C327&gt;='&gt;&gt;Vistas Consolidadas'!$D$2,"SI","NO")</f>
        <v>SI</v>
      </c>
      <c r="U327" s="358">
        <f ca="1">IF(C327&lt;=EOMONTH('&gt;&gt;Vistas Consolidadas'!$D$2, '&gt;&gt;Vistas Consolidadas'!$F$2),I327,0)</f>
        <v>198.59</v>
      </c>
      <c r="V327" s="18" t="b">
        <f ca="1">AND(C327&gt;='Interes Por Semana'!$C$4, C327&lt;='Interes Por Semana'!$E$4)</f>
        <v>0</v>
      </c>
      <c r="W327" s="18" t="str">
        <f t="shared" si="11"/>
        <v>sábado</v>
      </c>
    </row>
    <row r="328" spans="2:23" hidden="1" x14ac:dyDescent="0.25">
      <c r="B328" s="337">
        <v>46097</v>
      </c>
      <c r="C328" s="337">
        <v>46367</v>
      </c>
      <c r="D328" s="374" t="s">
        <v>88</v>
      </c>
      <c r="E328" s="309" t="s">
        <v>47</v>
      </c>
      <c r="F328" s="310" t="s">
        <v>121</v>
      </c>
      <c r="G328" s="311">
        <v>9</v>
      </c>
      <c r="H328" s="311">
        <v>10.25</v>
      </c>
      <c r="I328" s="340">
        <v>619.62</v>
      </c>
      <c r="J328" s="340">
        <v>965</v>
      </c>
      <c r="K328" s="311"/>
      <c r="L328" s="340">
        <f t="shared" si="10"/>
        <v>619.62</v>
      </c>
      <c r="M328" s="311"/>
      <c r="N328" s="311"/>
      <c r="O328" s="311"/>
      <c r="P328" s="311"/>
      <c r="Q328" s="311"/>
      <c r="R328" s="392"/>
      <c r="S328" s="358">
        <f ca="1">IF(C328&lt;=EOMONTH('&gt;&gt;Vistas Consolidadas'!$D$2, '&gt;&gt;Vistas Consolidadas'!$F$2),J328+I328,J328)</f>
        <v>1584.62</v>
      </c>
      <c r="T328" s="18" t="str">
        <f ca="1">IF(C328&gt;='&gt;&gt;Vistas Consolidadas'!$D$2,"SI","NO")</f>
        <v>SI</v>
      </c>
      <c r="U328" s="358">
        <f ca="1">IF(C328&lt;=EOMONTH('&gt;&gt;Vistas Consolidadas'!$D$2, '&gt;&gt;Vistas Consolidadas'!$F$2),I328,0)</f>
        <v>619.62</v>
      </c>
      <c r="V328" s="18" t="b">
        <f ca="1">AND(C328&gt;='Interes Por Semana'!$C$4, C328&lt;='Interes Por Semana'!$E$4)</f>
        <v>0</v>
      </c>
      <c r="W328" s="18" t="str">
        <f t="shared" si="11"/>
        <v>viernes</v>
      </c>
    </row>
    <row r="329" spans="2:23" hidden="1" x14ac:dyDescent="0.25">
      <c r="B329" s="337">
        <v>46105</v>
      </c>
      <c r="C329" s="337">
        <v>46367</v>
      </c>
      <c r="D329" s="374" t="s">
        <v>88</v>
      </c>
      <c r="E329" s="309" t="s">
        <v>47</v>
      </c>
      <c r="F329" s="310" t="s">
        <v>121</v>
      </c>
      <c r="G329" s="311">
        <v>9</v>
      </c>
      <c r="H329" s="311">
        <v>10.25</v>
      </c>
      <c r="I329" s="340">
        <v>102.35</v>
      </c>
      <c r="J329" s="340">
        <v>159.4</v>
      </c>
      <c r="K329" s="311"/>
      <c r="L329" s="340">
        <f t="shared" si="10"/>
        <v>102.35</v>
      </c>
      <c r="M329" s="311"/>
      <c r="N329" s="311"/>
      <c r="O329" s="311"/>
      <c r="P329" s="311"/>
      <c r="Q329" s="311"/>
      <c r="R329" s="392"/>
      <c r="S329" s="358">
        <f ca="1">IF(C329&lt;=EOMONTH('&gt;&gt;Vistas Consolidadas'!$D$2, '&gt;&gt;Vistas Consolidadas'!$F$2),J329+I329,J329)</f>
        <v>261.75</v>
      </c>
      <c r="T329" s="18" t="str">
        <f ca="1">IF(C329&gt;='&gt;&gt;Vistas Consolidadas'!$D$2,"SI","NO")</f>
        <v>SI</v>
      </c>
      <c r="U329" s="358">
        <f ca="1">IF(C329&lt;=EOMONTH('&gt;&gt;Vistas Consolidadas'!$D$2, '&gt;&gt;Vistas Consolidadas'!$F$2),I329,0)</f>
        <v>102.35</v>
      </c>
      <c r="V329" s="18" t="b">
        <f ca="1">AND(C329&gt;='Interes Por Semana'!$C$4, C329&lt;='Interes Por Semana'!$E$4)</f>
        <v>0</v>
      </c>
      <c r="W329" s="18" t="str">
        <f t="shared" si="11"/>
        <v>viernes</v>
      </c>
    </row>
    <row r="330" spans="2:23" hidden="1" x14ac:dyDescent="0.25">
      <c r="B330" s="337">
        <v>45552</v>
      </c>
      <c r="C330" s="337">
        <v>46359</v>
      </c>
      <c r="D330" s="374" t="s">
        <v>78</v>
      </c>
      <c r="E330" s="309" t="s">
        <v>47</v>
      </c>
      <c r="F330" s="310" t="s">
        <v>79</v>
      </c>
      <c r="G330" s="311">
        <v>5.36</v>
      </c>
      <c r="H330" s="311">
        <v>13.5</v>
      </c>
      <c r="I330" s="340">
        <f>15.63</f>
        <v>15.63</v>
      </c>
      <c r="J330" s="340"/>
      <c r="K330" s="308"/>
      <c r="L330" s="340">
        <f t="shared" si="10"/>
        <v>15.63</v>
      </c>
      <c r="M330" s="311"/>
      <c r="N330" s="311"/>
      <c r="O330" s="311"/>
      <c r="P330" s="311"/>
      <c r="Q330" s="311"/>
      <c r="R330" s="392"/>
      <c r="S330" s="358">
        <f ca="1">IF(C330&lt;=EOMONTH('&gt;&gt;Vistas Consolidadas'!$D$2, '&gt;&gt;Vistas Consolidadas'!$F$2),J330+I330,J330)</f>
        <v>15.63</v>
      </c>
      <c r="T330" s="18" t="str">
        <f ca="1">IF(C330&gt;='&gt;&gt;Vistas Consolidadas'!$D$2,"SI","NO")</f>
        <v>SI</v>
      </c>
      <c r="U330" s="358">
        <f ca="1">IF(C330&lt;=EOMONTH('&gt;&gt;Vistas Consolidadas'!$D$2, '&gt;&gt;Vistas Consolidadas'!$F$2),I330,0)</f>
        <v>15.63</v>
      </c>
      <c r="V330" s="18" t="b">
        <f ca="1">AND(C330&gt;='Interes Por Semana'!$C$4, C330&lt;='Interes Por Semana'!$E$4)</f>
        <v>0</v>
      </c>
      <c r="W330" s="18" t="str">
        <f t="shared" si="11"/>
        <v>jueves</v>
      </c>
    </row>
    <row r="331" spans="2:23" hidden="1" x14ac:dyDescent="0.25">
      <c r="B331" s="337">
        <v>45560</v>
      </c>
      <c r="C331" s="337">
        <v>46359</v>
      </c>
      <c r="D331" s="374" t="s">
        <v>78</v>
      </c>
      <c r="E331" s="309" t="s">
        <v>47</v>
      </c>
      <c r="F331" s="310" t="s">
        <v>79</v>
      </c>
      <c r="G331" s="311">
        <v>5.36</v>
      </c>
      <c r="H331" s="311">
        <v>12.5</v>
      </c>
      <c r="I331" s="340">
        <f>12.51</f>
        <v>12.51</v>
      </c>
      <c r="J331" s="340"/>
      <c r="K331" s="308"/>
      <c r="L331" s="340">
        <f t="shared" si="10"/>
        <v>12.51</v>
      </c>
      <c r="M331" s="311"/>
      <c r="N331" s="311"/>
      <c r="O331" s="311"/>
      <c r="P331" s="311"/>
      <c r="Q331" s="311"/>
      <c r="R331" s="392"/>
      <c r="S331" s="358">
        <f ca="1">IF(C331&lt;=EOMONTH('&gt;&gt;Vistas Consolidadas'!$D$2, '&gt;&gt;Vistas Consolidadas'!$F$2),J331+I331,J331)</f>
        <v>12.51</v>
      </c>
      <c r="T331" s="18" t="str">
        <f ca="1">IF(C331&gt;='&gt;&gt;Vistas Consolidadas'!$D$2,"SI","NO")</f>
        <v>SI</v>
      </c>
      <c r="U331" s="358">
        <f ca="1">IF(C331&lt;=EOMONTH('&gt;&gt;Vistas Consolidadas'!$D$2, '&gt;&gt;Vistas Consolidadas'!$F$2),I331,0)</f>
        <v>12.51</v>
      </c>
      <c r="V331" s="18" t="b">
        <f ca="1">AND(C331&gt;='Interes Por Semana'!$C$4, C331&lt;='Interes Por Semana'!$E$4)</f>
        <v>0</v>
      </c>
      <c r="W331" s="18" t="str">
        <f t="shared" si="11"/>
        <v>jueves</v>
      </c>
    </row>
    <row r="332" spans="2:23" hidden="1" x14ac:dyDescent="0.25">
      <c r="B332" s="337">
        <v>45708</v>
      </c>
      <c r="C332" s="337">
        <v>46360</v>
      </c>
      <c r="D332" s="374" t="s">
        <v>78</v>
      </c>
      <c r="E332" s="309" t="s">
        <v>46</v>
      </c>
      <c r="F332" s="310" t="s">
        <v>81</v>
      </c>
      <c r="G332" s="312">
        <v>5.36</v>
      </c>
      <c r="H332" s="308">
        <v>11.35</v>
      </c>
      <c r="I332" s="340">
        <f>16.79-J332</f>
        <v>16.79</v>
      </c>
      <c r="J332" s="340">
        <v>0</v>
      </c>
      <c r="K332" s="308"/>
      <c r="L332" s="340">
        <f t="shared" si="10"/>
        <v>16.79</v>
      </c>
      <c r="M332" s="308"/>
      <c r="N332" s="311"/>
      <c r="O332" s="312"/>
      <c r="P332" s="308"/>
      <c r="Q332" s="308"/>
      <c r="R332" s="392"/>
      <c r="S332" s="358">
        <f ca="1">IF(C332&lt;=EOMONTH('&gt;&gt;Vistas Consolidadas'!$D$2, '&gt;&gt;Vistas Consolidadas'!$F$2),J332+I332,J332)</f>
        <v>16.79</v>
      </c>
      <c r="T332" s="18" t="str">
        <f ca="1">IF(C332&gt;='&gt;&gt;Vistas Consolidadas'!$D$2,"SI","NO")</f>
        <v>SI</v>
      </c>
      <c r="U332" s="358">
        <f ca="1">IF(C332&lt;=EOMONTH('&gt;&gt;Vistas Consolidadas'!$D$2, '&gt;&gt;Vistas Consolidadas'!$F$2),I332,0)</f>
        <v>16.79</v>
      </c>
      <c r="V332" s="18" t="b">
        <f ca="1">AND(C332&gt;='Interes Por Semana'!$C$4, C332&lt;='Interes Por Semana'!$E$4)</f>
        <v>0</v>
      </c>
      <c r="W332" s="18" t="str">
        <f t="shared" si="11"/>
        <v>viernes</v>
      </c>
    </row>
    <row r="333" spans="2:23" hidden="1" x14ac:dyDescent="0.25">
      <c r="B333" s="337">
        <v>46057</v>
      </c>
      <c r="C333" s="337">
        <v>46362</v>
      </c>
      <c r="D333" s="374" t="s">
        <v>78</v>
      </c>
      <c r="E333" s="309" t="s">
        <v>47</v>
      </c>
      <c r="F333" s="310" t="s">
        <v>85</v>
      </c>
      <c r="G333" s="311">
        <v>7.93</v>
      </c>
      <c r="H333" s="311">
        <v>11.25</v>
      </c>
      <c r="I333" s="340">
        <v>58.023180428134552</v>
      </c>
      <c r="J333" s="340"/>
      <c r="K333" s="308"/>
      <c r="L333" s="340">
        <f t="shared" si="10"/>
        <v>58.023180428134552</v>
      </c>
      <c r="M333" s="311"/>
      <c r="N333" s="311"/>
      <c r="O333" s="311"/>
      <c r="P333" s="311"/>
      <c r="Q333" s="311"/>
      <c r="R333" s="392"/>
      <c r="S333" s="358">
        <f ca="1">IF(C333&lt;=EOMONTH('&gt;&gt;Vistas Consolidadas'!$D$2, '&gt;&gt;Vistas Consolidadas'!$F$2),J333+I333,J333)</f>
        <v>58.023180428134552</v>
      </c>
      <c r="T333" s="18" t="str">
        <f ca="1">IF(C333&gt;='&gt;&gt;Vistas Consolidadas'!$D$2,"SI","NO")</f>
        <v>SI</v>
      </c>
      <c r="U333" s="358">
        <f ca="1">IF(C333&lt;=EOMONTH('&gt;&gt;Vistas Consolidadas'!$D$2, '&gt;&gt;Vistas Consolidadas'!$F$2),I333,0)</f>
        <v>58.023180428134552</v>
      </c>
      <c r="V333" s="18" t="b">
        <f ca="1">AND(C333&gt;='Interes Por Semana'!$C$4, C333&lt;='Interes Por Semana'!$E$4)</f>
        <v>0</v>
      </c>
      <c r="W333" s="18" t="str">
        <f t="shared" si="11"/>
        <v>domingo</v>
      </c>
    </row>
    <row r="334" spans="2:23" hidden="1" x14ac:dyDescent="0.25">
      <c r="B334" s="337">
        <v>46057</v>
      </c>
      <c r="C334" s="337">
        <v>46362</v>
      </c>
      <c r="D334" s="374" t="s">
        <v>78</v>
      </c>
      <c r="E334" s="309" t="s">
        <v>47</v>
      </c>
      <c r="F334" s="310" t="s">
        <v>86</v>
      </c>
      <c r="G334" s="311">
        <v>7.35</v>
      </c>
      <c r="H334" s="311">
        <v>11</v>
      </c>
      <c r="I334" s="340">
        <v>20.79</v>
      </c>
      <c r="J334" s="340"/>
      <c r="K334" s="308"/>
      <c r="L334" s="340">
        <f t="shared" si="10"/>
        <v>20.79</v>
      </c>
      <c r="M334" s="311"/>
      <c r="N334" s="311"/>
      <c r="O334" s="311"/>
      <c r="P334" s="311"/>
      <c r="Q334" s="311"/>
      <c r="R334" s="392"/>
      <c r="S334" s="358">
        <f ca="1">IF(C334&lt;=EOMONTH('&gt;&gt;Vistas Consolidadas'!$D$2, '&gt;&gt;Vistas Consolidadas'!$F$2),J334+I334,J334)</f>
        <v>20.79</v>
      </c>
      <c r="T334" s="18" t="str">
        <f ca="1">IF(C334&gt;='&gt;&gt;Vistas Consolidadas'!$D$2,"SI","NO")</f>
        <v>SI</v>
      </c>
      <c r="U334" s="358">
        <f ca="1">IF(C334&lt;=EOMONTH('&gt;&gt;Vistas Consolidadas'!$D$2, '&gt;&gt;Vistas Consolidadas'!$F$2),I334,0)</f>
        <v>20.79</v>
      </c>
      <c r="V334" s="18" t="b">
        <f ca="1">AND(C334&gt;='Interes Por Semana'!$C$4, C334&lt;='Interes Por Semana'!$E$4)</f>
        <v>0</v>
      </c>
      <c r="W334" s="18" t="str">
        <f t="shared" si="11"/>
        <v>domingo</v>
      </c>
    </row>
    <row r="335" spans="2:23" hidden="1" x14ac:dyDescent="0.25">
      <c r="B335" s="337">
        <v>46001</v>
      </c>
      <c r="C335" s="337">
        <v>46362</v>
      </c>
      <c r="D335" s="374" t="s">
        <v>78</v>
      </c>
      <c r="E335" s="309" t="s">
        <v>46</v>
      </c>
      <c r="F335" s="310" t="s">
        <v>87</v>
      </c>
      <c r="G335" s="312">
        <v>7.54</v>
      </c>
      <c r="H335" s="308">
        <v>11</v>
      </c>
      <c r="I335" s="340">
        <f>7.79</f>
        <v>7.79</v>
      </c>
      <c r="J335" s="340"/>
      <c r="K335" s="308"/>
      <c r="L335" s="340">
        <f t="shared" si="10"/>
        <v>7.79</v>
      </c>
      <c r="M335" s="308"/>
      <c r="N335" s="311"/>
      <c r="O335" s="312"/>
      <c r="P335" s="308"/>
      <c r="Q335" s="308"/>
      <c r="R335" s="392"/>
      <c r="S335" s="358">
        <f ca="1">IF(C335&lt;=EOMONTH('&gt;&gt;Vistas Consolidadas'!$D$2, '&gt;&gt;Vistas Consolidadas'!$F$2),J335+I335,J335)</f>
        <v>7.79</v>
      </c>
      <c r="T335" s="18" t="str">
        <f ca="1">IF(C335&gt;='&gt;&gt;Vistas Consolidadas'!$D$2,"SI","NO")</f>
        <v>SI</v>
      </c>
      <c r="U335" s="358">
        <f ca="1">IF(C335&lt;=EOMONTH('&gt;&gt;Vistas Consolidadas'!$D$2, '&gt;&gt;Vistas Consolidadas'!$F$2),I335,0)</f>
        <v>7.79</v>
      </c>
      <c r="V335" s="18" t="b">
        <f ca="1">AND(C335&gt;='Interes Por Semana'!$C$4, C335&lt;='Interes Por Semana'!$E$4)</f>
        <v>0</v>
      </c>
      <c r="W335" s="18" t="str">
        <f t="shared" si="11"/>
        <v>domingo</v>
      </c>
    </row>
    <row r="336" spans="2:23" hidden="1" x14ac:dyDescent="0.25">
      <c r="B336" s="337">
        <v>45943</v>
      </c>
      <c r="C336" s="337">
        <v>46366</v>
      </c>
      <c r="D336" s="374" t="s">
        <v>78</v>
      </c>
      <c r="E336" s="309" t="s">
        <v>47</v>
      </c>
      <c r="F336" s="310" t="s">
        <v>91</v>
      </c>
      <c r="G336" s="311">
        <v>7.54</v>
      </c>
      <c r="H336" s="311">
        <v>9.85</v>
      </c>
      <c r="I336" s="340">
        <v>35.25</v>
      </c>
      <c r="J336" s="340"/>
      <c r="K336" s="308"/>
      <c r="L336" s="340">
        <f t="shared" si="10"/>
        <v>35.25</v>
      </c>
      <c r="M336" s="311"/>
      <c r="N336" s="311"/>
      <c r="O336" s="311"/>
      <c r="P336" s="311"/>
      <c r="Q336" s="311"/>
      <c r="R336" s="392"/>
      <c r="S336" s="358">
        <f ca="1">IF(C336&lt;=EOMONTH('&gt;&gt;Vistas Consolidadas'!$D$2, '&gt;&gt;Vistas Consolidadas'!$F$2),J336+I336,J336)</f>
        <v>35.25</v>
      </c>
      <c r="T336" s="18" t="str">
        <f ca="1">IF(C336&gt;='&gt;&gt;Vistas Consolidadas'!$D$2,"SI","NO")</f>
        <v>SI</v>
      </c>
      <c r="U336" s="358">
        <f ca="1">IF(C336&lt;=EOMONTH('&gt;&gt;Vistas Consolidadas'!$D$2, '&gt;&gt;Vistas Consolidadas'!$F$2),I336,0)</f>
        <v>35.25</v>
      </c>
      <c r="V336" s="18" t="b">
        <f ca="1">AND(C336&gt;='Interes Por Semana'!$C$4, C336&lt;='Interes Por Semana'!$E$4)</f>
        <v>0</v>
      </c>
      <c r="W336" s="18" t="str">
        <f t="shared" si="11"/>
        <v>jueves</v>
      </c>
    </row>
    <row r="337" spans="2:23" hidden="1" x14ac:dyDescent="0.25">
      <c r="B337" s="337">
        <v>46121</v>
      </c>
      <c r="C337" s="337">
        <v>46368</v>
      </c>
      <c r="D337" s="374" t="s">
        <v>78</v>
      </c>
      <c r="E337" s="309" t="s">
        <v>47</v>
      </c>
      <c r="F337" s="310" t="s">
        <v>93</v>
      </c>
      <c r="G337" s="312">
        <v>4.71</v>
      </c>
      <c r="H337" s="308">
        <v>9.5</v>
      </c>
      <c r="I337" s="340">
        <v>3.53</v>
      </c>
      <c r="J337" s="340">
        <v>0</v>
      </c>
      <c r="K337" s="308"/>
      <c r="L337" s="340">
        <f t="shared" si="10"/>
        <v>3.53</v>
      </c>
      <c r="M337" s="308"/>
      <c r="N337" s="311"/>
      <c r="O337" s="312"/>
      <c r="P337" s="308"/>
      <c r="Q337" s="308"/>
      <c r="R337" s="392"/>
      <c r="S337" s="358">
        <f ca="1">IF(C337&lt;=EOMONTH('&gt;&gt;Vistas Consolidadas'!$D$2, '&gt;&gt;Vistas Consolidadas'!$F$2),J337+I337,J337)</f>
        <v>3.53</v>
      </c>
      <c r="T337" s="18" t="str">
        <f ca="1">IF(C337&gt;='&gt;&gt;Vistas Consolidadas'!$D$2,"SI","NO")</f>
        <v>SI</v>
      </c>
      <c r="U337" s="358">
        <f ca="1">IF(C337&lt;=EOMONTH('&gt;&gt;Vistas Consolidadas'!$D$2, '&gt;&gt;Vistas Consolidadas'!$F$2),I337,0)</f>
        <v>3.53</v>
      </c>
      <c r="V337" s="18" t="b">
        <f ca="1">AND(C337&gt;='Interes Por Semana'!$C$4, C337&lt;='Interes Por Semana'!$E$4)</f>
        <v>0</v>
      </c>
      <c r="W337" s="18" t="str">
        <f t="shared" si="11"/>
        <v>sábado</v>
      </c>
    </row>
    <row r="338" spans="2:23" hidden="1" x14ac:dyDescent="0.25">
      <c r="B338" s="337">
        <v>45323</v>
      </c>
      <c r="C338" s="337">
        <v>46371</v>
      </c>
      <c r="D338" s="374" t="s">
        <v>96</v>
      </c>
      <c r="E338" s="309" t="s">
        <v>47</v>
      </c>
      <c r="F338" s="310" t="s">
        <v>97</v>
      </c>
      <c r="G338" s="311">
        <v>6</v>
      </c>
      <c r="H338" s="311">
        <v>12</v>
      </c>
      <c r="I338" s="340">
        <v>16.670000000000002</v>
      </c>
      <c r="J338" s="340"/>
      <c r="K338" s="308"/>
      <c r="L338" s="340">
        <f t="shared" si="10"/>
        <v>16.670000000000002</v>
      </c>
      <c r="M338" s="311"/>
      <c r="N338" s="311"/>
      <c r="O338" s="311"/>
      <c r="P338" s="311"/>
      <c r="Q338" s="311"/>
      <c r="R338" s="392"/>
      <c r="S338" s="358">
        <f ca="1">IF(C338&lt;=EOMONTH('&gt;&gt;Vistas Consolidadas'!$D$2, '&gt;&gt;Vistas Consolidadas'!$F$2),J338+I338,J338)</f>
        <v>16.670000000000002</v>
      </c>
      <c r="T338" s="18" t="str">
        <f ca="1">IF(C338&gt;='&gt;&gt;Vistas Consolidadas'!$D$2,"SI","NO")</f>
        <v>SI</v>
      </c>
      <c r="U338" s="358">
        <f ca="1">IF(C338&lt;=EOMONTH('&gt;&gt;Vistas Consolidadas'!$D$2, '&gt;&gt;Vistas Consolidadas'!$F$2),I338,0)</f>
        <v>16.670000000000002</v>
      </c>
      <c r="V338" s="18" t="b">
        <f ca="1">AND(C338&gt;='Interes Por Semana'!$C$4, C338&lt;='Interes Por Semana'!$E$4)</f>
        <v>0</v>
      </c>
      <c r="W338" s="18" t="str">
        <f t="shared" si="11"/>
        <v>martes</v>
      </c>
    </row>
    <row r="339" spans="2:23" hidden="1" x14ac:dyDescent="0.25">
      <c r="B339" s="337">
        <v>45356</v>
      </c>
      <c r="C339" s="337">
        <v>46371</v>
      </c>
      <c r="D339" s="374" t="s">
        <v>96</v>
      </c>
      <c r="E339" s="309" t="s">
        <v>47</v>
      </c>
      <c r="F339" s="310" t="s">
        <v>97</v>
      </c>
      <c r="G339" s="311">
        <v>6</v>
      </c>
      <c r="H339" s="311">
        <v>12</v>
      </c>
      <c r="I339" s="340">
        <v>108.33</v>
      </c>
      <c r="J339" s="340"/>
      <c r="K339" s="308"/>
      <c r="L339" s="340">
        <f t="shared" si="10"/>
        <v>108.33</v>
      </c>
      <c r="M339" s="311"/>
      <c r="N339" s="311"/>
      <c r="O339" s="311"/>
      <c r="P339" s="311"/>
      <c r="Q339" s="311"/>
      <c r="R339" s="392"/>
      <c r="S339" s="358">
        <f ca="1">IF(C339&lt;=EOMONTH('&gt;&gt;Vistas Consolidadas'!$D$2, '&gt;&gt;Vistas Consolidadas'!$F$2),J339+I339,J339)</f>
        <v>108.33</v>
      </c>
      <c r="T339" s="18" t="str">
        <f ca="1">IF(C339&gt;='&gt;&gt;Vistas Consolidadas'!$D$2,"SI","NO")</f>
        <v>SI</v>
      </c>
      <c r="U339" s="358">
        <f ca="1">IF(C339&lt;=EOMONTH('&gt;&gt;Vistas Consolidadas'!$D$2, '&gt;&gt;Vistas Consolidadas'!$F$2),I339,0)</f>
        <v>108.33</v>
      </c>
      <c r="V339" s="18" t="b">
        <f ca="1">AND(C339&gt;='Interes Por Semana'!$C$4, C339&lt;='Interes Por Semana'!$E$4)</f>
        <v>0</v>
      </c>
      <c r="W339" s="18" t="str">
        <f t="shared" si="11"/>
        <v>martes</v>
      </c>
    </row>
    <row r="340" spans="2:23" hidden="1" x14ac:dyDescent="0.25">
      <c r="B340" s="337">
        <v>45006</v>
      </c>
      <c r="C340" s="337">
        <v>46371</v>
      </c>
      <c r="D340" s="374" t="s">
        <v>96</v>
      </c>
      <c r="E340" s="309" t="s">
        <v>46</v>
      </c>
      <c r="F340" s="310" t="s">
        <v>97</v>
      </c>
      <c r="G340" s="312">
        <v>6</v>
      </c>
      <c r="H340" s="308">
        <v>12</v>
      </c>
      <c r="I340" s="340">
        <v>62.5</v>
      </c>
      <c r="J340" s="340"/>
      <c r="K340" s="308"/>
      <c r="L340" s="340">
        <f t="shared" si="10"/>
        <v>62.5</v>
      </c>
      <c r="M340" s="308"/>
      <c r="N340" s="311"/>
      <c r="O340" s="312"/>
      <c r="P340" s="308"/>
      <c r="Q340" s="308"/>
      <c r="R340" s="392"/>
      <c r="S340" s="358">
        <f ca="1">IF(C340&lt;=EOMONTH('&gt;&gt;Vistas Consolidadas'!$D$2, '&gt;&gt;Vistas Consolidadas'!$F$2),J340+I340,J340)</f>
        <v>62.5</v>
      </c>
      <c r="T340" s="18" t="str">
        <f ca="1">IF(C340&gt;='&gt;&gt;Vistas Consolidadas'!$D$2,"SI","NO")</f>
        <v>SI</v>
      </c>
      <c r="U340" s="358">
        <f ca="1">IF(C340&lt;=EOMONTH('&gt;&gt;Vistas Consolidadas'!$D$2, '&gt;&gt;Vistas Consolidadas'!$F$2),I340,0)</f>
        <v>62.5</v>
      </c>
      <c r="V340" s="18" t="b">
        <f ca="1">AND(C340&gt;='Interes Por Semana'!$C$4, C340&lt;='Interes Por Semana'!$E$4)</f>
        <v>0</v>
      </c>
      <c r="W340" s="18" t="str">
        <f t="shared" si="11"/>
        <v>martes</v>
      </c>
    </row>
    <row r="341" spans="2:23" hidden="1" x14ac:dyDescent="0.25">
      <c r="B341" s="337">
        <v>45397</v>
      </c>
      <c r="C341" s="337">
        <v>46371</v>
      </c>
      <c r="D341" s="374" t="s">
        <v>96</v>
      </c>
      <c r="E341" s="309" t="s">
        <v>47</v>
      </c>
      <c r="F341" s="310" t="s">
        <v>97</v>
      </c>
      <c r="G341" s="311">
        <v>6</v>
      </c>
      <c r="H341" s="311">
        <v>12</v>
      </c>
      <c r="I341" s="340">
        <v>54.16</v>
      </c>
      <c r="J341" s="340"/>
      <c r="K341" s="308"/>
      <c r="L341" s="340">
        <f t="shared" si="10"/>
        <v>54.16</v>
      </c>
      <c r="M341" s="311"/>
      <c r="N341" s="311"/>
      <c r="O341" s="311"/>
      <c r="P341" s="311"/>
      <c r="Q341" s="311"/>
      <c r="R341" s="392"/>
      <c r="S341" s="358">
        <f ca="1">IF(C341&lt;=EOMONTH('&gt;&gt;Vistas Consolidadas'!$D$2, '&gt;&gt;Vistas Consolidadas'!$F$2),J341+I341,J341)</f>
        <v>54.16</v>
      </c>
      <c r="T341" s="18" t="str">
        <f ca="1">IF(C341&gt;='&gt;&gt;Vistas Consolidadas'!$D$2,"SI","NO")</f>
        <v>SI</v>
      </c>
      <c r="U341" s="358">
        <f ca="1">IF(C341&lt;=EOMONTH('&gt;&gt;Vistas Consolidadas'!$D$2, '&gt;&gt;Vistas Consolidadas'!$F$2),I341,0)</f>
        <v>54.16</v>
      </c>
      <c r="V341" s="18" t="b">
        <f ca="1">AND(C341&gt;='Interes Por Semana'!$C$4, C341&lt;='Interes Por Semana'!$E$4)</f>
        <v>0</v>
      </c>
      <c r="W341" s="18" t="str">
        <f t="shared" si="11"/>
        <v>martes</v>
      </c>
    </row>
    <row r="342" spans="2:23" hidden="1" x14ac:dyDescent="0.25">
      <c r="B342" s="337">
        <v>45397</v>
      </c>
      <c r="C342" s="337">
        <v>46371</v>
      </c>
      <c r="D342" s="374" t="s">
        <v>96</v>
      </c>
      <c r="E342" s="309" t="s">
        <v>46</v>
      </c>
      <c r="F342" s="310" t="s">
        <v>97</v>
      </c>
      <c r="G342" s="312">
        <v>6</v>
      </c>
      <c r="H342" s="308">
        <v>12</v>
      </c>
      <c r="I342" s="340">
        <v>62.5</v>
      </c>
      <c r="J342" s="340"/>
      <c r="K342" s="308"/>
      <c r="L342" s="340">
        <f t="shared" si="10"/>
        <v>62.5</v>
      </c>
      <c r="M342" s="308"/>
      <c r="N342" s="311"/>
      <c r="O342" s="312"/>
      <c r="P342" s="308"/>
      <c r="Q342" s="308"/>
      <c r="R342" s="392"/>
      <c r="S342" s="358">
        <f ca="1">IF(C342&lt;=EOMONTH('&gt;&gt;Vistas Consolidadas'!$D$2, '&gt;&gt;Vistas Consolidadas'!$F$2),J342+I342,J342)</f>
        <v>62.5</v>
      </c>
      <c r="T342" s="18" t="str">
        <f ca="1">IF(C342&gt;='&gt;&gt;Vistas Consolidadas'!$D$2,"SI","NO")</f>
        <v>SI</v>
      </c>
      <c r="U342" s="358">
        <f ca="1">IF(C342&lt;=EOMONTH('&gt;&gt;Vistas Consolidadas'!$D$2, '&gt;&gt;Vistas Consolidadas'!$F$2),I342,0)</f>
        <v>62.5</v>
      </c>
      <c r="V342" s="18" t="b">
        <f ca="1">AND(C342&gt;='Interes Por Semana'!$C$4, C342&lt;='Interes Por Semana'!$E$4)</f>
        <v>0</v>
      </c>
      <c r="W342" s="18" t="str">
        <f t="shared" si="11"/>
        <v>martes</v>
      </c>
    </row>
    <row r="343" spans="2:23" hidden="1" x14ac:dyDescent="0.25">
      <c r="B343" s="337">
        <v>45398</v>
      </c>
      <c r="C343" s="337">
        <v>46371</v>
      </c>
      <c r="D343" s="374" t="s">
        <v>96</v>
      </c>
      <c r="E343" s="309" t="s">
        <v>47</v>
      </c>
      <c r="F343" s="310" t="s">
        <v>97</v>
      </c>
      <c r="G343" s="311">
        <v>6</v>
      </c>
      <c r="H343" s="311">
        <v>12</v>
      </c>
      <c r="I343" s="340">
        <v>16.670000000000002</v>
      </c>
      <c r="J343" s="340"/>
      <c r="K343" s="308"/>
      <c r="L343" s="340">
        <f t="shared" si="10"/>
        <v>16.670000000000002</v>
      </c>
      <c r="M343" s="311"/>
      <c r="N343" s="311"/>
      <c r="O343" s="311"/>
      <c r="P343" s="311"/>
      <c r="Q343" s="311"/>
      <c r="R343" s="392"/>
      <c r="S343" s="358">
        <f ca="1">IF(C343&lt;=EOMONTH('&gt;&gt;Vistas Consolidadas'!$D$2, '&gt;&gt;Vistas Consolidadas'!$F$2),J343+I343,J343)</f>
        <v>16.670000000000002</v>
      </c>
      <c r="T343" s="18" t="str">
        <f ca="1">IF(C343&gt;='&gt;&gt;Vistas Consolidadas'!$D$2,"SI","NO")</f>
        <v>SI</v>
      </c>
      <c r="U343" s="358">
        <f ca="1">IF(C343&lt;=EOMONTH('&gt;&gt;Vistas Consolidadas'!$D$2, '&gt;&gt;Vistas Consolidadas'!$F$2),I343,0)</f>
        <v>16.670000000000002</v>
      </c>
      <c r="V343" s="18" t="b">
        <f ca="1">AND(C343&gt;='Interes Por Semana'!$C$4, C343&lt;='Interes Por Semana'!$E$4)</f>
        <v>0</v>
      </c>
      <c r="W343" s="18" t="str">
        <f t="shared" si="11"/>
        <v>martes</v>
      </c>
    </row>
    <row r="344" spans="2:23" hidden="1" x14ac:dyDescent="0.25">
      <c r="B344" s="337">
        <v>46105</v>
      </c>
      <c r="C344" s="337">
        <v>46371</v>
      </c>
      <c r="D344" s="374" t="s">
        <v>96</v>
      </c>
      <c r="E344" s="309" t="s">
        <v>47</v>
      </c>
      <c r="F344" s="310" t="s">
        <v>97</v>
      </c>
      <c r="G344" s="311">
        <v>6</v>
      </c>
      <c r="H344" s="311">
        <v>10</v>
      </c>
      <c r="I344" s="340">
        <v>16.670000000000002</v>
      </c>
      <c r="J344" s="340"/>
      <c r="K344" s="308"/>
      <c r="L344" s="340">
        <f t="shared" si="10"/>
        <v>16.670000000000002</v>
      </c>
      <c r="M344" s="311"/>
      <c r="N344" s="311"/>
      <c r="O344" s="311"/>
      <c r="P344" s="311"/>
      <c r="Q344" s="311"/>
      <c r="R344" s="392"/>
      <c r="S344" s="358">
        <f ca="1">IF(C344&lt;=EOMONTH('&gt;&gt;Vistas Consolidadas'!$D$2, '&gt;&gt;Vistas Consolidadas'!$F$2),J344+I344,J344)</f>
        <v>16.670000000000002</v>
      </c>
      <c r="T344" s="18" t="str">
        <f ca="1">IF(C344&gt;='&gt;&gt;Vistas Consolidadas'!$D$2,"SI","NO")</f>
        <v>SI</v>
      </c>
      <c r="U344" s="358">
        <f ca="1">IF(C344&lt;=EOMONTH('&gt;&gt;Vistas Consolidadas'!$D$2, '&gt;&gt;Vistas Consolidadas'!$F$2),I344,0)</f>
        <v>16.670000000000002</v>
      </c>
      <c r="V344" s="18" t="b">
        <f ca="1">AND(C344&gt;='Interes Por Semana'!$C$4, C344&lt;='Interes Por Semana'!$E$4)</f>
        <v>0</v>
      </c>
      <c r="W344" s="18" t="str">
        <f t="shared" si="11"/>
        <v>martes</v>
      </c>
    </row>
    <row r="345" spans="2:23" hidden="1" x14ac:dyDescent="0.25">
      <c r="B345" s="337">
        <v>44462</v>
      </c>
      <c r="C345" s="337">
        <v>46373</v>
      </c>
      <c r="D345" s="374" t="s">
        <v>78</v>
      </c>
      <c r="E345" s="309" t="s">
        <v>46</v>
      </c>
      <c r="F345" s="310" t="s">
        <v>98</v>
      </c>
      <c r="G345" s="312">
        <v>5.64</v>
      </c>
      <c r="H345" s="308">
        <v>8.1999999999999993</v>
      </c>
      <c r="I345" s="340">
        <v>5.05</v>
      </c>
      <c r="J345" s="340"/>
      <c r="K345" s="308"/>
      <c r="L345" s="340">
        <f t="shared" si="10"/>
        <v>5.05</v>
      </c>
      <c r="M345" s="308"/>
      <c r="N345" s="311"/>
      <c r="O345" s="312"/>
      <c r="P345" s="308"/>
      <c r="Q345" s="308"/>
      <c r="R345" s="392"/>
      <c r="S345" s="358">
        <f ca="1">IF(C345&lt;=EOMONTH('&gt;&gt;Vistas Consolidadas'!$D$2, '&gt;&gt;Vistas Consolidadas'!$F$2),J345+I345,J345)</f>
        <v>5.05</v>
      </c>
      <c r="T345" s="18" t="str">
        <f ca="1">IF(C345&gt;='&gt;&gt;Vistas Consolidadas'!$D$2,"SI","NO")</f>
        <v>SI</v>
      </c>
      <c r="U345" s="358">
        <f ca="1">IF(C345&lt;=EOMONTH('&gt;&gt;Vistas Consolidadas'!$D$2, '&gt;&gt;Vistas Consolidadas'!$F$2),I345,0)</f>
        <v>5.05</v>
      </c>
      <c r="V345" s="18" t="b">
        <f ca="1">AND(C345&gt;='Interes Por Semana'!$C$4, C345&lt;='Interes Por Semana'!$E$4)</f>
        <v>0</v>
      </c>
      <c r="W345" s="18" t="str">
        <f t="shared" si="11"/>
        <v>jueves</v>
      </c>
    </row>
    <row r="346" spans="2:23" hidden="1" x14ac:dyDescent="0.25">
      <c r="B346" s="337">
        <v>45264</v>
      </c>
      <c r="C346" s="337">
        <v>46373</v>
      </c>
      <c r="D346" s="374" t="s">
        <v>78</v>
      </c>
      <c r="E346" s="309" t="s">
        <v>46</v>
      </c>
      <c r="F346" s="310" t="s">
        <v>99</v>
      </c>
      <c r="G346" s="312">
        <v>5.64</v>
      </c>
      <c r="H346" s="308">
        <v>13</v>
      </c>
      <c r="I346" s="340">
        <v>14.1</v>
      </c>
      <c r="J346" s="340"/>
      <c r="K346" s="308"/>
      <c r="L346" s="340">
        <f t="shared" si="10"/>
        <v>14.1</v>
      </c>
      <c r="M346" s="308"/>
      <c r="N346" s="311"/>
      <c r="O346" s="312"/>
      <c r="P346" s="308"/>
      <c r="Q346" s="308"/>
      <c r="R346" s="392"/>
      <c r="S346" s="358">
        <f ca="1">IF(C346&lt;=EOMONTH('&gt;&gt;Vistas Consolidadas'!$D$2, '&gt;&gt;Vistas Consolidadas'!$F$2),J346+I346,J346)</f>
        <v>14.1</v>
      </c>
      <c r="T346" s="18" t="str">
        <f ca="1">IF(C346&gt;='&gt;&gt;Vistas Consolidadas'!$D$2,"SI","NO")</f>
        <v>SI</v>
      </c>
      <c r="U346" s="358">
        <f ca="1">IF(C346&lt;=EOMONTH('&gt;&gt;Vistas Consolidadas'!$D$2, '&gt;&gt;Vistas Consolidadas'!$F$2),I346,0)</f>
        <v>14.1</v>
      </c>
      <c r="V346" s="18" t="b">
        <f ca="1">AND(C346&gt;='Interes Por Semana'!$C$4, C346&lt;='Interes Por Semana'!$E$4)</f>
        <v>0</v>
      </c>
      <c r="W346" s="18" t="str">
        <f t="shared" si="11"/>
        <v>jueves</v>
      </c>
    </row>
    <row r="347" spans="2:23" hidden="1" x14ac:dyDescent="0.25">
      <c r="B347" s="337">
        <v>45302</v>
      </c>
      <c r="C347" s="337">
        <v>46373</v>
      </c>
      <c r="D347" s="374" t="s">
        <v>78</v>
      </c>
      <c r="E347" s="309" t="s">
        <v>46</v>
      </c>
      <c r="F347" s="310" t="s">
        <v>99</v>
      </c>
      <c r="G347" s="312">
        <v>5.64</v>
      </c>
      <c r="H347" s="308">
        <v>12.75</v>
      </c>
      <c r="I347" s="340">
        <v>7.28</v>
      </c>
      <c r="J347" s="340"/>
      <c r="K347" s="308"/>
      <c r="L347" s="340">
        <f t="shared" si="10"/>
        <v>7.28</v>
      </c>
      <c r="M347" s="308"/>
      <c r="N347" s="311"/>
      <c r="O347" s="312"/>
      <c r="P347" s="308"/>
      <c r="Q347" s="308"/>
      <c r="R347" s="392"/>
      <c r="S347" s="358">
        <f ca="1">IF(C347&lt;=EOMONTH('&gt;&gt;Vistas Consolidadas'!$D$2, '&gt;&gt;Vistas Consolidadas'!$F$2),J347+I347,J347)</f>
        <v>7.28</v>
      </c>
      <c r="T347" s="18" t="str">
        <f ca="1">IF(C347&gt;='&gt;&gt;Vistas Consolidadas'!$D$2,"SI","NO")</f>
        <v>SI</v>
      </c>
      <c r="U347" s="358">
        <f ca="1">IF(C347&lt;=EOMONTH('&gt;&gt;Vistas Consolidadas'!$D$2, '&gt;&gt;Vistas Consolidadas'!$F$2),I347,0)</f>
        <v>7.28</v>
      </c>
      <c r="V347" s="18" t="b">
        <f ca="1">AND(C347&gt;='Interes Por Semana'!$C$4, C347&lt;='Interes Por Semana'!$E$4)</f>
        <v>0</v>
      </c>
      <c r="W347" s="18" t="str">
        <f t="shared" si="11"/>
        <v>jueves</v>
      </c>
    </row>
    <row r="348" spans="2:23" hidden="1" x14ac:dyDescent="0.25">
      <c r="B348" s="337">
        <v>46006</v>
      </c>
      <c r="C348" s="337">
        <v>46374</v>
      </c>
      <c r="D348" s="374" t="s">
        <v>78</v>
      </c>
      <c r="E348" s="309" t="s">
        <v>46</v>
      </c>
      <c r="F348" s="310" t="s">
        <v>100</v>
      </c>
      <c r="G348" s="312">
        <v>5.93</v>
      </c>
      <c r="H348" s="308">
        <v>8.5</v>
      </c>
      <c r="I348" s="340">
        <f>23.09-J348</f>
        <v>23.09</v>
      </c>
      <c r="J348" s="340"/>
      <c r="K348" s="308"/>
      <c r="L348" s="340">
        <f t="shared" si="10"/>
        <v>23.09</v>
      </c>
      <c r="M348" s="308"/>
      <c r="N348" s="311"/>
      <c r="O348" s="312"/>
      <c r="P348" s="308"/>
      <c r="Q348" s="308"/>
      <c r="R348" s="392"/>
      <c r="S348" s="358">
        <f ca="1">IF(C348&lt;=EOMONTH('&gt;&gt;Vistas Consolidadas'!$D$2, '&gt;&gt;Vistas Consolidadas'!$F$2),J348+I348,J348)</f>
        <v>23.09</v>
      </c>
      <c r="T348" s="18" t="str">
        <f ca="1">IF(C348&gt;='&gt;&gt;Vistas Consolidadas'!$D$2,"SI","NO")</f>
        <v>SI</v>
      </c>
      <c r="U348" s="358">
        <f ca="1">IF(C348&lt;=EOMONTH('&gt;&gt;Vistas Consolidadas'!$D$2, '&gt;&gt;Vistas Consolidadas'!$F$2),I348,0)</f>
        <v>23.09</v>
      </c>
      <c r="V348" s="18" t="b">
        <f ca="1">AND(C348&gt;='Interes Por Semana'!$C$4, C348&lt;='Interes Por Semana'!$E$4)</f>
        <v>0</v>
      </c>
      <c r="W348" s="18" t="str">
        <f t="shared" si="11"/>
        <v>viernes</v>
      </c>
    </row>
    <row r="349" spans="2:23" hidden="1" x14ac:dyDescent="0.25">
      <c r="B349" s="337">
        <v>45734</v>
      </c>
      <c r="C349" s="337">
        <v>46374</v>
      </c>
      <c r="D349" s="374" t="s">
        <v>78</v>
      </c>
      <c r="E349" s="309" t="s">
        <v>47</v>
      </c>
      <c r="F349" s="310" t="s">
        <v>101</v>
      </c>
      <c r="G349" s="311">
        <v>5.93</v>
      </c>
      <c r="H349" s="311">
        <v>12</v>
      </c>
      <c r="I349" s="340">
        <f>8.94</f>
        <v>8.94</v>
      </c>
      <c r="J349" s="340"/>
      <c r="K349" s="308"/>
      <c r="L349" s="340">
        <f t="shared" si="10"/>
        <v>8.94</v>
      </c>
      <c r="M349" s="311"/>
      <c r="N349" s="311"/>
      <c r="O349" s="311"/>
      <c r="P349" s="311"/>
      <c r="Q349" s="311"/>
      <c r="R349" s="392"/>
      <c r="S349" s="358">
        <f ca="1">IF(C349&lt;=EOMONTH('&gt;&gt;Vistas Consolidadas'!$D$2, '&gt;&gt;Vistas Consolidadas'!$F$2),J349+I349,J349)</f>
        <v>8.94</v>
      </c>
      <c r="T349" s="18" t="str">
        <f ca="1">IF(C349&gt;='&gt;&gt;Vistas Consolidadas'!$D$2,"SI","NO")</f>
        <v>SI</v>
      </c>
      <c r="U349" s="358">
        <f ca="1">IF(C349&lt;=EOMONTH('&gt;&gt;Vistas Consolidadas'!$D$2, '&gt;&gt;Vistas Consolidadas'!$F$2),I349,0)</f>
        <v>8.94</v>
      </c>
      <c r="V349" s="18" t="b">
        <f ca="1">AND(C349&gt;='Interes Por Semana'!$C$4, C349&lt;='Interes Por Semana'!$E$4)</f>
        <v>0</v>
      </c>
      <c r="W349" s="18" t="str">
        <f t="shared" si="11"/>
        <v>viernes</v>
      </c>
    </row>
    <row r="350" spans="2:23" hidden="1" x14ac:dyDescent="0.25">
      <c r="B350" s="337">
        <v>45264</v>
      </c>
      <c r="C350" s="337">
        <v>46377</v>
      </c>
      <c r="D350" s="374" t="s">
        <v>78</v>
      </c>
      <c r="E350" s="309" t="s">
        <v>46</v>
      </c>
      <c r="F350" s="310" t="s">
        <v>103</v>
      </c>
      <c r="G350" s="312">
        <v>5.36</v>
      </c>
      <c r="H350" s="308">
        <v>13</v>
      </c>
      <c r="I350" s="340">
        <v>5.58</v>
      </c>
      <c r="J350" s="340"/>
      <c r="K350" s="308"/>
      <c r="L350" s="340">
        <f t="shared" si="10"/>
        <v>5.58</v>
      </c>
      <c r="M350" s="308"/>
      <c r="N350" s="311"/>
      <c r="O350" s="312"/>
      <c r="P350" s="308"/>
      <c r="Q350" s="308"/>
      <c r="R350" s="392"/>
      <c r="S350" s="358">
        <f ca="1">IF(C350&lt;=EOMONTH('&gt;&gt;Vistas Consolidadas'!$D$2, '&gt;&gt;Vistas Consolidadas'!$F$2),J350+I350,J350)</f>
        <v>5.58</v>
      </c>
      <c r="T350" s="18" t="str">
        <f ca="1">IF(C350&gt;='&gt;&gt;Vistas Consolidadas'!$D$2,"SI","NO")</f>
        <v>SI</v>
      </c>
      <c r="U350" s="358">
        <f ca="1">IF(C350&lt;=EOMONTH('&gt;&gt;Vistas Consolidadas'!$D$2, '&gt;&gt;Vistas Consolidadas'!$F$2),I350,0)</f>
        <v>5.58</v>
      </c>
      <c r="V350" s="18" t="b">
        <f ca="1">AND(C350&gt;='Interes Por Semana'!$C$4, C350&lt;='Interes Por Semana'!$E$4)</f>
        <v>0</v>
      </c>
      <c r="W350" s="18" t="str">
        <f t="shared" si="11"/>
        <v>lunes</v>
      </c>
    </row>
    <row r="351" spans="2:23" hidden="1" x14ac:dyDescent="0.25">
      <c r="B351" s="337">
        <v>45279</v>
      </c>
      <c r="C351" s="337">
        <v>46377</v>
      </c>
      <c r="D351" s="374" t="s">
        <v>78</v>
      </c>
      <c r="E351" s="309" t="s">
        <v>46</v>
      </c>
      <c r="F351" s="310" t="s">
        <v>103</v>
      </c>
      <c r="G351" s="312">
        <v>5.36</v>
      </c>
      <c r="H351" s="308">
        <v>13</v>
      </c>
      <c r="I351" s="340">
        <v>3.13</v>
      </c>
      <c r="J351" s="340"/>
      <c r="K351" s="308"/>
      <c r="L351" s="340">
        <f t="shared" si="10"/>
        <v>3.13</v>
      </c>
      <c r="M351" s="308"/>
      <c r="N351" s="311"/>
      <c r="O351" s="312"/>
      <c r="P351" s="308"/>
      <c r="Q351" s="308"/>
      <c r="R351" s="392"/>
      <c r="S351" s="358">
        <f ca="1">IF(C351&lt;=EOMONTH('&gt;&gt;Vistas Consolidadas'!$D$2, '&gt;&gt;Vistas Consolidadas'!$F$2),J351+I351,J351)</f>
        <v>3.13</v>
      </c>
      <c r="T351" s="18" t="str">
        <f ca="1">IF(C351&gt;='&gt;&gt;Vistas Consolidadas'!$D$2,"SI","NO")</f>
        <v>SI</v>
      </c>
      <c r="U351" s="358">
        <f ca="1">IF(C351&lt;=EOMONTH('&gt;&gt;Vistas Consolidadas'!$D$2, '&gt;&gt;Vistas Consolidadas'!$F$2),I351,0)</f>
        <v>3.13</v>
      </c>
      <c r="V351" s="18" t="b">
        <f ca="1">AND(C351&gt;='Interes Por Semana'!$C$4, C351&lt;='Interes Por Semana'!$E$4)</f>
        <v>0</v>
      </c>
      <c r="W351" s="18" t="str">
        <f t="shared" si="11"/>
        <v>lunes</v>
      </c>
    </row>
    <row r="352" spans="2:23" hidden="1" x14ac:dyDescent="0.25">
      <c r="B352" s="337">
        <v>45552</v>
      </c>
      <c r="C352" s="337">
        <v>46377</v>
      </c>
      <c r="D352" s="374" t="s">
        <v>78</v>
      </c>
      <c r="E352" s="309" t="s">
        <v>47</v>
      </c>
      <c r="F352" s="310" t="s">
        <v>103</v>
      </c>
      <c r="G352" s="311">
        <v>5.36</v>
      </c>
      <c r="H352" s="311">
        <v>13.75</v>
      </c>
      <c r="I352" s="340">
        <f>4.47</f>
        <v>4.47</v>
      </c>
      <c r="J352" s="340"/>
      <c r="K352" s="308"/>
      <c r="L352" s="340">
        <f t="shared" si="10"/>
        <v>4.47</v>
      </c>
      <c r="M352" s="311"/>
      <c r="N352" s="311"/>
      <c r="O352" s="311"/>
      <c r="P352" s="311"/>
      <c r="Q352" s="311"/>
      <c r="R352" s="392"/>
      <c r="S352" s="358">
        <f ca="1">IF(C352&lt;=EOMONTH('&gt;&gt;Vistas Consolidadas'!$D$2, '&gt;&gt;Vistas Consolidadas'!$F$2),J352+I352,J352)</f>
        <v>4.47</v>
      </c>
      <c r="T352" s="18" t="str">
        <f ca="1">IF(C352&gt;='&gt;&gt;Vistas Consolidadas'!$D$2,"SI","NO")</f>
        <v>SI</v>
      </c>
      <c r="U352" s="358">
        <f ca="1">IF(C352&lt;=EOMONTH('&gt;&gt;Vistas Consolidadas'!$D$2, '&gt;&gt;Vistas Consolidadas'!$F$2),I352,0)</f>
        <v>4.47</v>
      </c>
      <c r="V352" s="18" t="b">
        <f ca="1">AND(C352&gt;='Interes Por Semana'!$C$4, C352&lt;='Interes Por Semana'!$E$4)</f>
        <v>0</v>
      </c>
      <c r="W352" s="18" t="str">
        <f t="shared" si="11"/>
        <v>lunes</v>
      </c>
    </row>
    <row r="353" spans="2:23" hidden="1" x14ac:dyDescent="0.25">
      <c r="B353" s="337">
        <v>45447</v>
      </c>
      <c r="C353" s="337">
        <v>46380</v>
      </c>
      <c r="D353" s="374" t="s">
        <v>78</v>
      </c>
      <c r="E353" s="309" t="s">
        <v>47</v>
      </c>
      <c r="F353" s="310" t="s">
        <v>105</v>
      </c>
      <c r="G353" s="311">
        <v>5.93</v>
      </c>
      <c r="H353" s="311">
        <v>13.25</v>
      </c>
      <c r="I353" s="340">
        <f>29.65</f>
        <v>29.65</v>
      </c>
      <c r="J353" s="340"/>
      <c r="K353" s="308"/>
      <c r="L353" s="340">
        <f t="shared" si="10"/>
        <v>29.65</v>
      </c>
      <c r="M353" s="311"/>
      <c r="N353" s="311"/>
      <c r="O353" s="311"/>
      <c r="P353" s="311"/>
      <c r="Q353" s="311"/>
      <c r="R353" s="392"/>
      <c r="S353" s="358">
        <f ca="1">IF(C353&lt;=EOMONTH('&gt;&gt;Vistas Consolidadas'!$D$2, '&gt;&gt;Vistas Consolidadas'!$F$2),J353+I353,J353)</f>
        <v>29.65</v>
      </c>
      <c r="T353" s="18" t="str">
        <f ca="1">IF(C353&gt;='&gt;&gt;Vistas Consolidadas'!$D$2,"SI","NO")</f>
        <v>SI</v>
      </c>
      <c r="U353" s="358">
        <f ca="1">IF(C353&lt;=EOMONTH('&gt;&gt;Vistas Consolidadas'!$D$2, '&gt;&gt;Vistas Consolidadas'!$F$2),I353,0)</f>
        <v>29.65</v>
      </c>
      <c r="V353" s="18" t="b">
        <f ca="1">AND(C353&gt;='Interes Por Semana'!$C$4, C353&lt;='Interes Por Semana'!$E$4)</f>
        <v>0</v>
      </c>
      <c r="W353" s="18" t="str">
        <f t="shared" si="11"/>
        <v>jueves</v>
      </c>
    </row>
    <row r="354" spans="2:23" hidden="1" x14ac:dyDescent="0.25">
      <c r="B354" s="337">
        <v>45832</v>
      </c>
      <c r="C354" s="337">
        <v>46381</v>
      </c>
      <c r="D354" s="374" t="s">
        <v>78</v>
      </c>
      <c r="E354" s="309" t="s">
        <v>47</v>
      </c>
      <c r="F354" s="310" t="s">
        <v>106</v>
      </c>
      <c r="G354" s="311">
        <v>5.93</v>
      </c>
      <c r="H354" s="311">
        <v>11</v>
      </c>
      <c r="I354" s="340">
        <f>22.41</f>
        <v>22.41</v>
      </c>
      <c r="J354" s="340"/>
      <c r="K354" s="308"/>
      <c r="L354" s="340">
        <f t="shared" si="10"/>
        <v>22.41</v>
      </c>
      <c r="M354" s="311"/>
      <c r="N354" s="311"/>
      <c r="O354" s="311"/>
      <c r="P354" s="311"/>
      <c r="Q354" s="311"/>
      <c r="R354" s="392"/>
      <c r="S354" s="358">
        <f ca="1">IF(C354&lt;=EOMONTH('&gt;&gt;Vistas Consolidadas'!$D$2, '&gt;&gt;Vistas Consolidadas'!$F$2),J354+I354,J354)</f>
        <v>22.41</v>
      </c>
      <c r="T354" s="18" t="str">
        <f ca="1">IF(C354&gt;='&gt;&gt;Vistas Consolidadas'!$D$2,"SI","NO")</f>
        <v>SI</v>
      </c>
      <c r="U354" s="358">
        <f ca="1">IF(C354&lt;=EOMONTH('&gt;&gt;Vistas Consolidadas'!$D$2, '&gt;&gt;Vistas Consolidadas'!$F$2),I354,0)</f>
        <v>22.41</v>
      </c>
      <c r="V354" s="18" t="b">
        <f ca="1">AND(C354&gt;='Interes Por Semana'!$C$4, C354&lt;='Interes Por Semana'!$E$4)</f>
        <v>0</v>
      </c>
      <c r="W354" s="18" t="str">
        <f t="shared" si="11"/>
        <v>viernes</v>
      </c>
    </row>
    <row r="355" spans="2:23" hidden="1" x14ac:dyDescent="0.25">
      <c r="B355" s="337">
        <v>45889</v>
      </c>
      <c r="C355" s="337">
        <v>46381</v>
      </c>
      <c r="D355" s="374" t="s">
        <v>78</v>
      </c>
      <c r="E355" s="309" t="s">
        <v>47</v>
      </c>
      <c r="F355" s="310" t="s">
        <v>106</v>
      </c>
      <c r="G355" s="311">
        <v>6.21</v>
      </c>
      <c r="H355" s="311">
        <v>9.75</v>
      </c>
      <c r="I355" s="340">
        <v>4.5</v>
      </c>
      <c r="J355" s="340"/>
      <c r="K355" s="308"/>
      <c r="L355" s="340">
        <f t="shared" si="10"/>
        <v>4.5</v>
      </c>
      <c r="M355" s="311"/>
      <c r="N355" s="311"/>
      <c r="O355" s="311"/>
      <c r="P355" s="311"/>
      <c r="Q355" s="311"/>
      <c r="R355" s="392"/>
      <c r="S355" s="358">
        <f ca="1">IF(C355&lt;=EOMONTH('&gt;&gt;Vistas Consolidadas'!$D$2, '&gt;&gt;Vistas Consolidadas'!$F$2),J355+I355,J355)</f>
        <v>4.5</v>
      </c>
      <c r="T355" s="18" t="str">
        <f ca="1">IF(C355&gt;='&gt;&gt;Vistas Consolidadas'!$D$2,"SI","NO")</f>
        <v>SI</v>
      </c>
      <c r="U355" s="358">
        <f ca="1">IF(C355&lt;=EOMONTH('&gt;&gt;Vistas Consolidadas'!$D$2, '&gt;&gt;Vistas Consolidadas'!$F$2),I355,0)</f>
        <v>4.5</v>
      </c>
      <c r="V355" s="18" t="b">
        <f ca="1">AND(C355&gt;='Interes Por Semana'!$C$4, C355&lt;='Interes Por Semana'!$E$4)</f>
        <v>0</v>
      </c>
      <c r="W355" s="18" t="str">
        <f t="shared" si="11"/>
        <v>viernes</v>
      </c>
    </row>
    <row r="356" spans="2:23" hidden="1" x14ac:dyDescent="0.25">
      <c r="B356" s="337">
        <v>45889</v>
      </c>
      <c r="C356" s="337">
        <v>46381</v>
      </c>
      <c r="D356" s="374" t="s">
        <v>78</v>
      </c>
      <c r="E356" s="309" t="s">
        <v>46</v>
      </c>
      <c r="F356" s="310" t="s">
        <v>106</v>
      </c>
      <c r="G356" s="312">
        <v>6.21</v>
      </c>
      <c r="H356" s="308">
        <v>10.75</v>
      </c>
      <c r="I356" s="340">
        <v>25.88</v>
      </c>
      <c r="J356" s="340"/>
      <c r="K356" s="308"/>
      <c r="L356" s="340">
        <f t="shared" si="10"/>
        <v>25.88</v>
      </c>
      <c r="M356" s="308"/>
      <c r="N356" s="311"/>
      <c r="O356" s="312"/>
      <c r="P356" s="308"/>
      <c r="Q356" s="308"/>
      <c r="R356" s="392"/>
      <c r="S356" s="358">
        <f ca="1">IF(C356&lt;=EOMONTH('&gt;&gt;Vistas Consolidadas'!$D$2, '&gt;&gt;Vistas Consolidadas'!$F$2),J356+I356,J356)</f>
        <v>25.88</v>
      </c>
      <c r="T356" s="18" t="str">
        <f ca="1">IF(C356&gt;='&gt;&gt;Vistas Consolidadas'!$D$2,"SI","NO")</f>
        <v>SI</v>
      </c>
      <c r="U356" s="358">
        <f ca="1">IF(C356&lt;=EOMONTH('&gt;&gt;Vistas Consolidadas'!$D$2, '&gt;&gt;Vistas Consolidadas'!$F$2),I356,0)</f>
        <v>25.88</v>
      </c>
      <c r="V356" s="18" t="b">
        <f ca="1">AND(C356&gt;='Interes Por Semana'!$C$4, C356&lt;='Interes Por Semana'!$E$4)</f>
        <v>0</v>
      </c>
      <c r="W356" s="18" t="str">
        <f t="shared" si="11"/>
        <v>viernes</v>
      </c>
    </row>
    <row r="357" spans="2:23" hidden="1" x14ac:dyDescent="0.25">
      <c r="B357" s="337">
        <v>45593</v>
      </c>
      <c r="C357" s="337">
        <v>46382</v>
      </c>
      <c r="D357" s="374" t="s">
        <v>78</v>
      </c>
      <c r="E357" s="309" t="s">
        <v>47</v>
      </c>
      <c r="F357" s="310" t="s">
        <v>107</v>
      </c>
      <c r="G357" s="311">
        <v>5.07</v>
      </c>
      <c r="H357" s="311">
        <v>13</v>
      </c>
      <c r="I357" s="340">
        <f>11.41</f>
        <v>11.41</v>
      </c>
      <c r="J357" s="340"/>
      <c r="K357" s="308"/>
      <c r="L357" s="340">
        <f t="shared" si="10"/>
        <v>11.41</v>
      </c>
      <c r="M357" s="311"/>
      <c r="N357" s="311"/>
      <c r="O357" s="311"/>
      <c r="P357" s="311"/>
      <c r="Q357" s="311"/>
      <c r="R357" s="392"/>
      <c r="S357" s="358">
        <f ca="1">IF(C357&lt;=EOMONTH('&gt;&gt;Vistas Consolidadas'!$D$2, '&gt;&gt;Vistas Consolidadas'!$F$2),J357+I357,J357)</f>
        <v>11.41</v>
      </c>
      <c r="T357" s="18" t="str">
        <f ca="1">IF(C357&gt;='&gt;&gt;Vistas Consolidadas'!$D$2,"SI","NO")</f>
        <v>SI</v>
      </c>
      <c r="U357" s="358">
        <f ca="1">IF(C357&lt;=EOMONTH('&gt;&gt;Vistas Consolidadas'!$D$2, '&gt;&gt;Vistas Consolidadas'!$F$2),I357,0)</f>
        <v>11.41</v>
      </c>
      <c r="V357" s="18" t="b">
        <f ca="1">AND(C357&gt;='Interes Por Semana'!$C$4, C357&lt;='Interes Por Semana'!$E$4)</f>
        <v>0</v>
      </c>
      <c r="W357" s="18" t="str">
        <f t="shared" si="11"/>
        <v>sábado</v>
      </c>
    </row>
    <row r="358" spans="2:23" hidden="1" x14ac:dyDescent="0.25">
      <c r="B358" s="337">
        <v>44830</v>
      </c>
      <c r="C358" s="337">
        <v>46383</v>
      </c>
      <c r="D358" s="374" t="s">
        <v>78</v>
      </c>
      <c r="E358" s="309" t="s">
        <v>47</v>
      </c>
      <c r="F358" s="310" t="s">
        <v>108</v>
      </c>
      <c r="G358" s="311">
        <v>5.64</v>
      </c>
      <c r="H358" s="311">
        <v>10.199999999999999</v>
      </c>
      <c r="I358" s="340">
        <v>9.4</v>
      </c>
      <c r="J358" s="340"/>
      <c r="K358" s="308"/>
      <c r="L358" s="340">
        <f t="shared" si="10"/>
        <v>9.4</v>
      </c>
      <c r="M358" s="311"/>
      <c r="N358" s="311"/>
      <c r="O358" s="311"/>
      <c r="P358" s="311"/>
      <c r="Q358" s="311"/>
      <c r="R358" s="392"/>
      <c r="S358" s="358">
        <f ca="1">IF(C358&lt;=EOMONTH('&gt;&gt;Vistas Consolidadas'!$D$2, '&gt;&gt;Vistas Consolidadas'!$F$2),J358+I358,J358)</f>
        <v>9.4</v>
      </c>
      <c r="T358" s="18" t="str">
        <f ca="1">IF(C358&gt;='&gt;&gt;Vistas Consolidadas'!$D$2,"SI","NO")</f>
        <v>SI</v>
      </c>
      <c r="U358" s="358">
        <f ca="1">IF(C358&lt;=EOMONTH('&gt;&gt;Vistas Consolidadas'!$D$2, '&gt;&gt;Vistas Consolidadas'!$F$2),I358,0)</f>
        <v>9.4</v>
      </c>
      <c r="V358" s="18" t="b">
        <f ca="1">AND(C358&gt;='Interes Por Semana'!$C$4, C358&lt;='Interes Por Semana'!$E$4)</f>
        <v>0</v>
      </c>
      <c r="W358" s="18" t="str">
        <f t="shared" si="11"/>
        <v>domingo</v>
      </c>
    </row>
    <row r="359" spans="2:23" hidden="1" x14ac:dyDescent="0.25">
      <c r="B359" s="337">
        <v>46057</v>
      </c>
      <c r="C359" s="337">
        <v>46383</v>
      </c>
      <c r="D359" s="374" t="s">
        <v>78</v>
      </c>
      <c r="E359" s="309" t="s">
        <v>47</v>
      </c>
      <c r="F359" s="310" t="s">
        <v>109</v>
      </c>
      <c r="G359" s="311">
        <v>6.21</v>
      </c>
      <c r="H359" s="311">
        <v>11</v>
      </c>
      <c r="I359" s="340">
        <v>15.61</v>
      </c>
      <c r="J359" s="340"/>
      <c r="K359" s="308"/>
      <c r="L359" s="340">
        <f t="shared" si="10"/>
        <v>15.61</v>
      </c>
      <c r="M359" s="311"/>
      <c r="N359" s="311"/>
      <c r="O359" s="311"/>
      <c r="P359" s="311"/>
      <c r="Q359" s="311"/>
      <c r="R359" s="392"/>
      <c r="S359" s="358">
        <f ca="1">IF(C359&lt;=EOMONTH('&gt;&gt;Vistas Consolidadas'!$D$2, '&gt;&gt;Vistas Consolidadas'!$F$2),J359+I359,J359)</f>
        <v>15.61</v>
      </c>
      <c r="T359" s="18" t="str">
        <f ca="1">IF(C359&gt;='&gt;&gt;Vistas Consolidadas'!$D$2,"SI","NO")</f>
        <v>SI</v>
      </c>
      <c r="U359" s="358">
        <f ca="1">IF(C359&lt;=EOMONTH('&gt;&gt;Vistas Consolidadas'!$D$2, '&gt;&gt;Vistas Consolidadas'!$F$2),I359,0)</f>
        <v>15.61</v>
      </c>
      <c r="V359" s="18" t="b">
        <f ca="1">AND(C359&gt;='Interes Por Semana'!$C$4, C359&lt;='Interes Por Semana'!$E$4)</f>
        <v>0</v>
      </c>
      <c r="W359" s="18" t="str">
        <f t="shared" si="11"/>
        <v>domingo</v>
      </c>
    </row>
    <row r="360" spans="2:23" hidden="1" x14ac:dyDescent="0.25">
      <c r="B360" s="337">
        <v>46080</v>
      </c>
      <c r="C360" s="337">
        <v>46383</v>
      </c>
      <c r="D360" s="374" t="s">
        <v>78</v>
      </c>
      <c r="E360" s="309" t="s">
        <v>46</v>
      </c>
      <c r="F360" s="310" t="s">
        <v>110</v>
      </c>
      <c r="G360" s="312">
        <v>6.21</v>
      </c>
      <c r="H360" s="312">
        <v>10.6</v>
      </c>
      <c r="I360" s="340">
        <v>17.79</v>
      </c>
      <c r="J360" s="340"/>
      <c r="K360" s="308"/>
      <c r="L360" s="340">
        <f t="shared" si="10"/>
        <v>17.79</v>
      </c>
      <c r="M360" s="308"/>
      <c r="N360" s="311"/>
      <c r="O360" s="312"/>
      <c r="P360" s="308"/>
      <c r="Q360" s="308"/>
      <c r="R360" s="392"/>
      <c r="S360" s="358">
        <f ca="1">IF(C360&lt;=EOMONTH('&gt;&gt;Vistas Consolidadas'!$D$2, '&gt;&gt;Vistas Consolidadas'!$F$2),J360+I360,J360)</f>
        <v>17.79</v>
      </c>
      <c r="T360" s="18" t="str">
        <f ca="1">IF(C360&gt;='&gt;&gt;Vistas Consolidadas'!$D$2,"SI","NO")</f>
        <v>SI</v>
      </c>
      <c r="U360" s="358">
        <f ca="1">IF(C360&lt;=EOMONTH('&gt;&gt;Vistas Consolidadas'!$D$2, '&gt;&gt;Vistas Consolidadas'!$F$2),I360,0)</f>
        <v>17.79</v>
      </c>
      <c r="V360" s="18" t="b">
        <f ca="1">AND(C360&gt;='Interes Por Semana'!$C$4, C360&lt;='Interes Por Semana'!$E$4)</f>
        <v>0</v>
      </c>
      <c r="W360" s="18" t="str">
        <f t="shared" si="11"/>
        <v>domingo</v>
      </c>
    </row>
    <row r="361" spans="2:23" hidden="1" x14ac:dyDescent="0.25">
      <c r="B361" s="337">
        <v>45987</v>
      </c>
      <c r="C361" s="337">
        <v>46384</v>
      </c>
      <c r="D361" s="374" t="s">
        <v>78</v>
      </c>
      <c r="E361" s="309" t="s">
        <v>46</v>
      </c>
      <c r="F361" s="310" t="s">
        <v>111</v>
      </c>
      <c r="G361" s="312">
        <v>6.82</v>
      </c>
      <c r="H361" s="308">
        <v>11</v>
      </c>
      <c r="I361" s="340">
        <v>6.82</v>
      </c>
      <c r="J361" s="340">
        <v>0</v>
      </c>
      <c r="K361" s="308"/>
      <c r="L361" s="340">
        <f t="shared" si="10"/>
        <v>6.82</v>
      </c>
      <c r="M361" s="308"/>
      <c r="N361" s="311"/>
      <c r="O361" s="312"/>
      <c r="P361" s="308"/>
      <c r="Q361" s="308"/>
      <c r="R361" s="392"/>
      <c r="S361" s="358">
        <f ca="1">IF(C361&lt;=EOMONTH('&gt;&gt;Vistas Consolidadas'!$D$2, '&gt;&gt;Vistas Consolidadas'!$F$2),J361+I361,J361)</f>
        <v>6.82</v>
      </c>
      <c r="T361" s="18" t="str">
        <f ca="1">IF(C361&gt;='&gt;&gt;Vistas Consolidadas'!$D$2,"SI","NO")</f>
        <v>SI</v>
      </c>
      <c r="U361" s="358">
        <f ca="1">IF(C361&lt;=EOMONTH('&gt;&gt;Vistas Consolidadas'!$D$2, '&gt;&gt;Vistas Consolidadas'!$F$2),I361,0)</f>
        <v>6.82</v>
      </c>
      <c r="V361" s="18" t="b">
        <f ca="1">AND(C361&gt;='Interes Por Semana'!$C$4, C361&lt;='Interes Por Semana'!$E$4)</f>
        <v>0</v>
      </c>
      <c r="W361" s="18" t="str">
        <f t="shared" si="11"/>
        <v>lunes</v>
      </c>
    </row>
    <row r="362" spans="2:23" hidden="1" x14ac:dyDescent="0.25">
      <c r="B362" s="337">
        <v>45775</v>
      </c>
      <c r="C362" s="337">
        <v>46395</v>
      </c>
      <c r="D362" s="374" t="s">
        <v>88</v>
      </c>
      <c r="E362" s="309" t="s">
        <v>47</v>
      </c>
      <c r="F362" s="310" t="s">
        <v>89</v>
      </c>
      <c r="G362" s="312">
        <v>9</v>
      </c>
      <c r="H362" s="308">
        <v>11.5</v>
      </c>
      <c r="I362" s="340">
        <v>284.14</v>
      </c>
      <c r="J362" s="340">
        <v>1663.68</v>
      </c>
      <c r="K362" s="308"/>
      <c r="L362" s="340">
        <f t="shared" si="10"/>
        <v>284.14</v>
      </c>
      <c r="M362" s="308"/>
      <c r="N362" s="311"/>
      <c r="O362" s="312"/>
      <c r="P362" s="308"/>
      <c r="Q362" s="308"/>
      <c r="R362" s="392"/>
      <c r="S362" s="358">
        <f ca="1">IF(C362&lt;=EOMONTH('&gt;&gt;Vistas Consolidadas'!$D$2, '&gt;&gt;Vistas Consolidadas'!$F$2),J362+I362,J362)</f>
        <v>1947.8200000000002</v>
      </c>
      <c r="T362" s="18" t="str">
        <f ca="1">IF(C362&gt;='&gt;&gt;Vistas Consolidadas'!$D$2,"SI","NO")</f>
        <v>SI</v>
      </c>
      <c r="U362" s="358">
        <f ca="1">IF(C362&lt;=EOMONTH('&gt;&gt;Vistas Consolidadas'!$D$2, '&gt;&gt;Vistas Consolidadas'!$F$2),I362,0)</f>
        <v>284.14</v>
      </c>
      <c r="V362" s="18" t="b">
        <f ca="1">AND(C362&gt;='Interes Por Semana'!$C$4, C362&lt;='Interes Por Semana'!$E$4)</f>
        <v>0</v>
      </c>
      <c r="W362" s="18" t="str">
        <f t="shared" si="11"/>
        <v>viernes</v>
      </c>
    </row>
    <row r="363" spans="2:23" hidden="1" x14ac:dyDescent="0.25">
      <c r="B363" s="337">
        <v>45775</v>
      </c>
      <c r="C363" s="337">
        <v>46395</v>
      </c>
      <c r="D363" s="374" t="s">
        <v>88</v>
      </c>
      <c r="E363" s="309" t="s">
        <v>47</v>
      </c>
      <c r="F363" s="310" t="s">
        <v>89</v>
      </c>
      <c r="G363" s="312">
        <v>9</v>
      </c>
      <c r="H363" s="308">
        <v>11.5</v>
      </c>
      <c r="I363" s="340">
        <v>128.85</v>
      </c>
      <c r="J363" s="340">
        <v>759.96</v>
      </c>
      <c r="K363" s="308"/>
      <c r="L363" s="340">
        <f t="shared" si="10"/>
        <v>128.85</v>
      </c>
      <c r="M363" s="308"/>
      <c r="N363" s="311"/>
      <c r="O363" s="312"/>
      <c r="P363" s="308"/>
      <c r="Q363" s="308"/>
      <c r="R363" s="392"/>
      <c r="S363" s="358">
        <f ca="1">IF(C363&lt;=EOMONTH('&gt;&gt;Vistas Consolidadas'!$D$2, '&gt;&gt;Vistas Consolidadas'!$F$2),J363+I363,J363)</f>
        <v>888.81000000000006</v>
      </c>
      <c r="T363" s="18" t="str">
        <f ca="1">IF(C363&gt;='&gt;&gt;Vistas Consolidadas'!$D$2,"SI","NO")</f>
        <v>SI</v>
      </c>
      <c r="U363" s="358">
        <f ca="1">IF(C363&lt;=EOMONTH('&gt;&gt;Vistas Consolidadas'!$D$2, '&gt;&gt;Vistas Consolidadas'!$F$2),I363,0)</f>
        <v>128.85</v>
      </c>
      <c r="V363" s="18" t="b">
        <f ca="1">AND(C363&gt;='Interes Por Semana'!$C$4, C363&lt;='Interes Por Semana'!$E$4)</f>
        <v>0</v>
      </c>
      <c r="W363" s="18" t="str">
        <f t="shared" si="11"/>
        <v>viernes</v>
      </c>
    </row>
    <row r="364" spans="2:23" hidden="1" x14ac:dyDescent="0.25">
      <c r="B364" s="337">
        <v>46072</v>
      </c>
      <c r="C364" s="337">
        <v>46400</v>
      </c>
      <c r="D364" s="374" t="s">
        <v>88</v>
      </c>
      <c r="E364" s="309" t="s">
        <v>46</v>
      </c>
      <c r="F364" s="310" t="s">
        <v>94</v>
      </c>
      <c r="G364" s="312">
        <v>9</v>
      </c>
      <c r="H364" s="308">
        <v>10.5</v>
      </c>
      <c r="I364" s="340">
        <v>400.33</v>
      </c>
      <c r="J364" s="340">
        <v>948.02</v>
      </c>
      <c r="K364" s="308"/>
      <c r="L364" s="340">
        <f t="shared" si="10"/>
        <v>400.33</v>
      </c>
      <c r="M364" s="308"/>
      <c r="N364" s="311"/>
      <c r="O364" s="312"/>
      <c r="P364" s="308"/>
      <c r="Q364" s="308"/>
      <c r="R364" s="392"/>
      <c r="S364" s="358">
        <f ca="1">IF(C364&lt;=EOMONTH('&gt;&gt;Vistas Consolidadas'!$D$2, '&gt;&gt;Vistas Consolidadas'!$F$2),J364+I364,J364)</f>
        <v>1348.35</v>
      </c>
      <c r="T364" s="18" t="str">
        <f ca="1">IF(C364&gt;='&gt;&gt;Vistas Consolidadas'!$D$2,"SI","NO")</f>
        <v>SI</v>
      </c>
      <c r="U364" s="358">
        <f ca="1">IF(C364&lt;=EOMONTH('&gt;&gt;Vistas Consolidadas'!$D$2, '&gt;&gt;Vistas Consolidadas'!$F$2),I364,0)</f>
        <v>400.33</v>
      </c>
      <c r="V364" s="18" t="b">
        <f ca="1">AND(C364&gt;='Interes Por Semana'!$C$4, C364&lt;='Interes Por Semana'!$E$4)</f>
        <v>0</v>
      </c>
      <c r="W364" s="18" t="str">
        <f t="shared" si="11"/>
        <v>miércoles</v>
      </c>
    </row>
    <row r="365" spans="2:23" hidden="1" x14ac:dyDescent="0.25">
      <c r="B365" s="337">
        <v>46072</v>
      </c>
      <c r="C365" s="337">
        <v>46408</v>
      </c>
      <c r="D365" s="374" t="s">
        <v>88</v>
      </c>
      <c r="E365" s="309" t="s">
        <v>46</v>
      </c>
      <c r="F365" s="310" t="s">
        <v>104</v>
      </c>
      <c r="G365" s="312">
        <v>9</v>
      </c>
      <c r="H365" s="308">
        <v>10.25</v>
      </c>
      <c r="I365" s="340">
        <v>343.18</v>
      </c>
      <c r="J365" s="340">
        <v>1570.16</v>
      </c>
      <c r="K365" s="308"/>
      <c r="L365" s="340">
        <f t="shared" si="10"/>
        <v>343.18</v>
      </c>
      <c r="M365" s="308"/>
      <c r="N365" s="311"/>
      <c r="O365" s="312"/>
      <c r="P365" s="308"/>
      <c r="Q365" s="308"/>
      <c r="R365" s="392"/>
      <c r="S365" s="358">
        <f ca="1">IF(C365&lt;=EOMONTH('&gt;&gt;Vistas Consolidadas'!$D$2, '&gt;&gt;Vistas Consolidadas'!$F$2),J365+I365,J365)</f>
        <v>1913.3400000000001</v>
      </c>
      <c r="T365" s="18" t="str">
        <f ca="1">IF(C365&gt;='&gt;&gt;Vistas Consolidadas'!$D$2,"SI","NO")</f>
        <v>SI</v>
      </c>
      <c r="U365" s="358">
        <f ca="1">IF(C365&lt;=EOMONTH('&gt;&gt;Vistas Consolidadas'!$D$2, '&gt;&gt;Vistas Consolidadas'!$F$2),I365,0)</f>
        <v>343.18</v>
      </c>
      <c r="V365" s="18" t="b">
        <f ca="1">AND(C365&gt;='Interes Por Semana'!$C$4, C365&lt;='Interes Por Semana'!$E$4)</f>
        <v>0</v>
      </c>
      <c r="W365" s="18" t="str">
        <f t="shared" si="11"/>
        <v>jueves</v>
      </c>
    </row>
    <row r="366" spans="2:23" hidden="1" x14ac:dyDescent="0.25">
      <c r="B366" s="337">
        <v>45552</v>
      </c>
      <c r="C366" s="337">
        <v>46390</v>
      </c>
      <c r="D366" s="374" t="s">
        <v>78</v>
      </c>
      <c r="E366" s="309" t="s">
        <v>47</v>
      </c>
      <c r="F366" s="310" t="s">
        <v>79</v>
      </c>
      <c r="G366" s="312">
        <v>5.36</v>
      </c>
      <c r="H366" s="308">
        <v>13.5</v>
      </c>
      <c r="I366" s="340">
        <f>15.63</f>
        <v>15.63</v>
      </c>
      <c r="J366" s="340"/>
      <c r="K366" s="308"/>
      <c r="L366" s="340">
        <f t="shared" si="10"/>
        <v>15.63</v>
      </c>
      <c r="M366" s="308"/>
      <c r="N366" s="311"/>
      <c r="O366" s="312"/>
      <c r="P366" s="308"/>
      <c r="Q366" s="308"/>
      <c r="R366" s="392"/>
      <c r="S366" s="358">
        <f ca="1">IF(C366&lt;=EOMONTH('&gt;&gt;Vistas Consolidadas'!$D$2, '&gt;&gt;Vistas Consolidadas'!$F$2),J366+I366,J366)</f>
        <v>15.63</v>
      </c>
      <c r="T366" s="18" t="str">
        <f ca="1">IF(C366&gt;='&gt;&gt;Vistas Consolidadas'!$D$2,"SI","NO")</f>
        <v>SI</v>
      </c>
      <c r="U366" s="358">
        <f ca="1">IF(C366&lt;=EOMONTH('&gt;&gt;Vistas Consolidadas'!$D$2, '&gt;&gt;Vistas Consolidadas'!$F$2),I366,0)</f>
        <v>15.63</v>
      </c>
      <c r="V366" s="18" t="b">
        <f ca="1">AND(C366&gt;='Interes Por Semana'!$C$4, C366&lt;='Interes Por Semana'!$E$4)</f>
        <v>0</v>
      </c>
      <c r="W366" s="18" t="str">
        <f t="shared" si="11"/>
        <v>domingo</v>
      </c>
    </row>
    <row r="367" spans="2:23" hidden="1" x14ac:dyDescent="0.25">
      <c r="B367" s="337">
        <v>45560</v>
      </c>
      <c r="C367" s="337">
        <v>46390</v>
      </c>
      <c r="D367" s="374" t="s">
        <v>78</v>
      </c>
      <c r="E367" s="309" t="s">
        <v>47</v>
      </c>
      <c r="F367" s="310" t="s">
        <v>79</v>
      </c>
      <c r="G367" s="312">
        <v>5.36</v>
      </c>
      <c r="H367" s="308">
        <v>12.5</v>
      </c>
      <c r="I367" s="340">
        <f>12.51</f>
        <v>12.51</v>
      </c>
      <c r="J367" s="340"/>
      <c r="K367" s="308"/>
      <c r="L367" s="340">
        <f t="shared" si="10"/>
        <v>12.51</v>
      </c>
      <c r="M367" s="308"/>
      <c r="N367" s="311"/>
      <c r="O367" s="312"/>
      <c r="P367" s="308"/>
      <c r="Q367" s="308"/>
      <c r="R367" s="392"/>
      <c r="S367" s="358">
        <f ca="1">IF(C367&lt;=EOMONTH('&gt;&gt;Vistas Consolidadas'!$D$2, '&gt;&gt;Vistas Consolidadas'!$F$2),J367+I367,J367)</f>
        <v>12.51</v>
      </c>
      <c r="T367" s="18" t="str">
        <f ca="1">IF(C367&gt;='&gt;&gt;Vistas Consolidadas'!$D$2,"SI","NO")</f>
        <v>SI</v>
      </c>
      <c r="U367" s="358">
        <f ca="1">IF(C367&lt;=EOMONTH('&gt;&gt;Vistas Consolidadas'!$D$2, '&gt;&gt;Vistas Consolidadas'!$F$2),I367,0)</f>
        <v>12.51</v>
      </c>
      <c r="V367" s="18" t="b">
        <f ca="1">AND(C367&gt;='Interes Por Semana'!$C$4, C367&lt;='Interes Por Semana'!$E$4)</f>
        <v>0</v>
      </c>
      <c r="W367" s="18" t="str">
        <f t="shared" si="11"/>
        <v>domingo</v>
      </c>
    </row>
    <row r="368" spans="2:23" hidden="1" x14ac:dyDescent="0.25">
      <c r="B368" s="337">
        <v>45708</v>
      </c>
      <c r="C368" s="337">
        <v>46391</v>
      </c>
      <c r="D368" s="374" t="s">
        <v>78</v>
      </c>
      <c r="E368" s="309" t="s">
        <v>46</v>
      </c>
      <c r="F368" s="310" t="s">
        <v>81</v>
      </c>
      <c r="G368" s="312">
        <v>5.36</v>
      </c>
      <c r="H368" s="308">
        <v>11.35</v>
      </c>
      <c r="I368" s="340">
        <f>16.79-J368</f>
        <v>16.79</v>
      </c>
      <c r="J368" s="340">
        <v>0</v>
      </c>
      <c r="K368" s="308"/>
      <c r="L368" s="340">
        <f t="shared" si="10"/>
        <v>16.79</v>
      </c>
      <c r="M368" s="308"/>
      <c r="N368" s="311"/>
      <c r="O368" s="312"/>
      <c r="P368" s="308"/>
      <c r="Q368" s="308"/>
      <c r="R368" s="392"/>
      <c r="S368" s="358">
        <f ca="1">IF(C368&lt;=EOMONTH('&gt;&gt;Vistas Consolidadas'!$D$2, '&gt;&gt;Vistas Consolidadas'!$F$2),J368+I368,J368)</f>
        <v>16.79</v>
      </c>
      <c r="T368" s="18" t="str">
        <f ca="1">IF(C368&gt;='&gt;&gt;Vistas Consolidadas'!$D$2,"SI","NO")</f>
        <v>SI</v>
      </c>
      <c r="U368" s="358">
        <f ca="1">IF(C368&lt;=EOMONTH('&gt;&gt;Vistas Consolidadas'!$D$2, '&gt;&gt;Vistas Consolidadas'!$F$2),I368,0)</f>
        <v>16.79</v>
      </c>
      <c r="V368" s="18" t="b">
        <f ca="1">AND(C368&gt;='Interes Por Semana'!$C$4, C368&lt;='Interes Por Semana'!$E$4)</f>
        <v>0</v>
      </c>
      <c r="W368" s="18" t="str">
        <f t="shared" si="11"/>
        <v>lunes</v>
      </c>
    </row>
    <row r="369" spans="2:23" hidden="1" x14ac:dyDescent="0.25">
      <c r="B369" s="337">
        <v>46057</v>
      </c>
      <c r="C369" s="337">
        <v>46393</v>
      </c>
      <c r="D369" s="374" t="s">
        <v>78</v>
      </c>
      <c r="E369" s="309" t="s">
        <v>47</v>
      </c>
      <c r="F369" s="310" t="s">
        <v>85</v>
      </c>
      <c r="G369" s="312">
        <v>7.93</v>
      </c>
      <c r="H369" s="308">
        <v>11.25</v>
      </c>
      <c r="I369" s="340">
        <v>58.023180428134552</v>
      </c>
      <c r="J369" s="340"/>
      <c r="K369" s="308"/>
      <c r="L369" s="340">
        <f t="shared" si="10"/>
        <v>58.023180428134552</v>
      </c>
      <c r="M369" s="308"/>
      <c r="N369" s="311"/>
      <c r="O369" s="312"/>
      <c r="P369" s="308"/>
      <c r="Q369" s="308"/>
      <c r="R369" s="392"/>
      <c r="S369" s="358">
        <f ca="1">IF(C369&lt;=EOMONTH('&gt;&gt;Vistas Consolidadas'!$D$2, '&gt;&gt;Vistas Consolidadas'!$F$2),J369+I369,J369)</f>
        <v>58.023180428134552</v>
      </c>
      <c r="T369" s="18" t="str">
        <f ca="1">IF(C369&gt;='&gt;&gt;Vistas Consolidadas'!$D$2,"SI","NO")</f>
        <v>SI</v>
      </c>
      <c r="U369" s="358">
        <f ca="1">IF(C369&lt;=EOMONTH('&gt;&gt;Vistas Consolidadas'!$D$2, '&gt;&gt;Vistas Consolidadas'!$F$2),I369,0)</f>
        <v>58.023180428134552</v>
      </c>
      <c r="V369" s="18" t="b">
        <f ca="1">AND(C369&gt;='Interes Por Semana'!$C$4, C369&lt;='Interes Por Semana'!$E$4)</f>
        <v>0</v>
      </c>
      <c r="W369" s="18" t="str">
        <f t="shared" si="11"/>
        <v>miércoles</v>
      </c>
    </row>
    <row r="370" spans="2:23" hidden="1" x14ac:dyDescent="0.25">
      <c r="B370" s="337">
        <v>46057</v>
      </c>
      <c r="C370" s="337">
        <v>46393</v>
      </c>
      <c r="D370" s="374" t="s">
        <v>78</v>
      </c>
      <c r="E370" s="309" t="s">
        <v>47</v>
      </c>
      <c r="F370" s="310" t="s">
        <v>86</v>
      </c>
      <c r="G370" s="312">
        <v>7.35</v>
      </c>
      <c r="H370" s="308">
        <v>11</v>
      </c>
      <c r="I370" s="340">
        <v>20.79</v>
      </c>
      <c r="J370" s="340"/>
      <c r="K370" s="308"/>
      <c r="L370" s="340">
        <f t="shared" si="10"/>
        <v>20.79</v>
      </c>
      <c r="M370" s="308"/>
      <c r="N370" s="311"/>
      <c r="O370" s="312"/>
      <c r="P370" s="308"/>
      <c r="Q370" s="308"/>
      <c r="R370" s="392"/>
      <c r="S370" s="358">
        <f ca="1">IF(C370&lt;=EOMONTH('&gt;&gt;Vistas Consolidadas'!$D$2, '&gt;&gt;Vistas Consolidadas'!$F$2),J370+I370,J370)</f>
        <v>20.79</v>
      </c>
      <c r="T370" s="18" t="str">
        <f ca="1">IF(C370&gt;='&gt;&gt;Vistas Consolidadas'!$D$2,"SI","NO")</f>
        <v>SI</v>
      </c>
      <c r="U370" s="358">
        <f ca="1">IF(C370&lt;=EOMONTH('&gt;&gt;Vistas Consolidadas'!$D$2, '&gt;&gt;Vistas Consolidadas'!$F$2),I370,0)</f>
        <v>20.79</v>
      </c>
      <c r="V370" s="18" t="b">
        <f ca="1">AND(C370&gt;='Interes Por Semana'!$C$4, C370&lt;='Interes Por Semana'!$E$4)</f>
        <v>0</v>
      </c>
      <c r="W370" s="18" t="str">
        <f t="shared" si="11"/>
        <v>miércoles</v>
      </c>
    </row>
    <row r="371" spans="2:23" hidden="1" x14ac:dyDescent="0.25">
      <c r="B371" s="337">
        <v>46001</v>
      </c>
      <c r="C371" s="337">
        <v>46393</v>
      </c>
      <c r="D371" s="374" t="s">
        <v>78</v>
      </c>
      <c r="E371" s="309" t="s">
        <v>46</v>
      </c>
      <c r="F371" s="310" t="s">
        <v>87</v>
      </c>
      <c r="G371" s="312">
        <v>7.54</v>
      </c>
      <c r="H371" s="308">
        <v>11</v>
      </c>
      <c r="I371" s="340">
        <f>7.79</f>
        <v>7.79</v>
      </c>
      <c r="J371" s="340"/>
      <c r="K371" s="308"/>
      <c r="L371" s="340">
        <f t="shared" si="10"/>
        <v>7.79</v>
      </c>
      <c r="M371" s="308"/>
      <c r="N371" s="311"/>
      <c r="O371" s="312"/>
      <c r="P371" s="308"/>
      <c r="Q371" s="308"/>
      <c r="R371" s="392"/>
      <c r="S371" s="358">
        <f ca="1">IF(C371&lt;=EOMONTH('&gt;&gt;Vistas Consolidadas'!$D$2, '&gt;&gt;Vistas Consolidadas'!$F$2),J371+I371,J371)</f>
        <v>7.79</v>
      </c>
      <c r="T371" s="18" t="str">
        <f ca="1">IF(C371&gt;='&gt;&gt;Vistas Consolidadas'!$D$2,"SI","NO")</f>
        <v>SI</v>
      </c>
      <c r="U371" s="358">
        <f ca="1">IF(C371&lt;=EOMONTH('&gt;&gt;Vistas Consolidadas'!$D$2, '&gt;&gt;Vistas Consolidadas'!$F$2),I371,0)</f>
        <v>7.79</v>
      </c>
      <c r="V371" s="18" t="b">
        <f ca="1">AND(C371&gt;='Interes Por Semana'!$C$4, C371&lt;='Interes Por Semana'!$E$4)</f>
        <v>0</v>
      </c>
      <c r="W371" s="18" t="str">
        <f t="shared" si="11"/>
        <v>miércoles</v>
      </c>
    </row>
    <row r="372" spans="2:23" hidden="1" x14ac:dyDescent="0.25">
      <c r="B372" s="337">
        <v>45943</v>
      </c>
      <c r="C372" s="337">
        <v>46397</v>
      </c>
      <c r="D372" s="374" t="s">
        <v>78</v>
      </c>
      <c r="E372" s="309" t="s">
        <v>47</v>
      </c>
      <c r="F372" s="310" t="s">
        <v>91</v>
      </c>
      <c r="G372" s="312">
        <v>7.54</v>
      </c>
      <c r="H372" s="308">
        <v>9.85</v>
      </c>
      <c r="I372" s="340">
        <v>35.25</v>
      </c>
      <c r="J372" s="340"/>
      <c r="K372" s="308"/>
      <c r="L372" s="340">
        <f t="shared" si="10"/>
        <v>35.25</v>
      </c>
      <c r="M372" s="308"/>
      <c r="N372" s="311"/>
      <c r="O372" s="312"/>
      <c r="P372" s="308"/>
      <c r="Q372" s="308"/>
      <c r="R372" s="392"/>
      <c r="S372" s="358">
        <f ca="1">IF(C372&lt;=EOMONTH('&gt;&gt;Vistas Consolidadas'!$D$2, '&gt;&gt;Vistas Consolidadas'!$F$2),J372+I372,J372)</f>
        <v>35.25</v>
      </c>
      <c r="T372" s="18" t="str">
        <f ca="1">IF(C372&gt;='&gt;&gt;Vistas Consolidadas'!$D$2,"SI","NO")</f>
        <v>SI</v>
      </c>
      <c r="U372" s="358">
        <f ca="1">IF(C372&lt;=EOMONTH('&gt;&gt;Vistas Consolidadas'!$D$2, '&gt;&gt;Vistas Consolidadas'!$F$2),I372,0)</f>
        <v>35.25</v>
      </c>
      <c r="V372" s="18" t="b">
        <f ca="1">AND(C372&gt;='Interes Por Semana'!$C$4, C372&lt;='Interes Por Semana'!$E$4)</f>
        <v>0</v>
      </c>
      <c r="W372" s="18" t="str">
        <f t="shared" si="11"/>
        <v>domingo</v>
      </c>
    </row>
    <row r="373" spans="2:23" hidden="1" x14ac:dyDescent="0.25">
      <c r="B373" s="337">
        <v>46121</v>
      </c>
      <c r="C373" s="337">
        <v>46399</v>
      </c>
      <c r="D373" s="374" t="s">
        <v>78</v>
      </c>
      <c r="E373" s="309" t="s">
        <v>47</v>
      </c>
      <c r="F373" s="310" t="s">
        <v>93</v>
      </c>
      <c r="G373" s="312">
        <v>4.71</v>
      </c>
      <c r="H373" s="308">
        <v>9.5</v>
      </c>
      <c r="I373" s="340">
        <v>3.53</v>
      </c>
      <c r="J373" s="340">
        <v>0</v>
      </c>
      <c r="K373" s="308"/>
      <c r="L373" s="340">
        <f t="shared" si="10"/>
        <v>3.53</v>
      </c>
      <c r="M373" s="308"/>
      <c r="N373" s="311"/>
      <c r="O373" s="312"/>
      <c r="P373" s="308"/>
      <c r="Q373" s="308"/>
      <c r="R373" s="392"/>
      <c r="S373" s="358">
        <f ca="1">IF(C373&lt;=EOMONTH('&gt;&gt;Vistas Consolidadas'!$D$2, '&gt;&gt;Vistas Consolidadas'!$F$2),J373+I373,J373)</f>
        <v>3.53</v>
      </c>
      <c r="T373" s="18" t="str">
        <f ca="1">IF(C373&gt;='&gt;&gt;Vistas Consolidadas'!$D$2,"SI","NO")</f>
        <v>SI</v>
      </c>
      <c r="U373" s="358">
        <f ca="1">IF(C373&lt;=EOMONTH('&gt;&gt;Vistas Consolidadas'!$D$2, '&gt;&gt;Vistas Consolidadas'!$F$2),I373,0)</f>
        <v>3.53</v>
      </c>
      <c r="V373" s="18" t="b">
        <f ca="1">AND(C373&gt;='Interes Por Semana'!$C$4, C373&lt;='Interes Por Semana'!$E$4)</f>
        <v>0</v>
      </c>
      <c r="W373" s="18" t="str">
        <f t="shared" si="11"/>
        <v>martes</v>
      </c>
    </row>
    <row r="374" spans="2:23" hidden="1" x14ac:dyDescent="0.25">
      <c r="B374" s="337">
        <v>45323</v>
      </c>
      <c r="C374" s="337">
        <v>46402</v>
      </c>
      <c r="D374" s="374" t="s">
        <v>96</v>
      </c>
      <c r="E374" s="309" t="s">
        <v>47</v>
      </c>
      <c r="F374" s="310" t="s">
        <v>97</v>
      </c>
      <c r="G374" s="312">
        <v>6</v>
      </c>
      <c r="H374" s="308">
        <v>12</v>
      </c>
      <c r="I374" s="340">
        <v>16.670000000000002</v>
      </c>
      <c r="J374" s="340"/>
      <c r="K374" s="308"/>
      <c r="L374" s="340">
        <f t="shared" si="10"/>
        <v>16.670000000000002</v>
      </c>
      <c r="M374" s="308"/>
      <c r="N374" s="311"/>
      <c r="O374" s="312"/>
      <c r="P374" s="308"/>
      <c r="Q374" s="308"/>
      <c r="R374" s="392"/>
      <c r="S374" s="358">
        <f ca="1">IF(C374&lt;=EOMONTH('&gt;&gt;Vistas Consolidadas'!$D$2, '&gt;&gt;Vistas Consolidadas'!$F$2),J374+I374,J374)</f>
        <v>16.670000000000002</v>
      </c>
      <c r="T374" s="18" t="str">
        <f ca="1">IF(C374&gt;='&gt;&gt;Vistas Consolidadas'!$D$2,"SI","NO")</f>
        <v>SI</v>
      </c>
      <c r="U374" s="358">
        <f ca="1">IF(C374&lt;=EOMONTH('&gt;&gt;Vistas Consolidadas'!$D$2, '&gt;&gt;Vistas Consolidadas'!$F$2),I374,0)</f>
        <v>16.670000000000002</v>
      </c>
      <c r="V374" s="18" t="b">
        <f ca="1">AND(C374&gt;='Interes Por Semana'!$C$4, C374&lt;='Interes Por Semana'!$E$4)</f>
        <v>0</v>
      </c>
      <c r="W374" s="18" t="str">
        <f t="shared" si="11"/>
        <v>viernes</v>
      </c>
    </row>
    <row r="375" spans="2:23" hidden="1" x14ac:dyDescent="0.25">
      <c r="B375" s="337">
        <v>45356</v>
      </c>
      <c r="C375" s="337">
        <v>46402</v>
      </c>
      <c r="D375" s="374" t="s">
        <v>96</v>
      </c>
      <c r="E375" s="309" t="s">
        <v>47</v>
      </c>
      <c r="F375" s="310" t="s">
        <v>97</v>
      </c>
      <c r="G375" s="312">
        <v>6</v>
      </c>
      <c r="H375" s="308">
        <v>12</v>
      </c>
      <c r="I375" s="340">
        <v>108.33</v>
      </c>
      <c r="J375" s="340"/>
      <c r="K375" s="308"/>
      <c r="L375" s="340">
        <f t="shared" si="10"/>
        <v>108.33</v>
      </c>
      <c r="M375" s="308"/>
      <c r="N375" s="311"/>
      <c r="O375" s="312"/>
      <c r="P375" s="308"/>
      <c r="Q375" s="308"/>
      <c r="R375" s="392"/>
      <c r="S375" s="358">
        <f ca="1">IF(C375&lt;=EOMONTH('&gt;&gt;Vistas Consolidadas'!$D$2, '&gt;&gt;Vistas Consolidadas'!$F$2),J375+I375,J375)</f>
        <v>108.33</v>
      </c>
      <c r="T375" s="18" t="str">
        <f ca="1">IF(C375&gt;='&gt;&gt;Vistas Consolidadas'!$D$2,"SI","NO")</f>
        <v>SI</v>
      </c>
      <c r="U375" s="358">
        <f ca="1">IF(C375&lt;=EOMONTH('&gt;&gt;Vistas Consolidadas'!$D$2, '&gt;&gt;Vistas Consolidadas'!$F$2),I375,0)</f>
        <v>108.33</v>
      </c>
      <c r="V375" s="18" t="b">
        <f ca="1">AND(C375&gt;='Interes Por Semana'!$C$4, C375&lt;='Interes Por Semana'!$E$4)</f>
        <v>0</v>
      </c>
      <c r="W375" s="18" t="str">
        <f t="shared" si="11"/>
        <v>viernes</v>
      </c>
    </row>
    <row r="376" spans="2:23" hidden="1" x14ac:dyDescent="0.25">
      <c r="B376" s="337">
        <v>45006</v>
      </c>
      <c r="C376" s="337">
        <v>46402</v>
      </c>
      <c r="D376" s="374" t="s">
        <v>96</v>
      </c>
      <c r="E376" s="309" t="s">
        <v>46</v>
      </c>
      <c r="F376" s="310" t="s">
        <v>97</v>
      </c>
      <c r="G376" s="312">
        <v>6</v>
      </c>
      <c r="H376" s="308">
        <v>12</v>
      </c>
      <c r="I376" s="340">
        <v>62.5</v>
      </c>
      <c r="J376" s="340"/>
      <c r="K376" s="308"/>
      <c r="L376" s="340">
        <f t="shared" si="10"/>
        <v>62.5</v>
      </c>
      <c r="M376" s="308"/>
      <c r="N376" s="311"/>
      <c r="O376" s="312"/>
      <c r="P376" s="308"/>
      <c r="Q376" s="308"/>
      <c r="R376" s="392"/>
      <c r="S376" s="358">
        <f ca="1">IF(C376&lt;=EOMONTH('&gt;&gt;Vistas Consolidadas'!$D$2, '&gt;&gt;Vistas Consolidadas'!$F$2),J376+I376,J376)</f>
        <v>62.5</v>
      </c>
      <c r="T376" s="18" t="str">
        <f ca="1">IF(C376&gt;='&gt;&gt;Vistas Consolidadas'!$D$2,"SI","NO")</f>
        <v>SI</v>
      </c>
      <c r="U376" s="358">
        <f ca="1">IF(C376&lt;=EOMONTH('&gt;&gt;Vistas Consolidadas'!$D$2, '&gt;&gt;Vistas Consolidadas'!$F$2),I376,0)</f>
        <v>62.5</v>
      </c>
      <c r="V376" s="18" t="b">
        <f ca="1">AND(C376&gt;='Interes Por Semana'!$C$4, C376&lt;='Interes Por Semana'!$E$4)</f>
        <v>0</v>
      </c>
      <c r="W376" s="18" t="str">
        <f t="shared" si="11"/>
        <v>viernes</v>
      </c>
    </row>
    <row r="377" spans="2:23" hidden="1" x14ac:dyDescent="0.25">
      <c r="B377" s="337">
        <v>45397</v>
      </c>
      <c r="C377" s="337">
        <v>46402</v>
      </c>
      <c r="D377" s="374" t="s">
        <v>96</v>
      </c>
      <c r="E377" s="309" t="s">
        <v>47</v>
      </c>
      <c r="F377" s="310" t="s">
        <v>97</v>
      </c>
      <c r="G377" s="312">
        <v>6</v>
      </c>
      <c r="H377" s="308">
        <v>12</v>
      </c>
      <c r="I377" s="340">
        <v>54.16</v>
      </c>
      <c r="J377" s="340"/>
      <c r="K377" s="308"/>
      <c r="L377" s="340">
        <f t="shared" si="10"/>
        <v>54.16</v>
      </c>
      <c r="M377" s="308"/>
      <c r="N377" s="311"/>
      <c r="O377" s="312"/>
      <c r="P377" s="308"/>
      <c r="Q377" s="308"/>
      <c r="R377" s="392"/>
      <c r="S377" s="358">
        <f ca="1">IF(C377&lt;=EOMONTH('&gt;&gt;Vistas Consolidadas'!$D$2, '&gt;&gt;Vistas Consolidadas'!$F$2),J377+I377,J377)</f>
        <v>54.16</v>
      </c>
      <c r="T377" s="18" t="str">
        <f ca="1">IF(C377&gt;='&gt;&gt;Vistas Consolidadas'!$D$2,"SI","NO")</f>
        <v>SI</v>
      </c>
      <c r="U377" s="358">
        <f ca="1">IF(C377&lt;=EOMONTH('&gt;&gt;Vistas Consolidadas'!$D$2, '&gt;&gt;Vistas Consolidadas'!$F$2),I377,0)</f>
        <v>54.16</v>
      </c>
      <c r="V377" s="18" t="b">
        <f ca="1">AND(C377&gt;='Interes Por Semana'!$C$4, C377&lt;='Interes Por Semana'!$E$4)</f>
        <v>0</v>
      </c>
      <c r="W377" s="18" t="str">
        <f t="shared" si="11"/>
        <v>viernes</v>
      </c>
    </row>
    <row r="378" spans="2:23" hidden="1" x14ac:dyDescent="0.25">
      <c r="B378" s="337">
        <v>45397</v>
      </c>
      <c r="C378" s="337">
        <v>46402</v>
      </c>
      <c r="D378" s="374" t="s">
        <v>96</v>
      </c>
      <c r="E378" s="309" t="s">
        <v>46</v>
      </c>
      <c r="F378" s="310" t="s">
        <v>97</v>
      </c>
      <c r="G378" s="312">
        <v>6</v>
      </c>
      <c r="H378" s="308">
        <v>12</v>
      </c>
      <c r="I378" s="340">
        <v>62.5</v>
      </c>
      <c r="J378" s="340"/>
      <c r="K378" s="308"/>
      <c r="L378" s="340">
        <f t="shared" si="10"/>
        <v>62.5</v>
      </c>
      <c r="M378" s="308"/>
      <c r="N378" s="311"/>
      <c r="O378" s="312"/>
      <c r="P378" s="308"/>
      <c r="Q378" s="308"/>
      <c r="R378" s="392"/>
      <c r="S378" s="358">
        <f ca="1">IF(C378&lt;=EOMONTH('&gt;&gt;Vistas Consolidadas'!$D$2, '&gt;&gt;Vistas Consolidadas'!$F$2),J378+I378,J378)</f>
        <v>62.5</v>
      </c>
      <c r="T378" s="18" t="str">
        <f ca="1">IF(C378&gt;='&gt;&gt;Vistas Consolidadas'!$D$2,"SI","NO")</f>
        <v>SI</v>
      </c>
      <c r="U378" s="358">
        <f ca="1">IF(C378&lt;=EOMONTH('&gt;&gt;Vistas Consolidadas'!$D$2, '&gt;&gt;Vistas Consolidadas'!$F$2),I378,0)</f>
        <v>62.5</v>
      </c>
      <c r="V378" s="18" t="b">
        <f ca="1">AND(C378&gt;='Interes Por Semana'!$C$4, C378&lt;='Interes Por Semana'!$E$4)</f>
        <v>0</v>
      </c>
      <c r="W378" s="18" t="str">
        <f t="shared" si="11"/>
        <v>viernes</v>
      </c>
    </row>
    <row r="379" spans="2:23" hidden="1" x14ac:dyDescent="0.25">
      <c r="B379" s="337">
        <v>45398</v>
      </c>
      <c r="C379" s="337">
        <v>46402</v>
      </c>
      <c r="D379" s="374" t="s">
        <v>96</v>
      </c>
      <c r="E379" s="309" t="s">
        <v>47</v>
      </c>
      <c r="F379" s="310" t="s">
        <v>97</v>
      </c>
      <c r="G379" s="312">
        <v>6</v>
      </c>
      <c r="H379" s="308">
        <v>12</v>
      </c>
      <c r="I379" s="340">
        <v>16.670000000000002</v>
      </c>
      <c r="J379" s="340"/>
      <c r="K379" s="308"/>
      <c r="L379" s="340">
        <f t="shared" si="10"/>
        <v>16.670000000000002</v>
      </c>
      <c r="M379" s="308"/>
      <c r="N379" s="311"/>
      <c r="O379" s="312"/>
      <c r="P379" s="308"/>
      <c r="Q379" s="308"/>
      <c r="R379" s="392"/>
      <c r="S379" s="358">
        <f ca="1">IF(C379&lt;=EOMONTH('&gt;&gt;Vistas Consolidadas'!$D$2, '&gt;&gt;Vistas Consolidadas'!$F$2),J379+I379,J379)</f>
        <v>16.670000000000002</v>
      </c>
      <c r="T379" s="18" t="str">
        <f ca="1">IF(C379&gt;='&gt;&gt;Vistas Consolidadas'!$D$2,"SI","NO")</f>
        <v>SI</v>
      </c>
      <c r="U379" s="358">
        <f ca="1">IF(C379&lt;=EOMONTH('&gt;&gt;Vistas Consolidadas'!$D$2, '&gt;&gt;Vistas Consolidadas'!$F$2),I379,0)</f>
        <v>16.670000000000002</v>
      </c>
      <c r="V379" s="18" t="b">
        <f ca="1">AND(C379&gt;='Interes Por Semana'!$C$4, C379&lt;='Interes Por Semana'!$E$4)</f>
        <v>0</v>
      </c>
      <c r="W379" s="18" t="str">
        <f t="shared" si="11"/>
        <v>viernes</v>
      </c>
    </row>
    <row r="380" spans="2:23" hidden="1" x14ac:dyDescent="0.25">
      <c r="B380" s="337">
        <v>46105</v>
      </c>
      <c r="C380" s="337">
        <v>46402</v>
      </c>
      <c r="D380" s="374" t="s">
        <v>96</v>
      </c>
      <c r="E380" s="309" t="s">
        <v>47</v>
      </c>
      <c r="F380" s="310" t="s">
        <v>97</v>
      </c>
      <c r="G380" s="311">
        <v>6</v>
      </c>
      <c r="H380" s="311">
        <v>10</v>
      </c>
      <c r="I380" s="340">
        <v>16.670000000000002</v>
      </c>
      <c r="J380" s="340"/>
      <c r="K380" s="308"/>
      <c r="L380" s="340">
        <f t="shared" si="10"/>
        <v>16.670000000000002</v>
      </c>
      <c r="M380" s="311"/>
      <c r="N380" s="311"/>
      <c r="O380" s="311"/>
      <c r="P380" s="311"/>
      <c r="Q380" s="311"/>
      <c r="R380" s="392"/>
      <c r="S380" s="358">
        <f ca="1">IF(C380&lt;=EOMONTH('&gt;&gt;Vistas Consolidadas'!$D$2, '&gt;&gt;Vistas Consolidadas'!$F$2),J380+I380,J380)</f>
        <v>16.670000000000002</v>
      </c>
      <c r="T380" s="18" t="str">
        <f ca="1">IF(C380&gt;='&gt;&gt;Vistas Consolidadas'!$D$2,"SI","NO")</f>
        <v>SI</v>
      </c>
      <c r="U380" s="358">
        <f ca="1">IF(C380&lt;=EOMONTH('&gt;&gt;Vistas Consolidadas'!$D$2, '&gt;&gt;Vistas Consolidadas'!$F$2),I380,0)</f>
        <v>16.670000000000002</v>
      </c>
      <c r="V380" s="18" t="b">
        <f ca="1">AND(C380&gt;='Interes Por Semana'!$C$4, C380&lt;='Interes Por Semana'!$E$4)</f>
        <v>0</v>
      </c>
      <c r="W380" s="18" t="str">
        <f t="shared" si="11"/>
        <v>viernes</v>
      </c>
    </row>
    <row r="381" spans="2:23" hidden="1" x14ac:dyDescent="0.25">
      <c r="B381" s="337">
        <v>44462</v>
      </c>
      <c r="C381" s="337">
        <v>46404</v>
      </c>
      <c r="D381" s="374" t="s">
        <v>78</v>
      </c>
      <c r="E381" s="309" t="s">
        <v>46</v>
      </c>
      <c r="F381" s="310" t="s">
        <v>98</v>
      </c>
      <c r="G381" s="312">
        <v>5.64</v>
      </c>
      <c r="H381" s="308">
        <v>8.1999999999999993</v>
      </c>
      <c r="I381" s="340">
        <v>5.05</v>
      </c>
      <c r="J381" s="340"/>
      <c r="K381" s="308"/>
      <c r="L381" s="340">
        <f t="shared" si="10"/>
        <v>5.05</v>
      </c>
      <c r="M381" s="308"/>
      <c r="N381" s="311"/>
      <c r="O381" s="312"/>
      <c r="P381" s="308"/>
      <c r="Q381" s="308"/>
      <c r="R381" s="392"/>
      <c r="S381" s="358">
        <f ca="1">IF(C381&lt;=EOMONTH('&gt;&gt;Vistas Consolidadas'!$D$2, '&gt;&gt;Vistas Consolidadas'!$F$2),J381+I381,J381)</f>
        <v>5.05</v>
      </c>
      <c r="T381" s="18" t="str">
        <f ca="1">IF(C381&gt;='&gt;&gt;Vistas Consolidadas'!$D$2,"SI","NO")</f>
        <v>SI</v>
      </c>
      <c r="U381" s="358">
        <f ca="1">IF(C381&lt;=EOMONTH('&gt;&gt;Vistas Consolidadas'!$D$2, '&gt;&gt;Vistas Consolidadas'!$F$2),I381,0)</f>
        <v>5.05</v>
      </c>
      <c r="V381" s="18" t="b">
        <f ca="1">AND(C381&gt;='Interes Por Semana'!$C$4, C381&lt;='Interes Por Semana'!$E$4)</f>
        <v>0</v>
      </c>
      <c r="W381" s="18" t="str">
        <f t="shared" si="11"/>
        <v>domingo</v>
      </c>
    </row>
    <row r="382" spans="2:23" hidden="1" x14ac:dyDescent="0.25">
      <c r="B382" s="337">
        <v>45264</v>
      </c>
      <c r="C382" s="337">
        <v>46404</v>
      </c>
      <c r="D382" s="374" t="s">
        <v>78</v>
      </c>
      <c r="E382" s="309" t="s">
        <v>46</v>
      </c>
      <c r="F382" s="310" t="s">
        <v>99</v>
      </c>
      <c r="G382" s="312">
        <v>5.64</v>
      </c>
      <c r="H382" s="308">
        <v>13</v>
      </c>
      <c r="I382" s="340">
        <v>14.1</v>
      </c>
      <c r="J382" s="340"/>
      <c r="K382" s="308"/>
      <c r="L382" s="340">
        <f t="shared" si="10"/>
        <v>14.1</v>
      </c>
      <c r="M382" s="308"/>
      <c r="N382" s="311"/>
      <c r="O382" s="312"/>
      <c r="P382" s="308"/>
      <c r="Q382" s="308"/>
      <c r="R382" s="392"/>
      <c r="S382" s="358">
        <f ca="1">IF(C382&lt;=EOMONTH('&gt;&gt;Vistas Consolidadas'!$D$2, '&gt;&gt;Vistas Consolidadas'!$F$2),J382+I382,J382)</f>
        <v>14.1</v>
      </c>
      <c r="T382" s="18" t="str">
        <f ca="1">IF(C382&gt;='&gt;&gt;Vistas Consolidadas'!$D$2,"SI","NO")</f>
        <v>SI</v>
      </c>
      <c r="U382" s="358">
        <f ca="1">IF(C382&lt;=EOMONTH('&gt;&gt;Vistas Consolidadas'!$D$2, '&gt;&gt;Vistas Consolidadas'!$F$2),I382,0)</f>
        <v>14.1</v>
      </c>
      <c r="V382" s="18" t="b">
        <f ca="1">AND(C382&gt;='Interes Por Semana'!$C$4, C382&lt;='Interes Por Semana'!$E$4)</f>
        <v>0</v>
      </c>
      <c r="W382" s="18" t="str">
        <f t="shared" si="11"/>
        <v>domingo</v>
      </c>
    </row>
    <row r="383" spans="2:23" hidden="1" x14ac:dyDescent="0.25">
      <c r="B383" s="337">
        <v>45302</v>
      </c>
      <c r="C383" s="337">
        <v>46404</v>
      </c>
      <c r="D383" s="374" t="s">
        <v>78</v>
      </c>
      <c r="E383" s="309" t="s">
        <v>46</v>
      </c>
      <c r="F383" s="310" t="s">
        <v>99</v>
      </c>
      <c r="G383" s="312">
        <v>5.64</v>
      </c>
      <c r="H383" s="308">
        <v>12.75</v>
      </c>
      <c r="I383" s="340">
        <v>7.28</v>
      </c>
      <c r="J383" s="340"/>
      <c r="K383" s="308"/>
      <c r="L383" s="340">
        <f t="shared" si="10"/>
        <v>7.28</v>
      </c>
      <c r="M383" s="308"/>
      <c r="N383" s="311"/>
      <c r="O383" s="312"/>
      <c r="P383" s="308"/>
      <c r="Q383" s="308"/>
      <c r="R383" s="392"/>
      <c r="S383" s="358">
        <f ca="1">IF(C383&lt;=EOMONTH('&gt;&gt;Vistas Consolidadas'!$D$2, '&gt;&gt;Vistas Consolidadas'!$F$2),J383+I383,J383)</f>
        <v>7.28</v>
      </c>
      <c r="T383" s="18" t="str">
        <f ca="1">IF(C383&gt;='&gt;&gt;Vistas Consolidadas'!$D$2,"SI","NO")</f>
        <v>SI</v>
      </c>
      <c r="U383" s="358">
        <f ca="1">IF(C383&lt;=EOMONTH('&gt;&gt;Vistas Consolidadas'!$D$2, '&gt;&gt;Vistas Consolidadas'!$F$2),I383,0)</f>
        <v>7.28</v>
      </c>
      <c r="V383" s="18" t="b">
        <f ca="1">AND(C383&gt;='Interes Por Semana'!$C$4, C383&lt;='Interes Por Semana'!$E$4)</f>
        <v>0</v>
      </c>
      <c r="W383" s="18" t="str">
        <f t="shared" si="11"/>
        <v>domingo</v>
      </c>
    </row>
    <row r="384" spans="2:23" hidden="1" x14ac:dyDescent="0.25">
      <c r="B384" s="337">
        <v>46006</v>
      </c>
      <c r="C384" s="337">
        <v>46405</v>
      </c>
      <c r="D384" s="374" t="s">
        <v>78</v>
      </c>
      <c r="E384" s="309" t="s">
        <v>46</v>
      </c>
      <c r="F384" s="310" t="s">
        <v>100</v>
      </c>
      <c r="G384" s="312">
        <v>5.93</v>
      </c>
      <c r="H384" s="308">
        <v>8.5</v>
      </c>
      <c r="I384" s="340">
        <f>23.09-J384</f>
        <v>23.09</v>
      </c>
      <c r="J384" s="340"/>
      <c r="K384" s="308"/>
      <c r="L384" s="340">
        <f t="shared" si="10"/>
        <v>23.09</v>
      </c>
      <c r="M384" s="308"/>
      <c r="N384" s="311"/>
      <c r="O384" s="312"/>
      <c r="P384" s="308"/>
      <c r="Q384" s="308"/>
      <c r="R384" s="392"/>
      <c r="S384" s="358">
        <f ca="1">IF(C384&lt;=EOMONTH('&gt;&gt;Vistas Consolidadas'!$D$2, '&gt;&gt;Vistas Consolidadas'!$F$2),J384+I384,J384)</f>
        <v>23.09</v>
      </c>
      <c r="T384" s="18" t="str">
        <f ca="1">IF(C384&gt;='&gt;&gt;Vistas Consolidadas'!$D$2,"SI","NO")</f>
        <v>SI</v>
      </c>
      <c r="U384" s="358">
        <f ca="1">IF(C384&lt;=EOMONTH('&gt;&gt;Vistas Consolidadas'!$D$2, '&gt;&gt;Vistas Consolidadas'!$F$2),I384,0)</f>
        <v>23.09</v>
      </c>
      <c r="V384" s="18" t="b">
        <f ca="1">AND(C384&gt;='Interes Por Semana'!$C$4, C384&lt;='Interes Por Semana'!$E$4)</f>
        <v>0</v>
      </c>
      <c r="W384" s="18" t="str">
        <f t="shared" si="11"/>
        <v>lunes</v>
      </c>
    </row>
    <row r="385" spans="2:23" hidden="1" x14ac:dyDescent="0.25">
      <c r="B385" s="337">
        <v>45734</v>
      </c>
      <c r="C385" s="337">
        <v>46405</v>
      </c>
      <c r="D385" s="374" t="s">
        <v>78</v>
      </c>
      <c r="E385" s="309" t="s">
        <v>47</v>
      </c>
      <c r="F385" s="310" t="s">
        <v>101</v>
      </c>
      <c r="G385" s="312">
        <v>5.93</v>
      </c>
      <c r="H385" s="308">
        <v>12</v>
      </c>
      <c r="I385" s="340">
        <f>8.94</f>
        <v>8.94</v>
      </c>
      <c r="J385" s="340"/>
      <c r="K385" s="308"/>
      <c r="L385" s="340">
        <f t="shared" si="10"/>
        <v>8.94</v>
      </c>
      <c r="M385" s="308"/>
      <c r="N385" s="311"/>
      <c r="O385" s="312"/>
      <c r="P385" s="308"/>
      <c r="Q385" s="308"/>
      <c r="R385" s="392"/>
      <c r="S385" s="358">
        <f ca="1">IF(C385&lt;=EOMONTH('&gt;&gt;Vistas Consolidadas'!$D$2, '&gt;&gt;Vistas Consolidadas'!$F$2),J385+I385,J385)</f>
        <v>8.94</v>
      </c>
      <c r="T385" s="18" t="str">
        <f ca="1">IF(C385&gt;='&gt;&gt;Vistas Consolidadas'!$D$2,"SI","NO")</f>
        <v>SI</v>
      </c>
      <c r="U385" s="358">
        <f ca="1">IF(C385&lt;=EOMONTH('&gt;&gt;Vistas Consolidadas'!$D$2, '&gt;&gt;Vistas Consolidadas'!$F$2),I385,0)</f>
        <v>8.94</v>
      </c>
      <c r="V385" s="18" t="b">
        <f ca="1">AND(C385&gt;='Interes Por Semana'!$C$4, C385&lt;='Interes Por Semana'!$E$4)</f>
        <v>0</v>
      </c>
      <c r="W385" s="18" t="str">
        <f t="shared" si="11"/>
        <v>lunes</v>
      </c>
    </row>
    <row r="386" spans="2:23" hidden="1" x14ac:dyDescent="0.25">
      <c r="B386" s="337">
        <v>45264</v>
      </c>
      <c r="C386" s="337">
        <v>46408</v>
      </c>
      <c r="D386" s="374" t="s">
        <v>78</v>
      </c>
      <c r="E386" s="309" t="s">
        <v>46</v>
      </c>
      <c r="F386" s="310" t="s">
        <v>103</v>
      </c>
      <c r="G386" s="312">
        <v>5.36</v>
      </c>
      <c r="H386" s="308">
        <v>13</v>
      </c>
      <c r="I386" s="340">
        <v>5.58</v>
      </c>
      <c r="J386" s="340"/>
      <c r="K386" s="308"/>
      <c r="L386" s="340">
        <f t="shared" si="10"/>
        <v>5.58</v>
      </c>
      <c r="M386" s="308"/>
      <c r="N386" s="311"/>
      <c r="O386" s="312"/>
      <c r="P386" s="308"/>
      <c r="Q386" s="308"/>
      <c r="R386" s="392"/>
      <c r="S386" s="358">
        <f ca="1">IF(C386&lt;=EOMONTH('&gt;&gt;Vistas Consolidadas'!$D$2, '&gt;&gt;Vistas Consolidadas'!$F$2),J386+I386,J386)</f>
        <v>5.58</v>
      </c>
      <c r="T386" s="18" t="str">
        <f ca="1">IF(C386&gt;='&gt;&gt;Vistas Consolidadas'!$D$2,"SI","NO")</f>
        <v>SI</v>
      </c>
      <c r="U386" s="358">
        <f ca="1">IF(C386&lt;=EOMONTH('&gt;&gt;Vistas Consolidadas'!$D$2, '&gt;&gt;Vistas Consolidadas'!$F$2),I386,0)</f>
        <v>5.58</v>
      </c>
      <c r="V386" s="18" t="b">
        <f ca="1">AND(C386&gt;='Interes Por Semana'!$C$4, C386&lt;='Interes Por Semana'!$E$4)</f>
        <v>0</v>
      </c>
      <c r="W386" s="18" t="str">
        <f t="shared" si="11"/>
        <v>jueves</v>
      </c>
    </row>
    <row r="387" spans="2:23" hidden="1" x14ac:dyDescent="0.25">
      <c r="B387" s="337">
        <v>45279</v>
      </c>
      <c r="C387" s="337">
        <v>46408</v>
      </c>
      <c r="D387" s="374" t="s">
        <v>78</v>
      </c>
      <c r="E387" s="309" t="s">
        <v>46</v>
      </c>
      <c r="F387" s="310" t="s">
        <v>103</v>
      </c>
      <c r="G387" s="312">
        <v>5.36</v>
      </c>
      <c r="H387" s="308">
        <v>13</v>
      </c>
      <c r="I387" s="340">
        <v>3.13</v>
      </c>
      <c r="J387" s="340"/>
      <c r="K387" s="308"/>
      <c r="L387" s="340">
        <f t="shared" ref="L387:L450" si="12">I387</f>
        <v>3.13</v>
      </c>
      <c r="M387" s="308"/>
      <c r="N387" s="311"/>
      <c r="O387" s="312"/>
      <c r="P387" s="308"/>
      <c r="Q387" s="308"/>
      <c r="R387" s="392"/>
      <c r="S387" s="358">
        <f ca="1">IF(C387&lt;=EOMONTH('&gt;&gt;Vistas Consolidadas'!$D$2, '&gt;&gt;Vistas Consolidadas'!$F$2),J387+I387,J387)</f>
        <v>3.13</v>
      </c>
      <c r="T387" s="18" t="str">
        <f ca="1">IF(C387&gt;='&gt;&gt;Vistas Consolidadas'!$D$2,"SI","NO")</f>
        <v>SI</v>
      </c>
      <c r="U387" s="358">
        <f ca="1">IF(C387&lt;=EOMONTH('&gt;&gt;Vistas Consolidadas'!$D$2, '&gt;&gt;Vistas Consolidadas'!$F$2),I387,0)</f>
        <v>3.13</v>
      </c>
      <c r="V387" s="18" t="b">
        <f ca="1">AND(C387&gt;='Interes Por Semana'!$C$4, C387&lt;='Interes Por Semana'!$E$4)</f>
        <v>0</v>
      </c>
      <c r="W387" s="18" t="str">
        <f t="shared" ref="W387:W450" si="13">TEXT(C387, "dddd")</f>
        <v>jueves</v>
      </c>
    </row>
    <row r="388" spans="2:23" hidden="1" x14ac:dyDescent="0.25">
      <c r="B388" s="337">
        <v>45552</v>
      </c>
      <c r="C388" s="337">
        <v>46408</v>
      </c>
      <c r="D388" s="374" t="s">
        <v>78</v>
      </c>
      <c r="E388" s="309" t="s">
        <v>47</v>
      </c>
      <c r="F388" s="310" t="s">
        <v>103</v>
      </c>
      <c r="G388" s="312">
        <v>5.36</v>
      </c>
      <c r="H388" s="308">
        <v>13.75</v>
      </c>
      <c r="I388" s="340">
        <f>4.47</f>
        <v>4.47</v>
      </c>
      <c r="J388" s="340"/>
      <c r="K388" s="308"/>
      <c r="L388" s="340">
        <f t="shared" si="12"/>
        <v>4.47</v>
      </c>
      <c r="M388" s="308"/>
      <c r="N388" s="311"/>
      <c r="O388" s="312"/>
      <c r="P388" s="308"/>
      <c r="Q388" s="308"/>
      <c r="R388" s="392"/>
      <c r="S388" s="358">
        <f ca="1">IF(C388&lt;=EOMONTH('&gt;&gt;Vistas Consolidadas'!$D$2, '&gt;&gt;Vistas Consolidadas'!$F$2),J388+I388,J388)</f>
        <v>4.47</v>
      </c>
      <c r="T388" s="18" t="str">
        <f ca="1">IF(C388&gt;='&gt;&gt;Vistas Consolidadas'!$D$2,"SI","NO")</f>
        <v>SI</v>
      </c>
      <c r="U388" s="358">
        <f ca="1">IF(C388&lt;=EOMONTH('&gt;&gt;Vistas Consolidadas'!$D$2, '&gt;&gt;Vistas Consolidadas'!$F$2),I388,0)</f>
        <v>4.47</v>
      </c>
      <c r="V388" s="18" t="b">
        <f ca="1">AND(C388&gt;='Interes Por Semana'!$C$4, C388&lt;='Interes Por Semana'!$E$4)</f>
        <v>0</v>
      </c>
      <c r="W388" s="18" t="str">
        <f t="shared" si="13"/>
        <v>jueves</v>
      </c>
    </row>
    <row r="389" spans="2:23" hidden="1" x14ac:dyDescent="0.25">
      <c r="B389" s="337">
        <v>45447</v>
      </c>
      <c r="C389" s="337">
        <v>46411</v>
      </c>
      <c r="D389" s="374" t="s">
        <v>78</v>
      </c>
      <c r="E389" s="309" t="s">
        <v>47</v>
      </c>
      <c r="F389" s="310" t="s">
        <v>105</v>
      </c>
      <c r="G389" s="312">
        <v>5.93</v>
      </c>
      <c r="H389" s="308">
        <v>13.25</v>
      </c>
      <c r="I389" s="340">
        <f>29.65</f>
        <v>29.65</v>
      </c>
      <c r="J389" s="340"/>
      <c r="K389" s="308"/>
      <c r="L389" s="340">
        <f t="shared" si="12"/>
        <v>29.65</v>
      </c>
      <c r="M389" s="308"/>
      <c r="N389" s="311"/>
      <c r="O389" s="312"/>
      <c r="P389" s="308"/>
      <c r="Q389" s="308"/>
      <c r="R389" s="392"/>
      <c r="S389" s="358">
        <f ca="1">IF(C389&lt;=EOMONTH('&gt;&gt;Vistas Consolidadas'!$D$2, '&gt;&gt;Vistas Consolidadas'!$F$2),J389+I389,J389)</f>
        <v>29.65</v>
      </c>
      <c r="T389" s="18" t="str">
        <f ca="1">IF(C389&gt;='&gt;&gt;Vistas Consolidadas'!$D$2,"SI","NO")</f>
        <v>SI</v>
      </c>
      <c r="U389" s="358">
        <f ca="1">IF(C389&lt;=EOMONTH('&gt;&gt;Vistas Consolidadas'!$D$2, '&gt;&gt;Vistas Consolidadas'!$F$2),I389,0)</f>
        <v>29.65</v>
      </c>
      <c r="V389" s="18" t="b">
        <f ca="1">AND(C389&gt;='Interes Por Semana'!$C$4, C389&lt;='Interes Por Semana'!$E$4)</f>
        <v>0</v>
      </c>
      <c r="W389" s="18" t="str">
        <f t="shared" si="13"/>
        <v>domingo</v>
      </c>
    </row>
    <row r="390" spans="2:23" hidden="1" x14ac:dyDescent="0.25">
      <c r="B390" s="337">
        <v>45832</v>
      </c>
      <c r="C390" s="337">
        <v>46412</v>
      </c>
      <c r="D390" s="374" t="s">
        <v>78</v>
      </c>
      <c r="E390" s="309" t="s">
        <v>47</v>
      </c>
      <c r="F390" s="310" t="s">
        <v>106</v>
      </c>
      <c r="G390" s="312">
        <v>5.93</v>
      </c>
      <c r="H390" s="308">
        <v>11</v>
      </c>
      <c r="I390" s="340">
        <f>22.41</f>
        <v>22.41</v>
      </c>
      <c r="J390" s="340"/>
      <c r="K390" s="308"/>
      <c r="L390" s="340">
        <f t="shared" si="12"/>
        <v>22.41</v>
      </c>
      <c r="M390" s="308"/>
      <c r="N390" s="311"/>
      <c r="O390" s="312"/>
      <c r="P390" s="308"/>
      <c r="Q390" s="308"/>
      <c r="R390" s="392"/>
      <c r="S390" s="358">
        <f ca="1">IF(C390&lt;=EOMONTH('&gt;&gt;Vistas Consolidadas'!$D$2, '&gt;&gt;Vistas Consolidadas'!$F$2),J390+I390,J390)</f>
        <v>22.41</v>
      </c>
      <c r="T390" s="18" t="str">
        <f ca="1">IF(C390&gt;='&gt;&gt;Vistas Consolidadas'!$D$2,"SI","NO")</f>
        <v>SI</v>
      </c>
      <c r="U390" s="358">
        <f ca="1">IF(C390&lt;=EOMONTH('&gt;&gt;Vistas Consolidadas'!$D$2, '&gt;&gt;Vistas Consolidadas'!$F$2),I390,0)</f>
        <v>22.41</v>
      </c>
      <c r="V390" s="18" t="b">
        <f ca="1">AND(C390&gt;='Interes Por Semana'!$C$4, C390&lt;='Interes Por Semana'!$E$4)</f>
        <v>0</v>
      </c>
      <c r="W390" s="18" t="str">
        <f t="shared" si="13"/>
        <v>lunes</v>
      </c>
    </row>
    <row r="391" spans="2:23" hidden="1" x14ac:dyDescent="0.25">
      <c r="B391" s="337">
        <v>45889</v>
      </c>
      <c r="C391" s="337">
        <v>46412</v>
      </c>
      <c r="D391" s="374" t="s">
        <v>78</v>
      </c>
      <c r="E391" s="309" t="s">
        <v>47</v>
      </c>
      <c r="F391" s="310" t="s">
        <v>106</v>
      </c>
      <c r="G391" s="312">
        <v>6.21</v>
      </c>
      <c r="H391" s="308">
        <v>9.75</v>
      </c>
      <c r="I391" s="340">
        <v>4.5</v>
      </c>
      <c r="J391" s="340"/>
      <c r="K391" s="308"/>
      <c r="L391" s="340">
        <f t="shared" si="12"/>
        <v>4.5</v>
      </c>
      <c r="M391" s="308"/>
      <c r="N391" s="311"/>
      <c r="O391" s="312"/>
      <c r="P391" s="308"/>
      <c r="Q391" s="308"/>
      <c r="R391" s="392"/>
      <c r="S391" s="358">
        <f ca="1">IF(C391&lt;=EOMONTH('&gt;&gt;Vistas Consolidadas'!$D$2, '&gt;&gt;Vistas Consolidadas'!$F$2),J391+I391,J391)</f>
        <v>4.5</v>
      </c>
      <c r="T391" s="18" t="str">
        <f ca="1">IF(C391&gt;='&gt;&gt;Vistas Consolidadas'!$D$2,"SI","NO")</f>
        <v>SI</v>
      </c>
      <c r="U391" s="358">
        <f ca="1">IF(C391&lt;=EOMONTH('&gt;&gt;Vistas Consolidadas'!$D$2, '&gt;&gt;Vistas Consolidadas'!$F$2),I391,0)</f>
        <v>4.5</v>
      </c>
      <c r="V391" s="18" t="b">
        <f ca="1">AND(C391&gt;='Interes Por Semana'!$C$4, C391&lt;='Interes Por Semana'!$E$4)</f>
        <v>0</v>
      </c>
      <c r="W391" s="18" t="str">
        <f t="shared" si="13"/>
        <v>lunes</v>
      </c>
    </row>
    <row r="392" spans="2:23" hidden="1" x14ac:dyDescent="0.25">
      <c r="B392" s="337">
        <v>45889</v>
      </c>
      <c r="C392" s="337">
        <v>46412</v>
      </c>
      <c r="D392" s="374" t="s">
        <v>78</v>
      </c>
      <c r="E392" s="309" t="s">
        <v>46</v>
      </c>
      <c r="F392" s="310" t="s">
        <v>106</v>
      </c>
      <c r="G392" s="312">
        <v>6.21</v>
      </c>
      <c r="H392" s="308">
        <v>10.75</v>
      </c>
      <c r="I392" s="340">
        <v>25.88</v>
      </c>
      <c r="J392" s="340"/>
      <c r="K392" s="308"/>
      <c r="L392" s="340">
        <f t="shared" si="12"/>
        <v>25.88</v>
      </c>
      <c r="M392" s="308"/>
      <c r="N392" s="311"/>
      <c r="O392" s="312"/>
      <c r="P392" s="308"/>
      <c r="Q392" s="308"/>
      <c r="R392" s="392"/>
      <c r="S392" s="358">
        <f ca="1">IF(C392&lt;=EOMONTH('&gt;&gt;Vistas Consolidadas'!$D$2, '&gt;&gt;Vistas Consolidadas'!$F$2),J392+I392,J392)</f>
        <v>25.88</v>
      </c>
      <c r="T392" s="18" t="str">
        <f ca="1">IF(C392&gt;='&gt;&gt;Vistas Consolidadas'!$D$2,"SI","NO")</f>
        <v>SI</v>
      </c>
      <c r="U392" s="358">
        <f ca="1">IF(C392&lt;=EOMONTH('&gt;&gt;Vistas Consolidadas'!$D$2, '&gt;&gt;Vistas Consolidadas'!$F$2),I392,0)</f>
        <v>25.88</v>
      </c>
      <c r="V392" s="18" t="b">
        <f ca="1">AND(C392&gt;='Interes Por Semana'!$C$4, C392&lt;='Interes Por Semana'!$E$4)</f>
        <v>0</v>
      </c>
      <c r="W392" s="18" t="str">
        <f t="shared" si="13"/>
        <v>lunes</v>
      </c>
    </row>
    <row r="393" spans="2:23" hidden="1" x14ac:dyDescent="0.25">
      <c r="B393" s="337">
        <v>45593</v>
      </c>
      <c r="C393" s="337">
        <v>46413</v>
      </c>
      <c r="D393" s="374" t="s">
        <v>78</v>
      </c>
      <c r="E393" s="309" t="s">
        <v>47</v>
      </c>
      <c r="F393" s="310" t="s">
        <v>107</v>
      </c>
      <c r="G393" s="312">
        <v>5.07</v>
      </c>
      <c r="H393" s="308">
        <v>13</v>
      </c>
      <c r="I393" s="340">
        <f>11.41</f>
        <v>11.41</v>
      </c>
      <c r="J393" s="340"/>
      <c r="K393" s="308"/>
      <c r="L393" s="340">
        <f t="shared" si="12"/>
        <v>11.41</v>
      </c>
      <c r="M393" s="308"/>
      <c r="N393" s="311"/>
      <c r="O393" s="312"/>
      <c r="P393" s="308"/>
      <c r="Q393" s="308"/>
      <c r="R393" s="392"/>
      <c r="S393" s="358">
        <f ca="1">IF(C393&lt;=EOMONTH('&gt;&gt;Vistas Consolidadas'!$D$2, '&gt;&gt;Vistas Consolidadas'!$F$2),J393+I393,J393)</f>
        <v>11.41</v>
      </c>
      <c r="T393" s="18" t="str">
        <f ca="1">IF(C393&gt;='&gt;&gt;Vistas Consolidadas'!$D$2,"SI","NO")</f>
        <v>SI</v>
      </c>
      <c r="U393" s="358">
        <f ca="1">IF(C393&lt;=EOMONTH('&gt;&gt;Vistas Consolidadas'!$D$2, '&gt;&gt;Vistas Consolidadas'!$F$2),I393,0)</f>
        <v>11.41</v>
      </c>
      <c r="V393" s="18" t="b">
        <f ca="1">AND(C393&gt;='Interes Por Semana'!$C$4, C393&lt;='Interes Por Semana'!$E$4)</f>
        <v>0</v>
      </c>
      <c r="W393" s="18" t="str">
        <f t="shared" si="13"/>
        <v>martes</v>
      </c>
    </row>
    <row r="394" spans="2:23" hidden="1" x14ac:dyDescent="0.25">
      <c r="B394" s="337">
        <v>44830</v>
      </c>
      <c r="C394" s="337">
        <v>46414</v>
      </c>
      <c r="D394" s="374" t="s">
        <v>78</v>
      </c>
      <c r="E394" s="309" t="s">
        <v>47</v>
      </c>
      <c r="F394" s="310" t="s">
        <v>108</v>
      </c>
      <c r="G394" s="312">
        <v>5.64</v>
      </c>
      <c r="H394" s="308">
        <v>10.199999999999999</v>
      </c>
      <c r="I394" s="340">
        <v>9.4</v>
      </c>
      <c r="J394" s="340"/>
      <c r="K394" s="308"/>
      <c r="L394" s="340">
        <f t="shared" si="12"/>
        <v>9.4</v>
      </c>
      <c r="M394" s="308"/>
      <c r="N394" s="311"/>
      <c r="O394" s="312"/>
      <c r="P394" s="308"/>
      <c r="Q394" s="308"/>
      <c r="R394" s="392"/>
      <c r="S394" s="358">
        <f ca="1">IF(C394&lt;=EOMONTH('&gt;&gt;Vistas Consolidadas'!$D$2, '&gt;&gt;Vistas Consolidadas'!$F$2),J394+I394,J394)</f>
        <v>9.4</v>
      </c>
      <c r="T394" s="18" t="str">
        <f ca="1">IF(C394&gt;='&gt;&gt;Vistas Consolidadas'!$D$2,"SI","NO")</f>
        <v>SI</v>
      </c>
      <c r="U394" s="358">
        <f ca="1">IF(C394&lt;=EOMONTH('&gt;&gt;Vistas Consolidadas'!$D$2, '&gt;&gt;Vistas Consolidadas'!$F$2),I394,0)</f>
        <v>9.4</v>
      </c>
      <c r="V394" s="18" t="b">
        <f ca="1">AND(C394&gt;='Interes Por Semana'!$C$4, C394&lt;='Interes Por Semana'!$E$4)</f>
        <v>0</v>
      </c>
      <c r="W394" s="18" t="str">
        <f t="shared" si="13"/>
        <v>miércoles</v>
      </c>
    </row>
    <row r="395" spans="2:23" hidden="1" x14ac:dyDescent="0.25">
      <c r="B395" s="337">
        <v>46057</v>
      </c>
      <c r="C395" s="337">
        <v>46414</v>
      </c>
      <c r="D395" s="374" t="s">
        <v>78</v>
      </c>
      <c r="E395" s="309" t="s">
        <v>47</v>
      </c>
      <c r="F395" s="310" t="s">
        <v>109</v>
      </c>
      <c r="G395" s="312">
        <v>6.21</v>
      </c>
      <c r="H395" s="308">
        <v>11</v>
      </c>
      <c r="I395" s="340">
        <v>15.61</v>
      </c>
      <c r="J395" s="340"/>
      <c r="K395" s="308"/>
      <c r="L395" s="340">
        <f t="shared" si="12"/>
        <v>15.61</v>
      </c>
      <c r="M395" s="308"/>
      <c r="N395" s="311"/>
      <c r="O395" s="312"/>
      <c r="P395" s="308"/>
      <c r="Q395" s="308"/>
      <c r="R395" s="392"/>
      <c r="S395" s="358">
        <f ca="1">IF(C395&lt;=EOMONTH('&gt;&gt;Vistas Consolidadas'!$D$2, '&gt;&gt;Vistas Consolidadas'!$F$2),J395+I395,J395)</f>
        <v>15.61</v>
      </c>
      <c r="T395" s="18" t="str">
        <f ca="1">IF(C395&gt;='&gt;&gt;Vistas Consolidadas'!$D$2,"SI","NO")</f>
        <v>SI</v>
      </c>
      <c r="U395" s="358">
        <f ca="1">IF(C395&lt;=EOMONTH('&gt;&gt;Vistas Consolidadas'!$D$2, '&gt;&gt;Vistas Consolidadas'!$F$2),I395,0)</f>
        <v>15.61</v>
      </c>
      <c r="V395" s="18" t="b">
        <f ca="1">AND(C395&gt;='Interes Por Semana'!$C$4, C395&lt;='Interes Por Semana'!$E$4)</f>
        <v>0</v>
      </c>
      <c r="W395" s="18" t="str">
        <f t="shared" si="13"/>
        <v>miércoles</v>
      </c>
    </row>
    <row r="396" spans="2:23" hidden="1" x14ac:dyDescent="0.25">
      <c r="B396" s="337">
        <v>46080</v>
      </c>
      <c r="C396" s="337">
        <v>46414</v>
      </c>
      <c r="D396" s="374" t="s">
        <v>78</v>
      </c>
      <c r="E396" s="309" t="s">
        <v>46</v>
      </c>
      <c r="F396" s="310" t="s">
        <v>110</v>
      </c>
      <c r="G396" s="312">
        <v>6.21</v>
      </c>
      <c r="H396" s="308">
        <v>10.6</v>
      </c>
      <c r="I396" s="340">
        <v>17.79</v>
      </c>
      <c r="J396" s="340"/>
      <c r="K396" s="308"/>
      <c r="L396" s="340">
        <f t="shared" si="12"/>
        <v>17.79</v>
      </c>
      <c r="M396" s="308"/>
      <c r="N396" s="311"/>
      <c r="O396" s="312"/>
      <c r="P396" s="308"/>
      <c r="Q396" s="308"/>
      <c r="R396" s="392"/>
      <c r="S396" s="358">
        <f ca="1">IF(C396&lt;=EOMONTH('&gt;&gt;Vistas Consolidadas'!$D$2, '&gt;&gt;Vistas Consolidadas'!$F$2),J396+I396,J396)</f>
        <v>17.79</v>
      </c>
      <c r="T396" s="18" t="str">
        <f ca="1">IF(C396&gt;='&gt;&gt;Vistas Consolidadas'!$D$2,"SI","NO")</f>
        <v>SI</v>
      </c>
      <c r="U396" s="358">
        <f ca="1">IF(C396&lt;=EOMONTH('&gt;&gt;Vistas Consolidadas'!$D$2, '&gt;&gt;Vistas Consolidadas'!$F$2),I396,0)</f>
        <v>17.79</v>
      </c>
      <c r="V396" s="18" t="b">
        <f ca="1">AND(C396&gt;='Interes Por Semana'!$C$4, C396&lt;='Interes Por Semana'!$E$4)</f>
        <v>0</v>
      </c>
      <c r="W396" s="18" t="str">
        <f t="shared" si="13"/>
        <v>miércoles</v>
      </c>
    </row>
    <row r="397" spans="2:23" hidden="1" x14ac:dyDescent="0.25">
      <c r="B397" s="337">
        <v>45987</v>
      </c>
      <c r="C397" s="337">
        <v>46415</v>
      </c>
      <c r="D397" s="374" t="s">
        <v>78</v>
      </c>
      <c r="E397" s="309" t="s">
        <v>46</v>
      </c>
      <c r="F397" s="310" t="s">
        <v>111</v>
      </c>
      <c r="G397" s="312">
        <v>6.82</v>
      </c>
      <c r="H397" s="308">
        <v>11</v>
      </c>
      <c r="I397" s="340">
        <v>6.82</v>
      </c>
      <c r="J397" s="340">
        <v>0</v>
      </c>
      <c r="K397" s="308"/>
      <c r="L397" s="340">
        <f t="shared" si="12"/>
        <v>6.82</v>
      </c>
      <c r="M397" s="308"/>
      <c r="N397" s="311"/>
      <c r="O397" s="312"/>
      <c r="P397" s="308"/>
      <c r="Q397" s="308"/>
      <c r="R397" s="392"/>
      <c r="S397" s="358">
        <f ca="1">IF(C397&lt;=EOMONTH('&gt;&gt;Vistas Consolidadas'!$D$2, '&gt;&gt;Vistas Consolidadas'!$F$2),J397+I397,J397)</f>
        <v>6.82</v>
      </c>
      <c r="T397" s="18" t="str">
        <f ca="1">IF(C397&gt;='&gt;&gt;Vistas Consolidadas'!$D$2,"SI","NO")</f>
        <v>SI</v>
      </c>
      <c r="U397" s="358">
        <f ca="1">IF(C397&lt;=EOMONTH('&gt;&gt;Vistas Consolidadas'!$D$2, '&gt;&gt;Vistas Consolidadas'!$F$2),I397,0)</f>
        <v>6.82</v>
      </c>
      <c r="V397" s="18" t="b">
        <f ca="1">AND(C397&gt;='Interes Por Semana'!$C$4, C397&lt;='Interes Por Semana'!$E$4)</f>
        <v>0</v>
      </c>
      <c r="W397" s="18" t="str">
        <f t="shared" si="13"/>
        <v>jueves</v>
      </c>
    </row>
    <row r="398" spans="2:23" hidden="1" x14ac:dyDescent="0.25">
      <c r="B398" s="337">
        <v>45748</v>
      </c>
      <c r="C398" s="337">
        <v>46423</v>
      </c>
      <c r="D398" s="374" t="s">
        <v>88</v>
      </c>
      <c r="E398" s="309" t="s">
        <v>47</v>
      </c>
      <c r="F398" s="310" t="s">
        <v>113</v>
      </c>
      <c r="G398" s="311">
        <v>9</v>
      </c>
      <c r="H398" s="311">
        <v>11.5</v>
      </c>
      <c r="I398" s="340">
        <v>25.8</v>
      </c>
      <c r="J398" s="340">
        <v>229.08</v>
      </c>
      <c r="K398" s="308"/>
      <c r="L398" s="340">
        <f t="shared" si="12"/>
        <v>25.8</v>
      </c>
      <c r="M398" s="308"/>
      <c r="N398" s="311"/>
      <c r="O398" s="312"/>
      <c r="P398" s="308"/>
      <c r="Q398" s="308"/>
      <c r="R398" s="392"/>
      <c r="S398" s="358">
        <f ca="1">IF(C398&lt;=EOMONTH('&gt;&gt;Vistas Consolidadas'!$D$2, '&gt;&gt;Vistas Consolidadas'!$F$2),J398+I398,J398)</f>
        <v>254.88000000000002</v>
      </c>
      <c r="T398" s="18" t="str">
        <f ca="1">IF(C398&gt;='&gt;&gt;Vistas Consolidadas'!$D$2,"SI","NO")</f>
        <v>SI</v>
      </c>
      <c r="U398" s="358">
        <f ca="1">IF(C398&lt;=EOMONTH('&gt;&gt;Vistas Consolidadas'!$D$2, '&gt;&gt;Vistas Consolidadas'!$F$2),I398,0)</f>
        <v>25.8</v>
      </c>
      <c r="V398" s="18" t="b">
        <f ca="1">AND(C398&gt;='Interes Por Semana'!$C$4, C398&lt;='Interes Por Semana'!$E$4)</f>
        <v>0</v>
      </c>
      <c r="W398" s="18" t="str">
        <f t="shared" si="13"/>
        <v>viernes</v>
      </c>
    </row>
    <row r="399" spans="2:23" hidden="1" x14ac:dyDescent="0.25">
      <c r="B399" s="337">
        <v>45754</v>
      </c>
      <c r="C399" s="337">
        <v>46423</v>
      </c>
      <c r="D399" s="374" t="s">
        <v>88</v>
      </c>
      <c r="E399" s="309" t="s">
        <v>47</v>
      </c>
      <c r="F399" s="310" t="s">
        <v>113</v>
      </c>
      <c r="G399" s="311">
        <v>9</v>
      </c>
      <c r="H399" s="311">
        <v>11.5</v>
      </c>
      <c r="I399" s="340">
        <v>36.909999999999997</v>
      </c>
      <c r="J399" s="340">
        <v>255.04</v>
      </c>
      <c r="K399" s="308"/>
      <c r="L399" s="340">
        <f t="shared" si="12"/>
        <v>36.909999999999997</v>
      </c>
      <c r="M399" s="308"/>
      <c r="N399" s="311"/>
      <c r="O399" s="312"/>
      <c r="P399" s="308"/>
      <c r="Q399" s="308"/>
      <c r="R399" s="392"/>
      <c r="S399" s="358">
        <f ca="1">IF(C399&lt;=EOMONTH('&gt;&gt;Vistas Consolidadas'!$D$2, '&gt;&gt;Vistas Consolidadas'!$F$2),J399+I399,J399)</f>
        <v>291.95</v>
      </c>
      <c r="T399" s="18" t="str">
        <f ca="1">IF(C399&gt;='&gt;&gt;Vistas Consolidadas'!$D$2,"SI","NO")</f>
        <v>SI</v>
      </c>
      <c r="U399" s="358">
        <f ca="1">IF(C399&lt;=EOMONTH('&gt;&gt;Vistas Consolidadas'!$D$2, '&gt;&gt;Vistas Consolidadas'!$F$2),I399,0)</f>
        <v>36.909999999999997</v>
      </c>
      <c r="V399" s="18" t="b">
        <f ca="1">AND(C399&gt;='Interes Por Semana'!$C$4, C399&lt;='Interes Por Semana'!$E$4)</f>
        <v>0</v>
      </c>
      <c r="W399" s="18" t="str">
        <f t="shared" si="13"/>
        <v>viernes</v>
      </c>
    </row>
    <row r="400" spans="2:23" hidden="1" x14ac:dyDescent="0.25">
      <c r="B400" s="337">
        <v>45755</v>
      </c>
      <c r="C400" s="337">
        <v>46423</v>
      </c>
      <c r="D400" s="374" t="s">
        <v>88</v>
      </c>
      <c r="E400" s="309" t="s">
        <v>47</v>
      </c>
      <c r="F400" s="310" t="s">
        <v>113</v>
      </c>
      <c r="G400" s="311">
        <v>9</v>
      </c>
      <c r="H400" s="311">
        <v>11.5</v>
      </c>
      <c r="I400" s="340">
        <v>83.149999999999977</v>
      </c>
      <c r="J400" s="340">
        <v>574.88</v>
      </c>
      <c r="K400" s="308"/>
      <c r="L400" s="340">
        <f t="shared" si="12"/>
        <v>83.149999999999977</v>
      </c>
      <c r="M400" s="308"/>
      <c r="N400" s="311"/>
      <c r="O400" s="312"/>
      <c r="P400" s="308"/>
      <c r="Q400" s="308"/>
      <c r="R400" s="392"/>
      <c r="S400" s="358">
        <f ca="1">IF(C400&lt;=EOMONTH('&gt;&gt;Vistas Consolidadas'!$D$2, '&gt;&gt;Vistas Consolidadas'!$F$2),J400+I400,J400)</f>
        <v>658.03</v>
      </c>
      <c r="T400" s="18" t="str">
        <f ca="1">IF(C400&gt;='&gt;&gt;Vistas Consolidadas'!$D$2,"SI","NO")</f>
        <v>SI</v>
      </c>
      <c r="U400" s="358">
        <f ca="1">IF(C400&lt;=EOMONTH('&gt;&gt;Vistas Consolidadas'!$D$2, '&gt;&gt;Vistas Consolidadas'!$F$2),I400,0)</f>
        <v>83.149999999999977</v>
      </c>
      <c r="V400" s="18" t="b">
        <f ca="1">AND(C400&gt;='Interes Por Semana'!$C$4, C400&lt;='Interes Por Semana'!$E$4)</f>
        <v>0</v>
      </c>
      <c r="W400" s="18" t="str">
        <f t="shared" si="13"/>
        <v>viernes</v>
      </c>
    </row>
    <row r="401" spans="2:23" hidden="1" x14ac:dyDescent="0.25">
      <c r="B401" s="337">
        <v>45775</v>
      </c>
      <c r="C401" s="337">
        <v>46423</v>
      </c>
      <c r="D401" s="374" t="s">
        <v>88</v>
      </c>
      <c r="E401" s="309" t="s">
        <v>47</v>
      </c>
      <c r="F401" s="310" t="s">
        <v>113</v>
      </c>
      <c r="G401" s="311">
        <v>9</v>
      </c>
      <c r="H401" s="311">
        <v>11.5</v>
      </c>
      <c r="I401" s="340">
        <v>234.52</v>
      </c>
      <c r="J401" s="340">
        <v>1637.62</v>
      </c>
      <c r="K401" s="308"/>
      <c r="L401" s="340">
        <f t="shared" si="12"/>
        <v>234.52</v>
      </c>
      <c r="M401" s="308"/>
      <c r="N401" s="311"/>
      <c r="O401" s="312"/>
      <c r="P401" s="308"/>
      <c r="Q401" s="308"/>
      <c r="R401" s="392"/>
      <c r="S401" s="358">
        <f ca="1">IF(C401&lt;=EOMONTH('&gt;&gt;Vistas Consolidadas'!$D$2, '&gt;&gt;Vistas Consolidadas'!$F$2),J401+I401,J401)</f>
        <v>1872.1399999999999</v>
      </c>
      <c r="T401" s="18" t="str">
        <f ca="1">IF(C401&gt;='&gt;&gt;Vistas Consolidadas'!$D$2,"SI","NO")</f>
        <v>SI</v>
      </c>
      <c r="U401" s="358">
        <f ca="1">IF(C401&lt;=EOMONTH('&gt;&gt;Vistas Consolidadas'!$D$2, '&gt;&gt;Vistas Consolidadas'!$F$2),I401,0)</f>
        <v>234.52</v>
      </c>
      <c r="V401" s="18" t="b">
        <f ca="1">AND(C401&gt;='Interes Por Semana'!$C$4, C401&lt;='Interes Por Semana'!$E$4)</f>
        <v>0</v>
      </c>
      <c r="W401" s="18" t="str">
        <f t="shared" si="13"/>
        <v>viernes</v>
      </c>
    </row>
    <row r="402" spans="2:23" hidden="1" x14ac:dyDescent="0.25">
      <c r="B402" s="337">
        <v>45793</v>
      </c>
      <c r="C402" s="337">
        <v>46427</v>
      </c>
      <c r="D402" s="374" t="s">
        <v>88</v>
      </c>
      <c r="E402" s="309" t="s">
        <v>46</v>
      </c>
      <c r="F402" s="310" t="s">
        <v>114</v>
      </c>
      <c r="G402" s="311">
        <v>9</v>
      </c>
      <c r="H402" s="311">
        <v>11.5</v>
      </c>
      <c r="I402" s="340">
        <v>290.91000000000003</v>
      </c>
      <c r="J402" s="340">
        <v>1694.73</v>
      </c>
      <c r="K402" s="308"/>
      <c r="L402" s="340">
        <f t="shared" si="12"/>
        <v>290.91000000000003</v>
      </c>
      <c r="M402" s="308"/>
      <c r="N402" s="311"/>
      <c r="O402" s="312"/>
      <c r="P402" s="308"/>
      <c r="Q402" s="308"/>
      <c r="R402" s="392"/>
      <c r="S402" s="358">
        <f ca="1">IF(C402&lt;=EOMONTH('&gt;&gt;Vistas Consolidadas'!$D$2, '&gt;&gt;Vistas Consolidadas'!$F$2),J402+I402,J402)</f>
        <v>1985.64</v>
      </c>
      <c r="T402" s="18" t="str">
        <f ca="1">IF(C402&gt;='&gt;&gt;Vistas Consolidadas'!$D$2,"SI","NO")</f>
        <v>SI</v>
      </c>
      <c r="U402" s="358">
        <f ca="1">IF(C402&lt;=EOMONTH('&gt;&gt;Vistas Consolidadas'!$D$2, '&gt;&gt;Vistas Consolidadas'!$F$2),I402,0)</f>
        <v>290.91000000000003</v>
      </c>
      <c r="V402" s="18" t="b">
        <f ca="1">AND(C402&gt;='Interes Por Semana'!$C$4, C402&lt;='Interes Por Semana'!$E$4)</f>
        <v>0</v>
      </c>
      <c r="W402" s="18" t="str">
        <f t="shared" si="13"/>
        <v>martes</v>
      </c>
    </row>
    <row r="403" spans="2:23" hidden="1" x14ac:dyDescent="0.25">
      <c r="B403" s="337">
        <v>44923</v>
      </c>
      <c r="C403" s="337">
        <v>46446</v>
      </c>
      <c r="D403" s="374" t="s">
        <v>88</v>
      </c>
      <c r="E403" s="309" t="s">
        <v>46</v>
      </c>
      <c r="F403" s="310" t="s">
        <v>115</v>
      </c>
      <c r="G403" s="312">
        <v>8.5</v>
      </c>
      <c r="H403" s="308">
        <v>8.5</v>
      </c>
      <c r="I403" s="340">
        <v>87.72</v>
      </c>
      <c r="J403" s="340">
        <v>1376</v>
      </c>
      <c r="K403" s="308"/>
      <c r="L403" s="340">
        <f t="shared" si="12"/>
        <v>87.72</v>
      </c>
      <c r="M403" s="308"/>
      <c r="N403" s="311"/>
      <c r="O403" s="312"/>
      <c r="P403" s="308"/>
      <c r="Q403" s="308"/>
      <c r="R403" s="392"/>
      <c r="S403" s="358">
        <f ca="1">IF(C403&lt;=EOMONTH('&gt;&gt;Vistas Consolidadas'!$D$2, '&gt;&gt;Vistas Consolidadas'!$F$2),J403+I403,J403)</f>
        <v>1463.72</v>
      </c>
      <c r="T403" s="18" t="str">
        <f ca="1">IF(C403&gt;='&gt;&gt;Vistas Consolidadas'!$D$2,"SI","NO")</f>
        <v>SI</v>
      </c>
      <c r="U403" s="358">
        <f ca="1">IF(C403&lt;=EOMONTH('&gt;&gt;Vistas Consolidadas'!$D$2, '&gt;&gt;Vistas Consolidadas'!$F$2),I403,0)</f>
        <v>87.72</v>
      </c>
      <c r="V403" s="18" t="b">
        <f ca="1">AND(C403&gt;='Interes Por Semana'!$C$4, C403&lt;='Interes Por Semana'!$E$4)</f>
        <v>0</v>
      </c>
      <c r="W403" s="18" t="str">
        <f t="shared" si="13"/>
        <v>domingo</v>
      </c>
    </row>
    <row r="404" spans="2:23" hidden="1" x14ac:dyDescent="0.25">
      <c r="B404" s="337">
        <v>44988</v>
      </c>
      <c r="C404" s="337">
        <v>46446</v>
      </c>
      <c r="D404" s="374" t="s">
        <v>88</v>
      </c>
      <c r="E404" s="309" t="s">
        <v>46</v>
      </c>
      <c r="F404" s="310" t="s">
        <v>115</v>
      </c>
      <c r="G404" s="312">
        <v>8.5</v>
      </c>
      <c r="H404" s="308">
        <v>8.5</v>
      </c>
      <c r="I404" s="340">
        <v>119.09</v>
      </c>
      <c r="J404" s="340">
        <v>1868</v>
      </c>
      <c r="K404" s="308"/>
      <c r="L404" s="340">
        <f t="shared" si="12"/>
        <v>119.09</v>
      </c>
      <c r="M404" s="308"/>
      <c r="N404" s="311"/>
      <c r="O404" s="312"/>
      <c r="P404" s="308"/>
      <c r="Q404" s="308"/>
      <c r="R404" s="392"/>
      <c r="S404" s="358">
        <f ca="1">IF(C404&lt;=EOMONTH('&gt;&gt;Vistas Consolidadas'!$D$2, '&gt;&gt;Vistas Consolidadas'!$F$2),J404+I404,J404)</f>
        <v>1987.09</v>
      </c>
      <c r="T404" s="18" t="str">
        <f ca="1">IF(C404&gt;='&gt;&gt;Vistas Consolidadas'!$D$2,"SI","NO")</f>
        <v>SI</v>
      </c>
      <c r="U404" s="358">
        <f ca="1">IF(C404&lt;=EOMONTH('&gt;&gt;Vistas Consolidadas'!$D$2, '&gt;&gt;Vistas Consolidadas'!$F$2),I404,0)</f>
        <v>119.09</v>
      </c>
      <c r="V404" s="18" t="b">
        <f ca="1">AND(C404&gt;='Interes Por Semana'!$C$4, C404&lt;='Interes Por Semana'!$E$4)</f>
        <v>0</v>
      </c>
      <c r="W404" s="18" t="str">
        <f t="shared" si="13"/>
        <v>domingo</v>
      </c>
    </row>
    <row r="405" spans="2:23" hidden="1" x14ac:dyDescent="0.25">
      <c r="B405" s="337">
        <v>45552</v>
      </c>
      <c r="C405" s="337">
        <v>46421</v>
      </c>
      <c r="D405" s="374" t="s">
        <v>78</v>
      </c>
      <c r="E405" s="309" t="s">
        <v>47</v>
      </c>
      <c r="F405" s="310" t="s">
        <v>79</v>
      </c>
      <c r="G405" s="312">
        <v>5.36</v>
      </c>
      <c r="H405" s="308">
        <v>13.5</v>
      </c>
      <c r="I405" s="340">
        <f>15.63</f>
        <v>15.63</v>
      </c>
      <c r="J405" s="340"/>
      <c r="K405" s="308"/>
      <c r="L405" s="340">
        <f t="shared" si="12"/>
        <v>15.63</v>
      </c>
      <c r="M405" s="308"/>
      <c r="N405" s="311"/>
      <c r="O405" s="312"/>
      <c r="P405" s="308"/>
      <c r="Q405" s="308"/>
      <c r="R405" s="392"/>
      <c r="S405" s="358">
        <f ca="1">IF(C405&lt;=EOMONTH('&gt;&gt;Vistas Consolidadas'!$D$2, '&gt;&gt;Vistas Consolidadas'!$F$2),J405+I405,J405)</f>
        <v>15.63</v>
      </c>
      <c r="T405" s="18" t="str">
        <f ca="1">IF(C405&gt;='&gt;&gt;Vistas Consolidadas'!$D$2,"SI","NO")</f>
        <v>SI</v>
      </c>
      <c r="U405" s="358">
        <f ca="1">IF(C405&lt;=EOMONTH('&gt;&gt;Vistas Consolidadas'!$D$2, '&gt;&gt;Vistas Consolidadas'!$F$2),I405,0)</f>
        <v>15.63</v>
      </c>
      <c r="V405" s="18" t="b">
        <f ca="1">AND(C405&gt;='Interes Por Semana'!$C$4, C405&lt;='Interes Por Semana'!$E$4)</f>
        <v>0</v>
      </c>
      <c r="W405" s="18" t="str">
        <f t="shared" si="13"/>
        <v>miércoles</v>
      </c>
    </row>
    <row r="406" spans="2:23" hidden="1" x14ac:dyDescent="0.25">
      <c r="B406" s="337">
        <v>45560</v>
      </c>
      <c r="C406" s="337">
        <v>46421</v>
      </c>
      <c r="D406" s="374" t="s">
        <v>78</v>
      </c>
      <c r="E406" s="309" t="s">
        <v>47</v>
      </c>
      <c r="F406" s="310" t="s">
        <v>79</v>
      </c>
      <c r="G406" s="312">
        <v>5.36</v>
      </c>
      <c r="H406" s="308">
        <v>12.5</v>
      </c>
      <c r="I406" s="340">
        <f>12.51</f>
        <v>12.51</v>
      </c>
      <c r="J406" s="340"/>
      <c r="K406" s="308"/>
      <c r="L406" s="340">
        <f t="shared" si="12"/>
        <v>12.51</v>
      </c>
      <c r="M406" s="308"/>
      <c r="N406" s="311"/>
      <c r="O406" s="312"/>
      <c r="P406" s="308"/>
      <c r="Q406" s="308"/>
      <c r="R406" s="392"/>
      <c r="S406" s="358">
        <f ca="1">IF(C406&lt;=EOMONTH('&gt;&gt;Vistas Consolidadas'!$D$2, '&gt;&gt;Vistas Consolidadas'!$F$2),J406+I406,J406)</f>
        <v>12.51</v>
      </c>
      <c r="T406" s="18" t="str">
        <f ca="1">IF(C406&gt;='&gt;&gt;Vistas Consolidadas'!$D$2,"SI","NO")</f>
        <v>SI</v>
      </c>
      <c r="U406" s="358">
        <f ca="1">IF(C406&lt;=EOMONTH('&gt;&gt;Vistas Consolidadas'!$D$2, '&gt;&gt;Vistas Consolidadas'!$F$2),I406,0)</f>
        <v>12.51</v>
      </c>
      <c r="V406" s="18" t="b">
        <f ca="1">AND(C406&gt;='Interes Por Semana'!$C$4, C406&lt;='Interes Por Semana'!$E$4)</f>
        <v>0</v>
      </c>
      <c r="W406" s="18" t="str">
        <f t="shared" si="13"/>
        <v>miércoles</v>
      </c>
    </row>
    <row r="407" spans="2:23" hidden="1" x14ac:dyDescent="0.25">
      <c r="B407" s="337">
        <v>45708</v>
      </c>
      <c r="C407" s="337">
        <v>46422</v>
      </c>
      <c r="D407" s="374" t="s">
        <v>78</v>
      </c>
      <c r="E407" s="309" t="s">
        <v>46</v>
      </c>
      <c r="F407" s="310" t="s">
        <v>81</v>
      </c>
      <c r="G407" s="312">
        <v>5.36</v>
      </c>
      <c r="H407" s="308">
        <v>11.35</v>
      </c>
      <c r="I407" s="340">
        <f>16.79-J407</f>
        <v>16.79</v>
      </c>
      <c r="J407" s="340">
        <v>0</v>
      </c>
      <c r="K407" s="308"/>
      <c r="L407" s="340">
        <f t="shared" si="12"/>
        <v>16.79</v>
      </c>
      <c r="M407" s="308"/>
      <c r="N407" s="311"/>
      <c r="O407" s="312"/>
      <c r="P407" s="308"/>
      <c r="Q407" s="308"/>
      <c r="R407" s="392"/>
      <c r="S407" s="358">
        <f ca="1">IF(C407&lt;=EOMONTH('&gt;&gt;Vistas Consolidadas'!$D$2, '&gt;&gt;Vistas Consolidadas'!$F$2),J407+I407,J407)</f>
        <v>16.79</v>
      </c>
      <c r="T407" s="18" t="str">
        <f ca="1">IF(C407&gt;='&gt;&gt;Vistas Consolidadas'!$D$2,"SI","NO")</f>
        <v>SI</v>
      </c>
      <c r="U407" s="358">
        <f ca="1">IF(C407&lt;=EOMONTH('&gt;&gt;Vistas Consolidadas'!$D$2, '&gt;&gt;Vistas Consolidadas'!$F$2),I407,0)</f>
        <v>16.79</v>
      </c>
      <c r="V407" s="18" t="b">
        <f ca="1">AND(C407&gt;='Interes Por Semana'!$C$4, C407&lt;='Interes Por Semana'!$E$4)</f>
        <v>0</v>
      </c>
      <c r="W407" s="18" t="str">
        <f t="shared" si="13"/>
        <v>jueves</v>
      </c>
    </row>
    <row r="408" spans="2:23" hidden="1" x14ac:dyDescent="0.25">
      <c r="B408" s="337">
        <v>46057</v>
      </c>
      <c r="C408" s="337">
        <v>46424</v>
      </c>
      <c r="D408" s="374" t="s">
        <v>78</v>
      </c>
      <c r="E408" s="309" t="s">
        <v>47</v>
      </c>
      <c r="F408" s="310" t="s">
        <v>85</v>
      </c>
      <c r="G408" s="312">
        <v>7.93</v>
      </c>
      <c r="H408" s="308">
        <v>11.25</v>
      </c>
      <c r="I408" s="340">
        <v>58.023180428134552</v>
      </c>
      <c r="J408" s="340"/>
      <c r="K408" s="308"/>
      <c r="L408" s="340">
        <f t="shared" si="12"/>
        <v>58.023180428134552</v>
      </c>
      <c r="M408" s="308"/>
      <c r="N408" s="311"/>
      <c r="O408" s="312"/>
      <c r="P408" s="308"/>
      <c r="Q408" s="308"/>
      <c r="R408" s="392"/>
      <c r="S408" s="358">
        <f ca="1">IF(C408&lt;=EOMONTH('&gt;&gt;Vistas Consolidadas'!$D$2, '&gt;&gt;Vistas Consolidadas'!$F$2),J408+I408,J408)</f>
        <v>58.023180428134552</v>
      </c>
      <c r="T408" s="18" t="str">
        <f ca="1">IF(C408&gt;='&gt;&gt;Vistas Consolidadas'!$D$2,"SI","NO")</f>
        <v>SI</v>
      </c>
      <c r="U408" s="358">
        <f ca="1">IF(C408&lt;=EOMONTH('&gt;&gt;Vistas Consolidadas'!$D$2, '&gt;&gt;Vistas Consolidadas'!$F$2),I408,0)</f>
        <v>58.023180428134552</v>
      </c>
      <c r="V408" s="18" t="b">
        <f ca="1">AND(C408&gt;='Interes Por Semana'!$C$4, C408&lt;='Interes Por Semana'!$E$4)</f>
        <v>0</v>
      </c>
      <c r="W408" s="18" t="str">
        <f t="shared" si="13"/>
        <v>sábado</v>
      </c>
    </row>
    <row r="409" spans="2:23" hidden="1" x14ac:dyDescent="0.25">
      <c r="B409" s="337">
        <v>46057</v>
      </c>
      <c r="C409" s="337">
        <v>46424</v>
      </c>
      <c r="D409" s="374" t="s">
        <v>78</v>
      </c>
      <c r="E409" s="309" t="s">
        <v>47</v>
      </c>
      <c r="F409" s="310" t="s">
        <v>86</v>
      </c>
      <c r="G409" s="312">
        <v>7.35</v>
      </c>
      <c r="H409" s="308">
        <v>11</v>
      </c>
      <c r="I409" s="340">
        <v>20.79</v>
      </c>
      <c r="J409" s="340"/>
      <c r="K409" s="308"/>
      <c r="L409" s="340">
        <f t="shared" si="12"/>
        <v>20.79</v>
      </c>
      <c r="M409" s="308"/>
      <c r="N409" s="311"/>
      <c r="O409" s="312"/>
      <c r="P409" s="308"/>
      <c r="Q409" s="308"/>
      <c r="R409" s="392"/>
      <c r="S409" s="358">
        <f ca="1">IF(C409&lt;=EOMONTH('&gt;&gt;Vistas Consolidadas'!$D$2, '&gt;&gt;Vistas Consolidadas'!$F$2),J409+I409,J409)</f>
        <v>20.79</v>
      </c>
      <c r="T409" s="18" t="str">
        <f ca="1">IF(C409&gt;='&gt;&gt;Vistas Consolidadas'!$D$2,"SI","NO")</f>
        <v>SI</v>
      </c>
      <c r="U409" s="358">
        <f ca="1">IF(C409&lt;=EOMONTH('&gt;&gt;Vistas Consolidadas'!$D$2, '&gt;&gt;Vistas Consolidadas'!$F$2),I409,0)</f>
        <v>20.79</v>
      </c>
      <c r="V409" s="18" t="b">
        <f ca="1">AND(C409&gt;='Interes Por Semana'!$C$4, C409&lt;='Interes Por Semana'!$E$4)</f>
        <v>0</v>
      </c>
      <c r="W409" s="18" t="str">
        <f t="shared" si="13"/>
        <v>sábado</v>
      </c>
    </row>
    <row r="410" spans="2:23" hidden="1" x14ac:dyDescent="0.25">
      <c r="B410" s="337">
        <v>46001</v>
      </c>
      <c r="C410" s="337">
        <v>46424</v>
      </c>
      <c r="D410" s="374" t="s">
        <v>78</v>
      </c>
      <c r="E410" s="309" t="s">
        <v>46</v>
      </c>
      <c r="F410" s="310" t="s">
        <v>87</v>
      </c>
      <c r="G410" s="312">
        <v>7.54</v>
      </c>
      <c r="H410" s="308">
        <v>11</v>
      </c>
      <c r="I410" s="340">
        <f>7.79</f>
        <v>7.79</v>
      </c>
      <c r="J410" s="340"/>
      <c r="K410" s="308"/>
      <c r="L410" s="340">
        <f t="shared" si="12"/>
        <v>7.79</v>
      </c>
      <c r="M410" s="308"/>
      <c r="N410" s="311"/>
      <c r="O410" s="312"/>
      <c r="P410" s="308"/>
      <c r="Q410" s="308"/>
      <c r="R410" s="392"/>
      <c r="S410" s="358">
        <f ca="1">IF(C410&lt;=EOMONTH('&gt;&gt;Vistas Consolidadas'!$D$2, '&gt;&gt;Vistas Consolidadas'!$F$2),J410+I410,J410)</f>
        <v>7.79</v>
      </c>
      <c r="T410" s="18" t="str">
        <f ca="1">IF(C410&gt;='&gt;&gt;Vistas Consolidadas'!$D$2,"SI","NO")</f>
        <v>SI</v>
      </c>
      <c r="U410" s="358">
        <f ca="1">IF(C410&lt;=EOMONTH('&gt;&gt;Vistas Consolidadas'!$D$2, '&gt;&gt;Vistas Consolidadas'!$F$2),I410,0)</f>
        <v>7.79</v>
      </c>
      <c r="V410" s="18" t="b">
        <f ca="1">AND(C410&gt;='Interes Por Semana'!$C$4, C410&lt;='Interes Por Semana'!$E$4)</f>
        <v>0</v>
      </c>
      <c r="W410" s="18" t="str">
        <f t="shared" si="13"/>
        <v>sábado</v>
      </c>
    </row>
    <row r="411" spans="2:23" hidden="1" x14ac:dyDescent="0.25">
      <c r="B411" s="337">
        <v>45943</v>
      </c>
      <c r="C411" s="337">
        <v>46428</v>
      </c>
      <c r="D411" s="374" t="s">
        <v>78</v>
      </c>
      <c r="E411" s="309" t="s">
        <v>47</v>
      </c>
      <c r="F411" s="310" t="s">
        <v>91</v>
      </c>
      <c r="G411" s="312">
        <v>7.54</v>
      </c>
      <c r="H411" s="308">
        <v>9.85</v>
      </c>
      <c r="I411" s="340">
        <v>35.25</v>
      </c>
      <c r="J411" s="340"/>
      <c r="K411" s="308"/>
      <c r="L411" s="340">
        <f t="shared" si="12"/>
        <v>35.25</v>
      </c>
      <c r="M411" s="308"/>
      <c r="N411" s="311"/>
      <c r="O411" s="312"/>
      <c r="P411" s="308"/>
      <c r="Q411" s="308"/>
      <c r="R411" s="392"/>
      <c r="S411" s="358">
        <f ca="1">IF(C411&lt;=EOMONTH('&gt;&gt;Vistas Consolidadas'!$D$2, '&gt;&gt;Vistas Consolidadas'!$F$2),J411+I411,J411)</f>
        <v>35.25</v>
      </c>
      <c r="T411" s="18" t="str">
        <f ca="1">IF(C411&gt;='&gt;&gt;Vistas Consolidadas'!$D$2,"SI","NO")</f>
        <v>SI</v>
      </c>
      <c r="U411" s="358">
        <f ca="1">IF(C411&lt;=EOMONTH('&gt;&gt;Vistas Consolidadas'!$D$2, '&gt;&gt;Vistas Consolidadas'!$F$2),I411,0)</f>
        <v>35.25</v>
      </c>
      <c r="V411" s="18" t="b">
        <f ca="1">AND(C411&gt;='Interes Por Semana'!$C$4, C411&lt;='Interes Por Semana'!$E$4)</f>
        <v>0</v>
      </c>
      <c r="W411" s="18" t="str">
        <f t="shared" si="13"/>
        <v>miércoles</v>
      </c>
    </row>
    <row r="412" spans="2:23" hidden="1" x14ac:dyDescent="0.25">
      <c r="B412" s="337">
        <v>46121</v>
      </c>
      <c r="C412" s="337">
        <v>46430</v>
      </c>
      <c r="D412" s="374" t="s">
        <v>78</v>
      </c>
      <c r="E412" s="309" t="s">
        <v>47</v>
      </c>
      <c r="F412" s="310" t="s">
        <v>93</v>
      </c>
      <c r="G412" s="312">
        <v>4.71</v>
      </c>
      <c r="H412" s="308">
        <v>9.5</v>
      </c>
      <c r="I412" s="340">
        <v>3.53</v>
      </c>
      <c r="J412" s="340">
        <v>0</v>
      </c>
      <c r="K412" s="308"/>
      <c r="L412" s="340">
        <f t="shared" si="12"/>
        <v>3.53</v>
      </c>
      <c r="M412" s="308"/>
      <c r="N412" s="311"/>
      <c r="O412" s="312"/>
      <c r="P412" s="308"/>
      <c r="Q412" s="308"/>
      <c r="R412" s="392"/>
      <c r="S412" s="358">
        <f ca="1">IF(C412&lt;=EOMONTH('&gt;&gt;Vistas Consolidadas'!$D$2, '&gt;&gt;Vistas Consolidadas'!$F$2),J412+I412,J412)</f>
        <v>3.53</v>
      </c>
      <c r="T412" s="18" t="str">
        <f ca="1">IF(C412&gt;='&gt;&gt;Vistas Consolidadas'!$D$2,"SI","NO")</f>
        <v>SI</v>
      </c>
      <c r="U412" s="358">
        <f ca="1">IF(C412&lt;=EOMONTH('&gt;&gt;Vistas Consolidadas'!$D$2, '&gt;&gt;Vistas Consolidadas'!$F$2),I412,0)</f>
        <v>3.53</v>
      </c>
      <c r="V412" s="18" t="b">
        <f ca="1">AND(C412&gt;='Interes Por Semana'!$C$4, C412&lt;='Interes Por Semana'!$E$4)</f>
        <v>0</v>
      </c>
      <c r="W412" s="18" t="str">
        <f t="shared" si="13"/>
        <v>viernes</v>
      </c>
    </row>
    <row r="413" spans="2:23" hidden="1" x14ac:dyDescent="0.25">
      <c r="B413" s="337">
        <v>45323</v>
      </c>
      <c r="C413" s="337">
        <v>46433</v>
      </c>
      <c r="D413" s="374" t="s">
        <v>96</v>
      </c>
      <c r="E413" s="309" t="s">
        <v>47</v>
      </c>
      <c r="F413" s="310" t="s">
        <v>97</v>
      </c>
      <c r="G413" s="312">
        <v>6</v>
      </c>
      <c r="H413" s="308">
        <v>12</v>
      </c>
      <c r="I413" s="340">
        <v>16.670000000000002</v>
      </c>
      <c r="J413" s="340"/>
      <c r="K413" s="308"/>
      <c r="L413" s="340">
        <f t="shared" si="12"/>
        <v>16.670000000000002</v>
      </c>
      <c r="M413" s="308"/>
      <c r="N413" s="311"/>
      <c r="O413" s="312"/>
      <c r="P413" s="308"/>
      <c r="Q413" s="308"/>
      <c r="R413" s="392"/>
      <c r="S413" s="358">
        <f ca="1">IF(C413&lt;=EOMONTH('&gt;&gt;Vistas Consolidadas'!$D$2, '&gt;&gt;Vistas Consolidadas'!$F$2),J413+I413,J413)</f>
        <v>16.670000000000002</v>
      </c>
      <c r="T413" s="18" t="str">
        <f ca="1">IF(C413&gt;='&gt;&gt;Vistas Consolidadas'!$D$2,"SI","NO")</f>
        <v>SI</v>
      </c>
      <c r="U413" s="358">
        <f ca="1">IF(C413&lt;=EOMONTH('&gt;&gt;Vistas Consolidadas'!$D$2, '&gt;&gt;Vistas Consolidadas'!$F$2),I413,0)</f>
        <v>16.670000000000002</v>
      </c>
      <c r="V413" s="18" t="b">
        <f ca="1">AND(C413&gt;='Interes Por Semana'!$C$4, C413&lt;='Interes Por Semana'!$E$4)</f>
        <v>0</v>
      </c>
      <c r="W413" s="18" t="str">
        <f t="shared" si="13"/>
        <v>lunes</v>
      </c>
    </row>
    <row r="414" spans="2:23" hidden="1" x14ac:dyDescent="0.25">
      <c r="B414" s="337">
        <v>45356</v>
      </c>
      <c r="C414" s="337">
        <v>46433</v>
      </c>
      <c r="D414" s="374" t="s">
        <v>96</v>
      </c>
      <c r="E414" s="309" t="s">
        <v>47</v>
      </c>
      <c r="F414" s="310" t="s">
        <v>97</v>
      </c>
      <c r="G414" s="312">
        <v>6</v>
      </c>
      <c r="H414" s="308">
        <v>12</v>
      </c>
      <c r="I414" s="340">
        <v>108.33</v>
      </c>
      <c r="J414" s="340"/>
      <c r="K414" s="308"/>
      <c r="L414" s="340">
        <f t="shared" si="12"/>
        <v>108.33</v>
      </c>
      <c r="M414" s="308"/>
      <c r="N414" s="311"/>
      <c r="O414" s="312"/>
      <c r="P414" s="308"/>
      <c r="Q414" s="308"/>
      <c r="R414" s="392"/>
      <c r="S414" s="358">
        <f ca="1">IF(C414&lt;=EOMONTH('&gt;&gt;Vistas Consolidadas'!$D$2, '&gt;&gt;Vistas Consolidadas'!$F$2),J414+I414,J414)</f>
        <v>108.33</v>
      </c>
      <c r="T414" s="18" t="str">
        <f ca="1">IF(C414&gt;='&gt;&gt;Vistas Consolidadas'!$D$2,"SI","NO")</f>
        <v>SI</v>
      </c>
      <c r="U414" s="358">
        <f ca="1">IF(C414&lt;=EOMONTH('&gt;&gt;Vistas Consolidadas'!$D$2, '&gt;&gt;Vistas Consolidadas'!$F$2),I414,0)</f>
        <v>108.33</v>
      </c>
      <c r="V414" s="18" t="b">
        <f ca="1">AND(C414&gt;='Interes Por Semana'!$C$4, C414&lt;='Interes Por Semana'!$E$4)</f>
        <v>0</v>
      </c>
      <c r="W414" s="18" t="str">
        <f t="shared" si="13"/>
        <v>lunes</v>
      </c>
    </row>
    <row r="415" spans="2:23" hidden="1" x14ac:dyDescent="0.25">
      <c r="B415" s="337">
        <v>45006</v>
      </c>
      <c r="C415" s="337">
        <v>46433</v>
      </c>
      <c r="D415" s="374" t="s">
        <v>96</v>
      </c>
      <c r="E415" s="309" t="s">
        <v>46</v>
      </c>
      <c r="F415" s="310" t="s">
        <v>97</v>
      </c>
      <c r="G415" s="312">
        <v>6</v>
      </c>
      <c r="H415" s="308">
        <v>12</v>
      </c>
      <c r="I415" s="340">
        <v>62.5</v>
      </c>
      <c r="J415" s="340"/>
      <c r="K415" s="308"/>
      <c r="L415" s="340">
        <f t="shared" si="12"/>
        <v>62.5</v>
      </c>
      <c r="M415" s="308"/>
      <c r="N415" s="311"/>
      <c r="O415" s="312"/>
      <c r="P415" s="308"/>
      <c r="Q415" s="308"/>
      <c r="R415" s="392"/>
      <c r="S415" s="358">
        <f ca="1">IF(C415&lt;=EOMONTH('&gt;&gt;Vistas Consolidadas'!$D$2, '&gt;&gt;Vistas Consolidadas'!$F$2),J415+I415,J415)</f>
        <v>62.5</v>
      </c>
      <c r="T415" s="18" t="str">
        <f ca="1">IF(C415&gt;='&gt;&gt;Vistas Consolidadas'!$D$2,"SI","NO")</f>
        <v>SI</v>
      </c>
      <c r="U415" s="358">
        <f ca="1">IF(C415&lt;=EOMONTH('&gt;&gt;Vistas Consolidadas'!$D$2, '&gt;&gt;Vistas Consolidadas'!$F$2),I415,0)</f>
        <v>62.5</v>
      </c>
      <c r="V415" s="18" t="b">
        <f ca="1">AND(C415&gt;='Interes Por Semana'!$C$4, C415&lt;='Interes Por Semana'!$E$4)</f>
        <v>0</v>
      </c>
      <c r="W415" s="18" t="str">
        <f t="shared" si="13"/>
        <v>lunes</v>
      </c>
    </row>
    <row r="416" spans="2:23" hidden="1" x14ac:dyDescent="0.25">
      <c r="B416" s="337">
        <v>45397</v>
      </c>
      <c r="C416" s="337">
        <v>46433</v>
      </c>
      <c r="D416" s="374" t="s">
        <v>96</v>
      </c>
      <c r="E416" s="309" t="s">
        <v>47</v>
      </c>
      <c r="F416" s="310" t="s">
        <v>97</v>
      </c>
      <c r="G416" s="312">
        <v>6</v>
      </c>
      <c r="H416" s="308">
        <v>12</v>
      </c>
      <c r="I416" s="340">
        <v>54.16</v>
      </c>
      <c r="J416" s="340"/>
      <c r="K416" s="308"/>
      <c r="L416" s="340">
        <f t="shared" si="12"/>
        <v>54.16</v>
      </c>
      <c r="M416" s="308"/>
      <c r="N416" s="311"/>
      <c r="O416" s="312"/>
      <c r="P416" s="308"/>
      <c r="Q416" s="308"/>
      <c r="R416" s="392"/>
      <c r="S416" s="358">
        <f ca="1">IF(C416&lt;=EOMONTH('&gt;&gt;Vistas Consolidadas'!$D$2, '&gt;&gt;Vistas Consolidadas'!$F$2),J416+I416,J416)</f>
        <v>54.16</v>
      </c>
      <c r="T416" s="18" t="str">
        <f ca="1">IF(C416&gt;='&gt;&gt;Vistas Consolidadas'!$D$2,"SI","NO")</f>
        <v>SI</v>
      </c>
      <c r="U416" s="358">
        <f ca="1">IF(C416&lt;=EOMONTH('&gt;&gt;Vistas Consolidadas'!$D$2, '&gt;&gt;Vistas Consolidadas'!$F$2),I416,0)</f>
        <v>54.16</v>
      </c>
      <c r="V416" s="18" t="b">
        <f ca="1">AND(C416&gt;='Interes Por Semana'!$C$4, C416&lt;='Interes Por Semana'!$E$4)</f>
        <v>0</v>
      </c>
      <c r="W416" s="18" t="str">
        <f t="shared" si="13"/>
        <v>lunes</v>
      </c>
    </row>
    <row r="417" spans="2:23" hidden="1" x14ac:dyDescent="0.25">
      <c r="B417" s="337">
        <v>45397</v>
      </c>
      <c r="C417" s="337">
        <v>46433</v>
      </c>
      <c r="D417" s="374" t="s">
        <v>96</v>
      </c>
      <c r="E417" s="309" t="s">
        <v>46</v>
      </c>
      <c r="F417" s="310" t="s">
        <v>97</v>
      </c>
      <c r="G417" s="312">
        <v>6</v>
      </c>
      <c r="H417" s="308">
        <v>12</v>
      </c>
      <c r="I417" s="340">
        <v>62.5</v>
      </c>
      <c r="J417" s="340"/>
      <c r="K417" s="308"/>
      <c r="L417" s="340">
        <f t="shared" si="12"/>
        <v>62.5</v>
      </c>
      <c r="M417" s="308"/>
      <c r="N417" s="311"/>
      <c r="O417" s="312"/>
      <c r="P417" s="308"/>
      <c r="Q417" s="308"/>
      <c r="R417" s="392"/>
      <c r="S417" s="358">
        <f ca="1">IF(C417&lt;=EOMONTH('&gt;&gt;Vistas Consolidadas'!$D$2, '&gt;&gt;Vistas Consolidadas'!$F$2),J417+I417,J417)</f>
        <v>62.5</v>
      </c>
      <c r="T417" s="18" t="str">
        <f ca="1">IF(C417&gt;='&gt;&gt;Vistas Consolidadas'!$D$2,"SI","NO")</f>
        <v>SI</v>
      </c>
      <c r="U417" s="358">
        <f ca="1">IF(C417&lt;=EOMONTH('&gt;&gt;Vistas Consolidadas'!$D$2, '&gt;&gt;Vistas Consolidadas'!$F$2),I417,0)</f>
        <v>62.5</v>
      </c>
      <c r="V417" s="18" t="b">
        <f ca="1">AND(C417&gt;='Interes Por Semana'!$C$4, C417&lt;='Interes Por Semana'!$E$4)</f>
        <v>0</v>
      </c>
      <c r="W417" s="18" t="str">
        <f t="shared" si="13"/>
        <v>lunes</v>
      </c>
    </row>
    <row r="418" spans="2:23" hidden="1" x14ac:dyDescent="0.25">
      <c r="B418" s="337">
        <v>45398</v>
      </c>
      <c r="C418" s="337">
        <v>46433</v>
      </c>
      <c r="D418" s="374" t="s">
        <v>96</v>
      </c>
      <c r="E418" s="309" t="s">
        <v>47</v>
      </c>
      <c r="F418" s="310" t="s">
        <v>97</v>
      </c>
      <c r="G418" s="312">
        <v>6</v>
      </c>
      <c r="H418" s="308">
        <v>12</v>
      </c>
      <c r="I418" s="340">
        <v>16.670000000000002</v>
      </c>
      <c r="J418" s="340"/>
      <c r="K418" s="308"/>
      <c r="L418" s="340">
        <f t="shared" si="12"/>
        <v>16.670000000000002</v>
      </c>
      <c r="M418" s="308"/>
      <c r="N418" s="311"/>
      <c r="O418" s="312"/>
      <c r="P418" s="308"/>
      <c r="Q418" s="308"/>
      <c r="R418" s="392"/>
      <c r="S418" s="358">
        <f ca="1">IF(C418&lt;=EOMONTH('&gt;&gt;Vistas Consolidadas'!$D$2, '&gt;&gt;Vistas Consolidadas'!$F$2),J418+I418,J418)</f>
        <v>16.670000000000002</v>
      </c>
      <c r="T418" s="18" t="str">
        <f ca="1">IF(C418&gt;='&gt;&gt;Vistas Consolidadas'!$D$2,"SI","NO")</f>
        <v>SI</v>
      </c>
      <c r="U418" s="358">
        <f ca="1">IF(C418&lt;=EOMONTH('&gt;&gt;Vistas Consolidadas'!$D$2, '&gt;&gt;Vistas Consolidadas'!$F$2),I418,0)</f>
        <v>16.670000000000002</v>
      </c>
      <c r="V418" s="18" t="b">
        <f ca="1">AND(C418&gt;='Interes Por Semana'!$C$4, C418&lt;='Interes Por Semana'!$E$4)</f>
        <v>0</v>
      </c>
      <c r="W418" s="18" t="str">
        <f t="shared" si="13"/>
        <v>lunes</v>
      </c>
    </row>
    <row r="419" spans="2:23" hidden="1" x14ac:dyDescent="0.25">
      <c r="B419" s="337">
        <v>46105</v>
      </c>
      <c r="C419" s="337">
        <v>46433</v>
      </c>
      <c r="D419" s="374" t="s">
        <v>96</v>
      </c>
      <c r="E419" s="309" t="s">
        <v>47</v>
      </c>
      <c r="F419" s="310" t="s">
        <v>97</v>
      </c>
      <c r="G419" s="311">
        <v>6</v>
      </c>
      <c r="H419" s="311">
        <v>10</v>
      </c>
      <c r="I419" s="340">
        <v>16.670000000000002</v>
      </c>
      <c r="J419" s="340"/>
      <c r="K419" s="308"/>
      <c r="L419" s="340">
        <f t="shared" si="12"/>
        <v>16.670000000000002</v>
      </c>
      <c r="M419" s="311"/>
      <c r="N419" s="311"/>
      <c r="O419" s="311"/>
      <c r="P419" s="311"/>
      <c r="Q419" s="311"/>
      <c r="R419" s="392"/>
      <c r="S419" s="358">
        <f ca="1">IF(C419&lt;=EOMONTH('&gt;&gt;Vistas Consolidadas'!$D$2, '&gt;&gt;Vistas Consolidadas'!$F$2),J419+I419,J419)</f>
        <v>16.670000000000002</v>
      </c>
      <c r="T419" s="18" t="str">
        <f ca="1">IF(C419&gt;='&gt;&gt;Vistas Consolidadas'!$D$2,"SI","NO")</f>
        <v>SI</v>
      </c>
      <c r="U419" s="358">
        <f ca="1">IF(C419&lt;=EOMONTH('&gt;&gt;Vistas Consolidadas'!$D$2, '&gt;&gt;Vistas Consolidadas'!$F$2),I419,0)</f>
        <v>16.670000000000002</v>
      </c>
      <c r="V419" s="18" t="b">
        <f ca="1">AND(C419&gt;='Interes Por Semana'!$C$4, C419&lt;='Interes Por Semana'!$E$4)</f>
        <v>0</v>
      </c>
      <c r="W419" s="18" t="str">
        <f t="shared" si="13"/>
        <v>lunes</v>
      </c>
    </row>
    <row r="420" spans="2:23" hidden="1" x14ac:dyDescent="0.25">
      <c r="B420" s="337">
        <v>44462</v>
      </c>
      <c r="C420" s="337">
        <v>46435</v>
      </c>
      <c r="D420" s="374" t="s">
        <v>78</v>
      </c>
      <c r="E420" s="309" t="s">
        <v>46</v>
      </c>
      <c r="F420" s="310" t="s">
        <v>98</v>
      </c>
      <c r="G420" s="312">
        <v>5.64</v>
      </c>
      <c r="H420" s="308">
        <v>8.1999999999999993</v>
      </c>
      <c r="I420" s="340">
        <v>5.05</v>
      </c>
      <c r="J420" s="340"/>
      <c r="K420" s="308"/>
      <c r="L420" s="340">
        <f t="shared" si="12"/>
        <v>5.05</v>
      </c>
      <c r="M420" s="308"/>
      <c r="N420" s="311"/>
      <c r="O420" s="312"/>
      <c r="P420" s="308"/>
      <c r="Q420" s="308"/>
      <c r="R420" s="392"/>
      <c r="S420" s="358">
        <f ca="1">IF(C420&lt;=EOMONTH('&gt;&gt;Vistas Consolidadas'!$D$2, '&gt;&gt;Vistas Consolidadas'!$F$2),J420+I420,J420)</f>
        <v>5.05</v>
      </c>
      <c r="T420" s="18" t="str">
        <f ca="1">IF(C420&gt;='&gt;&gt;Vistas Consolidadas'!$D$2,"SI","NO")</f>
        <v>SI</v>
      </c>
      <c r="U420" s="358">
        <f ca="1">IF(C420&lt;=EOMONTH('&gt;&gt;Vistas Consolidadas'!$D$2, '&gt;&gt;Vistas Consolidadas'!$F$2),I420,0)</f>
        <v>5.05</v>
      </c>
      <c r="V420" s="18" t="b">
        <f ca="1">AND(C420&gt;='Interes Por Semana'!$C$4, C420&lt;='Interes Por Semana'!$E$4)</f>
        <v>0</v>
      </c>
      <c r="W420" s="18" t="str">
        <f t="shared" si="13"/>
        <v>miércoles</v>
      </c>
    </row>
    <row r="421" spans="2:23" hidden="1" x14ac:dyDescent="0.25">
      <c r="B421" s="337">
        <v>45264</v>
      </c>
      <c r="C421" s="337">
        <v>46435</v>
      </c>
      <c r="D421" s="374" t="s">
        <v>78</v>
      </c>
      <c r="E421" s="309" t="s">
        <v>46</v>
      </c>
      <c r="F421" s="310" t="s">
        <v>99</v>
      </c>
      <c r="G421" s="312">
        <v>5.64</v>
      </c>
      <c r="H421" s="308">
        <v>13</v>
      </c>
      <c r="I421" s="340">
        <v>14.1</v>
      </c>
      <c r="J421" s="340"/>
      <c r="K421" s="308"/>
      <c r="L421" s="340">
        <f t="shared" si="12"/>
        <v>14.1</v>
      </c>
      <c r="M421" s="308"/>
      <c r="N421" s="311"/>
      <c r="O421" s="312"/>
      <c r="P421" s="308"/>
      <c r="Q421" s="308"/>
      <c r="R421" s="392"/>
      <c r="S421" s="358">
        <f ca="1">IF(C421&lt;=EOMONTH('&gt;&gt;Vistas Consolidadas'!$D$2, '&gt;&gt;Vistas Consolidadas'!$F$2),J421+I421,J421)</f>
        <v>14.1</v>
      </c>
      <c r="T421" s="18" t="str">
        <f ca="1">IF(C421&gt;='&gt;&gt;Vistas Consolidadas'!$D$2,"SI","NO")</f>
        <v>SI</v>
      </c>
      <c r="U421" s="358">
        <f ca="1">IF(C421&lt;=EOMONTH('&gt;&gt;Vistas Consolidadas'!$D$2, '&gt;&gt;Vistas Consolidadas'!$F$2),I421,0)</f>
        <v>14.1</v>
      </c>
      <c r="V421" s="18" t="b">
        <f ca="1">AND(C421&gt;='Interes Por Semana'!$C$4, C421&lt;='Interes Por Semana'!$E$4)</f>
        <v>0</v>
      </c>
      <c r="W421" s="18" t="str">
        <f t="shared" si="13"/>
        <v>miércoles</v>
      </c>
    </row>
    <row r="422" spans="2:23" hidden="1" x14ac:dyDescent="0.25">
      <c r="B422" s="337">
        <v>45302</v>
      </c>
      <c r="C422" s="337">
        <v>46435</v>
      </c>
      <c r="D422" s="374" t="s">
        <v>78</v>
      </c>
      <c r="E422" s="309" t="s">
        <v>46</v>
      </c>
      <c r="F422" s="310" t="s">
        <v>99</v>
      </c>
      <c r="G422" s="312">
        <v>5.64</v>
      </c>
      <c r="H422" s="308">
        <v>12.75</v>
      </c>
      <c r="I422" s="340">
        <v>7.28</v>
      </c>
      <c r="J422" s="340"/>
      <c r="K422" s="308"/>
      <c r="L422" s="340">
        <f t="shared" si="12"/>
        <v>7.28</v>
      </c>
      <c r="M422" s="308"/>
      <c r="N422" s="311"/>
      <c r="O422" s="312"/>
      <c r="P422" s="308"/>
      <c r="Q422" s="308"/>
      <c r="R422" s="392"/>
      <c r="S422" s="358">
        <f ca="1">IF(C422&lt;=EOMONTH('&gt;&gt;Vistas Consolidadas'!$D$2, '&gt;&gt;Vistas Consolidadas'!$F$2),J422+I422,J422)</f>
        <v>7.28</v>
      </c>
      <c r="T422" s="18" t="str">
        <f ca="1">IF(C422&gt;='&gt;&gt;Vistas Consolidadas'!$D$2,"SI","NO")</f>
        <v>SI</v>
      </c>
      <c r="U422" s="358">
        <f ca="1">IF(C422&lt;=EOMONTH('&gt;&gt;Vistas Consolidadas'!$D$2, '&gt;&gt;Vistas Consolidadas'!$F$2),I422,0)</f>
        <v>7.28</v>
      </c>
      <c r="V422" s="18" t="b">
        <f ca="1">AND(C422&gt;='Interes Por Semana'!$C$4, C422&lt;='Interes Por Semana'!$E$4)</f>
        <v>0</v>
      </c>
      <c r="W422" s="18" t="str">
        <f t="shared" si="13"/>
        <v>miércoles</v>
      </c>
    </row>
    <row r="423" spans="2:23" hidden="1" x14ac:dyDescent="0.25">
      <c r="B423" s="337">
        <v>46006</v>
      </c>
      <c r="C423" s="337">
        <v>46436</v>
      </c>
      <c r="D423" s="374" t="s">
        <v>78</v>
      </c>
      <c r="E423" s="309" t="s">
        <v>46</v>
      </c>
      <c r="F423" s="310" t="s">
        <v>100</v>
      </c>
      <c r="G423" s="312">
        <v>5.93</v>
      </c>
      <c r="H423" s="308">
        <v>8.5</v>
      </c>
      <c r="I423" s="340">
        <f>23.09-J423</f>
        <v>23.09</v>
      </c>
      <c r="J423" s="340"/>
      <c r="K423" s="308"/>
      <c r="L423" s="340">
        <f t="shared" si="12"/>
        <v>23.09</v>
      </c>
      <c r="M423" s="308"/>
      <c r="N423" s="311"/>
      <c r="O423" s="312"/>
      <c r="P423" s="308"/>
      <c r="Q423" s="308"/>
      <c r="R423" s="392"/>
      <c r="S423" s="358">
        <f ca="1">IF(C423&lt;=EOMONTH('&gt;&gt;Vistas Consolidadas'!$D$2, '&gt;&gt;Vistas Consolidadas'!$F$2),J423+I423,J423)</f>
        <v>23.09</v>
      </c>
      <c r="T423" s="18" t="str">
        <f ca="1">IF(C423&gt;='&gt;&gt;Vistas Consolidadas'!$D$2,"SI","NO")</f>
        <v>SI</v>
      </c>
      <c r="U423" s="358">
        <f ca="1">IF(C423&lt;=EOMONTH('&gt;&gt;Vistas Consolidadas'!$D$2, '&gt;&gt;Vistas Consolidadas'!$F$2),I423,0)</f>
        <v>23.09</v>
      </c>
      <c r="V423" s="18" t="b">
        <f ca="1">AND(C423&gt;='Interes Por Semana'!$C$4, C423&lt;='Interes Por Semana'!$E$4)</f>
        <v>0</v>
      </c>
      <c r="W423" s="18" t="str">
        <f t="shared" si="13"/>
        <v>jueves</v>
      </c>
    </row>
    <row r="424" spans="2:23" hidden="1" x14ac:dyDescent="0.25">
      <c r="B424" s="337">
        <v>45734</v>
      </c>
      <c r="C424" s="337">
        <v>46436</v>
      </c>
      <c r="D424" s="374" t="s">
        <v>78</v>
      </c>
      <c r="E424" s="309" t="s">
        <v>47</v>
      </c>
      <c r="F424" s="310" t="s">
        <v>101</v>
      </c>
      <c r="G424" s="312">
        <v>5.93</v>
      </c>
      <c r="H424" s="308">
        <v>12</v>
      </c>
      <c r="I424" s="340">
        <f>8.94</f>
        <v>8.94</v>
      </c>
      <c r="J424" s="340"/>
      <c r="K424" s="308"/>
      <c r="L424" s="340">
        <f t="shared" si="12"/>
        <v>8.94</v>
      </c>
      <c r="M424" s="308"/>
      <c r="N424" s="311"/>
      <c r="O424" s="312"/>
      <c r="P424" s="308"/>
      <c r="Q424" s="308"/>
      <c r="R424" s="392"/>
      <c r="S424" s="358">
        <f ca="1">IF(C424&lt;=EOMONTH('&gt;&gt;Vistas Consolidadas'!$D$2, '&gt;&gt;Vistas Consolidadas'!$F$2),J424+I424,J424)</f>
        <v>8.94</v>
      </c>
      <c r="T424" s="18" t="str">
        <f ca="1">IF(C424&gt;='&gt;&gt;Vistas Consolidadas'!$D$2,"SI","NO")</f>
        <v>SI</v>
      </c>
      <c r="U424" s="358">
        <f ca="1">IF(C424&lt;=EOMONTH('&gt;&gt;Vistas Consolidadas'!$D$2, '&gt;&gt;Vistas Consolidadas'!$F$2),I424,0)</f>
        <v>8.94</v>
      </c>
      <c r="V424" s="18" t="b">
        <f ca="1">AND(C424&gt;='Interes Por Semana'!$C$4, C424&lt;='Interes Por Semana'!$E$4)</f>
        <v>0</v>
      </c>
      <c r="W424" s="18" t="str">
        <f t="shared" si="13"/>
        <v>jueves</v>
      </c>
    </row>
    <row r="425" spans="2:23" hidden="1" x14ac:dyDescent="0.25">
      <c r="B425" s="337">
        <v>45264</v>
      </c>
      <c r="C425" s="337">
        <v>46439</v>
      </c>
      <c r="D425" s="374" t="s">
        <v>78</v>
      </c>
      <c r="E425" s="309" t="s">
        <v>46</v>
      </c>
      <c r="F425" s="310" t="s">
        <v>103</v>
      </c>
      <c r="G425" s="312">
        <v>5.36</v>
      </c>
      <c r="H425" s="308">
        <v>13</v>
      </c>
      <c r="I425" s="340">
        <v>5.58</v>
      </c>
      <c r="J425" s="340"/>
      <c r="K425" s="308"/>
      <c r="L425" s="340">
        <f t="shared" si="12"/>
        <v>5.58</v>
      </c>
      <c r="M425" s="308"/>
      <c r="N425" s="311"/>
      <c r="O425" s="312"/>
      <c r="P425" s="308"/>
      <c r="Q425" s="308"/>
      <c r="R425" s="392"/>
      <c r="S425" s="358">
        <f ca="1">IF(C425&lt;=EOMONTH('&gt;&gt;Vistas Consolidadas'!$D$2, '&gt;&gt;Vistas Consolidadas'!$F$2),J425+I425,J425)</f>
        <v>5.58</v>
      </c>
      <c r="T425" s="18" t="str">
        <f ca="1">IF(C425&gt;='&gt;&gt;Vistas Consolidadas'!$D$2,"SI","NO")</f>
        <v>SI</v>
      </c>
      <c r="U425" s="358">
        <f ca="1">IF(C425&lt;=EOMONTH('&gt;&gt;Vistas Consolidadas'!$D$2, '&gt;&gt;Vistas Consolidadas'!$F$2),I425,0)</f>
        <v>5.58</v>
      </c>
      <c r="V425" s="18" t="b">
        <f ca="1">AND(C425&gt;='Interes Por Semana'!$C$4, C425&lt;='Interes Por Semana'!$E$4)</f>
        <v>0</v>
      </c>
      <c r="W425" s="18" t="str">
        <f t="shared" si="13"/>
        <v>domingo</v>
      </c>
    </row>
    <row r="426" spans="2:23" hidden="1" x14ac:dyDescent="0.25">
      <c r="B426" s="337">
        <v>45279</v>
      </c>
      <c r="C426" s="337">
        <v>46439</v>
      </c>
      <c r="D426" s="374" t="s">
        <v>78</v>
      </c>
      <c r="E426" s="309" t="s">
        <v>46</v>
      </c>
      <c r="F426" s="310" t="s">
        <v>103</v>
      </c>
      <c r="G426" s="312">
        <v>5.36</v>
      </c>
      <c r="H426" s="308">
        <v>13</v>
      </c>
      <c r="I426" s="340">
        <v>3.13</v>
      </c>
      <c r="J426" s="340"/>
      <c r="K426" s="308"/>
      <c r="L426" s="340">
        <f t="shared" si="12"/>
        <v>3.13</v>
      </c>
      <c r="M426" s="308"/>
      <c r="N426" s="311"/>
      <c r="O426" s="312"/>
      <c r="P426" s="308"/>
      <c r="Q426" s="308"/>
      <c r="R426" s="392"/>
      <c r="S426" s="358">
        <f ca="1">IF(C426&lt;=EOMONTH('&gt;&gt;Vistas Consolidadas'!$D$2, '&gt;&gt;Vistas Consolidadas'!$F$2),J426+I426,J426)</f>
        <v>3.13</v>
      </c>
      <c r="T426" s="18" t="str">
        <f ca="1">IF(C426&gt;='&gt;&gt;Vistas Consolidadas'!$D$2,"SI","NO")</f>
        <v>SI</v>
      </c>
      <c r="U426" s="358">
        <f ca="1">IF(C426&lt;=EOMONTH('&gt;&gt;Vistas Consolidadas'!$D$2, '&gt;&gt;Vistas Consolidadas'!$F$2),I426,0)</f>
        <v>3.13</v>
      </c>
      <c r="V426" s="18" t="b">
        <f ca="1">AND(C426&gt;='Interes Por Semana'!$C$4, C426&lt;='Interes Por Semana'!$E$4)</f>
        <v>0</v>
      </c>
      <c r="W426" s="18" t="str">
        <f t="shared" si="13"/>
        <v>domingo</v>
      </c>
    </row>
    <row r="427" spans="2:23" hidden="1" x14ac:dyDescent="0.25">
      <c r="B427" s="337">
        <v>45552</v>
      </c>
      <c r="C427" s="337">
        <v>46439</v>
      </c>
      <c r="D427" s="374" t="s">
        <v>78</v>
      </c>
      <c r="E427" s="309" t="s">
        <v>47</v>
      </c>
      <c r="F427" s="310" t="s">
        <v>103</v>
      </c>
      <c r="G427" s="312">
        <v>5.36</v>
      </c>
      <c r="H427" s="308">
        <v>13.75</v>
      </c>
      <c r="I427" s="340">
        <f>4.47</f>
        <v>4.47</v>
      </c>
      <c r="J427" s="340"/>
      <c r="K427" s="308"/>
      <c r="L427" s="340">
        <f t="shared" si="12"/>
        <v>4.47</v>
      </c>
      <c r="M427" s="308"/>
      <c r="N427" s="311"/>
      <c r="O427" s="312"/>
      <c r="P427" s="308"/>
      <c r="Q427" s="308"/>
      <c r="R427" s="392"/>
      <c r="S427" s="358">
        <f ca="1">IF(C427&lt;=EOMONTH('&gt;&gt;Vistas Consolidadas'!$D$2, '&gt;&gt;Vistas Consolidadas'!$F$2),J427+I427,J427)</f>
        <v>4.47</v>
      </c>
      <c r="T427" s="18" t="str">
        <f ca="1">IF(C427&gt;='&gt;&gt;Vistas Consolidadas'!$D$2,"SI","NO")</f>
        <v>SI</v>
      </c>
      <c r="U427" s="358">
        <f ca="1">IF(C427&lt;=EOMONTH('&gt;&gt;Vistas Consolidadas'!$D$2, '&gt;&gt;Vistas Consolidadas'!$F$2),I427,0)</f>
        <v>4.47</v>
      </c>
      <c r="V427" s="18" t="b">
        <f ca="1">AND(C427&gt;='Interes Por Semana'!$C$4, C427&lt;='Interes Por Semana'!$E$4)</f>
        <v>0</v>
      </c>
      <c r="W427" s="18" t="str">
        <f t="shared" si="13"/>
        <v>domingo</v>
      </c>
    </row>
    <row r="428" spans="2:23" hidden="1" x14ac:dyDescent="0.25">
      <c r="B428" s="337">
        <v>45447</v>
      </c>
      <c r="C428" s="337">
        <v>46442</v>
      </c>
      <c r="D428" s="374" t="s">
        <v>78</v>
      </c>
      <c r="E428" s="309" t="s">
        <v>47</v>
      </c>
      <c r="F428" s="310" t="s">
        <v>105</v>
      </c>
      <c r="G428" s="312">
        <v>5.93</v>
      </c>
      <c r="H428" s="308">
        <v>13.25</v>
      </c>
      <c r="I428" s="340">
        <f>29.65</f>
        <v>29.65</v>
      </c>
      <c r="J428" s="340"/>
      <c r="K428" s="308"/>
      <c r="L428" s="340">
        <f t="shared" si="12"/>
        <v>29.65</v>
      </c>
      <c r="M428" s="308"/>
      <c r="N428" s="311"/>
      <c r="O428" s="312"/>
      <c r="P428" s="308"/>
      <c r="Q428" s="308"/>
      <c r="R428" s="392"/>
      <c r="S428" s="358">
        <f ca="1">IF(C428&lt;=EOMONTH('&gt;&gt;Vistas Consolidadas'!$D$2, '&gt;&gt;Vistas Consolidadas'!$F$2),J428+I428,J428)</f>
        <v>29.65</v>
      </c>
      <c r="T428" s="18" t="str">
        <f ca="1">IF(C428&gt;='&gt;&gt;Vistas Consolidadas'!$D$2,"SI","NO")</f>
        <v>SI</v>
      </c>
      <c r="U428" s="358">
        <f ca="1">IF(C428&lt;=EOMONTH('&gt;&gt;Vistas Consolidadas'!$D$2, '&gt;&gt;Vistas Consolidadas'!$F$2),I428,0)</f>
        <v>29.65</v>
      </c>
      <c r="V428" s="18" t="b">
        <f ca="1">AND(C428&gt;='Interes Por Semana'!$C$4, C428&lt;='Interes Por Semana'!$E$4)</f>
        <v>0</v>
      </c>
      <c r="W428" s="18" t="str">
        <f t="shared" si="13"/>
        <v>miércoles</v>
      </c>
    </row>
    <row r="429" spans="2:23" hidden="1" x14ac:dyDescent="0.25">
      <c r="B429" s="337">
        <v>45832</v>
      </c>
      <c r="C429" s="337">
        <v>46443</v>
      </c>
      <c r="D429" s="374" t="s">
        <v>78</v>
      </c>
      <c r="E429" s="309" t="s">
        <v>47</v>
      </c>
      <c r="F429" s="310" t="s">
        <v>106</v>
      </c>
      <c r="G429" s="312">
        <v>5.93</v>
      </c>
      <c r="H429" s="308">
        <v>11</v>
      </c>
      <c r="I429" s="340">
        <f>22.41</f>
        <v>22.41</v>
      </c>
      <c r="J429" s="340"/>
      <c r="K429" s="308"/>
      <c r="L429" s="340">
        <f t="shared" si="12"/>
        <v>22.41</v>
      </c>
      <c r="M429" s="308"/>
      <c r="N429" s="311"/>
      <c r="O429" s="312"/>
      <c r="P429" s="308"/>
      <c r="Q429" s="308"/>
      <c r="R429" s="392"/>
      <c r="S429" s="358">
        <f ca="1">IF(C429&lt;=EOMONTH('&gt;&gt;Vistas Consolidadas'!$D$2, '&gt;&gt;Vistas Consolidadas'!$F$2),J429+I429,J429)</f>
        <v>22.41</v>
      </c>
      <c r="T429" s="18" t="str">
        <f ca="1">IF(C429&gt;='&gt;&gt;Vistas Consolidadas'!$D$2,"SI","NO")</f>
        <v>SI</v>
      </c>
      <c r="U429" s="358">
        <f ca="1">IF(C429&lt;=EOMONTH('&gt;&gt;Vistas Consolidadas'!$D$2, '&gt;&gt;Vistas Consolidadas'!$F$2),I429,0)</f>
        <v>22.41</v>
      </c>
      <c r="V429" s="18" t="b">
        <f ca="1">AND(C429&gt;='Interes Por Semana'!$C$4, C429&lt;='Interes Por Semana'!$E$4)</f>
        <v>0</v>
      </c>
      <c r="W429" s="18" t="str">
        <f t="shared" si="13"/>
        <v>jueves</v>
      </c>
    </row>
    <row r="430" spans="2:23" hidden="1" x14ac:dyDescent="0.25">
      <c r="B430" s="337">
        <v>45889</v>
      </c>
      <c r="C430" s="337">
        <v>46443</v>
      </c>
      <c r="D430" s="374" t="s">
        <v>78</v>
      </c>
      <c r="E430" s="309" t="s">
        <v>47</v>
      </c>
      <c r="F430" s="310" t="s">
        <v>106</v>
      </c>
      <c r="G430" s="312">
        <v>6.21</v>
      </c>
      <c r="H430" s="308">
        <v>9.75</v>
      </c>
      <c r="I430" s="340">
        <v>4.5</v>
      </c>
      <c r="J430" s="340"/>
      <c r="K430" s="308"/>
      <c r="L430" s="340">
        <f t="shared" si="12"/>
        <v>4.5</v>
      </c>
      <c r="M430" s="308"/>
      <c r="N430" s="311"/>
      <c r="O430" s="312"/>
      <c r="P430" s="308"/>
      <c r="Q430" s="308"/>
      <c r="R430" s="392"/>
      <c r="S430" s="358">
        <f ca="1">IF(C430&lt;=EOMONTH('&gt;&gt;Vistas Consolidadas'!$D$2, '&gt;&gt;Vistas Consolidadas'!$F$2),J430+I430,J430)</f>
        <v>4.5</v>
      </c>
      <c r="T430" s="18" t="str">
        <f ca="1">IF(C430&gt;='&gt;&gt;Vistas Consolidadas'!$D$2,"SI","NO")</f>
        <v>SI</v>
      </c>
      <c r="U430" s="358">
        <f ca="1">IF(C430&lt;=EOMONTH('&gt;&gt;Vistas Consolidadas'!$D$2, '&gt;&gt;Vistas Consolidadas'!$F$2),I430,0)</f>
        <v>4.5</v>
      </c>
      <c r="V430" s="18" t="b">
        <f ca="1">AND(C430&gt;='Interes Por Semana'!$C$4, C430&lt;='Interes Por Semana'!$E$4)</f>
        <v>0</v>
      </c>
      <c r="W430" s="18" t="str">
        <f t="shared" si="13"/>
        <v>jueves</v>
      </c>
    </row>
    <row r="431" spans="2:23" hidden="1" x14ac:dyDescent="0.25">
      <c r="B431" s="337">
        <v>45889</v>
      </c>
      <c r="C431" s="337">
        <v>46443</v>
      </c>
      <c r="D431" s="374" t="s">
        <v>78</v>
      </c>
      <c r="E431" s="309" t="s">
        <v>46</v>
      </c>
      <c r="F431" s="310" t="s">
        <v>106</v>
      </c>
      <c r="G431" s="312">
        <v>6.21</v>
      </c>
      <c r="H431" s="308">
        <v>10.75</v>
      </c>
      <c r="I431" s="340">
        <v>25.88</v>
      </c>
      <c r="J431" s="340"/>
      <c r="K431" s="308"/>
      <c r="L431" s="340">
        <f t="shared" si="12"/>
        <v>25.88</v>
      </c>
      <c r="M431" s="308"/>
      <c r="N431" s="311"/>
      <c r="O431" s="312"/>
      <c r="P431" s="308"/>
      <c r="Q431" s="308"/>
      <c r="R431" s="392"/>
      <c r="S431" s="358">
        <f ca="1">IF(C431&lt;=EOMONTH('&gt;&gt;Vistas Consolidadas'!$D$2, '&gt;&gt;Vistas Consolidadas'!$F$2),J431+I431,J431)</f>
        <v>25.88</v>
      </c>
      <c r="T431" s="18" t="str">
        <f ca="1">IF(C431&gt;='&gt;&gt;Vistas Consolidadas'!$D$2,"SI","NO")</f>
        <v>SI</v>
      </c>
      <c r="U431" s="358">
        <f ca="1">IF(C431&lt;=EOMONTH('&gt;&gt;Vistas Consolidadas'!$D$2, '&gt;&gt;Vistas Consolidadas'!$F$2),I431,0)</f>
        <v>25.88</v>
      </c>
      <c r="V431" s="18" t="b">
        <f ca="1">AND(C431&gt;='Interes Por Semana'!$C$4, C431&lt;='Interes Por Semana'!$E$4)</f>
        <v>0</v>
      </c>
      <c r="W431" s="18" t="str">
        <f t="shared" si="13"/>
        <v>jueves</v>
      </c>
    </row>
    <row r="432" spans="2:23" hidden="1" x14ac:dyDescent="0.25">
      <c r="B432" s="337">
        <v>45593</v>
      </c>
      <c r="C432" s="337">
        <v>46444</v>
      </c>
      <c r="D432" s="374" t="s">
        <v>78</v>
      </c>
      <c r="E432" s="309" t="s">
        <v>47</v>
      </c>
      <c r="F432" s="310" t="s">
        <v>107</v>
      </c>
      <c r="G432" s="312">
        <v>5.07</v>
      </c>
      <c r="H432" s="308">
        <v>13</v>
      </c>
      <c r="I432" s="340">
        <f>11.41</f>
        <v>11.41</v>
      </c>
      <c r="J432" s="340"/>
      <c r="K432" s="308"/>
      <c r="L432" s="340">
        <f t="shared" si="12"/>
        <v>11.41</v>
      </c>
      <c r="M432" s="308"/>
      <c r="N432" s="311"/>
      <c r="O432" s="312"/>
      <c r="P432" s="308"/>
      <c r="Q432" s="308"/>
      <c r="R432" s="392"/>
      <c r="S432" s="358">
        <f ca="1">IF(C432&lt;=EOMONTH('&gt;&gt;Vistas Consolidadas'!$D$2, '&gt;&gt;Vistas Consolidadas'!$F$2),J432+I432,J432)</f>
        <v>11.41</v>
      </c>
      <c r="T432" s="18" t="str">
        <f ca="1">IF(C432&gt;='&gt;&gt;Vistas Consolidadas'!$D$2,"SI","NO")</f>
        <v>SI</v>
      </c>
      <c r="U432" s="358">
        <f ca="1">IF(C432&lt;=EOMONTH('&gt;&gt;Vistas Consolidadas'!$D$2, '&gt;&gt;Vistas Consolidadas'!$F$2),I432,0)</f>
        <v>11.41</v>
      </c>
      <c r="V432" s="18" t="b">
        <f ca="1">AND(C432&gt;='Interes Por Semana'!$C$4, C432&lt;='Interes Por Semana'!$E$4)</f>
        <v>0</v>
      </c>
      <c r="W432" s="18" t="str">
        <f t="shared" si="13"/>
        <v>viernes</v>
      </c>
    </row>
    <row r="433" spans="2:23" hidden="1" x14ac:dyDescent="0.25">
      <c r="B433" s="337">
        <v>44830</v>
      </c>
      <c r="C433" s="337">
        <v>46445</v>
      </c>
      <c r="D433" s="374" t="s">
        <v>78</v>
      </c>
      <c r="E433" s="309" t="s">
        <v>47</v>
      </c>
      <c r="F433" s="310" t="s">
        <v>108</v>
      </c>
      <c r="G433" s="312">
        <v>5.64</v>
      </c>
      <c r="H433" s="308">
        <v>10.199999999999999</v>
      </c>
      <c r="I433" s="340">
        <v>9.4</v>
      </c>
      <c r="J433" s="340"/>
      <c r="K433" s="308"/>
      <c r="L433" s="340">
        <f t="shared" si="12"/>
        <v>9.4</v>
      </c>
      <c r="M433" s="308"/>
      <c r="N433" s="311"/>
      <c r="O433" s="312"/>
      <c r="P433" s="308"/>
      <c r="Q433" s="308"/>
      <c r="R433" s="392"/>
      <c r="S433" s="358">
        <f ca="1">IF(C433&lt;=EOMONTH('&gt;&gt;Vistas Consolidadas'!$D$2, '&gt;&gt;Vistas Consolidadas'!$F$2),J433+I433,J433)</f>
        <v>9.4</v>
      </c>
      <c r="T433" s="18" t="str">
        <f ca="1">IF(C433&gt;='&gt;&gt;Vistas Consolidadas'!$D$2,"SI","NO")</f>
        <v>SI</v>
      </c>
      <c r="U433" s="358">
        <f ca="1">IF(C433&lt;=EOMONTH('&gt;&gt;Vistas Consolidadas'!$D$2, '&gt;&gt;Vistas Consolidadas'!$F$2),I433,0)</f>
        <v>9.4</v>
      </c>
      <c r="V433" s="18" t="b">
        <f ca="1">AND(C433&gt;='Interes Por Semana'!$C$4, C433&lt;='Interes Por Semana'!$E$4)</f>
        <v>0</v>
      </c>
      <c r="W433" s="18" t="str">
        <f t="shared" si="13"/>
        <v>sábado</v>
      </c>
    </row>
    <row r="434" spans="2:23" hidden="1" x14ac:dyDescent="0.25">
      <c r="B434" s="337">
        <v>46057</v>
      </c>
      <c r="C434" s="337">
        <v>46445</v>
      </c>
      <c r="D434" s="374" t="s">
        <v>78</v>
      </c>
      <c r="E434" s="309" t="s">
        <v>47</v>
      </c>
      <c r="F434" s="310" t="s">
        <v>109</v>
      </c>
      <c r="G434" s="312">
        <v>6.21</v>
      </c>
      <c r="H434" s="308">
        <v>11</v>
      </c>
      <c r="I434" s="340">
        <v>15.61</v>
      </c>
      <c r="J434" s="340"/>
      <c r="K434" s="308"/>
      <c r="L434" s="340">
        <f t="shared" si="12"/>
        <v>15.61</v>
      </c>
      <c r="M434" s="308"/>
      <c r="N434" s="311"/>
      <c r="O434" s="312"/>
      <c r="P434" s="308"/>
      <c r="Q434" s="308"/>
      <c r="R434" s="392"/>
      <c r="S434" s="358">
        <f ca="1">IF(C434&lt;=EOMONTH('&gt;&gt;Vistas Consolidadas'!$D$2, '&gt;&gt;Vistas Consolidadas'!$F$2),J434+I434,J434)</f>
        <v>15.61</v>
      </c>
      <c r="T434" s="18" t="str">
        <f ca="1">IF(C434&gt;='&gt;&gt;Vistas Consolidadas'!$D$2,"SI","NO")</f>
        <v>SI</v>
      </c>
      <c r="U434" s="358">
        <f ca="1">IF(C434&lt;=EOMONTH('&gt;&gt;Vistas Consolidadas'!$D$2, '&gt;&gt;Vistas Consolidadas'!$F$2),I434,0)</f>
        <v>15.61</v>
      </c>
      <c r="V434" s="18" t="b">
        <f ca="1">AND(C434&gt;='Interes Por Semana'!$C$4, C434&lt;='Interes Por Semana'!$E$4)</f>
        <v>0</v>
      </c>
      <c r="W434" s="18" t="str">
        <f t="shared" si="13"/>
        <v>sábado</v>
      </c>
    </row>
    <row r="435" spans="2:23" hidden="1" x14ac:dyDescent="0.25">
      <c r="B435" s="337">
        <v>46080</v>
      </c>
      <c r="C435" s="337">
        <v>46445</v>
      </c>
      <c r="D435" s="374" t="s">
        <v>78</v>
      </c>
      <c r="E435" s="309" t="s">
        <v>46</v>
      </c>
      <c r="F435" s="310" t="s">
        <v>110</v>
      </c>
      <c r="G435" s="312">
        <v>6.21</v>
      </c>
      <c r="H435" s="308">
        <v>10.6</v>
      </c>
      <c r="I435" s="340">
        <v>17.79</v>
      </c>
      <c r="J435" s="340"/>
      <c r="K435" s="308"/>
      <c r="L435" s="340">
        <f t="shared" si="12"/>
        <v>17.79</v>
      </c>
      <c r="M435" s="308"/>
      <c r="N435" s="311"/>
      <c r="O435" s="312"/>
      <c r="P435" s="308"/>
      <c r="Q435" s="308"/>
      <c r="R435" s="392"/>
      <c r="S435" s="358">
        <f ca="1">IF(C435&lt;=EOMONTH('&gt;&gt;Vistas Consolidadas'!$D$2, '&gt;&gt;Vistas Consolidadas'!$F$2),J435+I435,J435)</f>
        <v>17.79</v>
      </c>
      <c r="T435" s="18" t="str">
        <f ca="1">IF(C435&gt;='&gt;&gt;Vistas Consolidadas'!$D$2,"SI","NO")</f>
        <v>SI</v>
      </c>
      <c r="U435" s="358">
        <f ca="1">IF(C435&lt;=EOMONTH('&gt;&gt;Vistas Consolidadas'!$D$2, '&gt;&gt;Vistas Consolidadas'!$F$2),I435,0)</f>
        <v>17.79</v>
      </c>
      <c r="V435" s="18" t="b">
        <f ca="1">AND(C435&gt;='Interes Por Semana'!$C$4, C435&lt;='Interes Por Semana'!$E$4)</f>
        <v>0</v>
      </c>
      <c r="W435" s="18" t="str">
        <f t="shared" si="13"/>
        <v>sábado</v>
      </c>
    </row>
    <row r="436" spans="2:23" hidden="1" x14ac:dyDescent="0.25">
      <c r="B436" s="337">
        <v>45987</v>
      </c>
      <c r="C436" s="337">
        <v>46446</v>
      </c>
      <c r="D436" s="374" t="s">
        <v>78</v>
      </c>
      <c r="E436" s="309" t="s">
        <v>46</v>
      </c>
      <c r="F436" s="310" t="s">
        <v>111</v>
      </c>
      <c r="G436" s="312">
        <v>6.82</v>
      </c>
      <c r="H436" s="308">
        <v>11</v>
      </c>
      <c r="I436" s="340">
        <v>6.82</v>
      </c>
      <c r="J436" s="340">
        <v>0</v>
      </c>
      <c r="K436" s="308"/>
      <c r="L436" s="340">
        <f t="shared" si="12"/>
        <v>6.82</v>
      </c>
      <c r="M436" s="308"/>
      <c r="N436" s="311"/>
      <c r="O436" s="312"/>
      <c r="P436" s="308"/>
      <c r="Q436" s="308"/>
      <c r="R436" s="392"/>
      <c r="S436" s="358">
        <f ca="1">IF(C436&lt;=EOMONTH('&gt;&gt;Vistas Consolidadas'!$D$2, '&gt;&gt;Vistas Consolidadas'!$F$2),J436+I436,J436)</f>
        <v>6.82</v>
      </c>
      <c r="T436" s="18" t="str">
        <f ca="1">IF(C436&gt;='&gt;&gt;Vistas Consolidadas'!$D$2,"SI","NO")</f>
        <v>SI</v>
      </c>
      <c r="U436" s="358">
        <f ca="1">IF(C436&lt;=EOMONTH('&gt;&gt;Vistas Consolidadas'!$D$2, '&gt;&gt;Vistas Consolidadas'!$F$2),I436,0)</f>
        <v>6.82</v>
      </c>
      <c r="V436" s="18" t="b">
        <f ca="1">AND(C436&gt;='Interes Por Semana'!$C$4, C436&lt;='Interes Por Semana'!$E$4)</f>
        <v>0</v>
      </c>
      <c r="W436" s="18" t="str">
        <f t="shared" si="13"/>
        <v>domingo</v>
      </c>
    </row>
    <row r="437" spans="2:23" hidden="1" x14ac:dyDescent="0.25">
      <c r="B437" s="337">
        <v>44700</v>
      </c>
      <c r="C437" s="337">
        <v>46460</v>
      </c>
      <c r="D437" s="374" t="s">
        <v>88</v>
      </c>
      <c r="E437" s="309" t="s">
        <v>46</v>
      </c>
      <c r="F437" s="310" t="s">
        <v>116</v>
      </c>
      <c r="G437" s="312">
        <v>8.5</v>
      </c>
      <c r="H437" s="308">
        <v>8.75</v>
      </c>
      <c r="I437" s="340">
        <v>20.72</v>
      </c>
      <c r="J437" s="340">
        <v>975</v>
      </c>
      <c r="K437" s="308"/>
      <c r="L437" s="340">
        <f t="shared" si="12"/>
        <v>20.72</v>
      </c>
      <c r="M437" s="308"/>
      <c r="N437" s="311"/>
      <c r="O437" s="312"/>
      <c r="P437" s="308"/>
      <c r="Q437" s="308"/>
      <c r="R437" s="392"/>
      <c r="S437" s="358">
        <f ca="1">IF(C437&lt;=EOMONTH('&gt;&gt;Vistas Consolidadas'!$D$2, '&gt;&gt;Vistas Consolidadas'!$F$2),J437+I437,J437)</f>
        <v>995.72</v>
      </c>
      <c r="T437" s="18" t="str">
        <f ca="1">IF(C437&gt;='&gt;&gt;Vistas Consolidadas'!$D$2,"SI","NO")</f>
        <v>SI</v>
      </c>
      <c r="U437" s="358">
        <f ca="1">IF(C437&lt;=EOMONTH('&gt;&gt;Vistas Consolidadas'!$D$2, '&gt;&gt;Vistas Consolidadas'!$F$2),I437,0)</f>
        <v>20.72</v>
      </c>
      <c r="V437" s="18" t="b">
        <f ca="1">AND(C437&gt;='Interes Por Semana'!$C$4, C437&lt;='Interes Por Semana'!$E$4)</f>
        <v>0</v>
      </c>
      <c r="W437" s="18" t="str">
        <f t="shared" si="13"/>
        <v>domingo</v>
      </c>
    </row>
    <row r="438" spans="2:23" hidden="1" x14ac:dyDescent="0.25">
      <c r="B438" s="337">
        <v>45706</v>
      </c>
      <c r="C438" s="337">
        <v>46456</v>
      </c>
      <c r="D438" s="374" t="s">
        <v>88</v>
      </c>
      <c r="E438" s="309" t="s">
        <v>46</v>
      </c>
      <c r="F438" s="310" t="s">
        <v>117</v>
      </c>
      <c r="G438" s="312">
        <v>9</v>
      </c>
      <c r="H438" s="308">
        <v>12</v>
      </c>
      <c r="I438" s="340">
        <v>305.04000000000002</v>
      </c>
      <c r="J438" s="340">
        <v>3385.31</v>
      </c>
      <c r="K438" s="308"/>
      <c r="L438" s="340">
        <f t="shared" si="12"/>
        <v>305.04000000000002</v>
      </c>
      <c r="M438" s="308"/>
      <c r="N438" s="311"/>
      <c r="O438" s="312"/>
      <c r="P438" s="308"/>
      <c r="Q438" s="308"/>
      <c r="R438" s="392"/>
      <c r="S438" s="358">
        <f ca="1">IF(C438&lt;=EOMONTH('&gt;&gt;Vistas Consolidadas'!$D$2, '&gt;&gt;Vistas Consolidadas'!$F$2),J438+I438,J438)</f>
        <v>3690.35</v>
      </c>
      <c r="T438" s="18" t="str">
        <f ca="1">IF(C438&gt;='&gt;&gt;Vistas Consolidadas'!$D$2,"SI","NO")</f>
        <v>SI</v>
      </c>
      <c r="U438" s="358">
        <f ca="1">IF(C438&lt;=EOMONTH('&gt;&gt;Vistas Consolidadas'!$D$2, '&gt;&gt;Vistas Consolidadas'!$F$2),I438,0)</f>
        <v>305.04000000000002</v>
      </c>
      <c r="V438" s="18" t="b">
        <f ca="1">AND(C438&gt;='Interes Por Semana'!$C$4, C438&lt;='Interes Por Semana'!$E$4)</f>
        <v>0</v>
      </c>
      <c r="W438" s="18" t="str">
        <f t="shared" si="13"/>
        <v>miércoles</v>
      </c>
    </row>
    <row r="439" spans="2:23" hidden="1" x14ac:dyDescent="0.25">
      <c r="B439" s="337">
        <v>46097</v>
      </c>
      <c r="C439" s="337">
        <v>46457</v>
      </c>
      <c r="D439" s="374" t="s">
        <v>88</v>
      </c>
      <c r="E439" s="309" t="s">
        <v>47</v>
      </c>
      <c r="F439" s="310" t="s">
        <v>121</v>
      </c>
      <c r="G439" s="311">
        <v>9</v>
      </c>
      <c r="H439" s="311">
        <v>10.25</v>
      </c>
      <c r="I439" s="340">
        <v>597.13</v>
      </c>
      <c r="J439" s="340">
        <v>965</v>
      </c>
      <c r="K439" s="311"/>
      <c r="L439" s="340">
        <f t="shared" si="12"/>
        <v>597.13</v>
      </c>
      <c r="M439" s="311"/>
      <c r="N439" s="311"/>
      <c r="O439" s="311"/>
      <c r="P439" s="311"/>
      <c r="Q439" s="311"/>
      <c r="R439" s="392"/>
      <c r="S439" s="358">
        <f ca="1">IF(C439&lt;=EOMONTH('&gt;&gt;Vistas Consolidadas'!$D$2, '&gt;&gt;Vistas Consolidadas'!$F$2),J439+I439,J439)</f>
        <v>1562.13</v>
      </c>
      <c r="T439" s="18" t="str">
        <f ca="1">IF(C439&gt;='&gt;&gt;Vistas Consolidadas'!$D$2,"SI","NO")</f>
        <v>SI</v>
      </c>
      <c r="U439" s="358">
        <f ca="1">IF(C439&lt;=EOMONTH('&gt;&gt;Vistas Consolidadas'!$D$2, '&gt;&gt;Vistas Consolidadas'!$F$2),I439,0)</f>
        <v>597.13</v>
      </c>
      <c r="V439" s="18" t="b">
        <f ca="1">AND(C439&gt;='Interes Por Semana'!$C$4, C439&lt;='Interes Por Semana'!$E$4)</f>
        <v>0</v>
      </c>
      <c r="W439" s="18" t="str">
        <f t="shared" si="13"/>
        <v>jueves</v>
      </c>
    </row>
    <row r="440" spans="2:23" hidden="1" x14ac:dyDescent="0.25">
      <c r="B440" s="337">
        <v>46105</v>
      </c>
      <c r="C440" s="337">
        <v>46457</v>
      </c>
      <c r="D440" s="374" t="s">
        <v>88</v>
      </c>
      <c r="E440" s="309" t="s">
        <v>47</v>
      </c>
      <c r="F440" s="310" t="s">
        <v>121</v>
      </c>
      <c r="G440" s="311">
        <v>9</v>
      </c>
      <c r="H440" s="311">
        <v>10.25</v>
      </c>
      <c r="I440" s="340">
        <v>98.64</v>
      </c>
      <c r="J440" s="340">
        <v>159.4</v>
      </c>
      <c r="K440" s="311"/>
      <c r="L440" s="340">
        <f t="shared" si="12"/>
        <v>98.64</v>
      </c>
      <c r="M440" s="311"/>
      <c r="N440" s="311"/>
      <c r="O440" s="311"/>
      <c r="P440" s="311"/>
      <c r="Q440" s="311"/>
      <c r="R440" s="392"/>
      <c r="S440" s="358">
        <f ca="1">IF(C440&lt;=EOMONTH('&gt;&gt;Vistas Consolidadas'!$D$2, '&gt;&gt;Vistas Consolidadas'!$F$2),J440+I440,J440)</f>
        <v>258.04000000000002</v>
      </c>
      <c r="T440" s="18" t="str">
        <f ca="1">IF(C440&gt;='&gt;&gt;Vistas Consolidadas'!$D$2,"SI","NO")</f>
        <v>SI</v>
      </c>
      <c r="U440" s="358">
        <f ca="1">IF(C440&lt;=EOMONTH('&gt;&gt;Vistas Consolidadas'!$D$2, '&gt;&gt;Vistas Consolidadas'!$F$2),I440,0)</f>
        <v>98.64</v>
      </c>
      <c r="V440" s="18" t="b">
        <f ca="1">AND(C440&gt;='Interes Por Semana'!$C$4, C440&lt;='Interes Por Semana'!$E$4)</f>
        <v>0</v>
      </c>
      <c r="W440" s="18" t="str">
        <f t="shared" si="13"/>
        <v>jueves</v>
      </c>
    </row>
    <row r="441" spans="2:23" hidden="1" x14ac:dyDescent="0.25">
      <c r="B441" s="337">
        <v>45559</v>
      </c>
      <c r="C441" s="337">
        <v>46458</v>
      </c>
      <c r="D441" s="374" t="s">
        <v>118</v>
      </c>
      <c r="E441" s="309" t="s">
        <v>47</v>
      </c>
      <c r="F441" s="310" t="s">
        <v>119</v>
      </c>
      <c r="G441" s="311">
        <v>8.5</v>
      </c>
      <c r="H441" s="311">
        <v>12</v>
      </c>
      <c r="I441" s="340">
        <v>276.47000000000003</v>
      </c>
      <c r="J441" s="340">
        <v>1521.7</v>
      </c>
      <c r="K441" s="308"/>
      <c r="L441" s="340">
        <f t="shared" si="12"/>
        <v>276.47000000000003</v>
      </c>
      <c r="M441" s="308"/>
      <c r="N441" s="311"/>
      <c r="O441" s="312"/>
      <c r="P441" s="308"/>
      <c r="Q441" s="308"/>
      <c r="R441" s="392"/>
      <c r="S441" s="358">
        <f ca="1">IF(C441&lt;=EOMONTH('&gt;&gt;Vistas Consolidadas'!$D$2, '&gt;&gt;Vistas Consolidadas'!$F$2),J441+I441,J441)</f>
        <v>1798.17</v>
      </c>
      <c r="T441" s="18" t="str">
        <f ca="1">IF(C441&gt;='&gt;&gt;Vistas Consolidadas'!$D$2,"SI","NO")</f>
        <v>SI</v>
      </c>
      <c r="U441" s="358">
        <f ca="1">IF(C441&lt;=EOMONTH('&gt;&gt;Vistas Consolidadas'!$D$2, '&gt;&gt;Vistas Consolidadas'!$F$2),I441,0)</f>
        <v>276.47000000000003</v>
      </c>
      <c r="V441" s="18" t="b">
        <f ca="1">AND(C441&gt;='Interes Por Semana'!$C$4, C441&lt;='Interes Por Semana'!$E$4)</f>
        <v>0</v>
      </c>
      <c r="W441" s="18" t="str">
        <f t="shared" si="13"/>
        <v>viernes</v>
      </c>
    </row>
    <row r="442" spans="2:23" hidden="1" x14ac:dyDescent="0.25">
      <c r="B442" s="337">
        <v>45559</v>
      </c>
      <c r="C442" s="337">
        <v>46458</v>
      </c>
      <c r="D442" s="374" t="s">
        <v>118</v>
      </c>
      <c r="E442" s="309" t="s">
        <v>46</v>
      </c>
      <c r="F442" s="310" t="s">
        <v>119</v>
      </c>
      <c r="G442" s="312">
        <v>8.5</v>
      </c>
      <c r="H442" s="308">
        <v>12</v>
      </c>
      <c r="I442" s="340">
        <v>43.85</v>
      </c>
      <c r="J442" s="340">
        <v>241.35</v>
      </c>
      <c r="K442" s="308"/>
      <c r="L442" s="340">
        <f t="shared" si="12"/>
        <v>43.85</v>
      </c>
      <c r="M442" s="308"/>
      <c r="N442" s="311"/>
      <c r="O442" s="312"/>
      <c r="P442" s="308"/>
      <c r="Q442" s="308"/>
      <c r="R442" s="392"/>
      <c r="S442" s="358">
        <f ca="1">IF(C442&lt;=EOMONTH('&gt;&gt;Vistas Consolidadas'!$D$2, '&gt;&gt;Vistas Consolidadas'!$F$2),J442+I442,J442)</f>
        <v>285.2</v>
      </c>
      <c r="T442" s="18" t="str">
        <f ca="1">IF(C442&gt;='&gt;&gt;Vistas Consolidadas'!$D$2,"SI","NO")</f>
        <v>SI</v>
      </c>
      <c r="U442" s="358">
        <f ca="1">IF(C442&lt;=EOMONTH('&gt;&gt;Vistas Consolidadas'!$D$2, '&gt;&gt;Vistas Consolidadas'!$F$2),I442,0)</f>
        <v>43.85</v>
      </c>
      <c r="V442" s="18" t="b">
        <f ca="1">AND(C442&gt;='Interes Por Semana'!$C$4, C442&lt;='Interes Por Semana'!$E$4)</f>
        <v>0</v>
      </c>
      <c r="W442" s="18" t="str">
        <f t="shared" si="13"/>
        <v>viernes</v>
      </c>
    </row>
    <row r="443" spans="2:23" hidden="1" x14ac:dyDescent="0.25">
      <c r="B443" s="337">
        <v>45559</v>
      </c>
      <c r="C443" s="337">
        <v>46458</v>
      </c>
      <c r="D443" s="374" t="s">
        <v>118</v>
      </c>
      <c r="E443" s="309" t="s">
        <v>48</v>
      </c>
      <c r="F443" s="310" t="s">
        <v>119</v>
      </c>
      <c r="G443" s="312">
        <v>8.5</v>
      </c>
      <c r="H443" s="308">
        <v>12</v>
      </c>
      <c r="I443" s="340">
        <v>178.14</v>
      </c>
      <c r="J443" s="340">
        <v>980.53</v>
      </c>
      <c r="K443" s="312"/>
      <c r="L443" s="340">
        <f t="shared" si="12"/>
        <v>178.14</v>
      </c>
      <c r="M443" s="308"/>
      <c r="N443" s="311"/>
      <c r="O443" s="312"/>
      <c r="P443" s="308"/>
      <c r="Q443" s="308"/>
      <c r="R443" s="392"/>
      <c r="S443" s="358">
        <f ca="1">IF(C443&lt;=EOMONTH('&gt;&gt;Vistas Consolidadas'!$D$2, '&gt;&gt;Vistas Consolidadas'!$F$2),J443+I443,J443)</f>
        <v>1158.67</v>
      </c>
      <c r="T443" s="18" t="str">
        <f ca="1">IF(C443&gt;='&gt;&gt;Vistas Consolidadas'!$D$2,"SI","NO")</f>
        <v>SI</v>
      </c>
      <c r="U443" s="358">
        <f ca="1">IF(C443&lt;=EOMONTH('&gt;&gt;Vistas Consolidadas'!$D$2, '&gt;&gt;Vistas Consolidadas'!$F$2),I443,0)</f>
        <v>178.14</v>
      </c>
      <c r="V443" s="18" t="b">
        <f ca="1">AND(C443&gt;='Interes Por Semana'!$C$4, C443&lt;='Interes Por Semana'!$E$4)</f>
        <v>0</v>
      </c>
      <c r="W443" s="18" t="str">
        <f t="shared" si="13"/>
        <v>viernes</v>
      </c>
    </row>
    <row r="444" spans="2:23" hidden="1" x14ac:dyDescent="0.25">
      <c r="B444" s="337">
        <v>45552</v>
      </c>
      <c r="C444" s="337">
        <v>46449</v>
      </c>
      <c r="D444" s="374" t="s">
        <v>78</v>
      </c>
      <c r="E444" s="309" t="s">
        <v>47</v>
      </c>
      <c r="F444" s="310" t="s">
        <v>79</v>
      </c>
      <c r="G444" s="312">
        <v>5.36</v>
      </c>
      <c r="H444" s="308">
        <v>13.5</v>
      </c>
      <c r="I444" s="340">
        <f>15.63</f>
        <v>15.63</v>
      </c>
      <c r="J444" s="340"/>
      <c r="K444" s="308"/>
      <c r="L444" s="340">
        <f t="shared" si="12"/>
        <v>15.63</v>
      </c>
      <c r="M444" s="308"/>
      <c r="N444" s="311"/>
      <c r="O444" s="312"/>
      <c r="P444" s="308"/>
      <c r="Q444" s="308"/>
      <c r="R444" s="392"/>
      <c r="S444" s="358">
        <f ca="1">IF(C444&lt;=EOMONTH('&gt;&gt;Vistas Consolidadas'!$D$2, '&gt;&gt;Vistas Consolidadas'!$F$2),J444+I444,J444)</f>
        <v>15.63</v>
      </c>
      <c r="T444" s="18" t="str">
        <f ca="1">IF(C444&gt;='&gt;&gt;Vistas Consolidadas'!$D$2,"SI","NO")</f>
        <v>SI</v>
      </c>
      <c r="U444" s="358">
        <f ca="1">IF(C444&lt;=EOMONTH('&gt;&gt;Vistas Consolidadas'!$D$2, '&gt;&gt;Vistas Consolidadas'!$F$2),I444,0)</f>
        <v>15.63</v>
      </c>
      <c r="V444" s="18" t="b">
        <f ca="1">AND(C444&gt;='Interes Por Semana'!$C$4, C444&lt;='Interes Por Semana'!$E$4)</f>
        <v>0</v>
      </c>
      <c r="W444" s="18" t="str">
        <f t="shared" si="13"/>
        <v>miércoles</v>
      </c>
    </row>
    <row r="445" spans="2:23" hidden="1" x14ac:dyDescent="0.25">
      <c r="B445" s="337">
        <v>45560</v>
      </c>
      <c r="C445" s="337">
        <v>46449</v>
      </c>
      <c r="D445" s="374" t="s">
        <v>78</v>
      </c>
      <c r="E445" s="309" t="s">
        <v>47</v>
      </c>
      <c r="F445" s="310" t="s">
        <v>79</v>
      </c>
      <c r="G445" s="312">
        <v>5.36</v>
      </c>
      <c r="H445" s="308">
        <v>12.5</v>
      </c>
      <c r="I445" s="340">
        <f>12.51</f>
        <v>12.51</v>
      </c>
      <c r="J445" s="340"/>
      <c r="K445" s="308"/>
      <c r="L445" s="340">
        <f t="shared" si="12"/>
        <v>12.51</v>
      </c>
      <c r="M445" s="308"/>
      <c r="N445" s="311"/>
      <c r="O445" s="312"/>
      <c r="P445" s="308"/>
      <c r="Q445" s="308"/>
      <c r="R445" s="392"/>
      <c r="S445" s="358">
        <f ca="1">IF(C445&lt;=EOMONTH('&gt;&gt;Vistas Consolidadas'!$D$2, '&gt;&gt;Vistas Consolidadas'!$F$2),J445+I445,J445)</f>
        <v>12.51</v>
      </c>
      <c r="T445" s="18" t="str">
        <f ca="1">IF(C445&gt;='&gt;&gt;Vistas Consolidadas'!$D$2,"SI","NO")</f>
        <v>SI</v>
      </c>
      <c r="U445" s="358">
        <f ca="1">IF(C445&lt;=EOMONTH('&gt;&gt;Vistas Consolidadas'!$D$2, '&gt;&gt;Vistas Consolidadas'!$F$2),I445,0)</f>
        <v>12.51</v>
      </c>
      <c r="V445" s="18" t="b">
        <f ca="1">AND(C445&gt;='Interes Por Semana'!$C$4, C445&lt;='Interes Por Semana'!$E$4)</f>
        <v>0</v>
      </c>
      <c r="W445" s="18" t="str">
        <f t="shared" si="13"/>
        <v>miércoles</v>
      </c>
    </row>
    <row r="446" spans="2:23" hidden="1" x14ac:dyDescent="0.25">
      <c r="B446" s="337">
        <v>45708</v>
      </c>
      <c r="C446" s="337">
        <v>46450</v>
      </c>
      <c r="D446" s="374" t="s">
        <v>78</v>
      </c>
      <c r="E446" s="309" t="s">
        <v>46</v>
      </c>
      <c r="F446" s="310" t="s">
        <v>81</v>
      </c>
      <c r="G446" s="312">
        <v>5.36</v>
      </c>
      <c r="H446" s="308">
        <v>11.35</v>
      </c>
      <c r="I446" s="340">
        <f>16.79-J446</f>
        <v>16.79</v>
      </c>
      <c r="J446" s="340">
        <v>0</v>
      </c>
      <c r="K446" s="308"/>
      <c r="L446" s="340">
        <f t="shared" si="12"/>
        <v>16.79</v>
      </c>
      <c r="M446" s="308"/>
      <c r="N446" s="311"/>
      <c r="O446" s="312"/>
      <c r="P446" s="308"/>
      <c r="Q446" s="308"/>
      <c r="R446" s="392"/>
      <c r="S446" s="358">
        <f ca="1">IF(C446&lt;=EOMONTH('&gt;&gt;Vistas Consolidadas'!$D$2, '&gt;&gt;Vistas Consolidadas'!$F$2),J446+I446,J446)</f>
        <v>16.79</v>
      </c>
      <c r="T446" s="18" t="str">
        <f ca="1">IF(C446&gt;='&gt;&gt;Vistas Consolidadas'!$D$2,"SI","NO")</f>
        <v>SI</v>
      </c>
      <c r="U446" s="358">
        <f ca="1">IF(C446&lt;=EOMONTH('&gt;&gt;Vistas Consolidadas'!$D$2, '&gt;&gt;Vistas Consolidadas'!$F$2),I446,0)</f>
        <v>16.79</v>
      </c>
      <c r="V446" s="18" t="b">
        <f ca="1">AND(C446&gt;='Interes Por Semana'!$C$4, C446&lt;='Interes Por Semana'!$E$4)</f>
        <v>0</v>
      </c>
      <c r="W446" s="18" t="str">
        <f t="shared" si="13"/>
        <v>jueves</v>
      </c>
    </row>
    <row r="447" spans="2:23" hidden="1" x14ac:dyDescent="0.25">
      <c r="B447" s="337">
        <v>46057</v>
      </c>
      <c r="C447" s="337">
        <v>46452</v>
      </c>
      <c r="D447" s="374" t="s">
        <v>78</v>
      </c>
      <c r="E447" s="309" t="s">
        <v>47</v>
      </c>
      <c r="F447" s="310" t="s">
        <v>85</v>
      </c>
      <c r="G447" s="312">
        <v>7.93</v>
      </c>
      <c r="H447" s="308">
        <v>11.25</v>
      </c>
      <c r="I447" s="340">
        <v>58.023180428134552</v>
      </c>
      <c r="J447" s="340"/>
      <c r="K447" s="308"/>
      <c r="L447" s="340">
        <f t="shared" si="12"/>
        <v>58.023180428134552</v>
      </c>
      <c r="M447" s="308"/>
      <c r="N447" s="311"/>
      <c r="O447" s="312"/>
      <c r="P447" s="308"/>
      <c r="Q447" s="308"/>
      <c r="R447" s="392"/>
      <c r="S447" s="358">
        <f ca="1">IF(C447&lt;=EOMONTH('&gt;&gt;Vistas Consolidadas'!$D$2, '&gt;&gt;Vistas Consolidadas'!$F$2),J447+I447,J447)</f>
        <v>58.023180428134552</v>
      </c>
      <c r="T447" s="18" t="str">
        <f ca="1">IF(C447&gt;='&gt;&gt;Vistas Consolidadas'!$D$2,"SI","NO")</f>
        <v>SI</v>
      </c>
      <c r="U447" s="358">
        <f ca="1">IF(C447&lt;=EOMONTH('&gt;&gt;Vistas Consolidadas'!$D$2, '&gt;&gt;Vistas Consolidadas'!$F$2),I447,0)</f>
        <v>58.023180428134552</v>
      </c>
      <c r="V447" s="18" t="b">
        <f ca="1">AND(C447&gt;='Interes Por Semana'!$C$4, C447&lt;='Interes Por Semana'!$E$4)</f>
        <v>0</v>
      </c>
      <c r="W447" s="18" t="str">
        <f t="shared" si="13"/>
        <v>sábado</v>
      </c>
    </row>
    <row r="448" spans="2:23" hidden="1" x14ac:dyDescent="0.25">
      <c r="B448" s="337">
        <v>46057</v>
      </c>
      <c r="C448" s="337">
        <v>46452</v>
      </c>
      <c r="D448" s="374" t="s">
        <v>78</v>
      </c>
      <c r="E448" s="309" t="s">
        <v>47</v>
      </c>
      <c r="F448" s="310" t="s">
        <v>86</v>
      </c>
      <c r="G448" s="312">
        <v>7.35</v>
      </c>
      <c r="H448" s="308">
        <v>11</v>
      </c>
      <c r="I448" s="340">
        <v>20.79</v>
      </c>
      <c r="J448" s="340"/>
      <c r="K448" s="308"/>
      <c r="L448" s="340">
        <f t="shared" si="12"/>
        <v>20.79</v>
      </c>
      <c r="M448" s="308"/>
      <c r="N448" s="311"/>
      <c r="O448" s="312"/>
      <c r="P448" s="308"/>
      <c r="Q448" s="308"/>
      <c r="R448" s="392"/>
      <c r="S448" s="358">
        <f ca="1">IF(C448&lt;=EOMONTH('&gt;&gt;Vistas Consolidadas'!$D$2, '&gt;&gt;Vistas Consolidadas'!$F$2),J448+I448,J448)</f>
        <v>20.79</v>
      </c>
      <c r="T448" s="18" t="str">
        <f ca="1">IF(C448&gt;='&gt;&gt;Vistas Consolidadas'!$D$2,"SI","NO")</f>
        <v>SI</v>
      </c>
      <c r="U448" s="358">
        <f ca="1">IF(C448&lt;=EOMONTH('&gt;&gt;Vistas Consolidadas'!$D$2, '&gt;&gt;Vistas Consolidadas'!$F$2),I448,0)</f>
        <v>20.79</v>
      </c>
      <c r="V448" s="18" t="b">
        <f ca="1">AND(C448&gt;='Interes Por Semana'!$C$4, C448&lt;='Interes Por Semana'!$E$4)</f>
        <v>0</v>
      </c>
      <c r="W448" s="18" t="str">
        <f t="shared" si="13"/>
        <v>sábado</v>
      </c>
    </row>
    <row r="449" spans="2:23" hidden="1" x14ac:dyDescent="0.25">
      <c r="B449" s="337">
        <v>46001</v>
      </c>
      <c r="C449" s="337">
        <v>46452</v>
      </c>
      <c r="D449" s="374" t="s">
        <v>78</v>
      </c>
      <c r="E449" s="309" t="s">
        <v>46</v>
      </c>
      <c r="F449" s="310" t="s">
        <v>87</v>
      </c>
      <c r="G449" s="312">
        <v>7.54</v>
      </c>
      <c r="H449" s="308">
        <v>11</v>
      </c>
      <c r="I449" s="340">
        <f>7.79</f>
        <v>7.79</v>
      </c>
      <c r="J449" s="340"/>
      <c r="K449" s="308"/>
      <c r="L449" s="340">
        <f t="shared" si="12"/>
        <v>7.79</v>
      </c>
      <c r="M449" s="308"/>
      <c r="N449" s="311"/>
      <c r="O449" s="312"/>
      <c r="P449" s="308"/>
      <c r="Q449" s="308"/>
      <c r="R449" s="392"/>
      <c r="S449" s="358">
        <f ca="1">IF(C449&lt;=EOMONTH('&gt;&gt;Vistas Consolidadas'!$D$2, '&gt;&gt;Vistas Consolidadas'!$F$2),J449+I449,J449)</f>
        <v>7.79</v>
      </c>
      <c r="T449" s="18" t="str">
        <f ca="1">IF(C449&gt;='&gt;&gt;Vistas Consolidadas'!$D$2,"SI","NO")</f>
        <v>SI</v>
      </c>
      <c r="U449" s="358">
        <f ca="1">IF(C449&lt;=EOMONTH('&gt;&gt;Vistas Consolidadas'!$D$2, '&gt;&gt;Vistas Consolidadas'!$F$2),I449,0)</f>
        <v>7.79</v>
      </c>
      <c r="V449" s="18" t="b">
        <f ca="1">AND(C449&gt;='Interes Por Semana'!$C$4, C449&lt;='Interes Por Semana'!$E$4)</f>
        <v>0</v>
      </c>
      <c r="W449" s="18" t="str">
        <f t="shared" si="13"/>
        <v>sábado</v>
      </c>
    </row>
    <row r="450" spans="2:23" hidden="1" x14ac:dyDescent="0.25">
      <c r="B450" s="337">
        <v>45943</v>
      </c>
      <c r="C450" s="337">
        <v>46456</v>
      </c>
      <c r="D450" s="374" t="s">
        <v>78</v>
      </c>
      <c r="E450" s="309" t="s">
        <v>47</v>
      </c>
      <c r="F450" s="310" t="s">
        <v>91</v>
      </c>
      <c r="G450" s="312">
        <v>7.54</v>
      </c>
      <c r="H450" s="308">
        <v>9.85</v>
      </c>
      <c r="I450" s="340">
        <v>35.25</v>
      </c>
      <c r="J450" s="340"/>
      <c r="K450" s="308"/>
      <c r="L450" s="340">
        <f t="shared" si="12"/>
        <v>35.25</v>
      </c>
      <c r="M450" s="308"/>
      <c r="N450" s="311"/>
      <c r="O450" s="312"/>
      <c r="P450" s="308"/>
      <c r="Q450" s="308"/>
      <c r="R450" s="392"/>
      <c r="S450" s="358">
        <f ca="1">IF(C450&lt;=EOMONTH('&gt;&gt;Vistas Consolidadas'!$D$2, '&gt;&gt;Vistas Consolidadas'!$F$2),J450+I450,J450)</f>
        <v>35.25</v>
      </c>
      <c r="T450" s="18" t="str">
        <f ca="1">IF(C450&gt;='&gt;&gt;Vistas Consolidadas'!$D$2,"SI","NO")</f>
        <v>SI</v>
      </c>
      <c r="U450" s="358">
        <f ca="1">IF(C450&lt;=EOMONTH('&gt;&gt;Vistas Consolidadas'!$D$2, '&gt;&gt;Vistas Consolidadas'!$F$2),I450,0)</f>
        <v>35.25</v>
      </c>
      <c r="V450" s="18" t="b">
        <f ca="1">AND(C450&gt;='Interes Por Semana'!$C$4, C450&lt;='Interes Por Semana'!$E$4)</f>
        <v>0</v>
      </c>
      <c r="W450" s="18" t="str">
        <f t="shared" si="13"/>
        <v>miércoles</v>
      </c>
    </row>
    <row r="451" spans="2:23" hidden="1" x14ac:dyDescent="0.25">
      <c r="B451" s="337">
        <v>46121</v>
      </c>
      <c r="C451" s="337">
        <v>46458</v>
      </c>
      <c r="D451" s="374" t="s">
        <v>78</v>
      </c>
      <c r="E451" s="309" t="s">
        <v>47</v>
      </c>
      <c r="F451" s="310" t="s">
        <v>93</v>
      </c>
      <c r="G451" s="312">
        <v>4.71</v>
      </c>
      <c r="H451" s="308">
        <v>9.5</v>
      </c>
      <c r="I451" s="340">
        <v>3.53</v>
      </c>
      <c r="J451" s="340">
        <v>0</v>
      </c>
      <c r="K451" s="308"/>
      <c r="L451" s="340">
        <f t="shared" ref="L451:L514" si="14">I451</f>
        <v>3.53</v>
      </c>
      <c r="M451" s="308"/>
      <c r="N451" s="311"/>
      <c r="O451" s="312"/>
      <c r="P451" s="308"/>
      <c r="Q451" s="308"/>
      <c r="R451" s="392"/>
      <c r="S451" s="358">
        <f ca="1">IF(C451&lt;=EOMONTH('&gt;&gt;Vistas Consolidadas'!$D$2, '&gt;&gt;Vistas Consolidadas'!$F$2),J451+I451,J451)</f>
        <v>3.53</v>
      </c>
      <c r="T451" s="18" t="str">
        <f ca="1">IF(C451&gt;='&gt;&gt;Vistas Consolidadas'!$D$2,"SI","NO")</f>
        <v>SI</v>
      </c>
      <c r="U451" s="358">
        <f ca="1">IF(C451&lt;=EOMONTH('&gt;&gt;Vistas Consolidadas'!$D$2, '&gt;&gt;Vistas Consolidadas'!$F$2),I451,0)</f>
        <v>3.53</v>
      </c>
      <c r="V451" s="18" t="b">
        <f ca="1">AND(C451&gt;='Interes Por Semana'!$C$4, C451&lt;='Interes Por Semana'!$E$4)</f>
        <v>0</v>
      </c>
      <c r="W451" s="18" t="str">
        <f t="shared" ref="W451:W514" si="15">TEXT(C451, "dddd")</f>
        <v>viernes</v>
      </c>
    </row>
    <row r="452" spans="2:23" hidden="1" x14ac:dyDescent="0.25">
      <c r="B452" s="337">
        <v>45323</v>
      </c>
      <c r="C452" s="337">
        <v>46461</v>
      </c>
      <c r="D452" s="374" t="s">
        <v>96</v>
      </c>
      <c r="E452" s="309" t="s">
        <v>47</v>
      </c>
      <c r="F452" s="310" t="s">
        <v>97</v>
      </c>
      <c r="G452" s="312">
        <v>6</v>
      </c>
      <c r="H452" s="308">
        <v>12</v>
      </c>
      <c r="I452" s="340">
        <v>16.670000000000002</v>
      </c>
      <c r="J452" s="340"/>
      <c r="K452" s="308"/>
      <c r="L452" s="340">
        <f t="shared" si="14"/>
        <v>16.670000000000002</v>
      </c>
      <c r="M452" s="308"/>
      <c r="N452" s="311"/>
      <c r="O452" s="312"/>
      <c r="P452" s="308"/>
      <c r="Q452" s="308"/>
      <c r="R452" s="392"/>
      <c r="S452" s="358">
        <f ca="1">IF(C452&lt;=EOMONTH('&gt;&gt;Vistas Consolidadas'!$D$2, '&gt;&gt;Vistas Consolidadas'!$F$2),J452+I452,J452)</f>
        <v>16.670000000000002</v>
      </c>
      <c r="T452" s="18" t="str">
        <f ca="1">IF(C452&gt;='&gt;&gt;Vistas Consolidadas'!$D$2,"SI","NO")</f>
        <v>SI</v>
      </c>
      <c r="U452" s="358">
        <f ca="1">IF(C452&lt;=EOMONTH('&gt;&gt;Vistas Consolidadas'!$D$2, '&gt;&gt;Vistas Consolidadas'!$F$2),I452,0)</f>
        <v>16.670000000000002</v>
      </c>
      <c r="V452" s="18" t="b">
        <f ca="1">AND(C452&gt;='Interes Por Semana'!$C$4, C452&lt;='Interes Por Semana'!$E$4)</f>
        <v>0</v>
      </c>
      <c r="W452" s="18" t="str">
        <f t="shared" si="15"/>
        <v>lunes</v>
      </c>
    </row>
    <row r="453" spans="2:23" hidden="1" x14ac:dyDescent="0.25">
      <c r="B453" s="337">
        <v>45356</v>
      </c>
      <c r="C453" s="337">
        <v>46461</v>
      </c>
      <c r="D453" s="374" t="s">
        <v>96</v>
      </c>
      <c r="E453" s="309" t="s">
        <v>47</v>
      </c>
      <c r="F453" s="310" t="s">
        <v>97</v>
      </c>
      <c r="G453" s="312">
        <v>6</v>
      </c>
      <c r="H453" s="308">
        <v>12</v>
      </c>
      <c r="I453" s="340">
        <v>108.33</v>
      </c>
      <c r="J453" s="340"/>
      <c r="K453" s="308"/>
      <c r="L453" s="340">
        <f t="shared" si="14"/>
        <v>108.33</v>
      </c>
      <c r="M453" s="308"/>
      <c r="N453" s="311"/>
      <c r="O453" s="312"/>
      <c r="P453" s="308"/>
      <c r="Q453" s="308"/>
      <c r="R453" s="392"/>
      <c r="S453" s="358">
        <f ca="1">IF(C453&lt;=EOMONTH('&gt;&gt;Vistas Consolidadas'!$D$2, '&gt;&gt;Vistas Consolidadas'!$F$2),J453+I453,J453)</f>
        <v>108.33</v>
      </c>
      <c r="T453" s="18" t="str">
        <f ca="1">IF(C453&gt;='&gt;&gt;Vistas Consolidadas'!$D$2,"SI","NO")</f>
        <v>SI</v>
      </c>
      <c r="U453" s="358">
        <f ca="1">IF(C453&lt;=EOMONTH('&gt;&gt;Vistas Consolidadas'!$D$2, '&gt;&gt;Vistas Consolidadas'!$F$2),I453,0)</f>
        <v>108.33</v>
      </c>
      <c r="V453" s="18" t="b">
        <f ca="1">AND(C453&gt;='Interes Por Semana'!$C$4, C453&lt;='Interes Por Semana'!$E$4)</f>
        <v>0</v>
      </c>
      <c r="W453" s="18" t="str">
        <f t="shared" si="15"/>
        <v>lunes</v>
      </c>
    </row>
    <row r="454" spans="2:23" hidden="1" x14ac:dyDescent="0.25">
      <c r="B454" s="337">
        <v>45006</v>
      </c>
      <c r="C454" s="337">
        <v>46461</v>
      </c>
      <c r="D454" s="374" t="s">
        <v>96</v>
      </c>
      <c r="E454" s="309" t="s">
        <v>46</v>
      </c>
      <c r="F454" s="310" t="s">
        <v>97</v>
      </c>
      <c r="G454" s="312">
        <v>6</v>
      </c>
      <c r="H454" s="308">
        <v>12</v>
      </c>
      <c r="I454" s="340">
        <v>62.5</v>
      </c>
      <c r="J454" s="340"/>
      <c r="K454" s="308"/>
      <c r="L454" s="340">
        <f t="shared" si="14"/>
        <v>62.5</v>
      </c>
      <c r="M454" s="308"/>
      <c r="N454" s="311"/>
      <c r="O454" s="312"/>
      <c r="P454" s="308"/>
      <c r="Q454" s="308"/>
      <c r="R454" s="392"/>
      <c r="S454" s="358">
        <f ca="1">IF(C454&lt;=EOMONTH('&gt;&gt;Vistas Consolidadas'!$D$2, '&gt;&gt;Vistas Consolidadas'!$F$2),J454+I454,J454)</f>
        <v>62.5</v>
      </c>
      <c r="T454" s="18" t="str">
        <f ca="1">IF(C454&gt;='&gt;&gt;Vistas Consolidadas'!$D$2,"SI","NO")</f>
        <v>SI</v>
      </c>
      <c r="U454" s="358">
        <f ca="1">IF(C454&lt;=EOMONTH('&gt;&gt;Vistas Consolidadas'!$D$2, '&gt;&gt;Vistas Consolidadas'!$F$2),I454,0)</f>
        <v>62.5</v>
      </c>
      <c r="V454" s="18" t="b">
        <f ca="1">AND(C454&gt;='Interes Por Semana'!$C$4, C454&lt;='Interes Por Semana'!$E$4)</f>
        <v>0</v>
      </c>
      <c r="W454" s="18" t="str">
        <f t="shared" si="15"/>
        <v>lunes</v>
      </c>
    </row>
    <row r="455" spans="2:23" hidden="1" x14ac:dyDescent="0.25">
      <c r="B455" s="337">
        <v>45397</v>
      </c>
      <c r="C455" s="337">
        <v>46461</v>
      </c>
      <c r="D455" s="374" t="s">
        <v>96</v>
      </c>
      <c r="E455" s="309" t="s">
        <v>47</v>
      </c>
      <c r="F455" s="310" t="s">
        <v>97</v>
      </c>
      <c r="G455" s="312">
        <v>6</v>
      </c>
      <c r="H455" s="308">
        <v>12</v>
      </c>
      <c r="I455" s="340">
        <v>54.16</v>
      </c>
      <c r="J455" s="340"/>
      <c r="K455" s="308"/>
      <c r="L455" s="340">
        <f t="shared" si="14"/>
        <v>54.16</v>
      </c>
      <c r="M455" s="308"/>
      <c r="N455" s="311"/>
      <c r="O455" s="312"/>
      <c r="P455" s="308"/>
      <c r="Q455" s="308"/>
      <c r="R455" s="392"/>
      <c r="S455" s="358">
        <f ca="1">IF(C455&lt;=EOMONTH('&gt;&gt;Vistas Consolidadas'!$D$2, '&gt;&gt;Vistas Consolidadas'!$F$2),J455+I455,J455)</f>
        <v>54.16</v>
      </c>
      <c r="T455" s="18" t="str">
        <f ca="1">IF(C455&gt;='&gt;&gt;Vistas Consolidadas'!$D$2,"SI","NO")</f>
        <v>SI</v>
      </c>
      <c r="U455" s="358">
        <f ca="1">IF(C455&lt;=EOMONTH('&gt;&gt;Vistas Consolidadas'!$D$2, '&gt;&gt;Vistas Consolidadas'!$F$2),I455,0)</f>
        <v>54.16</v>
      </c>
      <c r="V455" s="18" t="b">
        <f ca="1">AND(C455&gt;='Interes Por Semana'!$C$4, C455&lt;='Interes Por Semana'!$E$4)</f>
        <v>0</v>
      </c>
      <c r="W455" s="18" t="str">
        <f t="shared" si="15"/>
        <v>lunes</v>
      </c>
    </row>
    <row r="456" spans="2:23" hidden="1" x14ac:dyDescent="0.25">
      <c r="B456" s="337">
        <v>45397</v>
      </c>
      <c r="C456" s="337">
        <v>46461</v>
      </c>
      <c r="D456" s="374" t="s">
        <v>96</v>
      </c>
      <c r="E456" s="309" t="s">
        <v>46</v>
      </c>
      <c r="F456" s="310" t="s">
        <v>97</v>
      </c>
      <c r="G456" s="312">
        <v>6</v>
      </c>
      <c r="H456" s="308">
        <v>12</v>
      </c>
      <c r="I456" s="340">
        <v>62.5</v>
      </c>
      <c r="J456" s="340"/>
      <c r="K456" s="308"/>
      <c r="L456" s="340">
        <f t="shared" si="14"/>
        <v>62.5</v>
      </c>
      <c r="M456" s="308"/>
      <c r="N456" s="311"/>
      <c r="O456" s="312"/>
      <c r="P456" s="308"/>
      <c r="Q456" s="308"/>
      <c r="R456" s="392"/>
      <c r="S456" s="358">
        <f ca="1">IF(C456&lt;=EOMONTH('&gt;&gt;Vistas Consolidadas'!$D$2, '&gt;&gt;Vistas Consolidadas'!$F$2),J456+I456,J456)</f>
        <v>62.5</v>
      </c>
      <c r="T456" s="18" t="str">
        <f ca="1">IF(C456&gt;='&gt;&gt;Vistas Consolidadas'!$D$2,"SI","NO")</f>
        <v>SI</v>
      </c>
      <c r="U456" s="358">
        <f ca="1">IF(C456&lt;=EOMONTH('&gt;&gt;Vistas Consolidadas'!$D$2, '&gt;&gt;Vistas Consolidadas'!$F$2),I456,0)</f>
        <v>62.5</v>
      </c>
      <c r="V456" s="18" t="b">
        <f ca="1">AND(C456&gt;='Interes Por Semana'!$C$4, C456&lt;='Interes Por Semana'!$E$4)</f>
        <v>0</v>
      </c>
      <c r="W456" s="18" t="str">
        <f t="shared" si="15"/>
        <v>lunes</v>
      </c>
    </row>
    <row r="457" spans="2:23" hidden="1" x14ac:dyDescent="0.25">
      <c r="B457" s="337">
        <v>45398</v>
      </c>
      <c r="C457" s="337">
        <v>46461</v>
      </c>
      <c r="D457" s="374" t="s">
        <v>96</v>
      </c>
      <c r="E457" s="309" t="s">
        <v>47</v>
      </c>
      <c r="F457" s="310" t="s">
        <v>97</v>
      </c>
      <c r="G457" s="312">
        <v>6</v>
      </c>
      <c r="H457" s="308">
        <v>12</v>
      </c>
      <c r="I457" s="340">
        <v>16.670000000000002</v>
      </c>
      <c r="J457" s="340"/>
      <c r="K457" s="308"/>
      <c r="L457" s="340">
        <f t="shared" si="14"/>
        <v>16.670000000000002</v>
      </c>
      <c r="M457" s="308"/>
      <c r="N457" s="311"/>
      <c r="O457" s="312"/>
      <c r="P457" s="308"/>
      <c r="Q457" s="308"/>
      <c r="R457" s="392"/>
      <c r="S457" s="358">
        <f ca="1">IF(C457&lt;=EOMONTH('&gt;&gt;Vistas Consolidadas'!$D$2, '&gt;&gt;Vistas Consolidadas'!$F$2),J457+I457,J457)</f>
        <v>16.670000000000002</v>
      </c>
      <c r="T457" s="18" t="str">
        <f ca="1">IF(C457&gt;='&gt;&gt;Vistas Consolidadas'!$D$2,"SI","NO")</f>
        <v>SI</v>
      </c>
      <c r="U457" s="358">
        <f ca="1">IF(C457&lt;=EOMONTH('&gt;&gt;Vistas Consolidadas'!$D$2, '&gt;&gt;Vistas Consolidadas'!$F$2),I457,0)</f>
        <v>16.670000000000002</v>
      </c>
      <c r="V457" s="18" t="b">
        <f ca="1">AND(C457&gt;='Interes Por Semana'!$C$4, C457&lt;='Interes Por Semana'!$E$4)</f>
        <v>0</v>
      </c>
      <c r="W457" s="18" t="str">
        <f t="shared" si="15"/>
        <v>lunes</v>
      </c>
    </row>
    <row r="458" spans="2:23" hidden="1" x14ac:dyDescent="0.25">
      <c r="B458" s="337">
        <v>46105</v>
      </c>
      <c r="C458" s="337">
        <v>46461</v>
      </c>
      <c r="D458" s="374" t="s">
        <v>96</v>
      </c>
      <c r="E458" s="309" t="s">
        <v>47</v>
      </c>
      <c r="F458" s="310" t="s">
        <v>97</v>
      </c>
      <c r="G458" s="311">
        <v>6</v>
      </c>
      <c r="H458" s="311">
        <v>10</v>
      </c>
      <c r="I458" s="340">
        <v>16.670000000000002</v>
      </c>
      <c r="J458" s="340"/>
      <c r="K458" s="308"/>
      <c r="L458" s="340">
        <f t="shared" si="14"/>
        <v>16.670000000000002</v>
      </c>
      <c r="M458" s="311"/>
      <c r="N458" s="311"/>
      <c r="O458" s="311"/>
      <c r="P458" s="311"/>
      <c r="Q458" s="311"/>
      <c r="R458" s="392"/>
      <c r="S458" s="358">
        <f ca="1">IF(C458&lt;=EOMONTH('&gt;&gt;Vistas Consolidadas'!$D$2, '&gt;&gt;Vistas Consolidadas'!$F$2),J458+I458,J458)</f>
        <v>16.670000000000002</v>
      </c>
      <c r="T458" s="18" t="str">
        <f ca="1">IF(C458&gt;='&gt;&gt;Vistas Consolidadas'!$D$2,"SI","NO")</f>
        <v>SI</v>
      </c>
      <c r="U458" s="358">
        <f ca="1">IF(C458&lt;=EOMONTH('&gt;&gt;Vistas Consolidadas'!$D$2, '&gt;&gt;Vistas Consolidadas'!$F$2),I458,0)</f>
        <v>16.670000000000002</v>
      </c>
      <c r="V458" s="18" t="b">
        <f ca="1">AND(C458&gt;='Interes Por Semana'!$C$4, C458&lt;='Interes Por Semana'!$E$4)</f>
        <v>0</v>
      </c>
      <c r="W458" s="18" t="str">
        <f t="shared" si="15"/>
        <v>lunes</v>
      </c>
    </row>
    <row r="459" spans="2:23" hidden="1" x14ac:dyDescent="0.25">
      <c r="B459" s="337">
        <v>44462</v>
      </c>
      <c r="C459" s="337">
        <v>46463</v>
      </c>
      <c r="D459" s="374" t="s">
        <v>78</v>
      </c>
      <c r="E459" s="309" t="s">
        <v>46</v>
      </c>
      <c r="F459" s="310" t="s">
        <v>98</v>
      </c>
      <c r="G459" s="312">
        <v>5.64</v>
      </c>
      <c r="H459" s="308">
        <v>8.1999999999999993</v>
      </c>
      <c r="I459" s="340">
        <v>5.05</v>
      </c>
      <c r="J459" s="340"/>
      <c r="K459" s="308"/>
      <c r="L459" s="340">
        <f t="shared" si="14"/>
        <v>5.05</v>
      </c>
      <c r="M459" s="308"/>
      <c r="N459" s="311"/>
      <c r="O459" s="312"/>
      <c r="P459" s="308"/>
      <c r="Q459" s="308"/>
      <c r="R459" s="392"/>
      <c r="S459" s="358">
        <f ca="1">IF(C459&lt;=EOMONTH('&gt;&gt;Vistas Consolidadas'!$D$2, '&gt;&gt;Vistas Consolidadas'!$F$2),J459+I459,J459)</f>
        <v>5.05</v>
      </c>
      <c r="T459" s="18" t="str">
        <f ca="1">IF(C459&gt;='&gt;&gt;Vistas Consolidadas'!$D$2,"SI","NO")</f>
        <v>SI</v>
      </c>
      <c r="U459" s="358">
        <f ca="1">IF(C459&lt;=EOMONTH('&gt;&gt;Vistas Consolidadas'!$D$2, '&gt;&gt;Vistas Consolidadas'!$F$2),I459,0)</f>
        <v>5.05</v>
      </c>
      <c r="V459" s="18" t="b">
        <f ca="1">AND(C459&gt;='Interes Por Semana'!$C$4, C459&lt;='Interes Por Semana'!$E$4)</f>
        <v>0</v>
      </c>
      <c r="W459" s="18" t="str">
        <f t="shared" si="15"/>
        <v>miércoles</v>
      </c>
    </row>
    <row r="460" spans="2:23" hidden="1" x14ac:dyDescent="0.25">
      <c r="B460" s="337">
        <v>45264</v>
      </c>
      <c r="C460" s="337">
        <v>46463</v>
      </c>
      <c r="D460" s="374" t="s">
        <v>78</v>
      </c>
      <c r="E460" s="309" t="s">
        <v>46</v>
      </c>
      <c r="F460" s="310" t="s">
        <v>99</v>
      </c>
      <c r="G460" s="312">
        <v>5.64</v>
      </c>
      <c r="H460" s="308">
        <v>13</v>
      </c>
      <c r="I460" s="340">
        <v>14.1</v>
      </c>
      <c r="J460" s="340"/>
      <c r="K460" s="308"/>
      <c r="L460" s="340">
        <f t="shared" si="14"/>
        <v>14.1</v>
      </c>
      <c r="M460" s="308"/>
      <c r="N460" s="311"/>
      <c r="O460" s="312"/>
      <c r="P460" s="308"/>
      <c r="Q460" s="308"/>
      <c r="R460" s="392"/>
      <c r="S460" s="358">
        <f ca="1">IF(C460&lt;=EOMONTH('&gt;&gt;Vistas Consolidadas'!$D$2, '&gt;&gt;Vistas Consolidadas'!$F$2),J460+I460,J460)</f>
        <v>14.1</v>
      </c>
      <c r="T460" s="18" t="str">
        <f ca="1">IF(C460&gt;='&gt;&gt;Vistas Consolidadas'!$D$2,"SI","NO")</f>
        <v>SI</v>
      </c>
      <c r="U460" s="358">
        <f ca="1">IF(C460&lt;=EOMONTH('&gt;&gt;Vistas Consolidadas'!$D$2, '&gt;&gt;Vistas Consolidadas'!$F$2),I460,0)</f>
        <v>14.1</v>
      </c>
      <c r="V460" s="18" t="b">
        <f ca="1">AND(C460&gt;='Interes Por Semana'!$C$4, C460&lt;='Interes Por Semana'!$E$4)</f>
        <v>0</v>
      </c>
      <c r="W460" s="18" t="str">
        <f t="shared" si="15"/>
        <v>miércoles</v>
      </c>
    </row>
    <row r="461" spans="2:23" hidden="1" x14ac:dyDescent="0.25">
      <c r="B461" s="337">
        <v>45302</v>
      </c>
      <c r="C461" s="337">
        <v>46463</v>
      </c>
      <c r="D461" s="374" t="s">
        <v>78</v>
      </c>
      <c r="E461" s="309" t="s">
        <v>46</v>
      </c>
      <c r="F461" s="310" t="s">
        <v>99</v>
      </c>
      <c r="G461" s="312">
        <v>5.64</v>
      </c>
      <c r="H461" s="308">
        <v>12.75</v>
      </c>
      <c r="I461" s="340">
        <v>7.28</v>
      </c>
      <c r="J461" s="340"/>
      <c r="K461" s="308"/>
      <c r="L461" s="340">
        <f t="shared" si="14"/>
        <v>7.28</v>
      </c>
      <c r="M461" s="308"/>
      <c r="N461" s="311"/>
      <c r="O461" s="312"/>
      <c r="P461" s="308"/>
      <c r="Q461" s="308"/>
      <c r="R461" s="392"/>
      <c r="S461" s="358">
        <f ca="1">IF(C461&lt;=EOMONTH('&gt;&gt;Vistas Consolidadas'!$D$2, '&gt;&gt;Vistas Consolidadas'!$F$2),J461+I461,J461)</f>
        <v>7.28</v>
      </c>
      <c r="T461" s="18" t="str">
        <f ca="1">IF(C461&gt;='&gt;&gt;Vistas Consolidadas'!$D$2,"SI","NO")</f>
        <v>SI</v>
      </c>
      <c r="U461" s="358">
        <f ca="1">IF(C461&lt;=EOMONTH('&gt;&gt;Vistas Consolidadas'!$D$2, '&gt;&gt;Vistas Consolidadas'!$F$2),I461,0)</f>
        <v>7.28</v>
      </c>
      <c r="V461" s="18" t="b">
        <f ca="1">AND(C461&gt;='Interes Por Semana'!$C$4, C461&lt;='Interes Por Semana'!$E$4)</f>
        <v>0</v>
      </c>
      <c r="W461" s="18" t="str">
        <f t="shared" si="15"/>
        <v>miércoles</v>
      </c>
    </row>
    <row r="462" spans="2:23" hidden="1" x14ac:dyDescent="0.25">
      <c r="B462" s="337">
        <v>46006</v>
      </c>
      <c r="C462" s="337">
        <v>46464</v>
      </c>
      <c r="D462" s="374" t="s">
        <v>78</v>
      </c>
      <c r="E462" s="309" t="s">
        <v>46</v>
      </c>
      <c r="F462" s="310" t="s">
        <v>100</v>
      </c>
      <c r="G462" s="312">
        <v>5.93</v>
      </c>
      <c r="H462" s="308">
        <v>8.5</v>
      </c>
      <c r="I462" s="340">
        <f>23.09-J462</f>
        <v>23.09</v>
      </c>
      <c r="J462" s="340"/>
      <c r="K462" s="308"/>
      <c r="L462" s="340">
        <f t="shared" si="14"/>
        <v>23.09</v>
      </c>
      <c r="M462" s="308"/>
      <c r="N462" s="311"/>
      <c r="O462" s="312"/>
      <c r="P462" s="308"/>
      <c r="Q462" s="308"/>
      <c r="R462" s="392"/>
      <c r="S462" s="358">
        <f ca="1">IF(C462&lt;=EOMONTH('&gt;&gt;Vistas Consolidadas'!$D$2, '&gt;&gt;Vistas Consolidadas'!$F$2),J462+I462,J462)</f>
        <v>23.09</v>
      </c>
      <c r="T462" s="18" t="str">
        <f ca="1">IF(C462&gt;='&gt;&gt;Vistas Consolidadas'!$D$2,"SI","NO")</f>
        <v>SI</v>
      </c>
      <c r="U462" s="358">
        <f ca="1">IF(C462&lt;=EOMONTH('&gt;&gt;Vistas Consolidadas'!$D$2, '&gt;&gt;Vistas Consolidadas'!$F$2),I462,0)</f>
        <v>23.09</v>
      </c>
      <c r="V462" s="18" t="b">
        <f ca="1">AND(C462&gt;='Interes Por Semana'!$C$4, C462&lt;='Interes Por Semana'!$E$4)</f>
        <v>0</v>
      </c>
      <c r="W462" s="18" t="str">
        <f t="shared" si="15"/>
        <v>jueves</v>
      </c>
    </row>
    <row r="463" spans="2:23" hidden="1" x14ac:dyDescent="0.25">
      <c r="B463" s="337">
        <v>45734</v>
      </c>
      <c r="C463" s="337">
        <v>46464</v>
      </c>
      <c r="D463" s="374" t="s">
        <v>78</v>
      </c>
      <c r="E463" s="309" t="s">
        <v>47</v>
      </c>
      <c r="F463" s="310" t="s">
        <v>101</v>
      </c>
      <c r="G463" s="312">
        <v>5.93</v>
      </c>
      <c r="H463" s="308">
        <v>12</v>
      </c>
      <c r="I463" s="340">
        <f>8.94</f>
        <v>8.94</v>
      </c>
      <c r="J463" s="340"/>
      <c r="K463" s="308"/>
      <c r="L463" s="340">
        <f t="shared" si="14"/>
        <v>8.94</v>
      </c>
      <c r="M463" s="308"/>
      <c r="N463" s="311"/>
      <c r="O463" s="312"/>
      <c r="P463" s="308"/>
      <c r="Q463" s="308"/>
      <c r="R463" s="392"/>
      <c r="S463" s="358">
        <f ca="1">IF(C463&lt;=EOMONTH('&gt;&gt;Vistas Consolidadas'!$D$2, '&gt;&gt;Vistas Consolidadas'!$F$2),J463+I463,J463)</f>
        <v>8.94</v>
      </c>
      <c r="T463" s="18" t="str">
        <f ca="1">IF(C463&gt;='&gt;&gt;Vistas Consolidadas'!$D$2,"SI","NO")</f>
        <v>SI</v>
      </c>
      <c r="U463" s="358">
        <f ca="1">IF(C463&lt;=EOMONTH('&gt;&gt;Vistas Consolidadas'!$D$2, '&gt;&gt;Vistas Consolidadas'!$F$2),I463,0)</f>
        <v>8.94</v>
      </c>
      <c r="V463" s="18" t="b">
        <f ca="1">AND(C463&gt;='Interes Por Semana'!$C$4, C463&lt;='Interes Por Semana'!$E$4)</f>
        <v>0</v>
      </c>
      <c r="W463" s="18" t="str">
        <f t="shared" si="15"/>
        <v>jueves</v>
      </c>
    </row>
    <row r="464" spans="2:23" hidden="1" x14ac:dyDescent="0.25">
      <c r="B464" s="337">
        <v>45264</v>
      </c>
      <c r="C464" s="337">
        <v>46467</v>
      </c>
      <c r="D464" s="374" t="s">
        <v>78</v>
      </c>
      <c r="E464" s="309" t="s">
        <v>46</v>
      </c>
      <c r="F464" s="310" t="s">
        <v>103</v>
      </c>
      <c r="G464" s="312">
        <v>5.36</v>
      </c>
      <c r="H464" s="308">
        <v>13</v>
      </c>
      <c r="I464" s="340">
        <v>5.58</v>
      </c>
      <c r="J464" s="340"/>
      <c r="K464" s="308"/>
      <c r="L464" s="340">
        <f t="shared" si="14"/>
        <v>5.58</v>
      </c>
      <c r="M464" s="308"/>
      <c r="N464" s="311"/>
      <c r="O464" s="312"/>
      <c r="P464" s="308"/>
      <c r="Q464" s="308"/>
      <c r="R464" s="392"/>
      <c r="S464" s="358">
        <f ca="1">IF(C464&lt;=EOMONTH('&gt;&gt;Vistas Consolidadas'!$D$2, '&gt;&gt;Vistas Consolidadas'!$F$2),J464+I464,J464)</f>
        <v>5.58</v>
      </c>
      <c r="T464" s="18" t="str">
        <f ca="1">IF(C464&gt;='&gt;&gt;Vistas Consolidadas'!$D$2,"SI","NO")</f>
        <v>SI</v>
      </c>
      <c r="U464" s="358">
        <f ca="1">IF(C464&lt;=EOMONTH('&gt;&gt;Vistas Consolidadas'!$D$2, '&gt;&gt;Vistas Consolidadas'!$F$2),I464,0)</f>
        <v>5.58</v>
      </c>
      <c r="V464" s="18" t="b">
        <f ca="1">AND(C464&gt;='Interes Por Semana'!$C$4, C464&lt;='Interes Por Semana'!$E$4)</f>
        <v>0</v>
      </c>
      <c r="W464" s="18" t="str">
        <f t="shared" si="15"/>
        <v>domingo</v>
      </c>
    </row>
    <row r="465" spans="2:23" hidden="1" x14ac:dyDescent="0.25">
      <c r="B465" s="337">
        <v>45279</v>
      </c>
      <c r="C465" s="337">
        <v>46467</v>
      </c>
      <c r="D465" s="374" t="s">
        <v>78</v>
      </c>
      <c r="E465" s="309" t="s">
        <v>46</v>
      </c>
      <c r="F465" s="310" t="s">
        <v>103</v>
      </c>
      <c r="G465" s="312">
        <v>5.36</v>
      </c>
      <c r="H465" s="308">
        <v>13</v>
      </c>
      <c r="I465" s="340">
        <v>3.13</v>
      </c>
      <c r="J465" s="340"/>
      <c r="K465" s="308"/>
      <c r="L465" s="340">
        <f t="shared" si="14"/>
        <v>3.13</v>
      </c>
      <c r="M465" s="308"/>
      <c r="N465" s="311"/>
      <c r="O465" s="312"/>
      <c r="P465" s="308"/>
      <c r="Q465" s="308"/>
      <c r="R465" s="392"/>
      <c r="S465" s="358">
        <f ca="1">IF(C465&lt;=EOMONTH('&gt;&gt;Vistas Consolidadas'!$D$2, '&gt;&gt;Vistas Consolidadas'!$F$2),J465+I465,J465)</f>
        <v>3.13</v>
      </c>
      <c r="T465" s="18" t="str">
        <f ca="1">IF(C465&gt;='&gt;&gt;Vistas Consolidadas'!$D$2,"SI","NO")</f>
        <v>SI</v>
      </c>
      <c r="U465" s="358">
        <f ca="1">IF(C465&lt;=EOMONTH('&gt;&gt;Vistas Consolidadas'!$D$2, '&gt;&gt;Vistas Consolidadas'!$F$2),I465,0)</f>
        <v>3.13</v>
      </c>
      <c r="V465" s="18" t="b">
        <f ca="1">AND(C465&gt;='Interes Por Semana'!$C$4, C465&lt;='Interes Por Semana'!$E$4)</f>
        <v>0</v>
      </c>
      <c r="W465" s="18" t="str">
        <f t="shared" si="15"/>
        <v>domingo</v>
      </c>
    </row>
    <row r="466" spans="2:23" hidden="1" x14ac:dyDescent="0.25">
      <c r="B466" s="337">
        <v>45552</v>
      </c>
      <c r="C466" s="337">
        <v>46467</v>
      </c>
      <c r="D466" s="374" t="s">
        <v>78</v>
      </c>
      <c r="E466" s="309" t="s">
        <v>47</v>
      </c>
      <c r="F466" s="310" t="s">
        <v>103</v>
      </c>
      <c r="G466" s="312">
        <v>5.36</v>
      </c>
      <c r="H466" s="308">
        <v>13.75</v>
      </c>
      <c r="I466" s="340">
        <f>4.47</f>
        <v>4.47</v>
      </c>
      <c r="J466" s="340"/>
      <c r="K466" s="308"/>
      <c r="L466" s="340">
        <f t="shared" si="14"/>
        <v>4.47</v>
      </c>
      <c r="M466" s="308"/>
      <c r="N466" s="311"/>
      <c r="O466" s="312"/>
      <c r="P466" s="308"/>
      <c r="Q466" s="308"/>
      <c r="R466" s="392"/>
      <c r="S466" s="358">
        <f ca="1">IF(C466&lt;=EOMONTH('&gt;&gt;Vistas Consolidadas'!$D$2, '&gt;&gt;Vistas Consolidadas'!$F$2),J466+I466,J466)</f>
        <v>4.47</v>
      </c>
      <c r="T466" s="18" t="str">
        <f ca="1">IF(C466&gt;='&gt;&gt;Vistas Consolidadas'!$D$2,"SI","NO")</f>
        <v>SI</v>
      </c>
      <c r="U466" s="358">
        <f ca="1">IF(C466&lt;=EOMONTH('&gt;&gt;Vistas Consolidadas'!$D$2, '&gt;&gt;Vistas Consolidadas'!$F$2),I466,0)</f>
        <v>4.47</v>
      </c>
      <c r="V466" s="18" t="b">
        <f ca="1">AND(C466&gt;='Interes Por Semana'!$C$4, C466&lt;='Interes Por Semana'!$E$4)</f>
        <v>0</v>
      </c>
      <c r="W466" s="18" t="str">
        <f t="shared" si="15"/>
        <v>domingo</v>
      </c>
    </row>
    <row r="467" spans="2:23" hidden="1" x14ac:dyDescent="0.25">
      <c r="B467" s="337">
        <v>45447</v>
      </c>
      <c r="C467" s="337">
        <v>46470</v>
      </c>
      <c r="D467" s="374" t="s">
        <v>78</v>
      </c>
      <c r="E467" s="309" t="s">
        <v>47</v>
      </c>
      <c r="F467" s="310" t="s">
        <v>105</v>
      </c>
      <c r="G467" s="312">
        <v>5.93</v>
      </c>
      <c r="H467" s="308">
        <v>13.25</v>
      </c>
      <c r="I467" s="340">
        <f>29.65</f>
        <v>29.65</v>
      </c>
      <c r="J467" s="340"/>
      <c r="K467" s="308"/>
      <c r="L467" s="340">
        <f t="shared" si="14"/>
        <v>29.65</v>
      </c>
      <c r="M467" s="308"/>
      <c r="N467" s="311"/>
      <c r="O467" s="312"/>
      <c r="P467" s="308"/>
      <c r="Q467" s="308"/>
      <c r="R467" s="392"/>
      <c r="S467" s="358">
        <f ca="1">IF(C467&lt;=EOMONTH('&gt;&gt;Vistas Consolidadas'!$D$2, '&gt;&gt;Vistas Consolidadas'!$F$2),J467+I467,J467)</f>
        <v>29.65</v>
      </c>
      <c r="T467" s="18" t="str">
        <f ca="1">IF(C467&gt;='&gt;&gt;Vistas Consolidadas'!$D$2,"SI","NO")</f>
        <v>SI</v>
      </c>
      <c r="U467" s="358">
        <f ca="1">IF(C467&lt;=EOMONTH('&gt;&gt;Vistas Consolidadas'!$D$2, '&gt;&gt;Vistas Consolidadas'!$F$2),I467,0)</f>
        <v>29.65</v>
      </c>
      <c r="V467" s="18" t="b">
        <f ca="1">AND(C467&gt;='Interes Por Semana'!$C$4, C467&lt;='Interes Por Semana'!$E$4)</f>
        <v>0</v>
      </c>
      <c r="W467" s="18" t="str">
        <f t="shared" si="15"/>
        <v>miércoles</v>
      </c>
    </row>
    <row r="468" spans="2:23" hidden="1" x14ac:dyDescent="0.25">
      <c r="B468" s="337">
        <v>45832</v>
      </c>
      <c r="C468" s="337">
        <v>46471</v>
      </c>
      <c r="D468" s="374" t="s">
        <v>78</v>
      </c>
      <c r="E468" s="309" t="s">
        <v>47</v>
      </c>
      <c r="F468" s="310" t="s">
        <v>106</v>
      </c>
      <c r="G468" s="312">
        <v>5.93</v>
      </c>
      <c r="H468" s="308">
        <v>11</v>
      </c>
      <c r="I468" s="340">
        <f>22.41</f>
        <v>22.41</v>
      </c>
      <c r="J468" s="340"/>
      <c r="K468" s="308"/>
      <c r="L468" s="340">
        <f t="shared" si="14"/>
        <v>22.41</v>
      </c>
      <c r="M468" s="308"/>
      <c r="N468" s="311"/>
      <c r="O468" s="312"/>
      <c r="P468" s="308"/>
      <c r="Q468" s="308"/>
      <c r="R468" s="392"/>
      <c r="S468" s="358">
        <f ca="1">IF(C468&lt;=EOMONTH('&gt;&gt;Vistas Consolidadas'!$D$2, '&gt;&gt;Vistas Consolidadas'!$F$2),J468+I468,J468)</f>
        <v>22.41</v>
      </c>
      <c r="T468" s="18" t="str">
        <f ca="1">IF(C468&gt;='&gt;&gt;Vistas Consolidadas'!$D$2,"SI","NO")</f>
        <v>SI</v>
      </c>
      <c r="U468" s="358">
        <f ca="1">IF(C468&lt;=EOMONTH('&gt;&gt;Vistas Consolidadas'!$D$2, '&gt;&gt;Vistas Consolidadas'!$F$2),I468,0)</f>
        <v>22.41</v>
      </c>
      <c r="V468" s="18" t="b">
        <f ca="1">AND(C468&gt;='Interes Por Semana'!$C$4, C468&lt;='Interes Por Semana'!$E$4)</f>
        <v>0</v>
      </c>
      <c r="W468" s="18" t="str">
        <f t="shared" si="15"/>
        <v>jueves</v>
      </c>
    </row>
    <row r="469" spans="2:23" hidden="1" x14ac:dyDescent="0.25">
      <c r="B469" s="337">
        <v>45889</v>
      </c>
      <c r="C469" s="337">
        <v>46471</v>
      </c>
      <c r="D469" s="374" t="s">
        <v>78</v>
      </c>
      <c r="E469" s="309" t="s">
        <v>47</v>
      </c>
      <c r="F469" s="310" t="s">
        <v>106</v>
      </c>
      <c r="G469" s="312">
        <v>6.21</v>
      </c>
      <c r="H469" s="308">
        <v>9.75</v>
      </c>
      <c r="I469" s="340">
        <v>4.5</v>
      </c>
      <c r="J469" s="340"/>
      <c r="K469" s="308"/>
      <c r="L469" s="340">
        <f t="shared" si="14"/>
        <v>4.5</v>
      </c>
      <c r="M469" s="308"/>
      <c r="N469" s="311"/>
      <c r="O469" s="312"/>
      <c r="P469" s="308"/>
      <c r="Q469" s="308"/>
      <c r="R469" s="392"/>
      <c r="S469" s="358">
        <f ca="1">IF(C469&lt;=EOMONTH('&gt;&gt;Vistas Consolidadas'!$D$2, '&gt;&gt;Vistas Consolidadas'!$F$2),J469+I469,J469)</f>
        <v>4.5</v>
      </c>
      <c r="T469" s="18" t="str">
        <f ca="1">IF(C469&gt;='&gt;&gt;Vistas Consolidadas'!$D$2,"SI","NO")</f>
        <v>SI</v>
      </c>
      <c r="U469" s="358">
        <f ca="1">IF(C469&lt;=EOMONTH('&gt;&gt;Vistas Consolidadas'!$D$2, '&gt;&gt;Vistas Consolidadas'!$F$2),I469,0)</f>
        <v>4.5</v>
      </c>
      <c r="V469" s="18" t="b">
        <f ca="1">AND(C469&gt;='Interes Por Semana'!$C$4, C469&lt;='Interes Por Semana'!$E$4)</f>
        <v>0</v>
      </c>
      <c r="W469" s="18" t="str">
        <f t="shared" si="15"/>
        <v>jueves</v>
      </c>
    </row>
    <row r="470" spans="2:23" hidden="1" x14ac:dyDescent="0.25">
      <c r="B470" s="337">
        <v>45889</v>
      </c>
      <c r="C470" s="337">
        <v>46471</v>
      </c>
      <c r="D470" s="374" t="s">
        <v>78</v>
      </c>
      <c r="E470" s="309" t="s">
        <v>46</v>
      </c>
      <c r="F470" s="310" t="s">
        <v>106</v>
      </c>
      <c r="G470" s="312">
        <v>6.21</v>
      </c>
      <c r="H470" s="308">
        <v>10.75</v>
      </c>
      <c r="I470" s="340">
        <v>25.88</v>
      </c>
      <c r="J470" s="340"/>
      <c r="K470" s="308"/>
      <c r="L470" s="340">
        <f t="shared" si="14"/>
        <v>25.88</v>
      </c>
      <c r="M470" s="308"/>
      <c r="N470" s="311"/>
      <c r="O470" s="312"/>
      <c r="P470" s="308"/>
      <c r="Q470" s="308"/>
      <c r="R470" s="392"/>
      <c r="S470" s="358">
        <f ca="1">IF(C470&lt;=EOMONTH('&gt;&gt;Vistas Consolidadas'!$D$2, '&gt;&gt;Vistas Consolidadas'!$F$2),J470+I470,J470)</f>
        <v>25.88</v>
      </c>
      <c r="T470" s="18" t="str">
        <f ca="1">IF(C470&gt;='&gt;&gt;Vistas Consolidadas'!$D$2,"SI","NO")</f>
        <v>SI</v>
      </c>
      <c r="U470" s="358">
        <f ca="1">IF(C470&lt;=EOMONTH('&gt;&gt;Vistas Consolidadas'!$D$2, '&gt;&gt;Vistas Consolidadas'!$F$2),I470,0)</f>
        <v>25.88</v>
      </c>
      <c r="V470" s="18" t="b">
        <f ca="1">AND(C470&gt;='Interes Por Semana'!$C$4, C470&lt;='Interes Por Semana'!$E$4)</f>
        <v>0</v>
      </c>
      <c r="W470" s="18" t="str">
        <f t="shared" si="15"/>
        <v>jueves</v>
      </c>
    </row>
    <row r="471" spans="2:23" hidden="1" x14ac:dyDescent="0.25">
      <c r="B471" s="337">
        <v>45593</v>
      </c>
      <c r="C471" s="337">
        <v>46472</v>
      </c>
      <c r="D471" s="374" t="s">
        <v>78</v>
      </c>
      <c r="E471" s="309" t="s">
        <v>47</v>
      </c>
      <c r="F471" s="310" t="s">
        <v>107</v>
      </c>
      <c r="G471" s="312">
        <v>5.07</v>
      </c>
      <c r="H471" s="308">
        <v>13</v>
      </c>
      <c r="I471" s="340">
        <f>11.41</f>
        <v>11.41</v>
      </c>
      <c r="J471" s="340"/>
      <c r="K471" s="308"/>
      <c r="L471" s="340">
        <f t="shared" si="14"/>
        <v>11.41</v>
      </c>
      <c r="M471" s="308"/>
      <c r="N471" s="311"/>
      <c r="O471" s="312"/>
      <c r="P471" s="308"/>
      <c r="Q471" s="308"/>
      <c r="R471" s="392"/>
      <c r="S471" s="358">
        <f ca="1">IF(C471&lt;=EOMONTH('&gt;&gt;Vistas Consolidadas'!$D$2, '&gt;&gt;Vistas Consolidadas'!$F$2),J471+I471,J471)</f>
        <v>11.41</v>
      </c>
      <c r="T471" s="18" t="str">
        <f ca="1">IF(C471&gt;='&gt;&gt;Vistas Consolidadas'!$D$2,"SI","NO")</f>
        <v>SI</v>
      </c>
      <c r="U471" s="358">
        <f ca="1">IF(C471&lt;=EOMONTH('&gt;&gt;Vistas Consolidadas'!$D$2, '&gt;&gt;Vistas Consolidadas'!$F$2),I471,0)</f>
        <v>11.41</v>
      </c>
      <c r="V471" s="18" t="b">
        <f ca="1">AND(C471&gt;='Interes Por Semana'!$C$4, C471&lt;='Interes Por Semana'!$E$4)</f>
        <v>0</v>
      </c>
      <c r="W471" s="18" t="str">
        <f t="shared" si="15"/>
        <v>viernes</v>
      </c>
    </row>
    <row r="472" spans="2:23" hidden="1" x14ac:dyDescent="0.25">
      <c r="B472" s="337">
        <v>44830</v>
      </c>
      <c r="C472" s="337">
        <v>46473</v>
      </c>
      <c r="D472" s="374" t="s">
        <v>78</v>
      </c>
      <c r="E472" s="309" t="s">
        <v>47</v>
      </c>
      <c r="F472" s="310" t="s">
        <v>108</v>
      </c>
      <c r="G472" s="312">
        <v>5.64</v>
      </c>
      <c r="H472" s="308">
        <v>10.199999999999999</v>
      </c>
      <c r="I472" s="340">
        <v>9.4</v>
      </c>
      <c r="J472" s="340"/>
      <c r="K472" s="308"/>
      <c r="L472" s="340">
        <f t="shared" si="14"/>
        <v>9.4</v>
      </c>
      <c r="M472" s="308"/>
      <c r="N472" s="311"/>
      <c r="O472" s="312"/>
      <c r="P472" s="308"/>
      <c r="Q472" s="308"/>
      <c r="R472" s="392"/>
      <c r="S472" s="358">
        <f ca="1">IF(C472&lt;=EOMONTH('&gt;&gt;Vistas Consolidadas'!$D$2, '&gt;&gt;Vistas Consolidadas'!$F$2),J472+I472,J472)</f>
        <v>9.4</v>
      </c>
      <c r="T472" s="18" t="str">
        <f ca="1">IF(C472&gt;='&gt;&gt;Vistas Consolidadas'!$D$2,"SI","NO")</f>
        <v>SI</v>
      </c>
      <c r="U472" s="358">
        <f ca="1">IF(C472&lt;=EOMONTH('&gt;&gt;Vistas Consolidadas'!$D$2, '&gt;&gt;Vistas Consolidadas'!$F$2),I472,0)</f>
        <v>9.4</v>
      </c>
      <c r="V472" s="18" t="b">
        <f ca="1">AND(C472&gt;='Interes Por Semana'!$C$4, C472&lt;='Interes Por Semana'!$E$4)</f>
        <v>0</v>
      </c>
      <c r="W472" s="18" t="str">
        <f t="shared" si="15"/>
        <v>sábado</v>
      </c>
    </row>
    <row r="473" spans="2:23" hidden="1" x14ac:dyDescent="0.25">
      <c r="B473" s="337">
        <v>46057</v>
      </c>
      <c r="C473" s="337">
        <v>46473</v>
      </c>
      <c r="D473" s="374" t="s">
        <v>78</v>
      </c>
      <c r="E473" s="309" t="s">
        <v>47</v>
      </c>
      <c r="F473" s="310" t="s">
        <v>109</v>
      </c>
      <c r="G473" s="312">
        <v>6.21</v>
      </c>
      <c r="H473" s="308">
        <v>11</v>
      </c>
      <c r="I473" s="340">
        <v>15.61</v>
      </c>
      <c r="J473" s="340"/>
      <c r="K473" s="308"/>
      <c r="L473" s="340">
        <f t="shared" si="14"/>
        <v>15.61</v>
      </c>
      <c r="M473" s="308"/>
      <c r="N473" s="311"/>
      <c r="O473" s="312"/>
      <c r="P473" s="308"/>
      <c r="Q473" s="308"/>
      <c r="R473" s="392"/>
      <c r="S473" s="358">
        <f ca="1">IF(C473&lt;=EOMONTH('&gt;&gt;Vistas Consolidadas'!$D$2, '&gt;&gt;Vistas Consolidadas'!$F$2),J473+I473,J473)</f>
        <v>15.61</v>
      </c>
      <c r="T473" s="18" t="str">
        <f ca="1">IF(C473&gt;='&gt;&gt;Vistas Consolidadas'!$D$2,"SI","NO")</f>
        <v>SI</v>
      </c>
      <c r="U473" s="358">
        <f ca="1">IF(C473&lt;=EOMONTH('&gt;&gt;Vistas Consolidadas'!$D$2, '&gt;&gt;Vistas Consolidadas'!$F$2),I473,0)</f>
        <v>15.61</v>
      </c>
      <c r="V473" s="18" t="b">
        <f ca="1">AND(C473&gt;='Interes Por Semana'!$C$4, C473&lt;='Interes Por Semana'!$E$4)</f>
        <v>0</v>
      </c>
      <c r="W473" s="18" t="str">
        <f t="shared" si="15"/>
        <v>sábado</v>
      </c>
    </row>
    <row r="474" spans="2:23" hidden="1" x14ac:dyDescent="0.25">
      <c r="B474" s="337">
        <v>46080</v>
      </c>
      <c r="C474" s="337">
        <v>46473</v>
      </c>
      <c r="D474" s="374" t="s">
        <v>78</v>
      </c>
      <c r="E474" s="309" t="s">
        <v>46</v>
      </c>
      <c r="F474" s="310" t="s">
        <v>110</v>
      </c>
      <c r="G474" s="312">
        <v>6.21</v>
      </c>
      <c r="H474" s="308">
        <v>10.6</v>
      </c>
      <c r="I474" s="340">
        <v>17.79</v>
      </c>
      <c r="J474" s="340"/>
      <c r="K474" s="308"/>
      <c r="L474" s="340">
        <f t="shared" si="14"/>
        <v>17.79</v>
      </c>
      <c r="M474" s="308"/>
      <c r="N474" s="311"/>
      <c r="O474" s="312"/>
      <c r="P474" s="308"/>
      <c r="Q474" s="308"/>
      <c r="R474" s="392"/>
      <c r="S474" s="358">
        <f ca="1">IF(C474&lt;=EOMONTH('&gt;&gt;Vistas Consolidadas'!$D$2, '&gt;&gt;Vistas Consolidadas'!$F$2),J474+I474,J474)</f>
        <v>17.79</v>
      </c>
      <c r="T474" s="18" t="str">
        <f ca="1">IF(C474&gt;='&gt;&gt;Vistas Consolidadas'!$D$2,"SI","NO")</f>
        <v>SI</v>
      </c>
      <c r="U474" s="358">
        <f ca="1">IF(C474&lt;=EOMONTH('&gt;&gt;Vistas Consolidadas'!$D$2, '&gt;&gt;Vistas Consolidadas'!$F$2),I474,0)</f>
        <v>17.79</v>
      </c>
      <c r="V474" s="18" t="b">
        <f ca="1">AND(C474&gt;='Interes Por Semana'!$C$4, C474&lt;='Interes Por Semana'!$E$4)</f>
        <v>0</v>
      </c>
      <c r="W474" s="18" t="str">
        <f t="shared" si="15"/>
        <v>sábado</v>
      </c>
    </row>
    <row r="475" spans="2:23" hidden="1" x14ac:dyDescent="0.25">
      <c r="B475" s="337">
        <v>45987</v>
      </c>
      <c r="C475" s="337">
        <v>46474</v>
      </c>
      <c r="D475" s="374" t="s">
        <v>78</v>
      </c>
      <c r="E475" s="309" t="s">
        <v>46</v>
      </c>
      <c r="F475" s="310" t="s">
        <v>111</v>
      </c>
      <c r="G475" s="312">
        <v>6.82</v>
      </c>
      <c r="H475" s="308">
        <v>11</v>
      </c>
      <c r="I475" s="340">
        <v>6.82</v>
      </c>
      <c r="J475" s="340">
        <v>0</v>
      </c>
      <c r="K475" s="308"/>
      <c r="L475" s="340">
        <f t="shared" si="14"/>
        <v>6.82</v>
      </c>
      <c r="M475" s="308"/>
      <c r="N475" s="311"/>
      <c r="O475" s="312"/>
      <c r="P475" s="308"/>
      <c r="Q475" s="308"/>
      <c r="R475" s="392"/>
      <c r="S475" s="358">
        <f ca="1">IF(C475&lt;=EOMONTH('&gt;&gt;Vistas Consolidadas'!$D$2, '&gt;&gt;Vistas Consolidadas'!$F$2),J475+I475,J475)</f>
        <v>6.82</v>
      </c>
      <c r="T475" s="18" t="str">
        <f ca="1">IF(C475&gt;='&gt;&gt;Vistas Consolidadas'!$D$2,"SI","NO")</f>
        <v>SI</v>
      </c>
      <c r="U475" s="358">
        <f ca="1">IF(C475&lt;=EOMONTH('&gt;&gt;Vistas Consolidadas'!$D$2, '&gt;&gt;Vistas Consolidadas'!$F$2),I475,0)</f>
        <v>6.82</v>
      </c>
      <c r="V475" s="18" t="b">
        <f ca="1">AND(C475&gt;='Interes Por Semana'!$C$4, C475&lt;='Interes Por Semana'!$E$4)</f>
        <v>0</v>
      </c>
      <c r="W475" s="18" t="str">
        <f t="shared" si="15"/>
        <v>domingo</v>
      </c>
    </row>
    <row r="476" spans="2:23" hidden="1" x14ac:dyDescent="0.25">
      <c r="B476" s="337">
        <v>45775</v>
      </c>
      <c r="C476" s="337">
        <v>46485</v>
      </c>
      <c r="D476" s="374" t="s">
        <v>88</v>
      </c>
      <c r="E476" s="309" t="s">
        <v>47</v>
      </c>
      <c r="F476" s="310" t="s">
        <v>89</v>
      </c>
      <c r="G476" s="311">
        <v>9</v>
      </c>
      <c r="H476" s="311">
        <v>11.5</v>
      </c>
      <c r="I476" s="340">
        <v>245.53</v>
      </c>
      <c r="J476" s="340">
        <v>1663.68</v>
      </c>
      <c r="K476" s="308"/>
      <c r="L476" s="340">
        <f t="shared" si="14"/>
        <v>245.53</v>
      </c>
      <c r="M476" s="308"/>
      <c r="N476" s="311"/>
      <c r="O476" s="312"/>
      <c r="P476" s="308"/>
      <c r="Q476" s="308"/>
      <c r="R476" s="392"/>
      <c r="S476" s="358">
        <f ca="1">IF(C476&lt;=EOMONTH('&gt;&gt;Vistas Consolidadas'!$D$2, '&gt;&gt;Vistas Consolidadas'!$F$2),J476+I476,J476)</f>
        <v>1909.21</v>
      </c>
      <c r="T476" s="18" t="str">
        <f ca="1">IF(C476&gt;='&gt;&gt;Vistas Consolidadas'!$D$2,"SI","NO")</f>
        <v>SI</v>
      </c>
      <c r="U476" s="358">
        <f ca="1">IF(C476&lt;=EOMONTH('&gt;&gt;Vistas Consolidadas'!$D$2, '&gt;&gt;Vistas Consolidadas'!$F$2),I476,0)</f>
        <v>245.53</v>
      </c>
      <c r="V476" s="18" t="b">
        <f ca="1">AND(C476&gt;='Interes Por Semana'!$C$4, C476&lt;='Interes Por Semana'!$E$4)</f>
        <v>0</v>
      </c>
      <c r="W476" s="18" t="str">
        <f t="shared" si="15"/>
        <v>jueves</v>
      </c>
    </row>
    <row r="477" spans="2:23" hidden="1" x14ac:dyDescent="0.25">
      <c r="B477" s="337">
        <v>45775</v>
      </c>
      <c r="C477" s="337">
        <v>46485</v>
      </c>
      <c r="D477" s="374" t="s">
        <v>88</v>
      </c>
      <c r="E477" s="309" t="s">
        <v>47</v>
      </c>
      <c r="F477" s="310" t="s">
        <v>89</v>
      </c>
      <c r="G477" s="311">
        <v>9</v>
      </c>
      <c r="H477" s="311">
        <v>11.5</v>
      </c>
      <c r="I477" s="340">
        <v>111.23</v>
      </c>
      <c r="J477" s="340">
        <v>759.96</v>
      </c>
      <c r="K477" s="308"/>
      <c r="L477" s="340">
        <f t="shared" si="14"/>
        <v>111.23</v>
      </c>
      <c r="M477" s="308"/>
      <c r="N477" s="311"/>
      <c r="O477" s="312"/>
      <c r="P477" s="308"/>
      <c r="Q477" s="308"/>
      <c r="R477" s="392"/>
      <c r="S477" s="358">
        <f ca="1">IF(C477&lt;=EOMONTH('&gt;&gt;Vistas Consolidadas'!$D$2, '&gt;&gt;Vistas Consolidadas'!$F$2),J477+I477,J477)</f>
        <v>871.19</v>
      </c>
      <c r="T477" s="18" t="str">
        <f ca="1">IF(C477&gt;='&gt;&gt;Vistas Consolidadas'!$D$2,"SI","NO")</f>
        <v>SI</v>
      </c>
      <c r="U477" s="358">
        <f ca="1">IF(C477&lt;=EOMONTH('&gt;&gt;Vistas Consolidadas'!$D$2, '&gt;&gt;Vistas Consolidadas'!$F$2),I477,0)</f>
        <v>111.23</v>
      </c>
      <c r="V477" s="18" t="b">
        <f ca="1">AND(C477&gt;='Interes Por Semana'!$C$4, C477&lt;='Interes Por Semana'!$E$4)</f>
        <v>0</v>
      </c>
      <c r="W477" s="18" t="str">
        <f t="shared" si="15"/>
        <v>jueves</v>
      </c>
    </row>
    <row r="478" spans="2:23" hidden="1" x14ac:dyDescent="0.25">
      <c r="B478" s="337">
        <v>46072</v>
      </c>
      <c r="C478" s="337">
        <v>46490</v>
      </c>
      <c r="D478" s="374" t="s">
        <v>88</v>
      </c>
      <c r="E478" s="309" t="s">
        <v>46</v>
      </c>
      <c r="F478" s="310" t="s">
        <v>94</v>
      </c>
      <c r="G478" s="312">
        <v>9</v>
      </c>
      <c r="H478" s="308">
        <v>10.5</v>
      </c>
      <c r="I478" s="340">
        <v>378.39</v>
      </c>
      <c r="J478" s="340">
        <v>948.02</v>
      </c>
      <c r="K478" s="308"/>
      <c r="L478" s="340">
        <f t="shared" si="14"/>
        <v>378.39</v>
      </c>
      <c r="M478" s="308"/>
      <c r="N478" s="311"/>
      <c r="O478" s="312"/>
      <c r="P478" s="308"/>
      <c r="Q478" s="308"/>
      <c r="R478" s="392"/>
      <c r="S478" s="358">
        <f ca="1">IF(C478&lt;=EOMONTH('&gt;&gt;Vistas Consolidadas'!$D$2, '&gt;&gt;Vistas Consolidadas'!$F$2),J478+I478,J478)</f>
        <v>1326.4099999999999</v>
      </c>
      <c r="T478" s="18" t="str">
        <f ca="1">IF(C478&gt;='&gt;&gt;Vistas Consolidadas'!$D$2,"SI","NO")</f>
        <v>SI</v>
      </c>
      <c r="U478" s="358">
        <f ca="1">IF(C478&lt;=EOMONTH('&gt;&gt;Vistas Consolidadas'!$D$2, '&gt;&gt;Vistas Consolidadas'!$F$2),I478,0)</f>
        <v>378.39</v>
      </c>
      <c r="V478" s="18" t="b">
        <f ca="1">AND(C478&gt;='Interes Por Semana'!$C$4, C478&lt;='Interes Por Semana'!$E$4)</f>
        <v>0</v>
      </c>
      <c r="W478" s="18" t="str">
        <f t="shared" si="15"/>
        <v>martes</v>
      </c>
    </row>
    <row r="479" spans="2:23" hidden="1" x14ac:dyDescent="0.25">
      <c r="B479" s="337">
        <v>46072</v>
      </c>
      <c r="C479" s="337">
        <v>46498</v>
      </c>
      <c r="D479" s="374" t="s">
        <v>88</v>
      </c>
      <c r="E479" s="309" t="s">
        <v>46</v>
      </c>
      <c r="F479" s="310" t="s">
        <v>104</v>
      </c>
      <c r="G479" s="312">
        <v>9</v>
      </c>
      <c r="H479" s="308">
        <v>10.25</v>
      </c>
      <c r="I479" s="340">
        <v>307.37</v>
      </c>
      <c r="J479" s="340">
        <v>1570.16</v>
      </c>
      <c r="K479" s="308"/>
      <c r="L479" s="340">
        <f t="shared" si="14"/>
        <v>307.37</v>
      </c>
      <c r="M479" s="308"/>
      <c r="N479" s="311"/>
      <c r="O479" s="312"/>
      <c r="P479" s="308"/>
      <c r="Q479" s="308"/>
      <c r="R479" s="392"/>
      <c r="S479" s="358">
        <f ca="1">IF(C479&lt;=EOMONTH('&gt;&gt;Vistas Consolidadas'!$D$2, '&gt;&gt;Vistas Consolidadas'!$F$2),J479+I479,J479)</f>
        <v>1877.5300000000002</v>
      </c>
      <c r="T479" s="18" t="str">
        <f ca="1">IF(C479&gt;='&gt;&gt;Vistas Consolidadas'!$D$2,"SI","NO")</f>
        <v>SI</v>
      </c>
      <c r="U479" s="358">
        <f ca="1">IF(C479&lt;=EOMONTH('&gt;&gt;Vistas Consolidadas'!$D$2, '&gt;&gt;Vistas Consolidadas'!$F$2),I479,0)</f>
        <v>307.37</v>
      </c>
      <c r="V479" s="18" t="b">
        <f ca="1">AND(C479&gt;='Interes Por Semana'!$C$4, C479&lt;='Interes Por Semana'!$E$4)</f>
        <v>0</v>
      </c>
      <c r="W479" s="18" t="str">
        <f t="shared" si="15"/>
        <v>miércoles</v>
      </c>
    </row>
    <row r="480" spans="2:23" hidden="1" x14ac:dyDescent="0.25">
      <c r="B480" s="337">
        <v>45748</v>
      </c>
      <c r="C480" s="337">
        <v>46512</v>
      </c>
      <c r="D480" s="374" t="s">
        <v>88</v>
      </c>
      <c r="E480" s="309" t="s">
        <v>47</v>
      </c>
      <c r="F480" s="310" t="s">
        <v>125</v>
      </c>
      <c r="G480" s="311">
        <v>9</v>
      </c>
      <c r="H480" s="311">
        <v>11.5</v>
      </c>
      <c r="I480" s="340">
        <v>20.64</v>
      </c>
      <c r="J480" s="340">
        <v>229.08</v>
      </c>
      <c r="K480" s="308"/>
      <c r="L480" s="340">
        <f t="shared" si="14"/>
        <v>20.64</v>
      </c>
      <c r="M480" s="308"/>
      <c r="N480" s="311"/>
      <c r="O480" s="312"/>
      <c r="P480" s="308"/>
      <c r="Q480" s="308"/>
      <c r="R480" s="392"/>
      <c r="S480" s="358">
        <f ca="1">IF(C480&lt;=EOMONTH('&gt;&gt;Vistas Consolidadas'!$D$2, '&gt;&gt;Vistas Consolidadas'!$F$2),J480+I480,J480)</f>
        <v>249.72000000000003</v>
      </c>
      <c r="T480" s="18" t="str">
        <f ca="1">IF(C480&gt;='&gt;&gt;Vistas Consolidadas'!$D$2,"SI","NO")</f>
        <v>SI</v>
      </c>
      <c r="U480" s="358">
        <f ca="1">IF(C480&lt;=EOMONTH('&gt;&gt;Vistas Consolidadas'!$D$2, '&gt;&gt;Vistas Consolidadas'!$F$2),I480,0)</f>
        <v>20.64</v>
      </c>
      <c r="V480" s="18" t="b">
        <f ca="1">AND(C480&gt;='Interes Por Semana'!$C$4, C480&lt;='Interes Por Semana'!$E$4)</f>
        <v>0</v>
      </c>
      <c r="W480" s="18" t="str">
        <f t="shared" si="15"/>
        <v>miércoles</v>
      </c>
    </row>
    <row r="481" spans="2:23" hidden="1" x14ac:dyDescent="0.25">
      <c r="B481" s="337">
        <v>45754</v>
      </c>
      <c r="C481" s="337">
        <v>46512</v>
      </c>
      <c r="D481" s="374" t="s">
        <v>88</v>
      </c>
      <c r="E481" s="309" t="s">
        <v>47</v>
      </c>
      <c r="F481" s="310" t="s">
        <v>125</v>
      </c>
      <c r="G481" s="311">
        <v>9</v>
      </c>
      <c r="H481" s="311">
        <v>11.5</v>
      </c>
      <c r="I481" s="340">
        <v>31.000000000000028</v>
      </c>
      <c r="J481" s="340">
        <v>255.04</v>
      </c>
      <c r="K481" s="308"/>
      <c r="L481" s="340">
        <f t="shared" si="14"/>
        <v>31.000000000000028</v>
      </c>
      <c r="M481" s="308"/>
      <c r="N481" s="311"/>
      <c r="O481" s="312"/>
      <c r="P481" s="308"/>
      <c r="Q481" s="308"/>
      <c r="R481" s="392"/>
      <c r="S481" s="358">
        <f ca="1">IF(C481&lt;=EOMONTH('&gt;&gt;Vistas Consolidadas'!$D$2, '&gt;&gt;Vistas Consolidadas'!$F$2),J481+I481,J481)</f>
        <v>286.04000000000002</v>
      </c>
      <c r="T481" s="18" t="str">
        <f ca="1">IF(C481&gt;='&gt;&gt;Vistas Consolidadas'!$D$2,"SI","NO")</f>
        <v>SI</v>
      </c>
      <c r="U481" s="358">
        <f ca="1">IF(C481&lt;=EOMONTH('&gt;&gt;Vistas Consolidadas'!$D$2, '&gt;&gt;Vistas Consolidadas'!$F$2),I481,0)</f>
        <v>31.000000000000028</v>
      </c>
      <c r="V481" s="18" t="b">
        <f ca="1">AND(C481&gt;='Interes Por Semana'!$C$4, C481&lt;='Interes Por Semana'!$E$4)</f>
        <v>0</v>
      </c>
      <c r="W481" s="18" t="str">
        <f t="shared" si="15"/>
        <v>miércoles</v>
      </c>
    </row>
    <row r="482" spans="2:23" hidden="1" x14ac:dyDescent="0.25">
      <c r="B482" s="337">
        <v>45755</v>
      </c>
      <c r="C482" s="337">
        <v>46512</v>
      </c>
      <c r="D482" s="374" t="s">
        <v>88</v>
      </c>
      <c r="E482" s="309" t="s">
        <v>47</v>
      </c>
      <c r="F482" s="310" t="s">
        <v>113</v>
      </c>
      <c r="G482" s="311">
        <v>9</v>
      </c>
      <c r="H482" s="311">
        <v>11.5</v>
      </c>
      <c r="I482" s="340">
        <v>69.840000000000032</v>
      </c>
      <c r="J482" s="340">
        <v>574.88</v>
      </c>
      <c r="K482" s="308"/>
      <c r="L482" s="340">
        <f t="shared" si="14"/>
        <v>69.840000000000032</v>
      </c>
      <c r="M482" s="308"/>
      <c r="N482" s="311"/>
      <c r="O482" s="312"/>
      <c r="P482" s="308"/>
      <c r="Q482" s="308"/>
      <c r="R482" s="392"/>
      <c r="S482" s="358">
        <f ca="1">IF(C482&lt;=EOMONTH('&gt;&gt;Vistas Consolidadas'!$D$2, '&gt;&gt;Vistas Consolidadas'!$F$2),J482+I482,J482)</f>
        <v>644.72</v>
      </c>
      <c r="T482" s="18" t="str">
        <f ca="1">IF(C482&gt;='&gt;&gt;Vistas Consolidadas'!$D$2,"SI","NO")</f>
        <v>SI</v>
      </c>
      <c r="U482" s="358">
        <f ca="1">IF(C482&lt;=EOMONTH('&gt;&gt;Vistas Consolidadas'!$D$2, '&gt;&gt;Vistas Consolidadas'!$F$2),I482,0)</f>
        <v>69.840000000000032</v>
      </c>
      <c r="V482" s="18" t="b">
        <f ca="1">AND(C482&gt;='Interes Por Semana'!$C$4, C482&lt;='Interes Por Semana'!$E$4)</f>
        <v>0</v>
      </c>
      <c r="W482" s="18" t="str">
        <f t="shared" si="15"/>
        <v>miércoles</v>
      </c>
    </row>
    <row r="483" spans="2:23" hidden="1" x14ac:dyDescent="0.25">
      <c r="B483" s="337">
        <v>45775</v>
      </c>
      <c r="C483" s="337">
        <v>46512</v>
      </c>
      <c r="D483" s="374" t="s">
        <v>88</v>
      </c>
      <c r="E483" s="309" t="s">
        <v>47</v>
      </c>
      <c r="F483" s="310" t="s">
        <v>113</v>
      </c>
      <c r="G483" s="311">
        <v>9</v>
      </c>
      <c r="H483" s="311">
        <v>11.5</v>
      </c>
      <c r="I483" s="340">
        <v>196.66</v>
      </c>
      <c r="J483" s="340">
        <v>1637.62</v>
      </c>
      <c r="K483" s="308"/>
      <c r="L483" s="340">
        <f t="shared" si="14"/>
        <v>196.66</v>
      </c>
      <c r="M483" s="308"/>
      <c r="N483" s="311"/>
      <c r="O483" s="312"/>
      <c r="P483" s="308"/>
      <c r="Q483" s="308"/>
      <c r="R483" s="392"/>
      <c r="S483" s="358">
        <f ca="1">IF(C483&lt;=EOMONTH('&gt;&gt;Vistas Consolidadas'!$D$2, '&gt;&gt;Vistas Consolidadas'!$F$2),J483+I483,J483)</f>
        <v>1834.28</v>
      </c>
      <c r="T483" s="18" t="str">
        <f ca="1">IF(C483&gt;='&gt;&gt;Vistas Consolidadas'!$D$2,"SI","NO")</f>
        <v>SI</v>
      </c>
      <c r="U483" s="358">
        <f ca="1">IF(C483&lt;=EOMONTH('&gt;&gt;Vistas Consolidadas'!$D$2, '&gt;&gt;Vistas Consolidadas'!$F$2),I483,0)</f>
        <v>196.66</v>
      </c>
      <c r="V483" s="18" t="b">
        <f ca="1">AND(C483&gt;='Interes Por Semana'!$C$4, C483&lt;='Interes Por Semana'!$E$4)</f>
        <v>0</v>
      </c>
      <c r="W483" s="18" t="str">
        <f t="shared" si="15"/>
        <v>miércoles</v>
      </c>
    </row>
    <row r="484" spans="2:23" hidden="1" x14ac:dyDescent="0.25">
      <c r="B484" s="337">
        <v>45793</v>
      </c>
      <c r="C484" s="337">
        <v>46516</v>
      </c>
      <c r="D484" s="374" t="s">
        <v>88</v>
      </c>
      <c r="E484" s="309" t="s">
        <v>46</v>
      </c>
      <c r="F484" s="310" t="s">
        <v>114</v>
      </c>
      <c r="G484" s="311">
        <v>9</v>
      </c>
      <c r="H484" s="311">
        <v>11.5</v>
      </c>
      <c r="I484" s="340">
        <v>251.56</v>
      </c>
      <c r="J484" s="340">
        <v>1694.73</v>
      </c>
      <c r="K484" s="308"/>
      <c r="L484" s="340">
        <f t="shared" si="14"/>
        <v>251.56</v>
      </c>
      <c r="M484" s="308"/>
      <c r="N484" s="311"/>
      <c r="O484" s="312"/>
      <c r="P484" s="308"/>
      <c r="Q484" s="308"/>
      <c r="R484" s="392"/>
      <c r="S484" s="358">
        <f ca="1">IF(C484&lt;=EOMONTH('&gt;&gt;Vistas Consolidadas'!$D$2, '&gt;&gt;Vistas Consolidadas'!$F$2),J484+I484,J484)</f>
        <v>1946.29</v>
      </c>
      <c r="T484" s="18" t="str">
        <f ca="1">IF(C484&gt;='&gt;&gt;Vistas Consolidadas'!$D$2,"SI","NO")</f>
        <v>SI</v>
      </c>
      <c r="U484" s="358">
        <f ca="1">IF(C484&lt;=EOMONTH('&gt;&gt;Vistas Consolidadas'!$D$2, '&gt;&gt;Vistas Consolidadas'!$F$2),I484,0)</f>
        <v>251.56</v>
      </c>
      <c r="V484" s="18" t="b">
        <f ca="1">AND(C484&gt;='Interes Por Semana'!$C$4, C484&lt;='Interes Por Semana'!$E$4)</f>
        <v>0</v>
      </c>
      <c r="W484" s="18" t="str">
        <f t="shared" si="15"/>
        <v>domingo</v>
      </c>
    </row>
    <row r="485" spans="2:23" hidden="1" x14ac:dyDescent="0.25">
      <c r="B485" s="337">
        <v>44923</v>
      </c>
      <c r="C485" s="337">
        <v>46535</v>
      </c>
      <c r="D485" s="374" t="s">
        <v>88</v>
      </c>
      <c r="E485" s="309" t="s">
        <v>46</v>
      </c>
      <c r="F485" s="310" t="s">
        <v>115</v>
      </c>
      <c r="G485" s="312">
        <v>8.5</v>
      </c>
      <c r="H485" s="308">
        <v>8.5</v>
      </c>
      <c r="I485" s="340">
        <v>58.48</v>
      </c>
      <c r="J485" s="340">
        <v>1376</v>
      </c>
      <c r="K485" s="308"/>
      <c r="L485" s="340">
        <f t="shared" si="14"/>
        <v>58.48</v>
      </c>
      <c r="M485" s="308"/>
      <c r="N485" s="311"/>
      <c r="O485" s="312"/>
      <c r="P485" s="308"/>
      <c r="Q485" s="308"/>
      <c r="R485" s="392"/>
      <c r="S485" s="358">
        <f ca="1">IF(C485&lt;=EOMONTH('&gt;&gt;Vistas Consolidadas'!$D$2, '&gt;&gt;Vistas Consolidadas'!$F$2),J485+I485,J485)</f>
        <v>1434.48</v>
      </c>
      <c r="T485" s="18" t="str">
        <f ca="1">IF(C485&gt;='&gt;&gt;Vistas Consolidadas'!$D$2,"SI","NO")</f>
        <v>SI</v>
      </c>
      <c r="U485" s="358">
        <f ca="1">IF(C485&lt;=EOMONTH('&gt;&gt;Vistas Consolidadas'!$D$2, '&gt;&gt;Vistas Consolidadas'!$F$2),I485,0)</f>
        <v>58.48</v>
      </c>
      <c r="V485" s="18" t="b">
        <f ca="1">AND(C485&gt;='Interes Por Semana'!$C$4, C485&lt;='Interes Por Semana'!$E$4)</f>
        <v>0</v>
      </c>
      <c r="W485" s="18" t="str">
        <f t="shared" si="15"/>
        <v>viernes</v>
      </c>
    </row>
    <row r="486" spans="2:23" hidden="1" x14ac:dyDescent="0.25">
      <c r="B486" s="337">
        <v>44988</v>
      </c>
      <c r="C486" s="337">
        <v>46537</v>
      </c>
      <c r="D486" s="374" t="s">
        <v>88</v>
      </c>
      <c r="E486" s="309" t="s">
        <v>46</v>
      </c>
      <c r="F486" s="310" t="s">
        <v>115</v>
      </c>
      <c r="G486" s="312">
        <v>8.5</v>
      </c>
      <c r="H486" s="308">
        <v>8.5</v>
      </c>
      <c r="I486" s="340">
        <v>79.38</v>
      </c>
      <c r="J486" s="340">
        <v>1868</v>
      </c>
      <c r="K486" s="308"/>
      <c r="L486" s="340">
        <f t="shared" si="14"/>
        <v>79.38</v>
      </c>
      <c r="M486" s="308"/>
      <c r="N486" s="311"/>
      <c r="O486" s="312"/>
      <c r="P486" s="308"/>
      <c r="Q486" s="308"/>
      <c r="R486" s="392"/>
      <c r="S486" s="358">
        <f ca="1">IF(C486&lt;=EOMONTH('&gt;&gt;Vistas Consolidadas'!$D$2, '&gt;&gt;Vistas Consolidadas'!$F$2),J486+I486,J486)</f>
        <v>1947.38</v>
      </c>
      <c r="T486" s="18" t="str">
        <f ca="1">IF(C486&gt;='&gt;&gt;Vistas Consolidadas'!$D$2,"SI","NO")</f>
        <v>SI</v>
      </c>
      <c r="U486" s="358">
        <f ca="1">IF(C486&lt;=EOMONTH('&gt;&gt;Vistas Consolidadas'!$D$2, '&gt;&gt;Vistas Consolidadas'!$F$2),I486,0)</f>
        <v>79.38</v>
      </c>
      <c r="V486" s="18" t="b">
        <f ca="1">AND(C486&gt;='Interes Por Semana'!$C$4, C486&lt;='Interes Por Semana'!$E$4)</f>
        <v>0</v>
      </c>
      <c r="W486" s="18" t="str">
        <f t="shared" si="15"/>
        <v>domingo</v>
      </c>
    </row>
    <row r="487" spans="2:23" hidden="1" x14ac:dyDescent="0.25">
      <c r="B487" s="337">
        <v>45706</v>
      </c>
      <c r="C487" s="337">
        <v>46548</v>
      </c>
      <c r="D487" s="374" t="s">
        <v>88</v>
      </c>
      <c r="E487" s="309" t="s">
        <v>46</v>
      </c>
      <c r="F487" s="310" t="s">
        <v>117</v>
      </c>
      <c r="G487" s="312">
        <v>9</v>
      </c>
      <c r="H487" s="308">
        <v>12</v>
      </c>
      <c r="I487" s="340">
        <v>228.87</v>
      </c>
      <c r="J487" s="340">
        <v>3385.31</v>
      </c>
      <c r="K487" s="308"/>
      <c r="L487" s="340">
        <f t="shared" si="14"/>
        <v>228.87</v>
      </c>
      <c r="M487" s="308"/>
      <c r="N487" s="311"/>
      <c r="O487" s="312"/>
      <c r="P487" s="308"/>
      <c r="Q487" s="308"/>
      <c r="R487" s="392"/>
      <c r="S487" s="358">
        <f ca="1">IF(C487&lt;=EOMONTH('&gt;&gt;Vistas Consolidadas'!$D$2, '&gt;&gt;Vistas Consolidadas'!$F$2),J487+I487,J487)</f>
        <v>3614.18</v>
      </c>
      <c r="T487" s="18" t="str">
        <f ca="1">IF(C487&gt;='&gt;&gt;Vistas Consolidadas'!$D$2,"SI","NO")</f>
        <v>SI</v>
      </c>
      <c r="U487" s="358">
        <f ca="1">IF(C487&lt;=EOMONTH('&gt;&gt;Vistas Consolidadas'!$D$2, '&gt;&gt;Vistas Consolidadas'!$F$2),I487,0)</f>
        <v>228.87</v>
      </c>
      <c r="V487" s="18" t="b">
        <f ca="1">AND(C487&gt;='Interes Por Semana'!$C$4, C487&lt;='Interes Por Semana'!$E$4)</f>
        <v>0</v>
      </c>
      <c r="W487" s="18" t="str">
        <f t="shared" si="15"/>
        <v>jueves</v>
      </c>
    </row>
    <row r="488" spans="2:23" hidden="1" x14ac:dyDescent="0.25">
      <c r="B488" s="337">
        <v>46097</v>
      </c>
      <c r="C488" s="337">
        <v>46549</v>
      </c>
      <c r="D488" s="374" t="s">
        <v>88</v>
      </c>
      <c r="E488" s="309" t="s">
        <v>47</v>
      </c>
      <c r="F488" s="310" t="s">
        <v>121</v>
      </c>
      <c r="G488" s="311">
        <v>9</v>
      </c>
      <c r="H488" s="311">
        <v>10.25</v>
      </c>
      <c r="I488" s="340">
        <v>574.64</v>
      </c>
      <c r="J488" s="340">
        <v>965</v>
      </c>
      <c r="K488" s="311"/>
      <c r="L488" s="340">
        <f t="shared" si="14"/>
        <v>574.64</v>
      </c>
      <c r="M488" s="311"/>
      <c r="N488" s="311"/>
      <c r="O488" s="311"/>
      <c r="P488" s="311"/>
      <c r="Q488" s="311"/>
      <c r="R488" s="392"/>
      <c r="S488" s="358">
        <f ca="1">IF(C488&lt;=EOMONTH('&gt;&gt;Vistas Consolidadas'!$D$2, '&gt;&gt;Vistas Consolidadas'!$F$2),J488+I488,J488)</f>
        <v>1539.6399999999999</v>
      </c>
      <c r="T488" s="18" t="str">
        <f ca="1">IF(C488&gt;='&gt;&gt;Vistas Consolidadas'!$D$2,"SI","NO")</f>
        <v>SI</v>
      </c>
      <c r="U488" s="358">
        <f ca="1">IF(C488&lt;=EOMONTH('&gt;&gt;Vistas Consolidadas'!$D$2, '&gt;&gt;Vistas Consolidadas'!$F$2),I488,0)</f>
        <v>574.64</v>
      </c>
      <c r="V488" s="18" t="b">
        <f ca="1">AND(C488&gt;='Interes Por Semana'!$C$4, C488&lt;='Interes Por Semana'!$E$4)</f>
        <v>0</v>
      </c>
      <c r="W488" s="18" t="str">
        <f t="shared" si="15"/>
        <v>viernes</v>
      </c>
    </row>
    <row r="489" spans="2:23" hidden="1" x14ac:dyDescent="0.25">
      <c r="B489" s="337">
        <v>46105</v>
      </c>
      <c r="C489" s="337">
        <v>46549</v>
      </c>
      <c r="D489" s="374" t="s">
        <v>88</v>
      </c>
      <c r="E489" s="309" t="s">
        <v>47</v>
      </c>
      <c r="F489" s="310" t="s">
        <v>121</v>
      </c>
      <c r="G489" s="311">
        <v>9</v>
      </c>
      <c r="H489" s="311">
        <v>10.25</v>
      </c>
      <c r="I489" s="340">
        <v>94.92</v>
      </c>
      <c r="J489" s="340">
        <v>159.4</v>
      </c>
      <c r="K489" s="311"/>
      <c r="L489" s="340">
        <f t="shared" si="14"/>
        <v>94.92</v>
      </c>
      <c r="M489" s="311"/>
      <c r="N489" s="311"/>
      <c r="O489" s="311"/>
      <c r="P489" s="311"/>
      <c r="Q489" s="311"/>
      <c r="R489" s="392"/>
      <c r="S489" s="358">
        <f ca="1">IF(C489&lt;=EOMONTH('&gt;&gt;Vistas Consolidadas'!$D$2, '&gt;&gt;Vistas Consolidadas'!$F$2),J489+I489,J489)</f>
        <v>254.32</v>
      </c>
      <c r="T489" s="18" t="str">
        <f ca="1">IF(C489&gt;='&gt;&gt;Vistas Consolidadas'!$D$2,"SI","NO")</f>
        <v>SI</v>
      </c>
      <c r="U489" s="358">
        <f ca="1">IF(C489&lt;=EOMONTH('&gt;&gt;Vistas Consolidadas'!$D$2, '&gt;&gt;Vistas Consolidadas'!$F$2),I489,0)</f>
        <v>94.92</v>
      </c>
      <c r="V489" s="18" t="b">
        <f ca="1">AND(C489&gt;='Interes Por Semana'!$C$4, C489&lt;='Interes Por Semana'!$E$4)</f>
        <v>0</v>
      </c>
      <c r="W489" s="18" t="str">
        <f t="shared" si="15"/>
        <v>viernes</v>
      </c>
    </row>
    <row r="490" spans="2:23" hidden="1" x14ac:dyDescent="0.25">
      <c r="B490" s="337">
        <v>45559</v>
      </c>
      <c r="C490" s="337">
        <v>46550</v>
      </c>
      <c r="D490" s="374" t="s">
        <v>118</v>
      </c>
      <c r="E490" s="309" t="s">
        <v>47</v>
      </c>
      <c r="F490" s="310" t="s">
        <v>119</v>
      </c>
      <c r="G490" s="311">
        <v>8.5</v>
      </c>
      <c r="H490" s="311">
        <v>12</v>
      </c>
      <c r="I490" s="340">
        <v>244.13</v>
      </c>
      <c r="J490" s="340">
        <v>1549.92</v>
      </c>
      <c r="K490" s="308"/>
      <c r="L490" s="340">
        <f t="shared" si="14"/>
        <v>244.13</v>
      </c>
      <c r="M490" s="308"/>
      <c r="N490" s="311"/>
      <c r="O490" s="312"/>
      <c r="P490" s="308"/>
      <c r="Q490" s="308"/>
      <c r="R490" s="392"/>
      <c r="S490" s="358">
        <f ca="1">IF(C490&lt;=EOMONTH('&gt;&gt;Vistas Consolidadas'!$D$2, '&gt;&gt;Vistas Consolidadas'!$F$2),J490+I490,J490)</f>
        <v>1794.0500000000002</v>
      </c>
      <c r="T490" s="18" t="str">
        <f ca="1">IF(C490&gt;='&gt;&gt;Vistas Consolidadas'!$D$2,"SI","NO")</f>
        <v>SI</v>
      </c>
      <c r="U490" s="358">
        <f ca="1">IF(C490&lt;=EOMONTH('&gt;&gt;Vistas Consolidadas'!$D$2, '&gt;&gt;Vistas Consolidadas'!$F$2),I490,0)</f>
        <v>244.13</v>
      </c>
      <c r="V490" s="18" t="b">
        <f ca="1">AND(C490&gt;='Interes Por Semana'!$C$4, C490&lt;='Interes Por Semana'!$E$4)</f>
        <v>0</v>
      </c>
      <c r="W490" s="18" t="str">
        <f t="shared" si="15"/>
        <v>sábado</v>
      </c>
    </row>
    <row r="491" spans="2:23" hidden="1" x14ac:dyDescent="0.25">
      <c r="B491" s="337">
        <v>45559</v>
      </c>
      <c r="C491" s="337">
        <v>46550</v>
      </c>
      <c r="D491" s="374" t="s">
        <v>118</v>
      </c>
      <c r="E491" s="309" t="s">
        <v>46</v>
      </c>
      <c r="F491" s="310" t="s">
        <v>119</v>
      </c>
      <c r="G491" s="312">
        <v>8.5</v>
      </c>
      <c r="H491" s="308">
        <v>12</v>
      </c>
      <c r="I491" s="340">
        <v>38.72</v>
      </c>
      <c r="J491" s="340">
        <v>245.83</v>
      </c>
      <c r="K491" s="308"/>
      <c r="L491" s="340">
        <f t="shared" si="14"/>
        <v>38.72</v>
      </c>
      <c r="M491" s="308"/>
      <c r="N491" s="311"/>
      <c r="O491" s="312"/>
      <c r="P491" s="308"/>
      <c r="Q491" s="308"/>
      <c r="R491" s="392"/>
      <c r="S491" s="358">
        <f ca="1">IF(C491&lt;=EOMONTH('&gt;&gt;Vistas Consolidadas'!$D$2, '&gt;&gt;Vistas Consolidadas'!$F$2),J491+I491,J491)</f>
        <v>284.55</v>
      </c>
      <c r="T491" s="18" t="str">
        <f ca="1">IF(C491&gt;='&gt;&gt;Vistas Consolidadas'!$D$2,"SI","NO")</f>
        <v>SI</v>
      </c>
      <c r="U491" s="358">
        <f ca="1">IF(C491&lt;=EOMONTH('&gt;&gt;Vistas Consolidadas'!$D$2, '&gt;&gt;Vistas Consolidadas'!$F$2),I491,0)</f>
        <v>38.72</v>
      </c>
      <c r="V491" s="18" t="b">
        <f ca="1">AND(C491&gt;='Interes Por Semana'!$C$4, C491&lt;='Interes Por Semana'!$E$4)</f>
        <v>0</v>
      </c>
      <c r="W491" s="18" t="str">
        <f t="shared" si="15"/>
        <v>sábado</v>
      </c>
    </row>
    <row r="492" spans="2:23" hidden="1" x14ac:dyDescent="0.25">
      <c r="B492" s="337">
        <v>45559</v>
      </c>
      <c r="C492" s="337">
        <v>46550</v>
      </c>
      <c r="D492" s="374" t="s">
        <v>118</v>
      </c>
      <c r="E492" s="309" t="s">
        <v>48</v>
      </c>
      <c r="F492" s="310" t="s">
        <v>119</v>
      </c>
      <c r="G492" s="312">
        <v>8.5</v>
      </c>
      <c r="H492" s="308">
        <v>12</v>
      </c>
      <c r="I492" s="340">
        <v>157.31</v>
      </c>
      <c r="J492" s="340">
        <v>998.71</v>
      </c>
      <c r="K492" s="312"/>
      <c r="L492" s="340">
        <f t="shared" si="14"/>
        <v>157.31</v>
      </c>
      <c r="M492" s="308"/>
      <c r="N492" s="311"/>
      <c r="O492" s="312"/>
      <c r="P492" s="308"/>
      <c r="Q492" s="308"/>
      <c r="R492" s="392"/>
      <c r="S492" s="358">
        <f ca="1">IF(C492&lt;=EOMONTH('&gt;&gt;Vistas Consolidadas'!$D$2, '&gt;&gt;Vistas Consolidadas'!$F$2),J492+I492,J492)</f>
        <v>1156.02</v>
      </c>
      <c r="T492" s="18" t="str">
        <f ca="1">IF(C492&gt;='&gt;&gt;Vistas Consolidadas'!$D$2,"SI","NO")</f>
        <v>SI</v>
      </c>
      <c r="U492" s="358">
        <f ca="1">IF(C492&lt;=EOMONTH('&gt;&gt;Vistas Consolidadas'!$D$2, '&gt;&gt;Vistas Consolidadas'!$F$2),I492,0)</f>
        <v>157.31</v>
      </c>
      <c r="V492" s="18" t="b">
        <f ca="1">AND(C492&gt;='Interes Por Semana'!$C$4, C492&lt;='Interes Por Semana'!$E$4)</f>
        <v>0</v>
      </c>
      <c r="W492" s="18" t="str">
        <f t="shared" si="15"/>
        <v>sábado</v>
      </c>
    </row>
    <row r="493" spans="2:23" hidden="1" x14ac:dyDescent="0.25">
      <c r="B493" s="337">
        <v>45775</v>
      </c>
      <c r="C493" s="337">
        <v>46576</v>
      </c>
      <c r="D493" s="374" t="s">
        <v>88</v>
      </c>
      <c r="E493" s="309" t="s">
        <v>47</v>
      </c>
      <c r="F493" s="310" t="s">
        <v>89</v>
      </c>
      <c r="G493" s="312">
        <v>9</v>
      </c>
      <c r="H493" s="308">
        <v>11.5</v>
      </c>
      <c r="I493" s="340">
        <v>206.92</v>
      </c>
      <c r="J493" s="340">
        <v>1663.68</v>
      </c>
      <c r="K493" s="308"/>
      <c r="L493" s="340">
        <f t="shared" si="14"/>
        <v>206.92</v>
      </c>
      <c r="M493" s="308"/>
      <c r="N493" s="311"/>
      <c r="O493" s="312"/>
      <c r="P493" s="308"/>
      <c r="Q493" s="308"/>
      <c r="R493" s="392"/>
      <c r="S493" s="358">
        <f ca="1">IF(C493&lt;=EOMONTH('&gt;&gt;Vistas Consolidadas'!$D$2, '&gt;&gt;Vistas Consolidadas'!$F$2),J493+I493,J493)</f>
        <v>1870.6000000000001</v>
      </c>
      <c r="T493" s="18" t="str">
        <f ca="1">IF(C493&gt;='&gt;&gt;Vistas Consolidadas'!$D$2,"SI","NO")</f>
        <v>SI</v>
      </c>
      <c r="U493" s="358">
        <f ca="1">IF(C493&lt;=EOMONTH('&gt;&gt;Vistas Consolidadas'!$D$2, '&gt;&gt;Vistas Consolidadas'!$F$2),I493,0)</f>
        <v>206.92</v>
      </c>
      <c r="V493" s="18" t="b">
        <f ca="1">AND(C493&gt;='Interes Por Semana'!$C$4, C493&lt;='Interes Por Semana'!$E$4)</f>
        <v>0</v>
      </c>
      <c r="W493" s="18" t="str">
        <f t="shared" si="15"/>
        <v>jueves</v>
      </c>
    </row>
    <row r="494" spans="2:23" hidden="1" x14ac:dyDescent="0.25">
      <c r="B494" s="337">
        <v>45775</v>
      </c>
      <c r="C494" s="337">
        <v>46576</v>
      </c>
      <c r="D494" s="374" t="s">
        <v>88</v>
      </c>
      <c r="E494" s="309" t="s">
        <v>47</v>
      </c>
      <c r="F494" s="310" t="s">
        <v>89</v>
      </c>
      <c r="G494" s="312">
        <v>9</v>
      </c>
      <c r="H494" s="308">
        <v>11.5</v>
      </c>
      <c r="I494" s="340">
        <v>93.62</v>
      </c>
      <c r="J494" s="340">
        <v>759.96</v>
      </c>
      <c r="K494" s="308"/>
      <c r="L494" s="340">
        <f t="shared" si="14"/>
        <v>93.62</v>
      </c>
      <c r="M494" s="308"/>
      <c r="N494" s="311"/>
      <c r="O494" s="312"/>
      <c r="P494" s="308"/>
      <c r="Q494" s="308"/>
      <c r="R494" s="392"/>
      <c r="S494" s="358">
        <f ca="1">IF(C494&lt;=EOMONTH('&gt;&gt;Vistas Consolidadas'!$D$2, '&gt;&gt;Vistas Consolidadas'!$F$2),J494+I494,J494)</f>
        <v>853.58</v>
      </c>
      <c r="T494" s="18" t="str">
        <f ca="1">IF(C494&gt;='&gt;&gt;Vistas Consolidadas'!$D$2,"SI","NO")</f>
        <v>SI</v>
      </c>
      <c r="U494" s="358">
        <f ca="1">IF(C494&lt;=EOMONTH('&gt;&gt;Vistas Consolidadas'!$D$2, '&gt;&gt;Vistas Consolidadas'!$F$2),I494,0)</f>
        <v>93.62</v>
      </c>
      <c r="V494" s="18" t="b">
        <f ca="1">AND(C494&gt;='Interes Por Semana'!$C$4, C494&lt;='Interes Por Semana'!$E$4)</f>
        <v>0</v>
      </c>
      <c r="W494" s="18" t="str">
        <f t="shared" si="15"/>
        <v>jueves</v>
      </c>
    </row>
    <row r="495" spans="2:23" hidden="1" x14ac:dyDescent="0.25">
      <c r="B495" s="337">
        <v>46072</v>
      </c>
      <c r="C495" s="337">
        <v>46581</v>
      </c>
      <c r="D495" s="374" t="s">
        <v>88</v>
      </c>
      <c r="E495" s="309" t="s">
        <v>46</v>
      </c>
      <c r="F495" s="310" t="s">
        <v>94</v>
      </c>
      <c r="G495" s="312">
        <v>9</v>
      </c>
      <c r="H495" s="308">
        <v>10.5</v>
      </c>
      <c r="I495" s="340">
        <v>356.44000000000011</v>
      </c>
      <c r="J495" s="340">
        <v>948.02</v>
      </c>
      <c r="K495" s="308"/>
      <c r="L495" s="340">
        <f t="shared" si="14"/>
        <v>356.44000000000011</v>
      </c>
      <c r="M495" s="308"/>
      <c r="N495" s="311"/>
      <c r="O495" s="312"/>
      <c r="P495" s="308"/>
      <c r="Q495" s="308"/>
      <c r="R495" s="392"/>
      <c r="S495" s="358">
        <f ca="1">IF(C495&lt;=EOMONTH('&gt;&gt;Vistas Consolidadas'!$D$2, '&gt;&gt;Vistas Consolidadas'!$F$2),J495+I495,J495)</f>
        <v>1304.46</v>
      </c>
      <c r="T495" s="18" t="str">
        <f ca="1">IF(C495&gt;='&gt;&gt;Vistas Consolidadas'!$D$2,"SI","NO")</f>
        <v>SI</v>
      </c>
      <c r="U495" s="358">
        <f ca="1">IF(C495&lt;=EOMONTH('&gt;&gt;Vistas Consolidadas'!$D$2, '&gt;&gt;Vistas Consolidadas'!$F$2),I495,0)</f>
        <v>356.44000000000011</v>
      </c>
      <c r="V495" s="18" t="b">
        <f ca="1">AND(C495&gt;='Interes Por Semana'!$C$4, C495&lt;='Interes Por Semana'!$E$4)</f>
        <v>0</v>
      </c>
      <c r="W495" s="18" t="str">
        <f t="shared" si="15"/>
        <v>martes</v>
      </c>
    </row>
    <row r="496" spans="2:23" hidden="1" x14ac:dyDescent="0.25">
      <c r="B496" s="337">
        <v>46072</v>
      </c>
      <c r="C496" s="337">
        <v>46589</v>
      </c>
      <c r="D496" s="374" t="s">
        <v>88</v>
      </c>
      <c r="E496" s="309" t="s">
        <v>46</v>
      </c>
      <c r="F496" s="310" t="s">
        <v>104</v>
      </c>
      <c r="G496" s="312">
        <v>9</v>
      </c>
      <c r="H496" s="308">
        <v>10.25</v>
      </c>
      <c r="I496" s="340">
        <v>271.56</v>
      </c>
      <c r="J496" s="340">
        <v>1570.16</v>
      </c>
      <c r="K496" s="308"/>
      <c r="L496" s="340">
        <f t="shared" si="14"/>
        <v>271.56</v>
      </c>
      <c r="M496" s="308"/>
      <c r="N496" s="311"/>
      <c r="O496" s="312"/>
      <c r="P496" s="308"/>
      <c r="Q496" s="308"/>
      <c r="R496" s="392"/>
      <c r="S496" s="358">
        <f ca="1">IF(C496&lt;=EOMONTH('&gt;&gt;Vistas Consolidadas'!$D$2, '&gt;&gt;Vistas Consolidadas'!$F$2),J496+I496,J496)</f>
        <v>1841.72</v>
      </c>
      <c r="T496" s="18" t="str">
        <f ca="1">IF(C496&gt;='&gt;&gt;Vistas Consolidadas'!$D$2,"SI","NO")</f>
        <v>SI</v>
      </c>
      <c r="U496" s="358">
        <f ca="1">IF(C496&lt;=EOMONTH('&gt;&gt;Vistas Consolidadas'!$D$2, '&gt;&gt;Vistas Consolidadas'!$F$2),I496,0)</f>
        <v>271.56</v>
      </c>
      <c r="V496" s="18" t="b">
        <f ca="1">AND(C496&gt;='Interes Por Semana'!$C$4, C496&lt;='Interes Por Semana'!$E$4)</f>
        <v>0</v>
      </c>
      <c r="W496" s="18" t="str">
        <f t="shared" si="15"/>
        <v>miércoles</v>
      </c>
    </row>
    <row r="497" spans="2:23" hidden="1" x14ac:dyDescent="0.25">
      <c r="B497" s="337">
        <v>45748</v>
      </c>
      <c r="C497" s="337">
        <v>46604</v>
      </c>
      <c r="D497" s="374" t="s">
        <v>88</v>
      </c>
      <c r="E497" s="309" t="s">
        <v>47</v>
      </c>
      <c r="F497" s="310" t="s">
        <v>126</v>
      </c>
      <c r="G497" s="311">
        <v>9</v>
      </c>
      <c r="H497" s="311">
        <v>11.5</v>
      </c>
      <c r="I497" s="340">
        <v>15.49</v>
      </c>
      <c r="J497" s="340">
        <v>229.08</v>
      </c>
      <c r="K497" s="308"/>
      <c r="L497" s="340">
        <f t="shared" si="14"/>
        <v>15.49</v>
      </c>
      <c r="M497" s="308"/>
      <c r="N497" s="311"/>
      <c r="O497" s="312"/>
      <c r="P497" s="308"/>
      <c r="Q497" s="308"/>
      <c r="R497" s="392"/>
      <c r="S497" s="358">
        <f ca="1">IF(C497&lt;=EOMONTH('&gt;&gt;Vistas Consolidadas'!$D$2, '&gt;&gt;Vistas Consolidadas'!$F$2),J497+I497,J497)</f>
        <v>244.57000000000002</v>
      </c>
      <c r="T497" s="18" t="str">
        <f ca="1">IF(C497&gt;='&gt;&gt;Vistas Consolidadas'!$D$2,"SI","NO")</f>
        <v>SI</v>
      </c>
      <c r="U497" s="358">
        <f ca="1">IF(C497&lt;=EOMONTH('&gt;&gt;Vistas Consolidadas'!$D$2, '&gt;&gt;Vistas Consolidadas'!$F$2),I497,0)</f>
        <v>15.49</v>
      </c>
      <c r="V497" s="18" t="b">
        <f ca="1">AND(C497&gt;='Interes Por Semana'!$C$4, C497&lt;='Interes Por Semana'!$E$4)</f>
        <v>0</v>
      </c>
      <c r="W497" s="18" t="str">
        <f t="shared" si="15"/>
        <v>jueves</v>
      </c>
    </row>
    <row r="498" spans="2:23" hidden="1" x14ac:dyDescent="0.25">
      <c r="B498" s="337">
        <v>45754</v>
      </c>
      <c r="C498" s="337">
        <v>46604</v>
      </c>
      <c r="D498" s="374" t="s">
        <v>88</v>
      </c>
      <c r="E498" s="309" t="s">
        <v>47</v>
      </c>
      <c r="F498" s="310" t="s">
        <v>126</v>
      </c>
      <c r="G498" s="312">
        <v>9</v>
      </c>
      <c r="H498" s="308">
        <v>11.5</v>
      </c>
      <c r="I498" s="340">
        <v>25.099999999999991</v>
      </c>
      <c r="J498" s="340">
        <v>255.04</v>
      </c>
      <c r="K498" s="308"/>
      <c r="L498" s="340">
        <f t="shared" si="14"/>
        <v>25.099999999999991</v>
      </c>
      <c r="M498" s="308"/>
      <c r="N498" s="311"/>
      <c r="O498" s="312"/>
      <c r="P498" s="308"/>
      <c r="Q498" s="308"/>
      <c r="R498" s="392"/>
      <c r="S498" s="358">
        <f ca="1">IF(C498&lt;=EOMONTH('&gt;&gt;Vistas Consolidadas'!$D$2, '&gt;&gt;Vistas Consolidadas'!$F$2),J498+I498,J498)</f>
        <v>280.14</v>
      </c>
      <c r="T498" s="18" t="str">
        <f ca="1">IF(C498&gt;='&gt;&gt;Vistas Consolidadas'!$D$2,"SI","NO")</f>
        <v>SI</v>
      </c>
      <c r="U498" s="358">
        <f ca="1">IF(C498&lt;=EOMONTH('&gt;&gt;Vistas Consolidadas'!$D$2, '&gt;&gt;Vistas Consolidadas'!$F$2),I498,0)</f>
        <v>25.099999999999991</v>
      </c>
      <c r="V498" s="18" t="b">
        <f ca="1">AND(C498&gt;='Interes Por Semana'!$C$4, C498&lt;='Interes Por Semana'!$E$4)</f>
        <v>0</v>
      </c>
      <c r="W498" s="18" t="str">
        <f t="shared" si="15"/>
        <v>jueves</v>
      </c>
    </row>
    <row r="499" spans="2:23" hidden="1" x14ac:dyDescent="0.25">
      <c r="B499" s="337">
        <v>45755</v>
      </c>
      <c r="C499" s="337">
        <v>46604</v>
      </c>
      <c r="D499" s="374" t="s">
        <v>88</v>
      </c>
      <c r="E499" s="309" t="s">
        <v>47</v>
      </c>
      <c r="F499" s="310" t="s">
        <v>113</v>
      </c>
      <c r="G499" s="312">
        <v>9</v>
      </c>
      <c r="H499" s="308">
        <v>11.5</v>
      </c>
      <c r="I499" s="340">
        <v>56.539999999999957</v>
      </c>
      <c r="J499" s="340">
        <v>574.88</v>
      </c>
      <c r="K499" s="308"/>
      <c r="L499" s="340">
        <f t="shared" si="14"/>
        <v>56.539999999999957</v>
      </c>
      <c r="M499" s="308"/>
      <c r="N499" s="311"/>
      <c r="O499" s="312"/>
      <c r="P499" s="308"/>
      <c r="Q499" s="308"/>
      <c r="R499" s="392"/>
      <c r="S499" s="358">
        <f ca="1">IF(C499&lt;=EOMONTH('&gt;&gt;Vistas Consolidadas'!$D$2, '&gt;&gt;Vistas Consolidadas'!$F$2),J499+I499,J499)</f>
        <v>631.41999999999996</v>
      </c>
      <c r="T499" s="18" t="str">
        <f ca="1">IF(C499&gt;='&gt;&gt;Vistas Consolidadas'!$D$2,"SI","NO")</f>
        <v>SI</v>
      </c>
      <c r="U499" s="358">
        <f ca="1">IF(C499&lt;=EOMONTH('&gt;&gt;Vistas Consolidadas'!$D$2, '&gt;&gt;Vistas Consolidadas'!$F$2),I499,0)</f>
        <v>56.539999999999957</v>
      </c>
      <c r="V499" s="18" t="b">
        <f ca="1">AND(C499&gt;='Interes Por Semana'!$C$4, C499&lt;='Interes Por Semana'!$E$4)</f>
        <v>0</v>
      </c>
      <c r="W499" s="18" t="str">
        <f t="shared" si="15"/>
        <v>jueves</v>
      </c>
    </row>
    <row r="500" spans="2:23" hidden="1" x14ac:dyDescent="0.25">
      <c r="B500" s="337">
        <v>45775</v>
      </c>
      <c r="C500" s="337">
        <v>46604</v>
      </c>
      <c r="D500" s="374" t="s">
        <v>88</v>
      </c>
      <c r="E500" s="309" t="s">
        <v>47</v>
      </c>
      <c r="F500" s="310" t="s">
        <v>113</v>
      </c>
      <c r="G500" s="312">
        <v>9</v>
      </c>
      <c r="H500" s="308">
        <v>11.5</v>
      </c>
      <c r="I500" s="340">
        <v>158.80000000000001</v>
      </c>
      <c r="J500" s="340">
        <v>1637.62</v>
      </c>
      <c r="K500" s="308"/>
      <c r="L500" s="340">
        <f t="shared" si="14"/>
        <v>158.80000000000001</v>
      </c>
      <c r="M500" s="308"/>
      <c r="N500" s="311"/>
      <c r="O500" s="312"/>
      <c r="P500" s="308"/>
      <c r="Q500" s="308"/>
      <c r="R500" s="392"/>
      <c r="S500" s="358">
        <f ca="1">IF(C500&lt;=EOMONTH('&gt;&gt;Vistas Consolidadas'!$D$2, '&gt;&gt;Vistas Consolidadas'!$F$2),J500+I500,J500)</f>
        <v>1796.4199999999998</v>
      </c>
      <c r="T500" s="18" t="str">
        <f ca="1">IF(C500&gt;='&gt;&gt;Vistas Consolidadas'!$D$2,"SI","NO")</f>
        <v>SI</v>
      </c>
      <c r="U500" s="358">
        <f ca="1">IF(C500&lt;=EOMONTH('&gt;&gt;Vistas Consolidadas'!$D$2, '&gt;&gt;Vistas Consolidadas'!$F$2),I500,0)</f>
        <v>158.80000000000001</v>
      </c>
      <c r="V500" s="18" t="b">
        <f ca="1">AND(C500&gt;='Interes Por Semana'!$C$4, C500&lt;='Interes Por Semana'!$E$4)</f>
        <v>0</v>
      </c>
      <c r="W500" s="18" t="str">
        <f t="shared" si="15"/>
        <v>jueves</v>
      </c>
    </row>
    <row r="501" spans="2:23" hidden="1" x14ac:dyDescent="0.25">
      <c r="B501" s="337">
        <v>45793</v>
      </c>
      <c r="C501" s="337">
        <v>46608</v>
      </c>
      <c r="D501" s="374" t="s">
        <v>88</v>
      </c>
      <c r="E501" s="309" t="s">
        <v>46</v>
      </c>
      <c r="F501" s="310" t="s">
        <v>114</v>
      </c>
      <c r="G501" s="312">
        <v>9</v>
      </c>
      <c r="H501" s="308">
        <v>11.5</v>
      </c>
      <c r="I501" s="340">
        <v>212.2</v>
      </c>
      <c r="J501" s="340">
        <v>1694.73</v>
      </c>
      <c r="K501" s="308"/>
      <c r="L501" s="340">
        <f t="shared" si="14"/>
        <v>212.2</v>
      </c>
      <c r="M501" s="308"/>
      <c r="N501" s="311"/>
      <c r="O501" s="312"/>
      <c r="P501" s="308"/>
      <c r="Q501" s="308"/>
      <c r="R501" s="392"/>
      <c r="S501" s="358">
        <f ca="1">IF(C501&lt;=EOMONTH('&gt;&gt;Vistas Consolidadas'!$D$2, '&gt;&gt;Vistas Consolidadas'!$F$2),J501+I501,J501)</f>
        <v>1906.93</v>
      </c>
      <c r="T501" s="18" t="str">
        <f ca="1">IF(C501&gt;='&gt;&gt;Vistas Consolidadas'!$D$2,"SI","NO")</f>
        <v>SI</v>
      </c>
      <c r="U501" s="358">
        <f ca="1">IF(C501&lt;=EOMONTH('&gt;&gt;Vistas Consolidadas'!$D$2, '&gt;&gt;Vistas Consolidadas'!$F$2),I501,0)</f>
        <v>212.2</v>
      </c>
      <c r="V501" s="18" t="b">
        <f ca="1">AND(C501&gt;='Interes Por Semana'!$C$4, C501&lt;='Interes Por Semana'!$E$4)</f>
        <v>0</v>
      </c>
      <c r="W501" s="18" t="str">
        <f t="shared" si="15"/>
        <v>lunes</v>
      </c>
    </row>
    <row r="502" spans="2:23" hidden="1" x14ac:dyDescent="0.25">
      <c r="B502" s="337">
        <v>44923</v>
      </c>
      <c r="C502" s="337">
        <v>46629</v>
      </c>
      <c r="D502" s="374" t="s">
        <v>88</v>
      </c>
      <c r="E502" s="309" t="s">
        <v>46</v>
      </c>
      <c r="F502" s="310" t="s">
        <v>115</v>
      </c>
      <c r="G502" s="312">
        <v>8.5</v>
      </c>
      <c r="H502" s="308">
        <v>8.5</v>
      </c>
      <c r="I502" s="340">
        <v>29.24</v>
      </c>
      <c r="J502" s="340">
        <v>1376</v>
      </c>
      <c r="K502" s="308"/>
      <c r="L502" s="340">
        <f t="shared" si="14"/>
        <v>29.24</v>
      </c>
      <c r="M502" s="308"/>
      <c r="N502" s="311"/>
      <c r="O502" s="312"/>
      <c r="P502" s="308"/>
      <c r="Q502" s="308"/>
      <c r="R502" s="392"/>
      <c r="S502" s="358">
        <f ca="1">IF(C502&lt;=EOMONTH('&gt;&gt;Vistas Consolidadas'!$D$2, '&gt;&gt;Vistas Consolidadas'!$F$2),J502+I502,J502)</f>
        <v>1405.24</v>
      </c>
      <c r="T502" s="18" t="str">
        <f ca="1">IF(C502&gt;='&gt;&gt;Vistas Consolidadas'!$D$2,"SI","NO")</f>
        <v>SI</v>
      </c>
      <c r="U502" s="358">
        <f ca="1">IF(C502&lt;=EOMONTH('&gt;&gt;Vistas Consolidadas'!$D$2, '&gt;&gt;Vistas Consolidadas'!$F$2),I502,0)</f>
        <v>29.24</v>
      </c>
      <c r="V502" s="18" t="b">
        <f ca="1">AND(C502&gt;='Interes Por Semana'!$C$4, C502&lt;='Interes Por Semana'!$E$4)</f>
        <v>0</v>
      </c>
      <c r="W502" s="18" t="str">
        <f t="shared" si="15"/>
        <v>lunes</v>
      </c>
    </row>
    <row r="503" spans="2:23" hidden="1" x14ac:dyDescent="0.25">
      <c r="B503" s="337">
        <v>44988</v>
      </c>
      <c r="C503" s="337">
        <v>46629</v>
      </c>
      <c r="D503" s="374" t="s">
        <v>88</v>
      </c>
      <c r="E503" s="309" t="s">
        <v>46</v>
      </c>
      <c r="F503" s="310" t="s">
        <v>115</v>
      </c>
      <c r="G503" s="312">
        <v>8.5</v>
      </c>
      <c r="H503" s="308">
        <v>8.5</v>
      </c>
      <c r="I503" s="340">
        <v>39.700000000000003</v>
      </c>
      <c r="J503" s="340">
        <v>1868</v>
      </c>
      <c r="K503" s="308"/>
      <c r="L503" s="340">
        <f t="shared" si="14"/>
        <v>39.700000000000003</v>
      </c>
      <c r="M503" s="308"/>
      <c r="N503" s="311"/>
      <c r="O503" s="312"/>
      <c r="P503" s="308"/>
      <c r="Q503" s="308"/>
      <c r="R503" s="392"/>
      <c r="S503" s="358">
        <f ca="1">IF(C503&lt;=EOMONTH('&gt;&gt;Vistas Consolidadas'!$D$2, '&gt;&gt;Vistas Consolidadas'!$F$2),J503+I503,J503)</f>
        <v>1907.7</v>
      </c>
      <c r="T503" s="18" t="str">
        <f ca="1">IF(C503&gt;='&gt;&gt;Vistas Consolidadas'!$D$2,"SI","NO")</f>
        <v>SI</v>
      </c>
      <c r="U503" s="358">
        <f ca="1">IF(C503&lt;=EOMONTH('&gt;&gt;Vistas Consolidadas'!$D$2, '&gt;&gt;Vistas Consolidadas'!$F$2),I503,0)</f>
        <v>39.700000000000003</v>
      </c>
      <c r="V503" s="18" t="b">
        <f ca="1">AND(C503&gt;='Interes Por Semana'!$C$4, C503&lt;='Interes Por Semana'!$E$4)</f>
        <v>0</v>
      </c>
      <c r="W503" s="18" t="str">
        <f t="shared" si="15"/>
        <v>lunes</v>
      </c>
    </row>
    <row r="504" spans="2:23" hidden="1" x14ac:dyDescent="0.25">
      <c r="B504" s="337">
        <v>45706</v>
      </c>
      <c r="C504" s="337">
        <v>46640</v>
      </c>
      <c r="D504" s="374" t="s">
        <v>88</v>
      </c>
      <c r="E504" s="309" t="s">
        <v>46</v>
      </c>
      <c r="F504" s="310" t="s">
        <v>117</v>
      </c>
      <c r="G504" s="312">
        <v>9</v>
      </c>
      <c r="H504" s="308">
        <v>12</v>
      </c>
      <c r="I504" s="340">
        <v>152.69999999999999</v>
      </c>
      <c r="J504" s="340">
        <v>3385.31</v>
      </c>
      <c r="K504" s="308"/>
      <c r="L504" s="340">
        <f t="shared" si="14"/>
        <v>152.69999999999999</v>
      </c>
      <c r="M504" s="308"/>
      <c r="N504" s="311"/>
      <c r="O504" s="312"/>
      <c r="P504" s="308"/>
      <c r="Q504" s="308"/>
      <c r="R504" s="392"/>
      <c r="S504" s="358">
        <f ca="1">IF(C504&lt;=EOMONTH('&gt;&gt;Vistas Consolidadas'!$D$2, '&gt;&gt;Vistas Consolidadas'!$F$2),J504+I504,J504)</f>
        <v>3538.0099999999998</v>
      </c>
      <c r="T504" s="18" t="str">
        <f ca="1">IF(C504&gt;='&gt;&gt;Vistas Consolidadas'!$D$2,"SI","NO")</f>
        <v>SI</v>
      </c>
      <c r="U504" s="358">
        <f ca="1">IF(C504&lt;=EOMONTH('&gt;&gt;Vistas Consolidadas'!$D$2, '&gt;&gt;Vistas Consolidadas'!$F$2),I504,0)</f>
        <v>152.69999999999999</v>
      </c>
      <c r="V504" s="18" t="b">
        <f ca="1">AND(C504&gt;='Interes Por Semana'!$C$4, C504&lt;='Interes Por Semana'!$E$4)</f>
        <v>0</v>
      </c>
      <c r="W504" s="18" t="str">
        <f t="shared" si="15"/>
        <v>viernes</v>
      </c>
    </row>
    <row r="505" spans="2:23" hidden="1" x14ac:dyDescent="0.25">
      <c r="B505" s="337">
        <v>46097</v>
      </c>
      <c r="C505" s="337">
        <v>46641</v>
      </c>
      <c r="D505" s="374" t="s">
        <v>88</v>
      </c>
      <c r="E505" s="309" t="s">
        <v>47</v>
      </c>
      <c r="F505" s="310" t="s">
        <v>121</v>
      </c>
      <c r="G505" s="311">
        <v>9</v>
      </c>
      <c r="H505" s="311">
        <v>10.25</v>
      </c>
      <c r="I505" s="340">
        <v>552.15</v>
      </c>
      <c r="J505" s="340">
        <v>965</v>
      </c>
      <c r="K505" s="311"/>
      <c r="L505" s="340">
        <f t="shared" si="14"/>
        <v>552.15</v>
      </c>
      <c r="M505" s="311"/>
      <c r="N505" s="311"/>
      <c r="O505" s="311"/>
      <c r="P505" s="311"/>
      <c r="Q505" s="311"/>
      <c r="R505" s="392"/>
      <c r="S505" s="358">
        <f ca="1">IF(C505&lt;=EOMONTH('&gt;&gt;Vistas Consolidadas'!$D$2, '&gt;&gt;Vistas Consolidadas'!$F$2),J505+I505,J505)</f>
        <v>1517.15</v>
      </c>
      <c r="T505" s="18" t="str">
        <f ca="1">IF(C505&gt;='&gt;&gt;Vistas Consolidadas'!$D$2,"SI","NO")</f>
        <v>SI</v>
      </c>
      <c r="U505" s="358">
        <f ca="1">IF(C505&lt;=EOMONTH('&gt;&gt;Vistas Consolidadas'!$D$2, '&gt;&gt;Vistas Consolidadas'!$F$2),I505,0)</f>
        <v>552.15</v>
      </c>
      <c r="V505" s="18" t="b">
        <f ca="1">AND(C505&gt;='Interes Por Semana'!$C$4, C505&lt;='Interes Por Semana'!$E$4)</f>
        <v>0</v>
      </c>
      <c r="W505" s="18" t="str">
        <f t="shared" si="15"/>
        <v>sábado</v>
      </c>
    </row>
    <row r="506" spans="2:23" hidden="1" x14ac:dyDescent="0.25">
      <c r="B506" s="337">
        <v>46105</v>
      </c>
      <c r="C506" s="337">
        <v>46641</v>
      </c>
      <c r="D506" s="374" t="s">
        <v>88</v>
      </c>
      <c r="E506" s="309" t="s">
        <v>47</v>
      </c>
      <c r="F506" s="310" t="s">
        <v>121</v>
      </c>
      <c r="G506" s="311">
        <v>9</v>
      </c>
      <c r="H506" s="311">
        <v>10.25</v>
      </c>
      <c r="I506" s="340">
        <v>91.21</v>
      </c>
      <c r="J506" s="340">
        <v>159.4</v>
      </c>
      <c r="K506" s="311"/>
      <c r="L506" s="340">
        <f t="shared" si="14"/>
        <v>91.21</v>
      </c>
      <c r="M506" s="311"/>
      <c r="N506" s="311"/>
      <c r="O506" s="311"/>
      <c r="P506" s="311"/>
      <c r="Q506" s="311"/>
      <c r="R506" s="392"/>
      <c r="S506" s="358">
        <f ca="1">IF(C506&lt;=EOMONTH('&gt;&gt;Vistas Consolidadas'!$D$2, '&gt;&gt;Vistas Consolidadas'!$F$2),J506+I506,J506)</f>
        <v>250.61</v>
      </c>
      <c r="T506" s="18" t="str">
        <f ca="1">IF(C506&gt;='&gt;&gt;Vistas Consolidadas'!$D$2,"SI","NO")</f>
        <v>SI</v>
      </c>
      <c r="U506" s="358">
        <f ca="1">IF(C506&lt;=EOMONTH('&gt;&gt;Vistas Consolidadas'!$D$2, '&gt;&gt;Vistas Consolidadas'!$F$2),I506,0)</f>
        <v>91.21</v>
      </c>
      <c r="V506" s="18" t="b">
        <f ca="1">AND(C506&gt;='Interes Por Semana'!$C$4, C506&lt;='Interes Por Semana'!$E$4)</f>
        <v>0</v>
      </c>
      <c r="W506" s="18" t="str">
        <f t="shared" si="15"/>
        <v>sábado</v>
      </c>
    </row>
    <row r="507" spans="2:23" hidden="1" x14ac:dyDescent="0.25">
      <c r="B507" s="337">
        <v>45559</v>
      </c>
      <c r="C507" s="337">
        <v>46642</v>
      </c>
      <c r="D507" s="374" t="s">
        <v>118</v>
      </c>
      <c r="E507" s="309" t="s">
        <v>47</v>
      </c>
      <c r="F507" s="310" t="s">
        <v>119</v>
      </c>
      <c r="G507" s="311">
        <v>8.5</v>
      </c>
      <c r="H507" s="311">
        <v>12</v>
      </c>
      <c r="I507" s="340">
        <v>211.19</v>
      </c>
      <c r="J507" s="340">
        <v>1580.72</v>
      </c>
      <c r="K507" s="308"/>
      <c r="L507" s="340">
        <f t="shared" si="14"/>
        <v>211.19</v>
      </c>
      <c r="M507" s="308"/>
      <c r="N507" s="311"/>
      <c r="O507" s="312"/>
      <c r="P507" s="308"/>
      <c r="Q507" s="308"/>
      <c r="R507" s="392"/>
      <c r="S507" s="358">
        <f ca="1">IF(C507&lt;=EOMONTH('&gt;&gt;Vistas Consolidadas'!$D$2, '&gt;&gt;Vistas Consolidadas'!$F$2),J507+I507,J507)</f>
        <v>1791.91</v>
      </c>
      <c r="T507" s="18" t="str">
        <f ca="1">IF(C507&gt;='&gt;&gt;Vistas Consolidadas'!$D$2,"SI","NO")</f>
        <v>SI</v>
      </c>
      <c r="U507" s="358">
        <f ca="1">IF(C507&lt;=EOMONTH('&gt;&gt;Vistas Consolidadas'!$D$2, '&gt;&gt;Vistas Consolidadas'!$F$2),I507,0)</f>
        <v>211.19</v>
      </c>
      <c r="V507" s="18" t="b">
        <f ca="1">AND(C507&gt;='Interes Por Semana'!$C$4, C507&lt;='Interes Por Semana'!$E$4)</f>
        <v>0</v>
      </c>
      <c r="W507" s="18" t="str">
        <f t="shared" si="15"/>
        <v>domingo</v>
      </c>
    </row>
    <row r="508" spans="2:23" hidden="1" x14ac:dyDescent="0.25">
      <c r="B508" s="337">
        <v>45559</v>
      </c>
      <c r="C508" s="337">
        <v>46642</v>
      </c>
      <c r="D508" s="374" t="s">
        <v>118</v>
      </c>
      <c r="E508" s="309" t="s">
        <v>46</v>
      </c>
      <c r="F508" s="310" t="s">
        <v>119</v>
      </c>
      <c r="G508" s="312">
        <v>8.5</v>
      </c>
      <c r="H508" s="308">
        <v>12</v>
      </c>
      <c r="I508" s="340">
        <v>33.5</v>
      </c>
      <c r="J508" s="340">
        <v>250.71</v>
      </c>
      <c r="K508" s="308"/>
      <c r="L508" s="340">
        <f t="shared" si="14"/>
        <v>33.5</v>
      </c>
      <c r="M508" s="308"/>
      <c r="N508" s="311"/>
      <c r="O508" s="312"/>
      <c r="P508" s="308"/>
      <c r="Q508" s="308"/>
      <c r="R508" s="392"/>
      <c r="S508" s="358">
        <f ca="1">IF(C508&lt;=EOMONTH('&gt;&gt;Vistas Consolidadas'!$D$2, '&gt;&gt;Vistas Consolidadas'!$F$2),J508+I508,J508)</f>
        <v>284.21000000000004</v>
      </c>
      <c r="T508" s="18" t="str">
        <f ca="1">IF(C508&gt;='&gt;&gt;Vistas Consolidadas'!$D$2,"SI","NO")</f>
        <v>SI</v>
      </c>
      <c r="U508" s="358">
        <f ca="1">IF(C508&lt;=EOMONTH('&gt;&gt;Vistas Consolidadas'!$D$2, '&gt;&gt;Vistas Consolidadas'!$F$2),I508,0)</f>
        <v>33.5</v>
      </c>
      <c r="V508" s="18" t="b">
        <f ca="1">AND(C508&gt;='Interes Por Semana'!$C$4, C508&lt;='Interes Por Semana'!$E$4)</f>
        <v>0</v>
      </c>
      <c r="W508" s="18" t="str">
        <f t="shared" si="15"/>
        <v>domingo</v>
      </c>
    </row>
    <row r="509" spans="2:23" hidden="1" x14ac:dyDescent="0.25">
      <c r="B509" s="337">
        <v>45559</v>
      </c>
      <c r="C509" s="337">
        <v>46642</v>
      </c>
      <c r="D509" s="374" t="s">
        <v>118</v>
      </c>
      <c r="E509" s="309" t="s">
        <v>48</v>
      </c>
      <c r="F509" s="310" t="s">
        <v>119</v>
      </c>
      <c r="G509" s="312">
        <v>8.5</v>
      </c>
      <c r="H509" s="308">
        <v>12</v>
      </c>
      <c r="I509" s="340">
        <v>136.09</v>
      </c>
      <c r="J509" s="340">
        <v>1018.56</v>
      </c>
      <c r="K509" s="312"/>
      <c r="L509" s="340">
        <f t="shared" si="14"/>
        <v>136.09</v>
      </c>
      <c r="M509" s="308"/>
      <c r="N509" s="311"/>
      <c r="O509" s="312"/>
      <c r="P509" s="308"/>
      <c r="Q509" s="308"/>
      <c r="R509" s="392"/>
      <c r="S509" s="358">
        <f ca="1">IF(C509&lt;=EOMONTH('&gt;&gt;Vistas Consolidadas'!$D$2, '&gt;&gt;Vistas Consolidadas'!$F$2),J509+I509,J509)</f>
        <v>1154.6499999999999</v>
      </c>
      <c r="T509" s="18" t="str">
        <f ca="1">IF(C509&gt;='&gt;&gt;Vistas Consolidadas'!$D$2,"SI","NO")</f>
        <v>SI</v>
      </c>
      <c r="U509" s="358">
        <f ca="1">IF(C509&lt;=EOMONTH('&gt;&gt;Vistas Consolidadas'!$D$2, '&gt;&gt;Vistas Consolidadas'!$F$2),I509,0)</f>
        <v>136.09</v>
      </c>
      <c r="V509" s="18" t="b">
        <f ca="1">AND(C509&gt;='Interes Por Semana'!$C$4, C509&lt;='Interes Por Semana'!$E$4)</f>
        <v>0</v>
      </c>
      <c r="W509" s="18" t="str">
        <f t="shared" si="15"/>
        <v>domingo</v>
      </c>
    </row>
    <row r="510" spans="2:23" hidden="1" x14ac:dyDescent="0.25">
      <c r="B510" s="337">
        <v>45775</v>
      </c>
      <c r="C510" s="337">
        <v>46668</v>
      </c>
      <c r="D510" s="374" t="s">
        <v>88</v>
      </c>
      <c r="E510" s="309" t="s">
        <v>47</v>
      </c>
      <c r="F510" s="310" t="s">
        <v>89</v>
      </c>
      <c r="G510" s="312">
        <v>9</v>
      </c>
      <c r="H510" s="308">
        <v>11.5</v>
      </c>
      <c r="I510" s="340">
        <v>168.31</v>
      </c>
      <c r="J510" s="340">
        <v>1663.68</v>
      </c>
      <c r="K510" s="308"/>
      <c r="L510" s="340">
        <f t="shared" si="14"/>
        <v>168.31</v>
      </c>
      <c r="M510" s="308"/>
      <c r="N510" s="311"/>
      <c r="O510" s="312"/>
      <c r="P510" s="308"/>
      <c r="Q510" s="308"/>
      <c r="R510" s="392"/>
      <c r="S510" s="358">
        <f ca="1">IF(C510&lt;=EOMONTH('&gt;&gt;Vistas Consolidadas'!$D$2, '&gt;&gt;Vistas Consolidadas'!$F$2),J510+I510,J510)</f>
        <v>1663.68</v>
      </c>
      <c r="T510" s="18" t="str">
        <f ca="1">IF(C510&gt;='&gt;&gt;Vistas Consolidadas'!$D$2,"SI","NO")</f>
        <v>SI</v>
      </c>
      <c r="U510" s="358">
        <f ca="1">IF(C510&lt;=EOMONTH('&gt;&gt;Vistas Consolidadas'!$D$2, '&gt;&gt;Vistas Consolidadas'!$F$2),I510,0)</f>
        <v>0</v>
      </c>
      <c r="V510" s="18" t="b">
        <f ca="1">AND(C510&gt;='Interes Por Semana'!$C$4, C510&lt;='Interes Por Semana'!$E$4)</f>
        <v>0</v>
      </c>
      <c r="W510" s="18" t="str">
        <f t="shared" si="15"/>
        <v>viernes</v>
      </c>
    </row>
    <row r="511" spans="2:23" hidden="1" x14ac:dyDescent="0.25">
      <c r="B511" s="337">
        <v>45775</v>
      </c>
      <c r="C511" s="337">
        <v>46668</v>
      </c>
      <c r="D511" s="374" t="s">
        <v>88</v>
      </c>
      <c r="E511" s="309" t="s">
        <v>47</v>
      </c>
      <c r="F511" s="310" t="s">
        <v>89</v>
      </c>
      <c r="G511" s="312">
        <v>9</v>
      </c>
      <c r="H511" s="308">
        <v>11.5</v>
      </c>
      <c r="I511" s="340">
        <v>76</v>
      </c>
      <c r="J511" s="340">
        <v>759.96</v>
      </c>
      <c r="K511" s="308"/>
      <c r="L511" s="340">
        <f t="shared" si="14"/>
        <v>76</v>
      </c>
      <c r="M511" s="308"/>
      <c r="N511" s="311"/>
      <c r="O511" s="312"/>
      <c r="P511" s="308"/>
      <c r="Q511" s="308"/>
      <c r="R511" s="392"/>
      <c r="S511" s="358">
        <f ca="1">IF(C511&lt;=EOMONTH('&gt;&gt;Vistas Consolidadas'!$D$2, '&gt;&gt;Vistas Consolidadas'!$F$2),J511+I511,J511)</f>
        <v>759.96</v>
      </c>
      <c r="T511" s="18" t="str">
        <f ca="1">IF(C511&gt;='&gt;&gt;Vistas Consolidadas'!$D$2,"SI","NO")</f>
        <v>SI</v>
      </c>
      <c r="U511" s="358">
        <f ca="1">IF(C511&lt;=EOMONTH('&gt;&gt;Vistas Consolidadas'!$D$2, '&gt;&gt;Vistas Consolidadas'!$F$2),I511,0)</f>
        <v>0</v>
      </c>
      <c r="V511" s="18" t="b">
        <f ca="1">AND(C511&gt;='Interes Por Semana'!$C$4, C511&lt;='Interes Por Semana'!$E$4)</f>
        <v>0</v>
      </c>
      <c r="W511" s="18" t="str">
        <f t="shared" si="15"/>
        <v>viernes</v>
      </c>
    </row>
    <row r="512" spans="2:23" hidden="1" x14ac:dyDescent="0.25">
      <c r="B512" s="337">
        <v>46072</v>
      </c>
      <c r="C512" s="337">
        <v>46673</v>
      </c>
      <c r="D512" s="374" t="s">
        <v>88</v>
      </c>
      <c r="E512" s="309" t="s">
        <v>46</v>
      </c>
      <c r="F512" s="310" t="s">
        <v>94</v>
      </c>
      <c r="G512" s="312">
        <v>9</v>
      </c>
      <c r="H512" s="308">
        <v>10.5</v>
      </c>
      <c r="I512" s="340">
        <v>334.5</v>
      </c>
      <c r="J512" s="340">
        <v>948.02</v>
      </c>
      <c r="K512" s="308"/>
      <c r="L512" s="340">
        <f t="shared" si="14"/>
        <v>334.5</v>
      </c>
      <c r="M512" s="308"/>
      <c r="N512" s="311"/>
      <c r="O512" s="312"/>
      <c r="P512" s="308"/>
      <c r="Q512" s="308"/>
      <c r="R512" s="392"/>
      <c r="S512" s="358">
        <f ca="1">IF(C512&lt;=EOMONTH('&gt;&gt;Vistas Consolidadas'!$D$2, '&gt;&gt;Vistas Consolidadas'!$F$2),J512+I512,J512)</f>
        <v>948.02</v>
      </c>
      <c r="T512" s="18" t="str">
        <f ca="1">IF(C512&gt;='&gt;&gt;Vistas Consolidadas'!$D$2,"SI","NO")</f>
        <v>SI</v>
      </c>
      <c r="U512" s="358">
        <f ca="1">IF(C512&lt;=EOMONTH('&gt;&gt;Vistas Consolidadas'!$D$2, '&gt;&gt;Vistas Consolidadas'!$F$2),I512,0)</f>
        <v>0</v>
      </c>
      <c r="V512" s="18" t="b">
        <f ca="1">AND(C512&gt;='Interes Por Semana'!$C$4, C512&lt;='Interes Por Semana'!$E$4)</f>
        <v>0</v>
      </c>
      <c r="W512" s="18" t="str">
        <f t="shared" si="15"/>
        <v>miércoles</v>
      </c>
    </row>
    <row r="513" spans="2:23" hidden="1" x14ac:dyDescent="0.25">
      <c r="B513" s="337">
        <v>46072</v>
      </c>
      <c r="C513" s="337">
        <v>46681</v>
      </c>
      <c r="D513" s="374" t="s">
        <v>88</v>
      </c>
      <c r="E513" s="309" t="s">
        <v>46</v>
      </c>
      <c r="F513" s="310" t="s">
        <v>104</v>
      </c>
      <c r="G513" s="312">
        <v>9</v>
      </c>
      <c r="H513" s="308">
        <v>10.25</v>
      </c>
      <c r="I513" s="340">
        <v>235.74</v>
      </c>
      <c r="J513" s="340">
        <v>1570.16</v>
      </c>
      <c r="K513" s="308"/>
      <c r="L513" s="340">
        <f t="shared" si="14"/>
        <v>235.74</v>
      </c>
      <c r="M513" s="308"/>
      <c r="N513" s="311"/>
      <c r="O513" s="312"/>
      <c r="P513" s="308"/>
      <c r="Q513" s="308"/>
      <c r="R513" s="392"/>
      <c r="S513" s="358">
        <f ca="1">IF(C513&lt;=EOMONTH('&gt;&gt;Vistas Consolidadas'!$D$2, '&gt;&gt;Vistas Consolidadas'!$F$2),J513+I513,J513)</f>
        <v>1570.16</v>
      </c>
      <c r="T513" s="18" t="str">
        <f ca="1">IF(C513&gt;='&gt;&gt;Vistas Consolidadas'!$D$2,"SI","NO")</f>
        <v>SI</v>
      </c>
      <c r="U513" s="358">
        <f ca="1">IF(C513&lt;=EOMONTH('&gt;&gt;Vistas Consolidadas'!$D$2, '&gt;&gt;Vistas Consolidadas'!$F$2),I513,0)</f>
        <v>0</v>
      </c>
      <c r="V513" s="18" t="b">
        <f ca="1">AND(C513&gt;='Interes Por Semana'!$C$4, C513&lt;='Interes Por Semana'!$E$4)</f>
        <v>0</v>
      </c>
      <c r="W513" s="18" t="str">
        <f t="shared" si="15"/>
        <v>jueves</v>
      </c>
    </row>
    <row r="514" spans="2:23" hidden="1" x14ac:dyDescent="0.25">
      <c r="B514" s="337">
        <v>45748</v>
      </c>
      <c r="C514" s="337">
        <v>46696</v>
      </c>
      <c r="D514" s="374" t="s">
        <v>88</v>
      </c>
      <c r="E514" s="309" t="s">
        <v>47</v>
      </c>
      <c r="F514" s="310" t="s">
        <v>113</v>
      </c>
      <c r="G514" s="312">
        <v>9</v>
      </c>
      <c r="H514" s="308">
        <v>11.5</v>
      </c>
      <c r="I514" s="340">
        <v>10.33</v>
      </c>
      <c r="J514" s="340">
        <v>229.08</v>
      </c>
      <c r="K514" s="308"/>
      <c r="L514" s="340">
        <f t="shared" si="14"/>
        <v>10.33</v>
      </c>
      <c r="M514" s="308"/>
      <c r="N514" s="311"/>
      <c r="O514" s="312"/>
      <c r="P514" s="308"/>
      <c r="Q514" s="308"/>
      <c r="R514" s="392"/>
      <c r="S514" s="358">
        <f ca="1">IF(C514&lt;=EOMONTH('&gt;&gt;Vistas Consolidadas'!$D$2, '&gt;&gt;Vistas Consolidadas'!$F$2),J514+I514,J514)</f>
        <v>229.08</v>
      </c>
      <c r="T514" s="18" t="str">
        <f ca="1">IF(C514&gt;='&gt;&gt;Vistas Consolidadas'!$D$2,"SI","NO")</f>
        <v>SI</v>
      </c>
      <c r="U514" s="358">
        <f ca="1">IF(C514&lt;=EOMONTH('&gt;&gt;Vistas Consolidadas'!$D$2, '&gt;&gt;Vistas Consolidadas'!$F$2),I514,0)</f>
        <v>0</v>
      </c>
      <c r="V514" s="18" t="b">
        <f ca="1">AND(C514&gt;='Interes Por Semana'!$C$4, C514&lt;='Interes Por Semana'!$E$4)</f>
        <v>0</v>
      </c>
      <c r="W514" s="18" t="str">
        <f t="shared" si="15"/>
        <v>viernes</v>
      </c>
    </row>
    <row r="515" spans="2:23" hidden="1" x14ac:dyDescent="0.25">
      <c r="B515" s="337">
        <v>45754</v>
      </c>
      <c r="C515" s="337">
        <v>46696</v>
      </c>
      <c r="D515" s="374" t="s">
        <v>88</v>
      </c>
      <c r="E515" s="309" t="s">
        <v>47</v>
      </c>
      <c r="F515" s="310" t="s">
        <v>113</v>
      </c>
      <c r="G515" s="312">
        <v>9</v>
      </c>
      <c r="H515" s="308">
        <v>11.5</v>
      </c>
      <c r="I515" s="340">
        <v>19.200000000000021</v>
      </c>
      <c r="J515" s="340">
        <v>255.04</v>
      </c>
      <c r="K515" s="308"/>
      <c r="L515" s="340">
        <f t="shared" ref="L515:L557" si="16">I515</f>
        <v>19.200000000000021</v>
      </c>
      <c r="M515" s="308"/>
      <c r="N515" s="311"/>
      <c r="O515" s="312"/>
      <c r="P515" s="308"/>
      <c r="Q515" s="308"/>
      <c r="R515" s="392"/>
      <c r="S515" s="358">
        <f ca="1">IF(C515&lt;=EOMONTH('&gt;&gt;Vistas Consolidadas'!$D$2, '&gt;&gt;Vistas Consolidadas'!$F$2),J515+I515,J515)</f>
        <v>255.04</v>
      </c>
      <c r="T515" s="18" t="str">
        <f ca="1">IF(C515&gt;='&gt;&gt;Vistas Consolidadas'!$D$2,"SI","NO")</f>
        <v>SI</v>
      </c>
      <c r="U515" s="358">
        <f ca="1">IF(C515&lt;=EOMONTH('&gt;&gt;Vistas Consolidadas'!$D$2, '&gt;&gt;Vistas Consolidadas'!$F$2),I515,0)</f>
        <v>0</v>
      </c>
      <c r="V515" s="18" t="b">
        <f ca="1">AND(C515&gt;='Interes Por Semana'!$C$4, C515&lt;='Interes Por Semana'!$E$4)</f>
        <v>0</v>
      </c>
      <c r="W515" s="18" t="str">
        <f t="shared" ref="W515:W578" si="17">TEXT(C515, "dddd")</f>
        <v>viernes</v>
      </c>
    </row>
    <row r="516" spans="2:23" hidden="1" x14ac:dyDescent="0.25">
      <c r="B516" s="337">
        <v>45755</v>
      </c>
      <c r="C516" s="337">
        <v>46696</v>
      </c>
      <c r="D516" s="374" t="s">
        <v>88</v>
      </c>
      <c r="E516" s="309" t="s">
        <v>47</v>
      </c>
      <c r="F516" s="310" t="s">
        <v>113</v>
      </c>
      <c r="G516" s="312">
        <v>9</v>
      </c>
      <c r="H516" s="308">
        <v>11.5</v>
      </c>
      <c r="I516" s="340">
        <v>43.230000000000018</v>
      </c>
      <c r="J516" s="340">
        <v>574.88</v>
      </c>
      <c r="K516" s="308"/>
      <c r="L516" s="340">
        <f t="shared" si="16"/>
        <v>43.230000000000018</v>
      </c>
      <c r="M516" s="308"/>
      <c r="N516" s="311"/>
      <c r="O516" s="312"/>
      <c r="P516" s="308"/>
      <c r="Q516" s="308"/>
      <c r="R516" s="392"/>
      <c r="S516" s="358">
        <f ca="1">IF(C516&lt;=EOMONTH('&gt;&gt;Vistas Consolidadas'!$D$2, '&gt;&gt;Vistas Consolidadas'!$F$2),J516+I516,J516)</f>
        <v>574.88</v>
      </c>
      <c r="T516" s="18" t="str">
        <f ca="1">IF(C516&gt;='&gt;&gt;Vistas Consolidadas'!$D$2,"SI","NO")</f>
        <v>SI</v>
      </c>
      <c r="U516" s="358">
        <f ca="1">IF(C516&lt;=EOMONTH('&gt;&gt;Vistas Consolidadas'!$D$2, '&gt;&gt;Vistas Consolidadas'!$F$2),I516,0)</f>
        <v>0</v>
      </c>
      <c r="V516" s="18" t="b">
        <f ca="1">AND(C516&gt;='Interes Por Semana'!$C$4, C516&lt;='Interes Por Semana'!$E$4)</f>
        <v>0</v>
      </c>
      <c r="W516" s="18" t="str">
        <f t="shared" si="17"/>
        <v>viernes</v>
      </c>
    </row>
    <row r="517" spans="2:23" hidden="1" x14ac:dyDescent="0.25">
      <c r="B517" s="337">
        <v>45775</v>
      </c>
      <c r="C517" s="337">
        <v>46696</v>
      </c>
      <c r="D517" s="374" t="s">
        <v>88</v>
      </c>
      <c r="E517" s="309" t="s">
        <v>47</v>
      </c>
      <c r="F517" s="310" t="s">
        <v>113</v>
      </c>
      <c r="G517" s="312">
        <v>9</v>
      </c>
      <c r="H517" s="308">
        <v>11.5</v>
      </c>
      <c r="I517" s="340">
        <v>120.94</v>
      </c>
      <c r="J517" s="340">
        <v>1637.62</v>
      </c>
      <c r="K517" s="308"/>
      <c r="L517" s="340">
        <f t="shared" si="16"/>
        <v>120.94</v>
      </c>
      <c r="M517" s="308"/>
      <c r="N517" s="311"/>
      <c r="O517" s="312"/>
      <c r="P517" s="308"/>
      <c r="Q517" s="308"/>
      <c r="R517" s="392"/>
      <c r="S517" s="358">
        <f ca="1">IF(C517&lt;=EOMONTH('&gt;&gt;Vistas Consolidadas'!$D$2, '&gt;&gt;Vistas Consolidadas'!$F$2),J517+I517,J517)</f>
        <v>1637.62</v>
      </c>
      <c r="T517" s="18" t="str">
        <f ca="1">IF(C517&gt;='&gt;&gt;Vistas Consolidadas'!$D$2,"SI","NO")</f>
        <v>SI</v>
      </c>
      <c r="U517" s="358">
        <f ca="1">IF(C517&lt;=EOMONTH('&gt;&gt;Vistas Consolidadas'!$D$2, '&gt;&gt;Vistas Consolidadas'!$F$2),I517,0)</f>
        <v>0</v>
      </c>
      <c r="V517" s="18" t="b">
        <f ca="1">AND(C517&gt;='Interes Por Semana'!$C$4, C517&lt;='Interes Por Semana'!$E$4)</f>
        <v>0</v>
      </c>
      <c r="W517" s="18" t="str">
        <f t="shared" si="17"/>
        <v>viernes</v>
      </c>
    </row>
    <row r="518" spans="2:23" hidden="1" x14ac:dyDescent="0.25">
      <c r="B518" s="337">
        <v>45793</v>
      </c>
      <c r="C518" s="337">
        <v>46700</v>
      </c>
      <c r="D518" s="374" t="s">
        <v>88</v>
      </c>
      <c r="E518" s="309" t="s">
        <v>46</v>
      </c>
      <c r="F518" s="310" t="s">
        <v>114</v>
      </c>
      <c r="G518" s="312">
        <v>9</v>
      </c>
      <c r="H518" s="308">
        <v>11.5</v>
      </c>
      <c r="I518" s="340">
        <v>172.84</v>
      </c>
      <c r="J518" s="340">
        <v>1694.73</v>
      </c>
      <c r="K518" s="308"/>
      <c r="L518" s="340">
        <f t="shared" si="16"/>
        <v>172.84</v>
      </c>
      <c r="M518" s="308"/>
      <c r="N518" s="311"/>
      <c r="O518" s="312"/>
      <c r="P518" s="308"/>
      <c r="Q518" s="308"/>
      <c r="R518" s="392"/>
      <c r="S518" s="358">
        <f ca="1">IF(C518&lt;=EOMONTH('&gt;&gt;Vistas Consolidadas'!$D$2, '&gt;&gt;Vistas Consolidadas'!$F$2),J518+I518,J518)</f>
        <v>1694.73</v>
      </c>
      <c r="T518" s="18" t="str">
        <f ca="1">IF(C518&gt;='&gt;&gt;Vistas Consolidadas'!$D$2,"SI","NO")</f>
        <v>SI</v>
      </c>
      <c r="U518" s="358">
        <f ca="1">IF(C518&lt;=EOMONTH('&gt;&gt;Vistas Consolidadas'!$D$2, '&gt;&gt;Vistas Consolidadas'!$F$2),I518,0)</f>
        <v>0</v>
      </c>
      <c r="V518" s="18" t="b">
        <f ca="1">AND(C518&gt;='Interes Por Semana'!$C$4, C518&lt;='Interes Por Semana'!$E$4)</f>
        <v>0</v>
      </c>
      <c r="W518" s="18" t="str">
        <f t="shared" si="17"/>
        <v>martes</v>
      </c>
    </row>
    <row r="519" spans="2:23" hidden="1" x14ac:dyDescent="0.25">
      <c r="B519" s="337">
        <v>45706</v>
      </c>
      <c r="C519" s="337">
        <v>46731</v>
      </c>
      <c r="D519" s="374" t="s">
        <v>88</v>
      </c>
      <c r="E519" s="309" t="s">
        <v>46</v>
      </c>
      <c r="F519" s="310" t="s">
        <v>117</v>
      </c>
      <c r="G519" s="312">
        <v>9</v>
      </c>
      <c r="H519" s="308">
        <v>12</v>
      </c>
      <c r="I519" s="340">
        <v>76.540000000000006</v>
      </c>
      <c r="J519" s="340">
        <v>3401.59</v>
      </c>
      <c r="K519" s="308"/>
      <c r="L519" s="340">
        <f t="shared" si="16"/>
        <v>76.540000000000006</v>
      </c>
      <c r="M519" s="308"/>
      <c r="N519" s="311"/>
      <c r="O519" s="312"/>
      <c r="P519" s="308"/>
      <c r="Q519" s="308"/>
      <c r="R519" s="392"/>
      <c r="S519" s="358">
        <f ca="1">IF(C519&lt;=EOMONTH('&gt;&gt;Vistas Consolidadas'!$D$2, '&gt;&gt;Vistas Consolidadas'!$F$2),J519+I519,J519)</f>
        <v>3401.59</v>
      </c>
      <c r="T519" s="18" t="str">
        <f ca="1">IF(C519&gt;='&gt;&gt;Vistas Consolidadas'!$D$2,"SI","NO")</f>
        <v>SI</v>
      </c>
      <c r="U519" s="358">
        <f ca="1">IF(C519&lt;=EOMONTH('&gt;&gt;Vistas Consolidadas'!$D$2, '&gt;&gt;Vistas Consolidadas'!$F$2),I519,0)</f>
        <v>0</v>
      </c>
      <c r="V519" s="18" t="b">
        <f ca="1">AND(C519&gt;='Interes Por Semana'!$C$4, C519&lt;='Interes Por Semana'!$E$4)</f>
        <v>0</v>
      </c>
      <c r="W519" s="18" t="str">
        <f t="shared" si="17"/>
        <v>viernes</v>
      </c>
    </row>
    <row r="520" spans="2:23" hidden="1" x14ac:dyDescent="0.25">
      <c r="B520" s="337">
        <v>46097</v>
      </c>
      <c r="C520" s="337">
        <v>46732</v>
      </c>
      <c r="D520" s="374" t="s">
        <v>88</v>
      </c>
      <c r="E520" s="309" t="s">
        <v>47</v>
      </c>
      <c r="F520" s="310" t="s">
        <v>121</v>
      </c>
      <c r="G520" s="311">
        <v>9</v>
      </c>
      <c r="H520" s="311">
        <v>10.25</v>
      </c>
      <c r="I520" s="340">
        <v>529.65</v>
      </c>
      <c r="J520" s="340">
        <v>965</v>
      </c>
      <c r="K520" s="311"/>
      <c r="L520" s="340">
        <f t="shared" si="16"/>
        <v>529.65</v>
      </c>
      <c r="M520" s="311"/>
      <c r="N520" s="311"/>
      <c r="O520" s="311"/>
      <c r="P520" s="311"/>
      <c r="Q520" s="311"/>
      <c r="R520" s="392"/>
      <c r="S520" s="358">
        <f ca="1">IF(C520&lt;=EOMONTH('&gt;&gt;Vistas Consolidadas'!$D$2, '&gt;&gt;Vistas Consolidadas'!$F$2),J520+I520,J520)</f>
        <v>965</v>
      </c>
      <c r="T520" s="18" t="str">
        <f ca="1">IF(C520&gt;='&gt;&gt;Vistas Consolidadas'!$D$2,"SI","NO")</f>
        <v>SI</v>
      </c>
      <c r="U520" s="358">
        <f ca="1">IF(C520&lt;=EOMONTH('&gt;&gt;Vistas Consolidadas'!$D$2, '&gt;&gt;Vistas Consolidadas'!$F$2),I520,0)</f>
        <v>0</v>
      </c>
      <c r="V520" s="18" t="b">
        <f ca="1">AND(C520&gt;='Interes Por Semana'!$C$4, C520&lt;='Interes Por Semana'!$E$4)</f>
        <v>0</v>
      </c>
      <c r="W520" s="18" t="str">
        <f t="shared" si="17"/>
        <v>sábado</v>
      </c>
    </row>
    <row r="521" spans="2:23" hidden="1" x14ac:dyDescent="0.25">
      <c r="B521" s="337">
        <v>46105</v>
      </c>
      <c r="C521" s="337">
        <v>46732</v>
      </c>
      <c r="D521" s="374" t="s">
        <v>88</v>
      </c>
      <c r="E521" s="309" t="s">
        <v>47</v>
      </c>
      <c r="F521" s="310" t="s">
        <v>121</v>
      </c>
      <c r="G521" s="311">
        <v>9</v>
      </c>
      <c r="H521" s="311">
        <v>10.25</v>
      </c>
      <c r="I521" s="340">
        <v>87.49</v>
      </c>
      <c r="J521" s="340">
        <v>159.4</v>
      </c>
      <c r="K521" s="311"/>
      <c r="L521" s="340">
        <f t="shared" si="16"/>
        <v>87.49</v>
      </c>
      <c r="M521" s="311"/>
      <c r="N521" s="311"/>
      <c r="O521" s="311"/>
      <c r="P521" s="311"/>
      <c r="Q521" s="311"/>
      <c r="R521" s="392"/>
      <c r="S521" s="358">
        <f ca="1">IF(C521&lt;=EOMONTH('&gt;&gt;Vistas Consolidadas'!$D$2, '&gt;&gt;Vistas Consolidadas'!$F$2),J521+I521,J521)</f>
        <v>159.4</v>
      </c>
      <c r="T521" s="18" t="str">
        <f ca="1">IF(C521&gt;='&gt;&gt;Vistas Consolidadas'!$D$2,"SI","NO")</f>
        <v>SI</v>
      </c>
      <c r="U521" s="358">
        <f ca="1">IF(C521&lt;=EOMONTH('&gt;&gt;Vistas Consolidadas'!$D$2, '&gt;&gt;Vistas Consolidadas'!$F$2),I521,0)</f>
        <v>0</v>
      </c>
      <c r="V521" s="18" t="b">
        <f ca="1">AND(C521&gt;='Interes Por Semana'!$C$4, C521&lt;='Interes Por Semana'!$E$4)</f>
        <v>0</v>
      </c>
      <c r="W521" s="18" t="str">
        <f t="shared" si="17"/>
        <v>sábado</v>
      </c>
    </row>
    <row r="522" spans="2:23" hidden="1" x14ac:dyDescent="0.25">
      <c r="B522" s="337">
        <v>45559</v>
      </c>
      <c r="C522" s="337">
        <v>46733</v>
      </c>
      <c r="D522" s="374" t="s">
        <v>118</v>
      </c>
      <c r="E522" s="309" t="s">
        <v>47</v>
      </c>
      <c r="F522" s="310" t="s">
        <v>119</v>
      </c>
      <c r="G522" s="311">
        <v>8.5</v>
      </c>
      <c r="H522" s="311">
        <v>12</v>
      </c>
      <c r="I522" s="340">
        <v>177.6</v>
      </c>
      <c r="J522" s="340">
        <v>1608.94</v>
      </c>
      <c r="K522" s="308"/>
      <c r="L522" s="340">
        <f t="shared" si="16"/>
        <v>177.6</v>
      </c>
      <c r="M522" s="308"/>
      <c r="N522" s="311"/>
      <c r="O522" s="312"/>
      <c r="P522" s="308"/>
      <c r="Q522" s="308"/>
      <c r="R522" s="392"/>
      <c r="S522" s="358">
        <f ca="1">IF(C522&lt;=EOMONTH('&gt;&gt;Vistas Consolidadas'!$D$2, '&gt;&gt;Vistas Consolidadas'!$F$2),J522+I522,J522)</f>
        <v>1608.94</v>
      </c>
      <c r="T522" s="18" t="str">
        <f ca="1">IF(C522&gt;='&gt;&gt;Vistas Consolidadas'!$D$2,"SI","NO")</f>
        <v>SI</v>
      </c>
      <c r="U522" s="358">
        <f ca="1">IF(C522&lt;=EOMONTH('&gt;&gt;Vistas Consolidadas'!$D$2, '&gt;&gt;Vistas Consolidadas'!$F$2),I522,0)</f>
        <v>0</v>
      </c>
      <c r="V522" s="18" t="b">
        <f ca="1">AND(C522&gt;='Interes Por Semana'!$C$4, C522&lt;='Interes Por Semana'!$E$4)</f>
        <v>0</v>
      </c>
      <c r="W522" s="18" t="str">
        <f t="shared" si="17"/>
        <v>domingo</v>
      </c>
    </row>
    <row r="523" spans="2:23" hidden="1" x14ac:dyDescent="0.25">
      <c r="B523" s="337">
        <v>45559</v>
      </c>
      <c r="C523" s="337">
        <v>46733</v>
      </c>
      <c r="D523" s="374" t="s">
        <v>118</v>
      </c>
      <c r="E523" s="309" t="s">
        <v>46</v>
      </c>
      <c r="F523" s="310" t="s">
        <v>119</v>
      </c>
      <c r="G523" s="312">
        <v>8.5</v>
      </c>
      <c r="H523" s="308">
        <v>12</v>
      </c>
      <c r="I523" s="340">
        <v>28.17</v>
      </c>
      <c r="J523" s="340">
        <v>255.19</v>
      </c>
      <c r="K523" s="308"/>
      <c r="L523" s="340">
        <f t="shared" si="16"/>
        <v>28.17</v>
      </c>
      <c r="M523" s="308"/>
      <c r="N523" s="311"/>
      <c r="O523" s="312"/>
      <c r="P523" s="308"/>
      <c r="Q523" s="308"/>
      <c r="R523" s="392"/>
      <c r="S523" s="358">
        <f ca="1">IF(C523&lt;=EOMONTH('&gt;&gt;Vistas Consolidadas'!$D$2, '&gt;&gt;Vistas Consolidadas'!$F$2),J523+I523,J523)</f>
        <v>255.19</v>
      </c>
      <c r="T523" s="18" t="str">
        <f ca="1">IF(C523&gt;='&gt;&gt;Vistas Consolidadas'!$D$2,"SI","NO")</f>
        <v>SI</v>
      </c>
      <c r="U523" s="358">
        <f ca="1">IF(C523&lt;=EOMONTH('&gt;&gt;Vistas Consolidadas'!$D$2, '&gt;&gt;Vistas Consolidadas'!$F$2),I523,0)</f>
        <v>0</v>
      </c>
      <c r="V523" s="18" t="b">
        <f ca="1">AND(C523&gt;='Interes Por Semana'!$C$4, C523&lt;='Interes Por Semana'!$E$4)</f>
        <v>0</v>
      </c>
      <c r="W523" s="18" t="str">
        <f t="shared" si="17"/>
        <v>domingo</v>
      </c>
    </row>
    <row r="524" spans="2:23" hidden="1" x14ac:dyDescent="0.25">
      <c r="B524" s="337">
        <v>45559</v>
      </c>
      <c r="C524" s="337">
        <v>46733</v>
      </c>
      <c r="D524" s="374" t="s">
        <v>118</v>
      </c>
      <c r="E524" s="309" t="s">
        <v>48</v>
      </c>
      <c r="F524" s="310" t="s">
        <v>119</v>
      </c>
      <c r="G524" s="312">
        <v>8.5</v>
      </c>
      <c r="H524" s="308">
        <v>12</v>
      </c>
      <c r="I524" s="340">
        <v>114.44</v>
      </c>
      <c r="J524" s="340">
        <v>1036.74</v>
      </c>
      <c r="K524" s="312"/>
      <c r="L524" s="340">
        <f t="shared" si="16"/>
        <v>114.44</v>
      </c>
      <c r="M524" s="308"/>
      <c r="N524" s="311"/>
      <c r="O524" s="312"/>
      <c r="P524" s="308"/>
      <c r="Q524" s="308"/>
      <c r="R524" s="392"/>
      <c r="S524" s="358">
        <f ca="1">IF(C524&lt;=EOMONTH('&gt;&gt;Vistas Consolidadas'!$D$2, '&gt;&gt;Vistas Consolidadas'!$F$2),J524+I524,J524)</f>
        <v>1036.74</v>
      </c>
      <c r="T524" s="18" t="str">
        <f ca="1">IF(C524&gt;='&gt;&gt;Vistas Consolidadas'!$D$2,"SI","NO")</f>
        <v>SI</v>
      </c>
      <c r="U524" s="358">
        <f ca="1">IF(C524&lt;=EOMONTH('&gt;&gt;Vistas Consolidadas'!$D$2, '&gt;&gt;Vistas Consolidadas'!$F$2),I524,0)</f>
        <v>0</v>
      </c>
      <c r="V524" s="18" t="b">
        <f ca="1">AND(C524&gt;='Interes Por Semana'!$C$4, C524&lt;='Interes Por Semana'!$E$4)</f>
        <v>0</v>
      </c>
      <c r="W524" s="18" t="str">
        <f t="shared" si="17"/>
        <v>domingo</v>
      </c>
    </row>
    <row r="525" spans="2:23" hidden="1" x14ac:dyDescent="0.25">
      <c r="B525" s="337">
        <v>45775</v>
      </c>
      <c r="C525" s="337">
        <v>46760</v>
      </c>
      <c r="D525" s="374" t="s">
        <v>88</v>
      </c>
      <c r="E525" s="309" t="s">
        <v>47</v>
      </c>
      <c r="F525" s="310" t="s">
        <v>89</v>
      </c>
      <c r="G525" s="311">
        <v>9</v>
      </c>
      <c r="H525" s="311">
        <v>11.5</v>
      </c>
      <c r="I525" s="340">
        <v>129.69999999999999</v>
      </c>
      <c r="J525" s="340">
        <v>1663.68</v>
      </c>
      <c r="K525" s="308"/>
      <c r="L525" s="340">
        <f t="shared" si="16"/>
        <v>129.69999999999999</v>
      </c>
      <c r="M525" s="311"/>
      <c r="N525" s="311"/>
      <c r="O525" s="311"/>
      <c r="P525" s="311"/>
      <c r="Q525" s="311"/>
      <c r="R525" s="392"/>
      <c r="S525" s="358">
        <f ca="1">IF(C525&lt;=EOMONTH('&gt;&gt;Vistas Consolidadas'!$D$2, '&gt;&gt;Vistas Consolidadas'!$F$2),J525+I525,J525)</f>
        <v>1663.68</v>
      </c>
      <c r="T525" s="18" t="str">
        <f ca="1">IF(C525&gt;='&gt;&gt;Vistas Consolidadas'!$D$2,"SI","NO")</f>
        <v>SI</v>
      </c>
      <c r="U525" s="358">
        <f ca="1">IF(C525&lt;=EOMONTH('&gt;&gt;Vistas Consolidadas'!$D$2, '&gt;&gt;Vistas Consolidadas'!$F$2),I525,0)</f>
        <v>0</v>
      </c>
      <c r="V525" s="18" t="b">
        <f ca="1">AND(C525&gt;='Interes Por Semana'!$C$4, C525&lt;='Interes Por Semana'!$E$4)</f>
        <v>0</v>
      </c>
      <c r="W525" s="18" t="str">
        <f t="shared" si="17"/>
        <v>sábado</v>
      </c>
    </row>
    <row r="526" spans="2:23" hidden="1" x14ac:dyDescent="0.25">
      <c r="B526" s="337">
        <v>45775</v>
      </c>
      <c r="C526" s="337">
        <v>46760</v>
      </c>
      <c r="D526" s="374" t="s">
        <v>88</v>
      </c>
      <c r="E526" s="309" t="s">
        <v>47</v>
      </c>
      <c r="F526" s="310" t="s">
        <v>89</v>
      </c>
      <c r="G526" s="311">
        <v>9</v>
      </c>
      <c r="H526" s="311">
        <v>11.5</v>
      </c>
      <c r="I526" s="340">
        <v>58.38</v>
      </c>
      <c r="J526" s="340">
        <v>759.96</v>
      </c>
      <c r="K526" s="308"/>
      <c r="L526" s="340">
        <f t="shared" si="16"/>
        <v>58.38</v>
      </c>
      <c r="M526" s="311"/>
      <c r="N526" s="311"/>
      <c r="O526" s="311"/>
      <c r="P526" s="311"/>
      <c r="Q526" s="311"/>
      <c r="R526" s="392"/>
      <c r="S526" s="358">
        <f ca="1">IF(C526&lt;=EOMONTH('&gt;&gt;Vistas Consolidadas'!$D$2, '&gt;&gt;Vistas Consolidadas'!$F$2),J526+I526,J526)</f>
        <v>759.96</v>
      </c>
      <c r="T526" s="18" t="str">
        <f ca="1">IF(C526&gt;='&gt;&gt;Vistas Consolidadas'!$D$2,"SI","NO")</f>
        <v>SI</v>
      </c>
      <c r="U526" s="358">
        <f ca="1">IF(C526&lt;=EOMONTH('&gt;&gt;Vistas Consolidadas'!$D$2, '&gt;&gt;Vistas Consolidadas'!$F$2),I526,0)</f>
        <v>0</v>
      </c>
      <c r="V526" s="18" t="b">
        <f ca="1">AND(C526&gt;='Interes Por Semana'!$C$4, C526&lt;='Interes Por Semana'!$E$4)</f>
        <v>0</v>
      </c>
      <c r="W526" s="18" t="str">
        <f t="shared" si="17"/>
        <v>sábado</v>
      </c>
    </row>
    <row r="527" spans="2:23" hidden="1" x14ac:dyDescent="0.25">
      <c r="B527" s="337">
        <v>46072</v>
      </c>
      <c r="C527" s="337">
        <v>46765</v>
      </c>
      <c r="D527" s="374" t="s">
        <v>88</v>
      </c>
      <c r="E527" s="309" t="s">
        <v>46</v>
      </c>
      <c r="F527" s="310" t="s">
        <v>94</v>
      </c>
      <c r="G527" s="312">
        <v>9</v>
      </c>
      <c r="H527" s="312">
        <v>10.5</v>
      </c>
      <c r="I527" s="340">
        <v>312.55999999999989</v>
      </c>
      <c r="J527" s="340">
        <v>948.02</v>
      </c>
      <c r="K527" s="312"/>
      <c r="L527" s="340">
        <f t="shared" si="16"/>
        <v>312.55999999999989</v>
      </c>
      <c r="M527" s="311"/>
      <c r="N527" s="311"/>
      <c r="O527" s="311"/>
      <c r="P527" s="311"/>
      <c r="Q527" s="311"/>
      <c r="R527" s="392"/>
      <c r="S527" s="358">
        <f ca="1">IF(C527&lt;=EOMONTH('&gt;&gt;Vistas Consolidadas'!$D$2, '&gt;&gt;Vistas Consolidadas'!$F$2),J527+I527,J527)</f>
        <v>948.02</v>
      </c>
      <c r="T527" s="18" t="str">
        <f ca="1">IF(C527&gt;='&gt;&gt;Vistas Consolidadas'!$D$2,"SI","NO")</f>
        <v>SI</v>
      </c>
      <c r="U527" s="358">
        <f ca="1">IF(C527&lt;=EOMONTH('&gt;&gt;Vistas Consolidadas'!$D$2, '&gt;&gt;Vistas Consolidadas'!$F$2),I527,0)</f>
        <v>0</v>
      </c>
      <c r="V527" s="18" t="b">
        <f ca="1">AND(C527&gt;='Interes Por Semana'!$C$4, C527&lt;='Interes Por Semana'!$E$4)</f>
        <v>0</v>
      </c>
      <c r="W527" s="18" t="str">
        <f t="shared" si="17"/>
        <v>jueves</v>
      </c>
    </row>
    <row r="528" spans="2:23" hidden="1" x14ac:dyDescent="0.25">
      <c r="B528" s="337">
        <v>46072</v>
      </c>
      <c r="C528" s="337">
        <v>46773</v>
      </c>
      <c r="D528" s="374" t="s">
        <v>88</v>
      </c>
      <c r="E528" s="309" t="s">
        <v>46</v>
      </c>
      <c r="F528" s="310" t="s">
        <v>104</v>
      </c>
      <c r="G528" s="312">
        <v>9</v>
      </c>
      <c r="H528" s="312">
        <v>10.25</v>
      </c>
      <c r="I528" s="340">
        <v>199.93</v>
      </c>
      <c r="J528" s="340">
        <v>1570.16</v>
      </c>
      <c r="K528" s="312"/>
      <c r="L528" s="340">
        <f t="shared" si="16"/>
        <v>199.93</v>
      </c>
      <c r="M528" s="311"/>
      <c r="N528" s="311"/>
      <c r="O528" s="311"/>
      <c r="P528" s="311"/>
      <c r="Q528" s="311"/>
      <c r="R528" s="392"/>
      <c r="S528" s="358">
        <f ca="1">IF(C528&lt;=EOMONTH('&gt;&gt;Vistas Consolidadas'!$D$2, '&gt;&gt;Vistas Consolidadas'!$F$2),J528+I528,J528)</f>
        <v>1570.16</v>
      </c>
      <c r="T528" s="18" t="str">
        <f ca="1">IF(C528&gt;='&gt;&gt;Vistas Consolidadas'!$D$2,"SI","NO")</f>
        <v>SI</v>
      </c>
      <c r="U528" s="358">
        <f ca="1">IF(C528&lt;=EOMONTH('&gt;&gt;Vistas Consolidadas'!$D$2, '&gt;&gt;Vistas Consolidadas'!$F$2),I528,0)</f>
        <v>0</v>
      </c>
      <c r="V528" s="18" t="b">
        <f ca="1">AND(C528&gt;='Interes Por Semana'!$C$4, C528&lt;='Interes Por Semana'!$E$4)</f>
        <v>0</v>
      </c>
      <c r="W528" s="18" t="str">
        <f t="shared" si="17"/>
        <v>viernes</v>
      </c>
    </row>
    <row r="529" spans="2:23" hidden="1" x14ac:dyDescent="0.25">
      <c r="B529" s="337">
        <v>45748</v>
      </c>
      <c r="C529" s="337">
        <v>46788</v>
      </c>
      <c r="D529" s="374" t="s">
        <v>88</v>
      </c>
      <c r="E529" s="309" t="s">
        <v>47</v>
      </c>
      <c r="F529" s="310" t="s">
        <v>113</v>
      </c>
      <c r="G529" s="311">
        <v>9</v>
      </c>
      <c r="H529" s="311">
        <v>11.5</v>
      </c>
      <c r="I529" s="340">
        <v>5.18</v>
      </c>
      <c r="J529" s="340">
        <v>230.12</v>
      </c>
      <c r="K529" s="308"/>
      <c r="L529" s="340">
        <f t="shared" si="16"/>
        <v>5.18</v>
      </c>
      <c r="M529" s="311"/>
      <c r="N529" s="311"/>
      <c r="O529" s="311"/>
      <c r="P529" s="311"/>
      <c r="Q529" s="311"/>
      <c r="R529" s="392"/>
      <c r="S529" s="358">
        <f ca="1">IF(C529&lt;=EOMONTH('&gt;&gt;Vistas Consolidadas'!$D$2, '&gt;&gt;Vistas Consolidadas'!$F$2),J529+I529,J529)</f>
        <v>230.12</v>
      </c>
      <c r="T529" s="18" t="str">
        <f ca="1">IF(C529&gt;='&gt;&gt;Vistas Consolidadas'!$D$2,"SI","NO")</f>
        <v>SI</v>
      </c>
      <c r="U529" s="358">
        <f ca="1">IF(C529&lt;=EOMONTH('&gt;&gt;Vistas Consolidadas'!$D$2, '&gt;&gt;Vistas Consolidadas'!$F$2),I529,0)</f>
        <v>0</v>
      </c>
      <c r="V529" s="18" t="b">
        <f ca="1">AND(C529&gt;='Interes Por Semana'!$C$4, C529&lt;='Interes Por Semana'!$E$4)</f>
        <v>0</v>
      </c>
      <c r="W529" s="18" t="str">
        <f t="shared" si="17"/>
        <v>sábado</v>
      </c>
    </row>
    <row r="530" spans="2:23" hidden="1" x14ac:dyDescent="0.25">
      <c r="B530" s="337">
        <v>45754</v>
      </c>
      <c r="C530" s="337">
        <v>46788</v>
      </c>
      <c r="D530" s="374" t="s">
        <v>88</v>
      </c>
      <c r="E530" s="309" t="s">
        <v>47</v>
      </c>
      <c r="F530" s="310" t="s">
        <v>113</v>
      </c>
      <c r="G530" s="311">
        <v>9</v>
      </c>
      <c r="H530" s="311">
        <v>11.5</v>
      </c>
      <c r="I530" s="340">
        <v>14.489999999999981</v>
      </c>
      <c r="J530" s="340">
        <v>255.04</v>
      </c>
      <c r="K530" s="308"/>
      <c r="L530" s="340">
        <f t="shared" si="16"/>
        <v>14.489999999999981</v>
      </c>
      <c r="M530" s="311"/>
      <c r="N530" s="311"/>
      <c r="O530" s="311"/>
      <c r="P530" s="311"/>
      <c r="Q530" s="311"/>
      <c r="R530" s="392"/>
      <c r="S530" s="358">
        <f ca="1">IF(C530&lt;=EOMONTH('&gt;&gt;Vistas Consolidadas'!$D$2, '&gt;&gt;Vistas Consolidadas'!$F$2),J530+I530,J530)</f>
        <v>255.04</v>
      </c>
      <c r="T530" s="18" t="str">
        <f ca="1">IF(C530&gt;='&gt;&gt;Vistas Consolidadas'!$D$2,"SI","NO")</f>
        <v>SI</v>
      </c>
      <c r="U530" s="358">
        <f ca="1">IF(C530&lt;=EOMONTH('&gt;&gt;Vistas Consolidadas'!$D$2, '&gt;&gt;Vistas Consolidadas'!$F$2),I530,0)</f>
        <v>0</v>
      </c>
      <c r="V530" s="18" t="b">
        <f ca="1">AND(C530&gt;='Interes Por Semana'!$C$4, C530&lt;='Interes Por Semana'!$E$4)</f>
        <v>0</v>
      </c>
      <c r="W530" s="18" t="str">
        <f t="shared" si="17"/>
        <v>sábado</v>
      </c>
    </row>
    <row r="531" spans="2:23" hidden="1" x14ac:dyDescent="0.25">
      <c r="B531" s="337">
        <v>45755</v>
      </c>
      <c r="C531" s="337">
        <v>46788</v>
      </c>
      <c r="D531" s="374" t="s">
        <v>88</v>
      </c>
      <c r="E531" s="309" t="s">
        <v>47</v>
      </c>
      <c r="F531" s="310" t="s">
        <v>113</v>
      </c>
      <c r="G531" s="311">
        <v>9</v>
      </c>
      <c r="H531" s="311">
        <v>11.5</v>
      </c>
      <c r="I531" s="340">
        <v>32.759999999999991</v>
      </c>
      <c r="J531" s="340">
        <v>574.88</v>
      </c>
      <c r="K531" s="308"/>
      <c r="L531" s="340">
        <f t="shared" si="16"/>
        <v>32.759999999999991</v>
      </c>
      <c r="M531" s="311"/>
      <c r="N531" s="311"/>
      <c r="O531" s="311"/>
      <c r="P531" s="311"/>
      <c r="Q531" s="311"/>
      <c r="R531" s="392"/>
      <c r="S531" s="358">
        <f ca="1">IF(C531&lt;=EOMONTH('&gt;&gt;Vistas Consolidadas'!$D$2, '&gt;&gt;Vistas Consolidadas'!$F$2),J531+I531,J531)</f>
        <v>574.88</v>
      </c>
      <c r="T531" s="18" t="str">
        <f ca="1">IF(C531&gt;='&gt;&gt;Vistas Consolidadas'!$D$2,"SI","NO")</f>
        <v>SI</v>
      </c>
      <c r="U531" s="358">
        <f ca="1">IF(C531&lt;=EOMONTH('&gt;&gt;Vistas Consolidadas'!$D$2, '&gt;&gt;Vistas Consolidadas'!$F$2),I531,0)</f>
        <v>0</v>
      </c>
      <c r="V531" s="18" t="b">
        <f ca="1">AND(C531&gt;='Interes Por Semana'!$C$4, C531&lt;='Interes Por Semana'!$E$4)</f>
        <v>0</v>
      </c>
      <c r="W531" s="18" t="str">
        <f t="shared" si="17"/>
        <v>sábado</v>
      </c>
    </row>
    <row r="532" spans="2:23" hidden="1" x14ac:dyDescent="0.25">
      <c r="B532" s="337">
        <v>45793</v>
      </c>
      <c r="C532" s="337">
        <v>46792</v>
      </c>
      <c r="D532" s="374" t="s">
        <v>88</v>
      </c>
      <c r="E532" s="309" t="s">
        <v>46</v>
      </c>
      <c r="F532" s="310" t="s">
        <v>114</v>
      </c>
      <c r="G532" s="312">
        <v>9</v>
      </c>
      <c r="H532" s="308">
        <v>11.5</v>
      </c>
      <c r="I532" s="340">
        <v>133.47999999999999</v>
      </c>
      <c r="J532" s="340">
        <v>1694.73</v>
      </c>
      <c r="K532" s="308"/>
      <c r="L532" s="340">
        <f t="shared" si="16"/>
        <v>133.47999999999999</v>
      </c>
      <c r="M532" s="308"/>
      <c r="N532" s="311"/>
      <c r="O532" s="312"/>
      <c r="P532" s="308"/>
      <c r="Q532" s="308"/>
      <c r="R532" s="392"/>
      <c r="S532" s="358">
        <f ca="1">IF(C532&lt;=EOMONTH('&gt;&gt;Vistas Consolidadas'!$D$2, '&gt;&gt;Vistas Consolidadas'!$F$2),J532+I532,J532)</f>
        <v>1694.73</v>
      </c>
      <c r="T532" s="18" t="str">
        <f ca="1">IF(C532&gt;='&gt;&gt;Vistas Consolidadas'!$D$2,"SI","NO")</f>
        <v>SI</v>
      </c>
      <c r="U532" s="358">
        <f ca="1">IF(C532&lt;=EOMONTH('&gt;&gt;Vistas Consolidadas'!$D$2, '&gt;&gt;Vistas Consolidadas'!$F$2),I532,0)</f>
        <v>0</v>
      </c>
      <c r="V532" s="18" t="b">
        <f ca="1">AND(C532&gt;='Interes Por Semana'!$C$4, C532&lt;='Interes Por Semana'!$E$4)</f>
        <v>0</v>
      </c>
      <c r="W532" s="18" t="str">
        <f t="shared" si="17"/>
        <v>miércoles</v>
      </c>
    </row>
    <row r="533" spans="2:23" hidden="1" x14ac:dyDescent="0.25">
      <c r="B533" s="337">
        <v>45775</v>
      </c>
      <c r="C533" s="337">
        <v>46788</v>
      </c>
      <c r="D533" s="374" t="s">
        <v>88</v>
      </c>
      <c r="E533" s="309" t="s">
        <v>47</v>
      </c>
      <c r="F533" s="310" t="s">
        <v>113</v>
      </c>
      <c r="G533" s="311">
        <v>9</v>
      </c>
      <c r="H533" s="311">
        <v>11.5</v>
      </c>
      <c r="I533" s="340">
        <v>91.16</v>
      </c>
      <c r="J533" s="340">
        <v>1637.62</v>
      </c>
      <c r="K533" s="308"/>
      <c r="L533" s="340">
        <f t="shared" si="16"/>
        <v>91.16</v>
      </c>
      <c r="M533" s="311"/>
      <c r="N533" s="311"/>
      <c r="O533" s="311"/>
      <c r="P533" s="311"/>
      <c r="Q533" s="311"/>
      <c r="R533" s="392"/>
      <c r="S533" s="358">
        <f ca="1">IF(C533&lt;=EOMONTH('&gt;&gt;Vistas Consolidadas'!$D$2, '&gt;&gt;Vistas Consolidadas'!$F$2),J533+I533,J533)</f>
        <v>1637.62</v>
      </c>
      <c r="T533" s="18" t="str">
        <f ca="1">IF(C533&gt;='&gt;&gt;Vistas Consolidadas'!$D$2,"SI","NO")</f>
        <v>SI</v>
      </c>
      <c r="U533" s="358">
        <f ca="1">IF(C533&lt;=EOMONTH('&gt;&gt;Vistas Consolidadas'!$D$2, '&gt;&gt;Vistas Consolidadas'!$F$2),I533,0)</f>
        <v>0</v>
      </c>
      <c r="V533" s="18" t="b">
        <f ca="1">AND(C533&gt;='Interes Por Semana'!$C$4, C533&lt;='Interes Por Semana'!$E$4)</f>
        <v>0</v>
      </c>
      <c r="W533" s="18" t="str">
        <f t="shared" si="17"/>
        <v>sábado</v>
      </c>
    </row>
    <row r="534" spans="2:23" hidden="1" x14ac:dyDescent="0.25">
      <c r="B534" s="337">
        <v>46097</v>
      </c>
      <c r="C534" s="337">
        <v>46823</v>
      </c>
      <c r="D534" s="374" t="s">
        <v>88</v>
      </c>
      <c r="E534" s="309" t="s">
        <v>47</v>
      </c>
      <c r="F534" s="310" t="s">
        <v>121</v>
      </c>
      <c r="G534" s="311">
        <v>9</v>
      </c>
      <c r="H534" s="311">
        <v>10.25</v>
      </c>
      <c r="I534" s="340">
        <v>507.16</v>
      </c>
      <c r="J534" s="340">
        <v>965</v>
      </c>
      <c r="K534" s="311"/>
      <c r="L534" s="340">
        <f t="shared" si="16"/>
        <v>507.16</v>
      </c>
      <c r="M534" s="311"/>
      <c r="N534" s="311"/>
      <c r="O534" s="311"/>
      <c r="P534" s="311"/>
      <c r="Q534" s="311"/>
      <c r="R534" s="392"/>
      <c r="S534" s="358">
        <f ca="1">IF(C534&lt;=EOMONTH('&gt;&gt;Vistas Consolidadas'!$D$2, '&gt;&gt;Vistas Consolidadas'!$F$2),J534+I534,J534)</f>
        <v>965</v>
      </c>
      <c r="T534" s="18" t="str">
        <f ca="1">IF(C534&gt;='&gt;&gt;Vistas Consolidadas'!$D$2,"SI","NO")</f>
        <v>SI</v>
      </c>
      <c r="U534" s="358">
        <f ca="1">IF(C534&lt;=EOMONTH('&gt;&gt;Vistas Consolidadas'!$D$2, '&gt;&gt;Vistas Consolidadas'!$F$2),I534,0)</f>
        <v>0</v>
      </c>
      <c r="V534" s="18" t="b">
        <f ca="1">AND(C534&gt;='Interes Por Semana'!$C$4, C534&lt;='Interes Por Semana'!$E$4)</f>
        <v>0</v>
      </c>
      <c r="W534" s="18" t="str">
        <f t="shared" si="17"/>
        <v>sábado</v>
      </c>
    </row>
    <row r="535" spans="2:23" hidden="1" x14ac:dyDescent="0.25">
      <c r="B535" s="337">
        <v>46105</v>
      </c>
      <c r="C535" s="337">
        <v>46823</v>
      </c>
      <c r="D535" s="374" t="s">
        <v>88</v>
      </c>
      <c r="E535" s="309" t="s">
        <v>47</v>
      </c>
      <c r="F535" s="310" t="s">
        <v>121</v>
      </c>
      <c r="G535" s="311">
        <v>9</v>
      </c>
      <c r="H535" s="311">
        <v>10.25</v>
      </c>
      <c r="I535" s="340">
        <v>83.78</v>
      </c>
      <c r="J535" s="340">
        <v>159.4</v>
      </c>
      <c r="K535" s="311"/>
      <c r="L535" s="340">
        <f t="shared" si="16"/>
        <v>83.78</v>
      </c>
      <c r="M535" s="311"/>
      <c r="N535" s="311"/>
      <c r="O535" s="311"/>
      <c r="P535" s="311"/>
      <c r="Q535" s="311"/>
      <c r="R535" s="392"/>
      <c r="S535" s="358">
        <f ca="1">IF(C535&lt;=EOMONTH('&gt;&gt;Vistas Consolidadas'!$D$2, '&gt;&gt;Vistas Consolidadas'!$F$2),J535+I535,J535)</f>
        <v>159.4</v>
      </c>
      <c r="T535" s="18" t="str">
        <f ca="1">IF(C535&gt;='&gt;&gt;Vistas Consolidadas'!$D$2,"SI","NO")</f>
        <v>SI</v>
      </c>
      <c r="U535" s="358">
        <f ca="1">IF(C535&lt;=EOMONTH('&gt;&gt;Vistas Consolidadas'!$D$2, '&gt;&gt;Vistas Consolidadas'!$F$2),I535,0)</f>
        <v>0</v>
      </c>
      <c r="V535" s="18" t="b">
        <f ca="1">AND(C535&gt;='Interes Por Semana'!$C$4, C535&lt;='Interes Por Semana'!$E$4)</f>
        <v>0</v>
      </c>
      <c r="W535" s="18" t="str">
        <f t="shared" si="17"/>
        <v>sábado</v>
      </c>
    </row>
    <row r="536" spans="2:23" hidden="1" x14ac:dyDescent="0.25">
      <c r="B536" s="337">
        <v>45559</v>
      </c>
      <c r="C536" s="337">
        <v>46824</v>
      </c>
      <c r="D536" s="374" t="s">
        <v>118</v>
      </c>
      <c r="E536" s="309" t="s">
        <v>47</v>
      </c>
      <c r="F536" s="310" t="s">
        <v>119</v>
      </c>
      <c r="G536" s="311">
        <v>8.5</v>
      </c>
      <c r="H536" s="311">
        <v>12</v>
      </c>
      <c r="I536" s="340">
        <v>143.41</v>
      </c>
      <c r="J536" s="340">
        <v>1639.74</v>
      </c>
      <c r="K536" s="308"/>
      <c r="L536" s="340">
        <f t="shared" si="16"/>
        <v>143.41</v>
      </c>
      <c r="M536" s="311"/>
      <c r="N536" s="311"/>
      <c r="O536" s="311"/>
      <c r="P536" s="311"/>
      <c r="Q536" s="311"/>
      <c r="R536" s="392"/>
      <c r="S536" s="358">
        <f ca="1">IF(C536&lt;=EOMONTH('&gt;&gt;Vistas Consolidadas'!$D$2, '&gt;&gt;Vistas Consolidadas'!$F$2),J536+I536,J536)</f>
        <v>1639.74</v>
      </c>
      <c r="T536" s="18" t="str">
        <f ca="1">IF(C536&gt;='&gt;&gt;Vistas Consolidadas'!$D$2,"SI","NO")</f>
        <v>SI</v>
      </c>
      <c r="U536" s="358">
        <f ca="1">IF(C536&lt;=EOMONTH('&gt;&gt;Vistas Consolidadas'!$D$2, '&gt;&gt;Vistas Consolidadas'!$F$2),I536,0)</f>
        <v>0</v>
      </c>
      <c r="V536" s="18" t="b">
        <f ca="1">AND(C536&gt;='Interes Por Semana'!$C$4, C536&lt;='Interes Por Semana'!$E$4)</f>
        <v>0</v>
      </c>
      <c r="W536" s="18" t="str">
        <f t="shared" si="17"/>
        <v>domingo</v>
      </c>
    </row>
    <row r="537" spans="2:23" hidden="1" x14ac:dyDescent="0.25">
      <c r="B537" s="337">
        <v>45559</v>
      </c>
      <c r="C537" s="337">
        <v>46824</v>
      </c>
      <c r="D537" s="374" t="s">
        <v>118</v>
      </c>
      <c r="E537" s="309" t="s">
        <v>46</v>
      </c>
      <c r="F537" s="310" t="s">
        <v>119</v>
      </c>
      <c r="G537" s="312">
        <v>8.5</v>
      </c>
      <c r="H537" s="312">
        <v>12</v>
      </c>
      <c r="I537" s="340">
        <v>22.75</v>
      </c>
      <c r="J537" s="340">
        <v>260.07</v>
      </c>
      <c r="K537" s="312"/>
      <c r="L537" s="340">
        <f t="shared" si="16"/>
        <v>22.75</v>
      </c>
      <c r="M537" s="311"/>
      <c r="N537" s="311"/>
      <c r="O537" s="311"/>
      <c r="P537" s="311"/>
      <c r="Q537" s="311"/>
      <c r="R537" s="392"/>
      <c r="S537" s="358">
        <f ca="1">IF(C537&lt;=EOMONTH('&gt;&gt;Vistas Consolidadas'!$D$2, '&gt;&gt;Vistas Consolidadas'!$F$2),J537+I537,J537)</f>
        <v>260.07</v>
      </c>
      <c r="T537" s="18" t="str">
        <f ca="1">IF(C537&gt;='&gt;&gt;Vistas Consolidadas'!$D$2,"SI","NO")</f>
        <v>SI</v>
      </c>
      <c r="U537" s="358">
        <f ca="1">IF(C537&lt;=EOMONTH('&gt;&gt;Vistas Consolidadas'!$D$2, '&gt;&gt;Vistas Consolidadas'!$F$2),I537,0)</f>
        <v>0</v>
      </c>
      <c r="V537" s="18" t="b">
        <f ca="1">AND(C537&gt;='Interes Por Semana'!$C$4, C537&lt;='Interes Por Semana'!$E$4)</f>
        <v>0</v>
      </c>
      <c r="W537" s="18" t="str">
        <f t="shared" si="17"/>
        <v>domingo</v>
      </c>
    </row>
    <row r="538" spans="2:23" hidden="1" x14ac:dyDescent="0.25">
      <c r="B538" s="337">
        <v>45559</v>
      </c>
      <c r="C538" s="337">
        <v>46824</v>
      </c>
      <c r="D538" s="374" t="s">
        <v>118</v>
      </c>
      <c r="E538" s="309" t="s">
        <v>48</v>
      </c>
      <c r="F538" s="310" t="s">
        <v>119</v>
      </c>
      <c r="G538" s="311">
        <v>8.5</v>
      </c>
      <c r="H538" s="311">
        <v>12</v>
      </c>
      <c r="I538" s="340">
        <v>92.41</v>
      </c>
      <c r="J538" s="340">
        <v>1056.5899999999999</v>
      </c>
      <c r="K538" s="311"/>
      <c r="L538" s="340">
        <f t="shared" si="16"/>
        <v>92.41</v>
      </c>
      <c r="M538" s="311"/>
      <c r="N538" s="311"/>
      <c r="O538" s="311"/>
      <c r="P538" s="311"/>
      <c r="Q538" s="311"/>
      <c r="R538" s="392"/>
      <c r="S538" s="358">
        <f ca="1">IF(C538&lt;=EOMONTH('&gt;&gt;Vistas Consolidadas'!$D$2, '&gt;&gt;Vistas Consolidadas'!$F$2),J538+I538,J538)</f>
        <v>1056.5899999999999</v>
      </c>
      <c r="T538" s="18" t="str">
        <f ca="1">IF(C538&gt;='&gt;&gt;Vistas Consolidadas'!$D$2,"SI","NO")</f>
        <v>SI</v>
      </c>
      <c r="U538" s="358">
        <f ca="1">IF(C538&lt;=EOMONTH('&gt;&gt;Vistas Consolidadas'!$D$2, '&gt;&gt;Vistas Consolidadas'!$F$2),I538,0)</f>
        <v>0</v>
      </c>
      <c r="V538" s="18" t="b">
        <f ca="1">AND(C538&gt;='Interes Por Semana'!$C$4, C538&lt;='Interes Por Semana'!$E$4)</f>
        <v>0</v>
      </c>
      <c r="W538" s="18" t="str">
        <f t="shared" si="17"/>
        <v>domingo</v>
      </c>
    </row>
    <row r="539" spans="2:23" hidden="1" x14ac:dyDescent="0.25">
      <c r="B539" s="337">
        <v>45775</v>
      </c>
      <c r="C539" s="337">
        <v>46851</v>
      </c>
      <c r="D539" s="374" t="s">
        <v>88</v>
      </c>
      <c r="E539" s="309" t="s">
        <v>47</v>
      </c>
      <c r="F539" s="310" t="s">
        <v>89</v>
      </c>
      <c r="G539" s="311">
        <v>9</v>
      </c>
      <c r="H539" s="311">
        <v>11.5</v>
      </c>
      <c r="I539" s="340">
        <v>91.09</v>
      </c>
      <c r="J539" s="340">
        <v>1663.68</v>
      </c>
      <c r="K539" s="308"/>
      <c r="L539" s="340">
        <f t="shared" si="16"/>
        <v>91.09</v>
      </c>
      <c r="M539" s="311"/>
      <c r="N539" s="311"/>
      <c r="O539" s="311"/>
      <c r="P539" s="311"/>
      <c r="Q539" s="311"/>
      <c r="R539" s="392"/>
      <c r="S539" s="358">
        <f ca="1">IF(C539&lt;=EOMONTH('&gt;&gt;Vistas Consolidadas'!$D$2, '&gt;&gt;Vistas Consolidadas'!$F$2),J539+I539,J539)</f>
        <v>1663.68</v>
      </c>
      <c r="T539" s="18" t="str">
        <f ca="1">IF(C539&gt;='&gt;&gt;Vistas Consolidadas'!$D$2,"SI","NO")</f>
        <v>SI</v>
      </c>
      <c r="U539" s="358">
        <f ca="1">IF(C539&lt;=EOMONTH('&gt;&gt;Vistas Consolidadas'!$D$2, '&gt;&gt;Vistas Consolidadas'!$F$2),I539,0)</f>
        <v>0</v>
      </c>
      <c r="V539" s="18" t="b">
        <f ca="1">AND(C539&gt;='Interes Por Semana'!$C$4, C539&lt;='Interes Por Semana'!$E$4)</f>
        <v>0</v>
      </c>
      <c r="W539" s="18" t="str">
        <f t="shared" si="17"/>
        <v>sábado</v>
      </c>
    </row>
    <row r="540" spans="2:23" hidden="1" x14ac:dyDescent="0.25">
      <c r="B540" s="337">
        <v>45775</v>
      </c>
      <c r="C540" s="337">
        <v>46851</v>
      </c>
      <c r="D540" s="374" t="s">
        <v>88</v>
      </c>
      <c r="E540" s="309" t="s">
        <v>47</v>
      </c>
      <c r="F540" s="310" t="s">
        <v>89</v>
      </c>
      <c r="G540" s="311">
        <v>9</v>
      </c>
      <c r="H540" s="311">
        <v>11.5</v>
      </c>
      <c r="I540" s="340">
        <v>44.52</v>
      </c>
      <c r="J540" s="340">
        <v>759.96</v>
      </c>
      <c r="K540" s="308"/>
      <c r="L540" s="340">
        <f t="shared" si="16"/>
        <v>44.52</v>
      </c>
      <c r="M540" s="311"/>
      <c r="N540" s="311"/>
      <c r="O540" s="311"/>
      <c r="P540" s="311"/>
      <c r="Q540" s="311"/>
      <c r="R540" s="392"/>
      <c r="S540" s="358">
        <f ca="1">IF(C540&lt;=EOMONTH('&gt;&gt;Vistas Consolidadas'!$D$2, '&gt;&gt;Vistas Consolidadas'!$F$2),J540+I540,J540)</f>
        <v>759.96</v>
      </c>
      <c r="T540" s="18" t="str">
        <f ca="1">IF(C540&gt;='&gt;&gt;Vistas Consolidadas'!$D$2,"SI","NO")</f>
        <v>SI</v>
      </c>
      <c r="U540" s="358">
        <f ca="1">IF(C540&lt;=EOMONTH('&gt;&gt;Vistas Consolidadas'!$D$2, '&gt;&gt;Vistas Consolidadas'!$F$2),I540,0)</f>
        <v>0</v>
      </c>
      <c r="V540" s="18" t="b">
        <f ca="1">AND(C540&gt;='Interes Por Semana'!$C$4, C540&lt;='Interes Por Semana'!$E$4)</f>
        <v>0</v>
      </c>
      <c r="W540" s="18" t="str">
        <f t="shared" si="17"/>
        <v>sábado</v>
      </c>
    </row>
    <row r="541" spans="2:23" hidden="1" x14ac:dyDescent="0.25">
      <c r="B541" s="337">
        <v>46072</v>
      </c>
      <c r="C541" s="337">
        <v>46856</v>
      </c>
      <c r="D541" s="374" t="s">
        <v>88</v>
      </c>
      <c r="E541" s="309" t="s">
        <v>46</v>
      </c>
      <c r="F541" s="310" t="s">
        <v>94</v>
      </c>
      <c r="G541" s="312">
        <v>9</v>
      </c>
      <c r="H541" s="312">
        <v>10.5</v>
      </c>
      <c r="I541" s="340">
        <v>290.61</v>
      </c>
      <c r="J541" s="340">
        <v>948.02</v>
      </c>
      <c r="K541" s="312"/>
      <c r="L541" s="340">
        <f t="shared" si="16"/>
        <v>290.61</v>
      </c>
      <c r="M541" s="311"/>
      <c r="N541" s="311"/>
      <c r="O541" s="311"/>
      <c r="P541" s="311"/>
      <c r="Q541" s="311"/>
      <c r="R541" s="392"/>
      <c r="S541" s="358">
        <f ca="1">IF(C541&lt;=EOMONTH('&gt;&gt;Vistas Consolidadas'!$D$2, '&gt;&gt;Vistas Consolidadas'!$F$2),J541+I541,J541)</f>
        <v>948.02</v>
      </c>
      <c r="T541" s="18" t="str">
        <f ca="1">IF(C541&gt;='&gt;&gt;Vistas Consolidadas'!$D$2,"SI","NO")</f>
        <v>SI</v>
      </c>
      <c r="U541" s="358">
        <f ca="1">IF(C541&lt;=EOMONTH('&gt;&gt;Vistas Consolidadas'!$D$2, '&gt;&gt;Vistas Consolidadas'!$F$2),I541,0)</f>
        <v>0</v>
      </c>
      <c r="V541" s="18" t="b">
        <f ca="1">AND(C541&gt;='Interes Por Semana'!$C$4, C541&lt;='Interes Por Semana'!$E$4)</f>
        <v>0</v>
      </c>
      <c r="W541" s="18" t="str">
        <f t="shared" si="17"/>
        <v>jueves</v>
      </c>
    </row>
    <row r="542" spans="2:23" hidden="1" x14ac:dyDescent="0.25">
      <c r="B542" s="337">
        <v>46072</v>
      </c>
      <c r="C542" s="337">
        <v>46864</v>
      </c>
      <c r="D542" s="374" t="s">
        <v>88</v>
      </c>
      <c r="E542" s="309" t="s">
        <v>46</v>
      </c>
      <c r="F542" s="310" t="s">
        <v>104</v>
      </c>
      <c r="G542" s="312">
        <v>9</v>
      </c>
      <c r="H542" s="312">
        <v>10.25</v>
      </c>
      <c r="I542" s="340">
        <v>164.12</v>
      </c>
      <c r="J542" s="340">
        <v>1570.16</v>
      </c>
      <c r="K542" s="312"/>
      <c r="L542" s="340">
        <f t="shared" si="16"/>
        <v>164.12</v>
      </c>
      <c r="M542" s="311"/>
      <c r="N542" s="311"/>
      <c r="O542" s="311"/>
      <c r="P542" s="311"/>
      <c r="Q542" s="311"/>
      <c r="R542" s="392"/>
      <c r="S542" s="358">
        <f ca="1">IF(C542&lt;=EOMONTH('&gt;&gt;Vistas Consolidadas'!$D$2, '&gt;&gt;Vistas Consolidadas'!$F$2),J542+I542,J542)</f>
        <v>1570.16</v>
      </c>
      <c r="T542" s="18" t="str">
        <f ca="1">IF(C542&gt;='&gt;&gt;Vistas Consolidadas'!$D$2,"SI","NO")</f>
        <v>SI</v>
      </c>
      <c r="U542" s="358">
        <f ca="1">IF(C542&lt;=EOMONTH('&gt;&gt;Vistas Consolidadas'!$D$2, '&gt;&gt;Vistas Consolidadas'!$F$2),I542,0)</f>
        <v>0</v>
      </c>
      <c r="V542" s="18" t="b">
        <f ca="1">AND(C542&gt;='Interes Por Semana'!$C$4, C542&lt;='Interes Por Semana'!$E$4)</f>
        <v>0</v>
      </c>
      <c r="W542" s="18" t="str">
        <f t="shared" si="17"/>
        <v>viernes</v>
      </c>
    </row>
    <row r="543" spans="2:23" hidden="1" x14ac:dyDescent="0.25">
      <c r="B543" s="337">
        <v>45793</v>
      </c>
      <c r="C543" s="337">
        <v>46882</v>
      </c>
      <c r="D543" s="374" t="s">
        <v>88</v>
      </c>
      <c r="E543" s="309" t="s">
        <v>46</v>
      </c>
      <c r="F543" s="310" t="s">
        <v>114</v>
      </c>
      <c r="G543" s="311">
        <v>9</v>
      </c>
      <c r="H543" s="311">
        <v>11.5</v>
      </c>
      <c r="I543" s="340">
        <v>102.52</v>
      </c>
      <c r="J543" s="340">
        <v>1694.73</v>
      </c>
      <c r="K543" s="308"/>
      <c r="L543" s="340">
        <f t="shared" si="16"/>
        <v>102.52</v>
      </c>
      <c r="M543" s="311"/>
      <c r="N543" s="311"/>
      <c r="O543" s="311"/>
      <c r="P543" s="311"/>
      <c r="Q543" s="311"/>
      <c r="R543" s="392"/>
      <c r="S543" s="358">
        <f ca="1">IF(C543&lt;=EOMONTH('&gt;&gt;Vistas Consolidadas'!$D$2, '&gt;&gt;Vistas Consolidadas'!$F$2),J543+I543,J543)</f>
        <v>1694.73</v>
      </c>
      <c r="T543" s="18" t="str">
        <f ca="1">IF(C543&gt;='&gt;&gt;Vistas Consolidadas'!$D$2,"SI","NO")</f>
        <v>SI</v>
      </c>
      <c r="U543" s="358">
        <f ca="1">IF(C543&lt;=EOMONTH('&gt;&gt;Vistas Consolidadas'!$D$2, '&gt;&gt;Vistas Consolidadas'!$F$2),I543,0)</f>
        <v>0</v>
      </c>
      <c r="V543" s="18" t="b">
        <f ca="1">AND(C543&gt;='Interes Por Semana'!$C$4, C543&lt;='Interes Por Semana'!$E$4)</f>
        <v>0</v>
      </c>
      <c r="W543" s="18" t="str">
        <f t="shared" si="17"/>
        <v>martes</v>
      </c>
    </row>
    <row r="544" spans="2:23" hidden="1" x14ac:dyDescent="0.25">
      <c r="B544" s="337">
        <v>46097</v>
      </c>
      <c r="C544" s="337">
        <v>46915</v>
      </c>
      <c r="D544" s="374" t="s">
        <v>88</v>
      </c>
      <c r="E544" s="309" t="s">
        <v>47</v>
      </c>
      <c r="F544" s="310" t="s">
        <v>121</v>
      </c>
      <c r="G544" s="311">
        <v>9</v>
      </c>
      <c r="H544" s="311">
        <v>10.25</v>
      </c>
      <c r="I544" s="340">
        <v>484.67</v>
      </c>
      <c r="J544" s="340">
        <v>965</v>
      </c>
      <c r="K544" s="311"/>
      <c r="L544" s="340">
        <f t="shared" si="16"/>
        <v>484.67</v>
      </c>
      <c r="M544" s="311"/>
      <c r="N544" s="311"/>
      <c r="O544" s="311"/>
      <c r="P544" s="311"/>
      <c r="Q544" s="311"/>
      <c r="R544" s="392"/>
      <c r="S544" s="358">
        <f ca="1">IF(C544&lt;=EOMONTH('&gt;&gt;Vistas Consolidadas'!$D$2, '&gt;&gt;Vistas Consolidadas'!$F$2),J544+I544,J544)</f>
        <v>965</v>
      </c>
      <c r="T544" s="18" t="str">
        <f ca="1">IF(C544&gt;='&gt;&gt;Vistas Consolidadas'!$D$2,"SI","NO")</f>
        <v>SI</v>
      </c>
      <c r="U544" s="358">
        <f ca="1">IF(C544&lt;=EOMONTH('&gt;&gt;Vistas Consolidadas'!$D$2, '&gt;&gt;Vistas Consolidadas'!$F$2),I544,0)</f>
        <v>0</v>
      </c>
      <c r="V544" s="18" t="b">
        <f ca="1">AND(C544&gt;='Interes Por Semana'!$C$4, C544&lt;='Interes Por Semana'!$E$4)</f>
        <v>0</v>
      </c>
      <c r="W544" s="18" t="str">
        <f t="shared" si="17"/>
        <v>domingo</v>
      </c>
    </row>
    <row r="545" spans="2:23" hidden="1" x14ac:dyDescent="0.25">
      <c r="B545" s="337">
        <v>46105</v>
      </c>
      <c r="C545" s="337">
        <v>46915</v>
      </c>
      <c r="D545" s="374" t="s">
        <v>88</v>
      </c>
      <c r="E545" s="309" t="s">
        <v>47</v>
      </c>
      <c r="F545" s="310" t="s">
        <v>121</v>
      </c>
      <c r="G545" s="311">
        <v>9</v>
      </c>
      <c r="H545" s="311">
        <v>10.25</v>
      </c>
      <c r="I545" s="340">
        <v>80.06</v>
      </c>
      <c r="J545" s="340">
        <v>159.4</v>
      </c>
      <c r="K545" s="311"/>
      <c r="L545" s="340">
        <f t="shared" si="16"/>
        <v>80.06</v>
      </c>
      <c r="M545" s="311"/>
      <c r="N545" s="311"/>
      <c r="O545" s="311"/>
      <c r="P545" s="311"/>
      <c r="Q545" s="311"/>
      <c r="R545" s="392"/>
      <c r="S545" s="358">
        <f ca="1">IF(C545&lt;=EOMONTH('&gt;&gt;Vistas Consolidadas'!$D$2, '&gt;&gt;Vistas Consolidadas'!$F$2),J545+I545,J545)</f>
        <v>159.4</v>
      </c>
      <c r="T545" s="18" t="str">
        <f ca="1">IF(C545&gt;='&gt;&gt;Vistas Consolidadas'!$D$2,"SI","NO")</f>
        <v>SI</v>
      </c>
      <c r="U545" s="358">
        <f ca="1">IF(C545&lt;=EOMONTH('&gt;&gt;Vistas Consolidadas'!$D$2, '&gt;&gt;Vistas Consolidadas'!$F$2),I545,0)</f>
        <v>0</v>
      </c>
      <c r="V545" s="18" t="b">
        <f ca="1">AND(C545&gt;='Interes Por Semana'!$C$4, C545&lt;='Interes Por Semana'!$E$4)</f>
        <v>0</v>
      </c>
      <c r="W545" s="18" t="str">
        <f t="shared" si="17"/>
        <v>domingo</v>
      </c>
    </row>
    <row r="546" spans="2:23" hidden="1" x14ac:dyDescent="0.25">
      <c r="B546" s="337">
        <v>45559</v>
      </c>
      <c r="C546" s="337">
        <v>46916</v>
      </c>
      <c r="D546" s="374" t="s">
        <v>118</v>
      </c>
      <c r="E546" s="309" t="s">
        <v>47</v>
      </c>
      <c r="F546" s="310" t="s">
        <v>119</v>
      </c>
      <c r="G546" s="311">
        <v>8.5</v>
      </c>
      <c r="H546" s="311">
        <v>12</v>
      </c>
      <c r="I546" s="340">
        <v>108.57</v>
      </c>
      <c r="J546" s="340">
        <v>1670.53</v>
      </c>
      <c r="K546" s="308"/>
      <c r="L546" s="340">
        <f t="shared" si="16"/>
        <v>108.57</v>
      </c>
      <c r="M546" s="311"/>
      <c r="N546" s="311"/>
      <c r="O546" s="311"/>
      <c r="P546" s="311"/>
      <c r="Q546" s="311"/>
      <c r="R546" s="392"/>
      <c r="S546" s="358">
        <f ca="1">IF(C546&lt;=EOMONTH('&gt;&gt;Vistas Consolidadas'!$D$2, '&gt;&gt;Vistas Consolidadas'!$F$2),J546+I546,J546)</f>
        <v>1670.53</v>
      </c>
      <c r="T546" s="18" t="str">
        <f ca="1">IF(C546&gt;='&gt;&gt;Vistas Consolidadas'!$D$2,"SI","NO")</f>
        <v>SI</v>
      </c>
      <c r="U546" s="358">
        <f ca="1">IF(C546&lt;=EOMONTH('&gt;&gt;Vistas Consolidadas'!$D$2, '&gt;&gt;Vistas Consolidadas'!$F$2),I546,0)</f>
        <v>0</v>
      </c>
      <c r="V546" s="18" t="b">
        <f ca="1">AND(C546&gt;='Interes Por Semana'!$C$4, C546&lt;='Interes Por Semana'!$E$4)</f>
        <v>0</v>
      </c>
      <c r="W546" s="18" t="str">
        <f t="shared" si="17"/>
        <v>lunes</v>
      </c>
    </row>
    <row r="547" spans="2:23" hidden="1" x14ac:dyDescent="0.25">
      <c r="B547" s="337">
        <v>45559</v>
      </c>
      <c r="C547" s="337">
        <v>46916</v>
      </c>
      <c r="D547" s="374" t="s">
        <v>118</v>
      </c>
      <c r="E547" s="309" t="s">
        <v>46</v>
      </c>
      <c r="F547" s="310" t="s">
        <v>119</v>
      </c>
      <c r="G547" s="312">
        <v>8.5</v>
      </c>
      <c r="H547" s="312">
        <v>12</v>
      </c>
      <c r="I547" s="340">
        <v>17.22</v>
      </c>
      <c r="J547" s="340">
        <v>264.95999999999998</v>
      </c>
      <c r="K547" s="312"/>
      <c r="L547" s="340">
        <f t="shared" si="16"/>
        <v>17.22</v>
      </c>
      <c r="M547" s="311"/>
      <c r="N547" s="311"/>
      <c r="O547" s="311"/>
      <c r="P547" s="311"/>
      <c r="Q547" s="311"/>
      <c r="R547" s="392"/>
      <c r="S547" s="358">
        <f ca="1">IF(C547&lt;=EOMONTH('&gt;&gt;Vistas Consolidadas'!$D$2, '&gt;&gt;Vistas Consolidadas'!$F$2),J547+I547,J547)</f>
        <v>264.95999999999998</v>
      </c>
      <c r="T547" s="18" t="str">
        <f ca="1">IF(C547&gt;='&gt;&gt;Vistas Consolidadas'!$D$2,"SI","NO")</f>
        <v>SI</v>
      </c>
      <c r="U547" s="358">
        <f ca="1">IF(C547&lt;=EOMONTH('&gt;&gt;Vistas Consolidadas'!$D$2, '&gt;&gt;Vistas Consolidadas'!$F$2),I547,0)</f>
        <v>0</v>
      </c>
      <c r="V547" s="18" t="b">
        <f ca="1">AND(C547&gt;='Interes Por Semana'!$C$4, C547&lt;='Interes Por Semana'!$E$4)</f>
        <v>0</v>
      </c>
      <c r="W547" s="18" t="str">
        <f t="shared" si="17"/>
        <v>lunes</v>
      </c>
    </row>
    <row r="548" spans="2:23" hidden="1" x14ac:dyDescent="0.25">
      <c r="B548" s="337">
        <v>45559</v>
      </c>
      <c r="C548" s="337">
        <v>46916</v>
      </c>
      <c r="D548" s="374" t="s">
        <v>118</v>
      </c>
      <c r="E548" s="309" t="s">
        <v>48</v>
      </c>
      <c r="F548" s="310" t="s">
        <v>119</v>
      </c>
      <c r="G548" s="311">
        <v>8.5</v>
      </c>
      <c r="H548" s="311">
        <v>12</v>
      </c>
      <c r="I548" s="340">
        <v>69.959999999999994</v>
      </c>
      <c r="J548" s="340">
        <v>1076.43</v>
      </c>
      <c r="K548" s="311"/>
      <c r="L548" s="340">
        <f t="shared" si="16"/>
        <v>69.959999999999994</v>
      </c>
      <c r="M548" s="311"/>
      <c r="N548" s="311"/>
      <c r="O548" s="311"/>
      <c r="P548" s="311"/>
      <c r="Q548" s="311"/>
      <c r="R548" s="392"/>
      <c r="S548" s="358">
        <f ca="1">IF(C548&lt;=EOMONTH('&gt;&gt;Vistas Consolidadas'!$D$2, '&gt;&gt;Vistas Consolidadas'!$F$2),J548+I548,J548)</f>
        <v>1076.43</v>
      </c>
      <c r="T548" s="18" t="str">
        <f ca="1">IF(C548&gt;='&gt;&gt;Vistas Consolidadas'!$D$2,"SI","NO")</f>
        <v>SI</v>
      </c>
      <c r="U548" s="358">
        <f ca="1">IF(C548&lt;=EOMONTH('&gt;&gt;Vistas Consolidadas'!$D$2, '&gt;&gt;Vistas Consolidadas'!$F$2),I548,0)</f>
        <v>0</v>
      </c>
      <c r="V548" s="18" t="b">
        <f ca="1">AND(C548&gt;='Interes Por Semana'!$C$4, C548&lt;='Interes Por Semana'!$E$4)</f>
        <v>0</v>
      </c>
      <c r="W548" s="18" t="str">
        <f t="shared" si="17"/>
        <v>lunes</v>
      </c>
    </row>
    <row r="549" spans="2:23" hidden="1" x14ac:dyDescent="0.25">
      <c r="B549" s="337">
        <v>46072</v>
      </c>
      <c r="C549" s="337">
        <v>46947</v>
      </c>
      <c r="D549" s="374" t="s">
        <v>88</v>
      </c>
      <c r="E549" s="309" t="s">
        <v>46</v>
      </c>
      <c r="F549" s="310" t="s">
        <v>94</v>
      </c>
      <c r="G549" s="312">
        <v>9</v>
      </c>
      <c r="H549" s="312">
        <v>10.5</v>
      </c>
      <c r="I549" s="340">
        <v>268.67</v>
      </c>
      <c r="J549" s="340">
        <v>948.02</v>
      </c>
      <c r="K549" s="312"/>
      <c r="L549" s="340">
        <f t="shared" si="16"/>
        <v>268.67</v>
      </c>
      <c r="M549" s="311"/>
      <c r="N549" s="311"/>
      <c r="O549" s="311"/>
      <c r="P549" s="311"/>
      <c r="Q549" s="311"/>
      <c r="R549" s="392"/>
      <c r="S549" s="358">
        <f ca="1">IF(C549&lt;=EOMONTH('&gt;&gt;Vistas Consolidadas'!$D$2, '&gt;&gt;Vistas Consolidadas'!$F$2),J549+I549,J549)</f>
        <v>948.02</v>
      </c>
      <c r="T549" s="18" t="str">
        <f ca="1">IF(C549&gt;='&gt;&gt;Vistas Consolidadas'!$D$2,"SI","NO")</f>
        <v>SI</v>
      </c>
      <c r="U549" s="358">
        <f ca="1">IF(C549&lt;=EOMONTH('&gt;&gt;Vistas Consolidadas'!$D$2, '&gt;&gt;Vistas Consolidadas'!$F$2),I549,0)</f>
        <v>0</v>
      </c>
      <c r="V549" s="18" t="b">
        <f ca="1">AND(C549&gt;='Interes Por Semana'!$C$4, C549&lt;='Interes Por Semana'!$E$4)</f>
        <v>0</v>
      </c>
      <c r="W549" s="18" t="str">
        <f t="shared" si="17"/>
        <v>jueves</v>
      </c>
    </row>
    <row r="550" spans="2:23" hidden="1" x14ac:dyDescent="0.25">
      <c r="B550" s="337">
        <v>46072</v>
      </c>
      <c r="C550" s="337">
        <v>46955</v>
      </c>
      <c r="D550" s="374" t="s">
        <v>88</v>
      </c>
      <c r="E550" s="309" t="s">
        <v>46</v>
      </c>
      <c r="F550" s="310" t="s">
        <v>104</v>
      </c>
      <c r="G550" s="312">
        <v>9</v>
      </c>
      <c r="H550" s="312">
        <v>10.25</v>
      </c>
      <c r="I550" s="340">
        <v>128.31</v>
      </c>
      <c r="J550" s="340">
        <v>1570.16</v>
      </c>
      <c r="K550" s="312"/>
      <c r="L550" s="340">
        <f t="shared" si="16"/>
        <v>128.31</v>
      </c>
      <c r="M550" s="311"/>
      <c r="N550" s="311"/>
      <c r="O550" s="311"/>
      <c r="P550" s="311"/>
      <c r="Q550" s="311"/>
      <c r="R550" s="392"/>
      <c r="S550" s="358">
        <f ca="1">IF(C550&lt;=EOMONTH('&gt;&gt;Vistas Consolidadas'!$D$2, '&gt;&gt;Vistas Consolidadas'!$F$2),J550+I550,J550)</f>
        <v>1570.16</v>
      </c>
      <c r="T550" s="18" t="str">
        <f ca="1">IF(C550&gt;='&gt;&gt;Vistas Consolidadas'!$D$2,"SI","NO")</f>
        <v>SI</v>
      </c>
      <c r="U550" s="358">
        <f ca="1">IF(C550&lt;=EOMONTH('&gt;&gt;Vistas Consolidadas'!$D$2, '&gt;&gt;Vistas Consolidadas'!$F$2),I550,0)</f>
        <v>0</v>
      </c>
      <c r="V550" s="18" t="b">
        <f ca="1">AND(C550&gt;='Interes Por Semana'!$C$4, C550&lt;='Interes Por Semana'!$E$4)</f>
        <v>0</v>
      </c>
      <c r="W550" s="18" t="str">
        <f t="shared" si="17"/>
        <v>viernes</v>
      </c>
    </row>
    <row r="551" spans="2:23" hidden="1" x14ac:dyDescent="0.25">
      <c r="B551" s="337">
        <v>46097</v>
      </c>
      <c r="C551" s="337">
        <v>47007</v>
      </c>
      <c r="D551" s="374" t="s">
        <v>88</v>
      </c>
      <c r="E551" s="309" t="s">
        <v>47</v>
      </c>
      <c r="F551" s="310" t="s">
        <v>121</v>
      </c>
      <c r="G551" s="311">
        <v>9</v>
      </c>
      <c r="H551" s="311">
        <v>10.25</v>
      </c>
      <c r="I551" s="340">
        <v>462.18</v>
      </c>
      <c r="J551" s="340">
        <v>965</v>
      </c>
      <c r="K551" s="311"/>
      <c r="L551" s="340">
        <f t="shared" si="16"/>
        <v>462.18</v>
      </c>
      <c r="M551" s="311"/>
      <c r="N551" s="311"/>
      <c r="O551" s="311"/>
      <c r="P551" s="311"/>
      <c r="Q551" s="311"/>
      <c r="R551" s="392"/>
      <c r="S551" s="358">
        <f ca="1">IF(C551&lt;=EOMONTH('&gt;&gt;Vistas Consolidadas'!$D$2, '&gt;&gt;Vistas Consolidadas'!$F$2),J551+I551,J551)</f>
        <v>965</v>
      </c>
      <c r="T551" s="18" t="str">
        <f ca="1">IF(C551&gt;='&gt;&gt;Vistas Consolidadas'!$D$2,"SI","NO")</f>
        <v>SI</v>
      </c>
      <c r="U551" s="358">
        <f ca="1">IF(C551&lt;=EOMONTH('&gt;&gt;Vistas Consolidadas'!$D$2, '&gt;&gt;Vistas Consolidadas'!$F$2),I551,0)</f>
        <v>0</v>
      </c>
      <c r="V551" s="18" t="b">
        <f ca="1">AND(C551&gt;='Interes Por Semana'!$C$4, C551&lt;='Interes Por Semana'!$E$4)</f>
        <v>0</v>
      </c>
      <c r="W551" s="18" t="str">
        <f t="shared" si="17"/>
        <v>lunes</v>
      </c>
    </row>
    <row r="552" spans="2:23" hidden="1" x14ac:dyDescent="0.25">
      <c r="B552" s="337">
        <v>46105</v>
      </c>
      <c r="C552" s="337">
        <v>47007</v>
      </c>
      <c r="D552" s="374" t="s">
        <v>88</v>
      </c>
      <c r="E552" s="309" t="s">
        <v>47</v>
      </c>
      <c r="F552" s="310" t="s">
        <v>121</v>
      </c>
      <c r="G552" s="311">
        <v>9</v>
      </c>
      <c r="H552" s="311">
        <v>10.25</v>
      </c>
      <c r="I552" s="340">
        <v>76.349999999999994</v>
      </c>
      <c r="J552" s="340">
        <v>159.4</v>
      </c>
      <c r="K552" s="311"/>
      <c r="L552" s="340">
        <f t="shared" si="16"/>
        <v>76.349999999999994</v>
      </c>
      <c r="M552" s="311"/>
      <c r="N552" s="311"/>
      <c r="O552" s="311"/>
      <c r="P552" s="311"/>
      <c r="Q552" s="311"/>
      <c r="R552" s="392"/>
      <c r="S552" s="358">
        <f ca="1">IF(C552&lt;=EOMONTH('&gt;&gt;Vistas Consolidadas'!$D$2, '&gt;&gt;Vistas Consolidadas'!$F$2),J552+I552,J552)</f>
        <v>159.4</v>
      </c>
      <c r="T552" s="18" t="str">
        <f ca="1">IF(C552&gt;='&gt;&gt;Vistas Consolidadas'!$D$2,"SI","NO")</f>
        <v>SI</v>
      </c>
      <c r="U552" s="358">
        <f ca="1">IF(C552&lt;=EOMONTH('&gt;&gt;Vistas Consolidadas'!$D$2, '&gt;&gt;Vistas Consolidadas'!$F$2),I552,0)</f>
        <v>0</v>
      </c>
      <c r="V552" s="18" t="b">
        <f ca="1">AND(C552&gt;='Interes Por Semana'!$C$4, C552&lt;='Interes Por Semana'!$E$4)</f>
        <v>0</v>
      </c>
      <c r="W552" s="18" t="str">
        <f t="shared" si="17"/>
        <v>lunes</v>
      </c>
    </row>
    <row r="553" spans="2:23" hidden="1" x14ac:dyDescent="0.25">
      <c r="B553" s="337">
        <v>45559</v>
      </c>
      <c r="C553" s="337">
        <v>47008</v>
      </c>
      <c r="D553" s="374" t="s">
        <v>118</v>
      </c>
      <c r="E553" s="309" t="s">
        <v>47</v>
      </c>
      <c r="F553" s="310" t="s">
        <v>119</v>
      </c>
      <c r="G553" s="311">
        <v>8.5</v>
      </c>
      <c r="H553" s="311">
        <v>12</v>
      </c>
      <c r="I553" s="340">
        <v>73.069999999999993</v>
      </c>
      <c r="J553" s="340">
        <v>1701.32</v>
      </c>
      <c r="K553" s="308"/>
      <c r="L553" s="340">
        <f t="shared" si="16"/>
        <v>73.069999999999993</v>
      </c>
      <c r="M553" s="311"/>
      <c r="N553" s="311"/>
      <c r="O553" s="311"/>
      <c r="P553" s="311"/>
      <c r="Q553" s="311"/>
      <c r="R553" s="392"/>
      <c r="S553" s="358">
        <f ca="1">IF(C553&lt;=EOMONTH('&gt;&gt;Vistas Consolidadas'!$D$2, '&gt;&gt;Vistas Consolidadas'!$F$2),J553+I553,J553)</f>
        <v>1701.32</v>
      </c>
      <c r="T553" s="18" t="str">
        <f ca="1">IF(C553&gt;='&gt;&gt;Vistas Consolidadas'!$D$2,"SI","NO")</f>
        <v>SI</v>
      </c>
      <c r="U553" s="358">
        <f ca="1">IF(C553&lt;=EOMONTH('&gt;&gt;Vistas Consolidadas'!$D$2, '&gt;&gt;Vistas Consolidadas'!$F$2),I553,0)</f>
        <v>0</v>
      </c>
      <c r="V553" s="18" t="b">
        <f ca="1">AND(C553&gt;='Interes Por Semana'!$C$4, C553&lt;='Interes Por Semana'!$E$4)</f>
        <v>0</v>
      </c>
      <c r="W553" s="18" t="str">
        <f t="shared" si="17"/>
        <v>martes</v>
      </c>
    </row>
    <row r="554" spans="2:23" hidden="1" x14ac:dyDescent="0.25">
      <c r="B554" s="337">
        <v>45559</v>
      </c>
      <c r="C554" s="337">
        <v>47008</v>
      </c>
      <c r="D554" s="374" t="s">
        <v>118</v>
      </c>
      <c r="E554" s="309" t="s">
        <v>46</v>
      </c>
      <c r="F554" s="310" t="s">
        <v>119</v>
      </c>
      <c r="G554" s="312">
        <v>8.5</v>
      </c>
      <c r="H554" s="312">
        <v>12</v>
      </c>
      <c r="I554" s="340">
        <v>11.59</v>
      </c>
      <c r="J554" s="340">
        <v>269.83999999999997</v>
      </c>
      <c r="K554" s="312"/>
      <c r="L554" s="340">
        <f t="shared" si="16"/>
        <v>11.59</v>
      </c>
      <c r="M554" s="311"/>
      <c r="N554" s="311"/>
      <c r="O554" s="311"/>
      <c r="P554" s="311"/>
      <c r="Q554" s="311"/>
      <c r="R554" s="392"/>
      <c r="S554" s="358">
        <f ca="1">IF(C554&lt;=EOMONTH('&gt;&gt;Vistas Consolidadas'!$D$2, '&gt;&gt;Vistas Consolidadas'!$F$2),J554+I554,J554)</f>
        <v>269.83999999999997</v>
      </c>
      <c r="T554" s="18" t="str">
        <f ca="1">IF(C554&gt;='&gt;&gt;Vistas Consolidadas'!$D$2,"SI","NO")</f>
        <v>SI</v>
      </c>
      <c r="U554" s="358">
        <f ca="1">IF(C554&lt;=EOMONTH('&gt;&gt;Vistas Consolidadas'!$D$2, '&gt;&gt;Vistas Consolidadas'!$F$2),I554,0)</f>
        <v>0</v>
      </c>
      <c r="V554" s="18" t="b">
        <f ca="1">AND(C554&gt;='Interes Por Semana'!$C$4, C554&lt;='Interes Por Semana'!$E$4)</f>
        <v>0</v>
      </c>
      <c r="W554" s="18" t="str">
        <f t="shared" si="17"/>
        <v>martes</v>
      </c>
    </row>
    <row r="555" spans="2:23" hidden="1" x14ac:dyDescent="0.25">
      <c r="B555" s="337">
        <v>45559</v>
      </c>
      <c r="C555" s="337">
        <v>47008</v>
      </c>
      <c r="D555" s="374" t="s">
        <v>118</v>
      </c>
      <c r="E555" s="309" t="s">
        <v>48</v>
      </c>
      <c r="F555" s="310" t="s">
        <v>119</v>
      </c>
      <c r="G555" s="311">
        <v>8.5</v>
      </c>
      <c r="H555" s="311">
        <v>12</v>
      </c>
      <c r="I555" s="340">
        <v>47.08</v>
      </c>
      <c r="J555" s="340">
        <v>1096.27</v>
      </c>
      <c r="K555" s="311"/>
      <c r="L555" s="340">
        <f t="shared" si="16"/>
        <v>47.08</v>
      </c>
      <c r="M555" s="311"/>
      <c r="N555" s="311"/>
      <c r="O555" s="311"/>
      <c r="P555" s="311"/>
      <c r="Q555" s="311"/>
      <c r="R555" s="392"/>
      <c r="S555" s="358">
        <f ca="1">IF(C555&lt;=EOMONTH('&gt;&gt;Vistas Consolidadas'!$D$2, '&gt;&gt;Vistas Consolidadas'!$F$2),J555+I555,J555)</f>
        <v>1096.27</v>
      </c>
      <c r="T555" s="18" t="str">
        <f ca="1">IF(C555&gt;='&gt;&gt;Vistas Consolidadas'!$D$2,"SI","NO")</f>
        <v>SI</v>
      </c>
      <c r="U555" s="358">
        <f ca="1">IF(C555&lt;=EOMONTH('&gt;&gt;Vistas Consolidadas'!$D$2, '&gt;&gt;Vistas Consolidadas'!$F$2),I555,0)</f>
        <v>0</v>
      </c>
      <c r="V555" s="18" t="b">
        <f ca="1">AND(C555&gt;='Interes Por Semana'!$C$4, C555&lt;='Interes Por Semana'!$E$4)</f>
        <v>0</v>
      </c>
      <c r="W555" s="18" t="str">
        <f t="shared" si="17"/>
        <v>martes</v>
      </c>
    </row>
    <row r="556" spans="2:23" hidden="1" x14ac:dyDescent="0.25">
      <c r="B556" s="337">
        <v>46072</v>
      </c>
      <c r="C556" s="337">
        <v>47039</v>
      </c>
      <c r="D556" s="374" t="s">
        <v>88</v>
      </c>
      <c r="E556" s="309" t="s">
        <v>46</v>
      </c>
      <c r="F556" s="310" t="s">
        <v>94</v>
      </c>
      <c r="G556" s="312">
        <v>9</v>
      </c>
      <c r="H556" s="312">
        <v>10.5</v>
      </c>
      <c r="I556" s="340">
        <v>246.72</v>
      </c>
      <c r="J556" s="340">
        <v>948.02</v>
      </c>
      <c r="K556" s="312"/>
      <c r="L556" s="340">
        <f t="shared" si="16"/>
        <v>246.72</v>
      </c>
      <c r="M556" s="311"/>
      <c r="N556" s="311"/>
      <c r="O556" s="311"/>
      <c r="P556" s="311"/>
      <c r="Q556" s="311"/>
      <c r="R556" s="392"/>
      <c r="S556" s="358">
        <f ca="1">IF(C556&lt;=EOMONTH('&gt;&gt;Vistas Consolidadas'!$D$2, '&gt;&gt;Vistas Consolidadas'!$F$2),J556+I556,J556)</f>
        <v>948.02</v>
      </c>
      <c r="T556" s="18" t="str">
        <f ca="1">IF(C556&gt;='&gt;&gt;Vistas Consolidadas'!$D$2,"SI","NO")</f>
        <v>SI</v>
      </c>
      <c r="U556" s="358">
        <f ca="1">IF(C556&lt;=EOMONTH('&gt;&gt;Vistas Consolidadas'!$D$2, '&gt;&gt;Vistas Consolidadas'!$F$2),I556,0)</f>
        <v>0</v>
      </c>
      <c r="V556" s="18" t="b">
        <f ca="1">AND(C556&gt;='Interes Por Semana'!$C$4, C556&lt;='Interes Por Semana'!$E$4)</f>
        <v>0</v>
      </c>
      <c r="W556" s="18" t="str">
        <f t="shared" si="17"/>
        <v>viernes</v>
      </c>
    </row>
    <row r="557" spans="2:23" hidden="1" x14ac:dyDescent="0.25">
      <c r="B557" s="337">
        <v>46072</v>
      </c>
      <c r="C557" s="337">
        <v>47047</v>
      </c>
      <c r="D557" s="374" t="s">
        <v>88</v>
      </c>
      <c r="E557" s="309" t="s">
        <v>46</v>
      </c>
      <c r="F557" s="310" t="s">
        <v>104</v>
      </c>
      <c r="G557" s="312">
        <v>9</v>
      </c>
      <c r="H557" s="312">
        <v>10.25</v>
      </c>
      <c r="I557" s="340">
        <v>92.490000000000009</v>
      </c>
      <c r="J557" s="340">
        <v>1570.16</v>
      </c>
      <c r="K557" s="312"/>
      <c r="L557" s="340">
        <f t="shared" si="16"/>
        <v>92.490000000000009</v>
      </c>
      <c r="M557" s="311"/>
      <c r="N557" s="311"/>
      <c r="O557" s="311"/>
      <c r="P557" s="311"/>
      <c r="Q557" s="311"/>
      <c r="R557" s="392"/>
      <c r="S557" s="358">
        <f ca="1">IF(C557&lt;=EOMONTH('&gt;&gt;Vistas Consolidadas'!$D$2, '&gt;&gt;Vistas Consolidadas'!$F$2),J557+I557,J557)</f>
        <v>1570.16</v>
      </c>
      <c r="T557" s="18" t="str">
        <f ca="1">IF(C557&gt;='&gt;&gt;Vistas Consolidadas'!$D$2,"SI","NO")</f>
        <v>SI</v>
      </c>
      <c r="U557" s="358">
        <f ca="1">IF(C557&lt;=EOMONTH('&gt;&gt;Vistas Consolidadas'!$D$2, '&gt;&gt;Vistas Consolidadas'!$F$2),I557,0)</f>
        <v>0</v>
      </c>
      <c r="V557" s="18" t="b">
        <f ca="1">AND(C557&gt;='Interes Por Semana'!$C$4, C557&lt;='Interes Por Semana'!$E$4)</f>
        <v>0</v>
      </c>
      <c r="W557" s="18" t="str">
        <f t="shared" si="17"/>
        <v>sábado</v>
      </c>
    </row>
    <row r="558" spans="2:23" hidden="1" x14ac:dyDescent="0.25">
      <c r="B558" s="337">
        <v>46097</v>
      </c>
      <c r="C558" s="337">
        <v>47098</v>
      </c>
      <c r="D558" s="374" t="s">
        <v>88</v>
      </c>
      <c r="E558" s="309" t="s">
        <v>47</v>
      </c>
      <c r="F558" s="310" t="s">
        <v>121</v>
      </c>
      <c r="G558" s="311">
        <v>9</v>
      </c>
      <c r="H558" s="311">
        <v>10.25</v>
      </c>
      <c r="I558" s="340">
        <v>439.69</v>
      </c>
      <c r="J558" s="340">
        <v>965</v>
      </c>
      <c r="K558" s="311"/>
      <c r="L558" s="340">
        <f>J558</f>
        <v>965</v>
      </c>
      <c r="M558" s="311"/>
      <c r="N558" s="311"/>
      <c r="O558" s="311"/>
      <c r="P558" s="311"/>
      <c r="Q558" s="311"/>
      <c r="R558" s="392"/>
      <c r="S558" s="358">
        <f ca="1">IF(C558&lt;=EOMONTH('&gt;&gt;Vistas Consolidadas'!$D$2, '&gt;&gt;Vistas Consolidadas'!$F$2),J558+I558,J558)</f>
        <v>965</v>
      </c>
      <c r="T558" s="18" t="str">
        <f ca="1">IF(C558&gt;='&gt;&gt;Vistas Consolidadas'!$D$2,"SI","NO")</f>
        <v>SI</v>
      </c>
      <c r="U558" s="358">
        <f ca="1">IF(C558&lt;=EOMONTH('&gt;&gt;Vistas Consolidadas'!$D$2, '&gt;&gt;Vistas Consolidadas'!$F$2),I558,0)</f>
        <v>0</v>
      </c>
      <c r="V558" s="18" t="b">
        <f ca="1">AND(C558&gt;='Interes Por Semana'!$C$4, C558&lt;='Interes Por Semana'!$E$4)</f>
        <v>0</v>
      </c>
      <c r="W558" s="18" t="str">
        <f t="shared" si="17"/>
        <v>lunes</v>
      </c>
    </row>
    <row r="559" spans="2:23" hidden="1" x14ac:dyDescent="0.25">
      <c r="B559" s="337">
        <v>46105</v>
      </c>
      <c r="C559" s="337">
        <v>47098</v>
      </c>
      <c r="D559" s="374" t="s">
        <v>88</v>
      </c>
      <c r="E559" s="309" t="s">
        <v>47</v>
      </c>
      <c r="F559" s="310" t="s">
        <v>121</v>
      </c>
      <c r="G559" s="311">
        <v>9</v>
      </c>
      <c r="H559" s="311">
        <v>10.25</v>
      </c>
      <c r="I559" s="340">
        <v>72.63</v>
      </c>
      <c r="J559" s="340">
        <v>159.4</v>
      </c>
      <c r="K559" s="311"/>
      <c r="L559" s="340">
        <f t="shared" ref="L559:L588" si="18">I559</f>
        <v>72.63</v>
      </c>
      <c r="M559" s="311"/>
      <c r="N559" s="311"/>
      <c r="O559" s="311"/>
      <c r="P559" s="311"/>
      <c r="Q559" s="311"/>
      <c r="R559" s="392"/>
      <c r="S559" s="358">
        <f ca="1">IF(C559&lt;=EOMONTH('&gt;&gt;Vistas Consolidadas'!$D$2, '&gt;&gt;Vistas Consolidadas'!$F$2),J559+I559,J559)</f>
        <v>159.4</v>
      </c>
      <c r="T559" s="18" t="str">
        <f ca="1">IF(C559&gt;='&gt;&gt;Vistas Consolidadas'!$D$2,"SI","NO")</f>
        <v>SI</v>
      </c>
      <c r="U559" s="358">
        <f ca="1">IF(C559&lt;=EOMONTH('&gt;&gt;Vistas Consolidadas'!$D$2, '&gt;&gt;Vistas Consolidadas'!$F$2),I559,0)</f>
        <v>0</v>
      </c>
      <c r="V559" s="18" t="b">
        <f ca="1">AND(C559&gt;='Interes Por Semana'!$C$4, C559&lt;='Interes Por Semana'!$E$4)</f>
        <v>0</v>
      </c>
      <c r="W559" s="18" t="str">
        <f t="shared" si="17"/>
        <v>lunes</v>
      </c>
    </row>
    <row r="560" spans="2:23" hidden="1" x14ac:dyDescent="0.25">
      <c r="B560" s="337">
        <v>45559</v>
      </c>
      <c r="C560" s="337">
        <v>47099</v>
      </c>
      <c r="D560" s="374" t="s">
        <v>118</v>
      </c>
      <c r="E560" s="309" t="s">
        <v>47</v>
      </c>
      <c r="F560" s="310" t="s">
        <v>119</v>
      </c>
      <c r="G560" s="311">
        <v>8.5</v>
      </c>
      <c r="H560" s="311">
        <v>12</v>
      </c>
      <c r="I560" s="340">
        <v>36.92</v>
      </c>
      <c r="J560" s="340">
        <v>1737.24</v>
      </c>
      <c r="K560" s="308"/>
      <c r="L560" s="340">
        <f t="shared" si="18"/>
        <v>36.92</v>
      </c>
      <c r="M560" s="311"/>
      <c r="N560" s="311"/>
      <c r="O560" s="311"/>
      <c r="P560" s="311"/>
      <c r="Q560" s="311"/>
      <c r="R560" s="392"/>
      <c r="S560" s="358">
        <f ca="1">IF(C560&lt;=EOMONTH('&gt;&gt;Vistas Consolidadas'!$D$2, '&gt;&gt;Vistas Consolidadas'!$F$2),J560+I560,J560)</f>
        <v>1737.24</v>
      </c>
      <c r="T560" s="18" t="str">
        <f ca="1">IF(C560&gt;='&gt;&gt;Vistas Consolidadas'!$D$2,"SI","NO")</f>
        <v>SI</v>
      </c>
      <c r="U560" s="358">
        <f ca="1">IF(C560&lt;=EOMONTH('&gt;&gt;Vistas Consolidadas'!$D$2, '&gt;&gt;Vistas Consolidadas'!$F$2),I560,0)</f>
        <v>0</v>
      </c>
      <c r="V560" s="18" t="b">
        <f ca="1">AND(C560&gt;='Interes Por Semana'!$C$4, C560&lt;='Interes Por Semana'!$E$4)</f>
        <v>0</v>
      </c>
      <c r="W560" s="18" t="str">
        <f t="shared" si="17"/>
        <v>martes</v>
      </c>
    </row>
    <row r="561" spans="2:23" hidden="1" x14ac:dyDescent="0.25">
      <c r="B561" s="337">
        <v>45559</v>
      </c>
      <c r="C561" s="337">
        <v>47099</v>
      </c>
      <c r="D561" s="374" t="s">
        <v>118</v>
      </c>
      <c r="E561" s="309" t="s">
        <v>46</v>
      </c>
      <c r="F561" s="310" t="s">
        <v>119</v>
      </c>
      <c r="G561" s="312">
        <v>8.5</v>
      </c>
      <c r="H561" s="312">
        <v>12</v>
      </c>
      <c r="I561" s="340">
        <v>5.86</v>
      </c>
      <c r="J561" s="340">
        <v>275.56</v>
      </c>
      <c r="K561" s="312"/>
      <c r="L561" s="340">
        <f t="shared" si="18"/>
        <v>5.86</v>
      </c>
      <c r="M561" s="311"/>
      <c r="N561" s="311"/>
      <c r="O561" s="311"/>
      <c r="P561" s="311"/>
      <c r="Q561" s="311"/>
      <c r="R561" s="392"/>
      <c r="S561" s="358">
        <f ca="1">IF(C561&lt;=EOMONTH('&gt;&gt;Vistas Consolidadas'!$D$2, '&gt;&gt;Vistas Consolidadas'!$F$2),J561+I561,J561)</f>
        <v>275.56</v>
      </c>
      <c r="T561" s="18" t="str">
        <f ca="1">IF(C561&gt;='&gt;&gt;Vistas Consolidadas'!$D$2,"SI","NO")</f>
        <v>SI</v>
      </c>
      <c r="U561" s="358">
        <f ca="1">IF(C561&lt;=EOMONTH('&gt;&gt;Vistas Consolidadas'!$D$2, '&gt;&gt;Vistas Consolidadas'!$F$2),I561,0)</f>
        <v>0</v>
      </c>
      <c r="V561" s="18" t="b">
        <f ca="1">AND(C561&gt;='Interes Por Semana'!$C$4, C561&lt;='Interes Por Semana'!$E$4)</f>
        <v>0</v>
      </c>
      <c r="W561" s="18" t="str">
        <f t="shared" si="17"/>
        <v>martes</v>
      </c>
    </row>
    <row r="562" spans="2:23" hidden="1" x14ac:dyDescent="0.25">
      <c r="B562" s="337">
        <v>45559</v>
      </c>
      <c r="C562" s="337">
        <v>47099</v>
      </c>
      <c r="D562" s="374" t="s">
        <v>118</v>
      </c>
      <c r="E562" s="309" t="s">
        <v>48</v>
      </c>
      <c r="F562" s="310" t="s">
        <v>119</v>
      </c>
      <c r="G562" s="311">
        <v>8.5</v>
      </c>
      <c r="H562" s="311">
        <v>12</v>
      </c>
      <c r="I562" s="340">
        <v>23.79</v>
      </c>
      <c r="J562" s="340">
        <v>1119.4100000000001</v>
      </c>
      <c r="K562" s="311"/>
      <c r="L562" s="340">
        <f t="shared" si="18"/>
        <v>23.79</v>
      </c>
      <c r="M562" s="311"/>
      <c r="N562" s="311"/>
      <c r="O562" s="311"/>
      <c r="P562" s="311"/>
      <c r="Q562" s="311"/>
      <c r="R562" s="392"/>
      <c r="S562" s="358">
        <f ca="1">IF(C562&lt;=EOMONTH('&gt;&gt;Vistas Consolidadas'!$D$2, '&gt;&gt;Vistas Consolidadas'!$F$2),J562+I562,J562)</f>
        <v>1119.4100000000001</v>
      </c>
      <c r="T562" s="18" t="str">
        <f ca="1">IF(C562&gt;='&gt;&gt;Vistas Consolidadas'!$D$2,"SI","NO")</f>
        <v>SI</v>
      </c>
      <c r="U562" s="358">
        <f ca="1">IF(C562&lt;=EOMONTH('&gt;&gt;Vistas Consolidadas'!$D$2, '&gt;&gt;Vistas Consolidadas'!$F$2),I562,0)</f>
        <v>0</v>
      </c>
      <c r="V562" s="18" t="b">
        <f ca="1">AND(C562&gt;='Interes Por Semana'!$C$4, C562&lt;='Interes Por Semana'!$E$4)</f>
        <v>0</v>
      </c>
      <c r="W562" s="18" t="str">
        <f t="shared" si="17"/>
        <v>martes</v>
      </c>
    </row>
    <row r="563" spans="2:23" hidden="1" x14ac:dyDescent="0.25">
      <c r="B563" s="337">
        <v>46072</v>
      </c>
      <c r="C563" s="337">
        <v>47131</v>
      </c>
      <c r="D563" s="374" t="s">
        <v>88</v>
      </c>
      <c r="E563" s="309" t="s">
        <v>46</v>
      </c>
      <c r="F563" s="310" t="s">
        <v>94</v>
      </c>
      <c r="G563" s="312">
        <v>9</v>
      </c>
      <c r="H563" s="308">
        <v>10.5</v>
      </c>
      <c r="I563" s="340">
        <v>224.78</v>
      </c>
      <c r="J563" s="340">
        <v>948.02</v>
      </c>
      <c r="K563" s="308"/>
      <c r="L563" s="340">
        <f t="shared" si="18"/>
        <v>224.78</v>
      </c>
      <c r="M563" s="308"/>
      <c r="N563" s="311"/>
      <c r="O563" s="312"/>
      <c r="P563" s="308"/>
      <c r="Q563" s="308"/>
      <c r="R563" s="392"/>
      <c r="S563" s="358">
        <f ca="1">IF(C563&lt;=EOMONTH('&gt;&gt;Vistas Consolidadas'!$D$2, '&gt;&gt;Vistas Consolidadas'!$F$2),J563+I563,J563)</f>
        <v>948.02</v>
      </c>
      <c r="T563" s="18" t="str">
        <f ca="1">IF(C563&gt;='&gt;&gt;Vistas Consolidadas'!$D$2,"SI","NO")</f>
        <v>SI</v>
      </c>
      <c r="U563" s="358">
        <f ca="1">IF(C563&lt;=EOMONTH('&gt;&gt;Vistas Consolidadas'!$D$2, '&gt;&gt;Vistas Consolidadas'!$F$2),I563,0)</f>
        <v>0</v>
      </c>
      <c r="V563" s="18" t="b">
        <f ca="1">AND(C563&gt;='Interes Por Semana'!$C$4, C563&lt;='Interes Por Semana'!$E$4)</f>
        <v>0</v>
      </c>
      <c r="W563" s="18" t="str">
        <f t="shared" si="17"/>
        <v>sábado</v>
      </c>
    </row>
    <row r="564" spans="2:23" hidden="1" x14ac:dyDescent="0.25">
      <c r="B564" s="337">
        <v>46072</v>
      </c>
      <c r="C564" s="337">
        <v>47139</v>
      </c>
      <c r="D564" s="374" t="s">
        <v>88</v>
      </c>
      <c r="E564" s="309" t="s">
        <v>46</v>
      </c>
      <c r="F564" s="310" t="s">
        <v>104</v>
      </c>
      <c r="G564" s="312">
        <v>9</v>
      </c>
      <c r="H564" s="308">
        <v>10.25</v>
      </c>
      <c r="I564" s="340">
        <v>56.680000000000007</v>
      </c>
      <c r="J564" s="340">
        <v>1570.16</v>
      </c>
      <c r="K564" s="308"/>
      <c r="L564" s="340">
        <f t="shared" si="18"/>
        <v>56.680000000000007</v>
      </c>
      <c r="M564" s="308"/>
      <c r="N564" s="311"/>
      <c r="O564" s="312"/>
      <c r="P564" s="308"/>
      <c r="Q564" s="308"/>
      <c r="R564" s="392"/>
      <c r="S564" s="358">
        <f ca="1">IF(C564&lt;=EOMONTH('&gt;&gt;Vistas Consolidadas'!$D$2, '&gt;&gt;Vistas Consolidadas'!$F$2),J564+I564,J564)</f>
        <v>1570.16</v>
      </c>
      <c r="T564" s="18" t="str">
        <f ca="1">IF(C564&gt;='&gt;&gt;Vistas Consolidadas'!$D$2,"SI","NO")</f>
        <v>SI</v>
      </c>
      <c r="U564" s="358">
        <f ca="1">IF(C564&lt;=EOMONTH('&gt;&gt;Vistas Consolidadas'!$D$2, '&gt;&gt;Vistas Consolidadas'!$F$2),I564,0)</f>
        <v>0</v>
      </c>
      <c r="V564" s="18" t="b">
        <f ca="1">AND(C564&gt;='Interes Por Semana'!$C$4, C564&lt;='Interes Por Semana'!$E$4)</f>
        <v>0</v>
      </c>
      <c r="W564" s="18" t="str">
        <f t="shared" si="17"/>
        <v>domingo</v>
      </c>
    </row>
    <row r="565" spans="2:23" hidden="1" x14ac:dyDescent="0.25">
      <c r="B565" s="337">
        <v>46097</v>
      </c>
      <c r="C565" s="337">
        <v>47188</v>
      </c>
      <c r="D565" s="374" t="s">
        <v>88</v>
      </c>
      <c r="E565" s="309" t="s">
        <v>47</v>
      </c>
      <c r="F565" s="310" t="s">
        <v>121</v>
      </c>
      <c r="G565" s="311">
        <v>9</v>
      </c>
      <c r="H565" s="311">
        <v>10.25</v>
      </c>
      <c r="I565" s="340">
        <v>417.2</v>
      </c>
      <c r="J565" s="340">
        <v>965</v>
      </c>
      <c r="K565" s="311"/>
      <c r="L565" s="340">
        <f t="shared" si="18"/>
        <v>417.2</v>
      </c>
      <c r="M565" s="311"/>
      <c r="N565" s="311"/>
      <c r="O565" s="311"/>
      <c r="P565" s="311"/>
      <c r="Q565" s="311"/>
      <c r="R565" s="392"/>
      <c r="S565" s="358">
        <f ca="1">IF(C565&lt;=EOMONTH('&gt;&gt;Vistas Consolidadas'!$D$2, '&gt;&gt;Vistas Consolidadas'!$F$2),J565+I565,J565)</f>
        <v>965</v>
      </c>
      <c r="T565" s="18" t="str">
        <f ca="1">IF(C565&gt;='&gt;&gt;Vistas Consolidadas'!$D$2,"SI","NO")</f>
        <v>SI</v>
      </c>
      <c r="U565" s="358">
        <f ca="1">IF(C565&lt;=EOMONTH('&gt;&gt;Vistas Consolidadas'!$D$2, '&gt;&gt;Vistas Consolidadas'!$F$2),I565,0)</f>
        <v>0</v>
      </c>
      <c r="V565" s="18" t="b">
        <f ca="1">AND(C565&gt;='Interes Por Semana'!$C$4, C565&lt;='Interes Por Semana'!$E$4)</f>
        <v>0</v>
      </c>
      <c r="W565" s="18" t="str">
        <f t="shared" si="17"/>
        <v>domingo</v>
      </c>
    </row>
    <row r="566" spans="2:23" hidden="1" x14ac:dyDescent="0.25">
      <c r="B566" s="337">
        <v>46105</v>
      </c>
      <c r="C566" s="337">
        <v>47188</v>
      </c>
      <c r="D566" s="374" t="s">
        <v>88</v>
      </c>
      <c r="E566" s="309" t="s">
        <v>47</v>
      </c>
      <c r="F566" s="310" t="s">
        <v>121</v>
      </c>
      <c r="G566" s="311">
        <v>9</v>
      </c>
      <c r="H566" s="311">
        <v>10.25</v>
      </c>
      <c r="I566" s="340">
        <v>68.92</v>
      </c>
      <c r="J566" s="340">
        <v>159.4</v>
      </c>
      <c r="K566" s="311"/>
      <c r="L566" s="340">
        <f t="shared" si="18"/>
        <v>68.92</v>
      </c>
      <c r="M566" s="311"/>
      <c r="N566" s="311"/>
      <c r="O566" s="311"/>
      <c r="P566" s="311"/>
      <c r="Q566" s="311"/>
      <c r="R566" s="392"/>
      <c r="S566" s="358">
        <f ca="1">IF(C566&lt;=EOMONTH('&gt;&gt;Vistas Consolidadas'!$D$2, '&gt;&gt;Vistas Consolidadas'!$F$2),J566+I566,J566)</f>
        <v>159.4</v>
      </c>
      <c r="T566" s="18" t="str">
        <f ca="1">IF(C566&gt;='&gt;&gt;Vistas Consolidadas'!$D$2,"SI","NO")</f>
        <v>SI</v>
      </c>
      <c r="U566" s="358">
        <f ca="1">IF(C566&lt;=EOMONTH('&gt;&gt;Vistas Consolidadas'!$D$2, '&gt;&gt;Vistas Consolidadas'!$F$2),I566,0)</f>
        <v>0</v>
      </c>
      <c r="V566" s="18" t="b">
        <f ca="1">AND(C566&gt;='Interes Por Semana'!$C$4, C566&lt;='Interes Por Semana'!$E$4)</f>
        <v>0</v>
      </c>
      <c r="W566" s="18" t="str">
        <f t="shared" si="17"/>
        <v>domingo</v>
      </c>
    </row>
    <row r="567" spans="2:23" hidden="1" x14ac:dyDescent="0.25">
      <c r="B567" s="337">
        <v>46072</v>
      </c>
      <c r="C567" s="337">
        <v>47221</v>
      </c>
      <c r="D567" s="374" t="s">
        <v>88</v>
      </c>
      <c r="E567" s="309" t="s">
        <v>46</v>
      </c>
      <c r="F567" s="310" t="s">
        <v>94</v>
      </c>
      <c r="G567" s="312">
        <v>9</v>
      </c>
      <c r="H567" s="308">
        <v>10.5</v>
      </c>
      <c r="I567" s="340">
        <v>202.83</v>
      </c>
      <c r="J567" s="340">
        <v>948.02</v>
      </c>
      <c r="K567" s="308"/>
      <c r="L567" s="340">
        <f t="shared" si="18"/>
        <v>202.83</v>
      </c>
      <c r="M567" s="308"/>
      <c r="N567" s="311"/>
      <c r="O567" s="312"/>
      <c r="P567" s="308"/>
      <c r="Q567" s="308"/>
      <c r="R567" s="392"/>
      <c r="S567" s="358">
        <f ca="1">IF(C567&lt;=EOMONTH('&gt;&gt;Vistas Consolidadas'!$D$2, '&gt;&gt;Vistas Consolidadas'!$F$2),J567+I567,J567)</f>
        <v>948.02</v>
      </c>
      <c r="T567" s="18" t="str">
        <f ca="1">IF(C567&gt;='&gt;&gt;Vistas Consolidadas'!$D$2,"SI","NO")</f>
        <v>SI</v>
      </c>
      <c r="U567" s="358">
        <f ca="1">IF(C567&lt;=EOMONTH('&gt;&gt;Vistas Consolidadas'!$D$2, '&gt;&gt;Vistas Consolidadas'!$F$2),I567,0)</f>
        <v>0</v>
      </c>
      <c r="V567" s="18" t="b">
        <f ca="1">AND(C567&gt;='Interes Por Semana'!$C$4, C567&lt;='Interes Por Semana'!$E$4)</f>
        <v>0</v>
      </c>
      <c r="W567" s="18" t="str">
        <f t="shared" si="17"/>
        <v>viernes</v>
      </c>
    </row>
    <row r="568" spans="2:23" hidden="1" x14ac:dyDescent="0.25">
      <c r="B568" s="337">
        <v>46097</v>
      </c>
      <c r="C568" s="337">
        <v>47280</v>
      </c>
      <c r="D568" s="374" t="s">
        <v>88</v>
      </c>
      <c r="E568" s="309" t="s">
        <v>47</v>
      </c>
      <c r="F568" s="310" t="s">
        <v>121</v>
      </c>
      <c r="G568" s="311">
        <v>9</v>
      </c>
      <c r="H568" s="311">
        <v>10.25</v>
      </c>
      <c r="I568" s="340">
        <v>394.71</v>
      </c>
      <c r="J568" s="340">
        <v>965</v>
      </c>
      <c r="K568" s="311"/>
      <c r="L568" s="340">
        <f t="shared" si="18"/>
        <v>394.71</v>
      </c>
      <c r="M568" s="311"/>
      <c r="N568" s="311"/>
      <c r="O568" s="311"/>
      <c r="P568" s="311"/>
      <c r="Q568" s="311"/>
      <c r="R568" s="392"/>
      <c r="S568" s="358">
        <f ca="1">IF(C568&lt;=EOMONTH('&gt;&gt;Vistas Consolidadas'!$D$2, '&gt;&gt;Vistas Consolidadas'!$F$2),J568+I568,J568)</f>
        <v>965</v>
      </c>
      <c r="T568" s="18" t="str">
        <f ca="1">IF(C568&gt;='&gt;&gt;Vistas Consolidadas'!$D$2,"SI","NO")</f>
        <v>SI</v>
      </c>
      <c r="U568" s="358">
        <f ca="1">IF(C568&lt;=EOMONTH('&gt;&gt;Vistas Consolidadas'!$D$2, '&gt;&gt;Vistas Consolidadas'!$F$2),I568,0)</f>
        <v>0</v>
      </c>
      <c r="V568" s="18" t="b">
        <f ca="1">AND(C568&gt;='Interes Por Semana'!$C$4, C568&lt;='Interes Por Semana'!$E$4)</f>
        <v>0</v>
      </c>
      <c r="W568" s="18" t="str">
        <f t="shared" si="17"/>
        <v>lunes</v>
      </c>
    </row>
    <row r="569" spans="2:23" hidden="1" x14ac:dyDescent="0.25">
      <c r="B569" s="337">
        <v>46105</v>
      </c>
      <c r="C569" s="337">
        <v>47280</v>
      </c>
      <c r="D569" s="374" t="s">
        <v>88</v>
      </c>
      <c r="E569" s="309" t="s">
        <v>47</v>
      </c>
      <c r="F569" s="310" t="s">
        <v>121</v>
      </c>
      <c r="G569" s="311">
        <v>9</v>
      </c>
      <c r="H569" s="311">
        <v>10.25</v>
      </c>
      <c r="I569" s="340">
        <v>65.2</v>
      </c>
      <c r="J569" s="340">
        <v>159.4</v>
      </c>
      <c r="K569" s="311"/>
      <c r="L569" s="340">
        <f t="shared" si="18"/>
        <v>65.2</v>
      </c>
      <c r="M569" s="311"/>
      <c r="N569" s="311"/>
      <c r="O569" s="311"/>
      <c r="P569" s="311"/>
      <c r="Q569" s="311"/>
      <c r="R569" s="392"/>
      <c r="S569" s="358">
        <f ca="1">IF(C569&lt;=EOMONTH('&gt;&gt;Vistas Consolidadas'!$D$2, '&gt;&gt;Vistas Consolidadas'!$F$2),J569+I569,J569)</f>
        <v>159.4</v>
      </c>
      <c r="T569" s="18" t="str">
        <f ca="1">IF(C569&gt;='&gt;&gt;Vistas Consolidadas'!$D$2,"SI","NO")</f>
        <v>SI</v>
      </c>
      <c r="U569" s="358">
        <f ca="1">IF(C569&lt;=EOMONTH('&gt;&gt;Vistas Consolidadas'!$D$2, '&gt;&gt;Vistas Consolidadas'!$F$2),I569,0)</f>
        <v>0</v>
      </c>
      <c r="V569" s="18" t="b">
        <f ca="1">AND(C569&gt;='Interes Por Semana'!$C$4, C569&lt;='Interes Por Semana'!$E$4)</f>
        <v>0</v>
      </c>
      <c r="W569" s="18" t="str">
        <f t="shared" si="17"/>
        <v>lunes</v>
      </c>
    </row>
    <row r="570" spans="2:23" hidden="1" x14ac:dyDescent="0.25">
      <c r="B570" s="337">
        <v>46072</v>
      </c>
      <c r="C570" s="337">
        <v>47312</v>
      </c>
      <c r="D570" s="374" t="s">
        <v>88</v>
      </c>
      <c r="E570" s="309" t="s">
        <v>46</v>
      </c>
      <c r="F570" s="310" t="s">
        <v>94</v>
      </c>
      <c r="G570" s="312">
        <v>9</v>
      </c>
      <c r="H570" s="308">
        <v>10.5</v>
      </c>
      <c r="I570" s="340">
        <v>180.89</v>
      </c>
      <c r="J570" s="340">
        <v>948.02</v>
      </c>
      <c r="K570" s="308"/>
      <c r="L570" s="340">
        <f t="shared" si="18"/>
        <v>180.89</v>
      </c>
      <c r="M570" s="308"/>
      <c r="N570" s="311"/>
      <c r="O570" s="312"/>
      <c r="P570" s="308"/>
      <c r="Q570" s="308"/>
      <c r="R570" s="392"/>
      <c r="S570" s="358">
        <f ca="1">IF(C570&lt;=EOMONTH('&gt;&gt;Vistas Consolidadas'!$D$2, '&gt;&gt;Vistas Consolidadas'!$F$2),J570+I570,J570)</f>
        <v>948.02</v>
      </c>
      <c r="T570" s="18" t="str">
        <f ca="1">IF(C570&gt;='&gt;&gt;Vistas Consolidadas'!$D$2,"SI","NO")</f>
        <v>SI</v>
      </c>
      <c r="U570" s="358">
        <f ca="1">IF(C570&lt;=EOMONTH('&gt;&gt;Vistas Consolidadas'!$D$2, '&gt;&gt;Vistas Consolidadas'!$F$2),I570,0)</f>
        <v>0</v>
      </c>
      <c r="V570" s="18" t="b">
        <f ca="1">AND(C570&gt;='Interes Por Semana'!$C$4, C570&lt;='Interes Por Semana'!$E$4)</f>
        <v>0</v>
      </c>
      <c r="W570" s="18" t="str">
        <f t="shared" si="17"/>
        <v>viernes</v>
      </c>
    </row>
    <row r="571" spans="2:23" hidden="1" x14ac:dyDescent="0.25">
      <c r="B571" s="337">
        <v>46097</v>
      </c>
      <c r="C571" s="337">
        <v>47372</v>
      </c>
      <c r="D571" s="374" t="s">
        <v>88</v>
      </c>
      <c r="E571" s="309" t="s">
        <v>47</v>
      </c>
      <c r="F571" s="310" t="s">
        <v>121</v>
      </c>
      <c r="G571" s="311">
        <v>9</v>
      </c>
      <c r="H571" s="311">
        <v>10.25</v>
      </c>
      <c r="I571" s="340">
        <v>372.22</v>
      </c>
      <c r="J571" s="340">
        <v>965</v>
      </c>
      <c r="K571" s="311"/>
      <c r="L571" s="340">
        <f t="shared" si="18"/>
        <v>372.22</v>
      </c>
      <c r="M571" s="311"/>
      <c r="N571" s="311"/>
      <c r="O571" s="311"/>
      <c r="P571" s="311"/>
      <c r="Q571" s="311"/>
      <c r="R571" s="392"/>
      <c r="S571" s="358">
        <f ca="1">IF(C571&lt;=EOMONTH('&gt;&gt;Vistas Consolidadas'!$D$2, '&gt;&gt;Vistas Consolidadas'!$F$2),J571+I571,J571)</f>
        <v>965</v>
      </c>
      <c r="T571" s="18" t="str">
        <f ca="1">IF(C571&gt;='&gt;&gt;Vistas Consolidadas'!$D$2,"SI","NO")</f>
        <v>SI</v>
      </c>
      <c r="U571" s="358">
        <f ca="1">IF(C571&lt;=EOMONTH('&gt;&gt;Vistas Consolidadas'!$D$2, '&gt;&gt;Vistas Consolidadas'!$F$2),I571,0)</f>
        <v>0</v>
      </c>
      <c r="V571" s="18" t="b">
        <f ca="1">AND(C571&gt;='Interes Por Semana'!$C$4, C571&lt;='Interes Por Semana'!$E$4)</f>
        <v>0</v>
      </c>
      <c r="W571" s="18" t="str">
        <f t="shared" si="17"/>
        <v>martes</v>
      </c>
    </row>
    <row r="572" spans="2:23" hidden="1" x14ac:dyDescent="0.25">
      <c r="B572" s="337">
        <v>46105</v>
      </c>
      <c r="C572" s="337">
        <v>47372</v>
      </c>
      <c r="D572" s="374" t="s">
        <v>88</v>
      </c>
      <c r="E572" s="309" t="s">
        <v>47</v>
      </c>
      <c r="F572" s="310" t="s">
        <v>121</v>
      </c>
      <c r="G572" s="311">
        <v>9</v>
      </c>
      <c r="H572" s="311">
        <v>10.25</v>
      </c>
      <c r="I572" s="340">
        <v>61.48</v>
      </c>
      <c r="J572" s="340">
        <v>159.4</v>
      </c>
      <c r="K572" s="311"/>
      <c r="L572" s="340">
        <f t="shared" si="18"/>
        <v>61.48</v>
      </c>
      <c r="M572" s="311"/>
      <c r="N572" s="311"/>
      <c r="O572" s="311"/>
      <c r="P572" s="311"/>
      <c r="Q572" s="311"/>
      <c r="R572" s="392"/>
      <c r="S572" s="358">
        <f ca="1">IF(C572&lt;=EOMONTH('&gt;&gt;Vistas Consolidadas'!$D$2, '&gt;&gt;Vistas Consolidadas'!$F$2),J572+I572,J572)</f>
        <v>159.4</v>
      </c>
      <c r="T572" s="18" t="str">
        <f ca="1">IF(C572&gt;='&gt;&gt;Vistas Consolidadas'!$D$2,"SI","NO")</f>
        <v>SI</v>
      </c>
      <c r="U572" s="358">
        <f ca="1">IF(C572&lt;=EOMONTH('&gt;&gt;Vistas Consolidadas'!$D$2, '&gt;&gt;Vistas Consolidadas'!$F$2),I572,0)</f>
        <v>0</v>
      </c>
      <c r="V572" s="18" t="b">
        <f ca="1">AND(C572&gt;='Interes Por Semana'!$C$4, C572&lt;='Interes Por Semana'!$E$4)</f>
        <v>0</v>
      </c>
      <c r="W572" s="18" t="str">
        <f t="shared" si="17"/>
        <v>martes</v>
      </c>
    </row>
    <row r="573" spans="2:23" hidden="1" x14ac:dyDescent="0.25">
      <c r="B573" s="337">
        <v>46072</v>
      </c>
      <c r="C573" s="337">
        <v>47404</v>
      </c>
      <c r="D573" s="374" t="s">
        <v>88</v>
      </c>
      <c r="E573" s="309" t="s">
        <v>46</v>
      </c>
      <c r="F573" s="310" t="s">
        <v>94</v>
      </c>
      <c r="G573" s="312">
        <v>9</v>
      </c>
      <c r="H573" s="308">
        <v>10.5</v>
      </c>
      <c r="I573" s="340">
        <v>158.94999999999999</v>
      </c>
      <c r="J573" s="340">
        <v>948.02</v>
      </c>
      <c r="K573" s="308"/>
      <c r="L573" s="340">
        <f t="shared" si="18"/>
        <v>158.94999999999999</v>
      </c>
      <c r="M573" s="308"/>
      <c r="N573" s="311"/>
      <c r="O573" s="312"/>
      <c r="P573" s="308"/>
      <c r="Q573" s="308"/>
      <c r="R573" s="392"/>
      <c r="S573" s="358">
        <f ca="1">IF(C573&lt;=EOMONTH('&gt;&gt;Vistas Consolidadas'!$D$2, '&gt;&gt;Vistas Consolidadas'!$F$2),J573+I573,J573)</f>
        <v>948.02</v>
      </c>
      <c r="T573" s="18" t="str">
        <f ca="1">IF(C573&gt;='&gt;&gt;Vistas Consolidadas'!$D$2,"SI","NO")</f>
        <v>SI</v>
      </c>
      <c r="U573" s="358">
        <f ca="1">IF(C573&lt;=EOMONTH('&gt;&gt;Vistas Consolidadas'!$D$2, '&gt;&gt;Vistas Consolidadas'!$F$2),I573,0)</f>
        <v>0</v>
      </c>
      <c r="V573" s="18" t="b">
        <f ca="1">AND(C573&gt;='Interes Por Semana'!$C$4, C573&lt;='Interes Por Semana'!$E$4)</f>
        <v>0</v>
      </c>
      <c r="W573" s="18" t="str">
        <f t="shared" si="17"/>
        <v>sábado</v>
      </c>
    </row>
    <row r="574" spans="2:23" hidden="1" x14ac:dyDescent="0.25">
      <c r="B574" s="337">
        <v>46097</v>
      </c>
      <c r="C574" s="337">
        <v>47463</v>
      </c>
      <c r="D574" s="374" t="s">
        <v>88</v>
      </c>
      <c r="E574" s="309" t="s">
        <v>47</v>
      </c>
      <c r="F574" s="310" t="s">
        <v>121</v>
      </c>
      <c r="G574" s="311">
        <v>9</v>
      </c>
      <c r="H574" s="311">
        <v>10.25</v>
      </c>
      <c r="I574" s="340">
        <v>349.73</v>
      </c>
      <c r="J574" s="340">
        <v>965</v>
      </c>
      <c r="K574" s="311"/>
      <c r="L574" s="340">
        <f t="shared" si="18"/>
        <v>349.73</v>
      </c>
      <c r="M574" s="311"/>
      <c r="N574" s="311"/>
      <c r="O574" s="311"/>
      <c r="P574" s="311"/>
      <c r="Q574" s="311"/>
      <c r="R574" s="392"/>
      <c r="S574" s="358">
        <f ca="1">IF(C574&lt;=EOMONTH('&gt;&gt;Vistas Consolidadas'!$D$2, '&gt;&gt;Vistas Consolidadas'!$F$2),J574+I574,J574)</f>
        <v>965</v>
      </c>
      <c r="T574" s="18" t="str">
        <f ca="1">IF(C574&gt;='&gt;&gt;Vistas Consolidadas'!$D$2,"SI","NO")</f>
        <v>SI</v>
      </c>
      <c r="U574" s="358">
        <f ca="1">IF(C574&lt;=EOMONTH('&gt;&gt;Vistas Consolidadas'!$D$2, '&gt;&gt;Vistas Consolidadas'!$F$2),I574,0)</f>
        <v>0</v>
      </c>
      <c r="V574" s="18" t="b">
        <f ca="1">AND(C574&gt;='Interes Por Semana'!$C$4, C574&lt;='Interes Por Semana'!$E$4)</f>
        <v>0</v>
      </c>
      <c r="W574" s="18" t="str">
        <f t="shared" si="17"/>
        <v>martes</v>
      </c>
    </row>
    <row r="575" spans="2:23" hidden="1" x14ac:dyDescent="0.25">
      <c r="B575" s="337">
        <v>46105</v>
      </c>
      <c r="C575" s="337">
        <v>47463</v>
      </c>
      <c r="D575" s="374" t="s">
        <v>88</v>
      </c>
      <c r="E575" s="309" t="s">
        <v>47</v>
      </c>
      <c r="F575" s="310" t="s">
        <v>121</v>
      </c>
      <c r="G575" s="311">
        <v>9</v>
      </c>
      <c r="H575" s="311">
        <v>10.25</v>
      </c>
      <c r="I575" s="340">
        <v>57.77</v>
      </c>
      <c r="J575" s="340">
        <v>159.4</v>
      </c>
      <c r="K575" s="311"/>
      <c r="L575" s="340">
        <f t="shared" si="18"/>
        <v>57.77</v>
      </c>
      <c r="M575" s="311"/>
      <c r="N575" s="311"/>
      <c r="O575" s="311"/>
      <c r="P575" s="311"/>
      <c r="Q575" s="311"/>
      <c r="R575" s="392"/>
      <c r="S575" s="358">
        <f ca="1">IF(C575&lt;=EOMONTH('&gt;&gt;Vistas Consolidadas'!$D$2, '&gt;&gt;Vistas Consolidadas'!$F$2),J575+I575,J575)</f>
        <v>159.4</v>
      </c>
      <c r="T575" s="18" t="str">
        <f ca="1">IF(C575&gt;='&gt;&gt;Vistas Consolidadas'!$D$2,"SI","NO")</f>
        <v>SI</v>
      </c>
      <c r="U575" s="358">
        <f ca="1">IF(C575&lt;=EOMONTH('&gt;&gt;Vistas Consolidadas'!$D$2, '&gt;&gt;Vistas Consolidadas'!$F$2),I575,0)</f>
        <v>0</v>
      </c>
      <c r="V575" s="18" t="b">
        <f ca="1">AND(C575&gt;='Interes Por Semana'!$C$4, C575&lt;='Interes Por Semana'!$E$4)</f>
        <v>0</v>
      </c>
      <c r="W575" s="18" t="str">
        <f t="shared" si="17"/>
        <v>martes</v>
      </c>
    </row>
    <row r="576" spans="2:23" hidden="1" x14ac:dyDescent="0.25">
      <c r="B576" s="337">
        <v>46072</v>
      </c>
      <c r="C576" s="337">
        <v>47496</v>
      </c>
      <c r="D576" s="374" t="s">
        <v>88</v>
      </c>
      <c r="E576" s="309" t="s">
        <v>46</v>
      </c>
      <c r="F576" s="310" t="s">
        <v>94</v>
      </c>
      <c r="G576" s="312">
        <v>9</v>
      </c>
      <c r="H576" s="312">
        <v>10.5</v>
      </c>
      <c r="I576" s="340">
        <v>137</v>
      </c>
      <c r="J576" s="340">
        <v>948.02</v>
      </c>
      <c r="K576" s="312"/>
      <c r="L576" s="340">
        <f t="shared" si="18"/>
        <v>137</v>
      </c>
      <c r="M576" s="311"/>
      <c r="N576" s="311"/>
      <c r="O576" s="311"/>
      <c r="P576" s="311"/>
      <c r="Q576" s="311"/>
      <c r="R576" s="392"/>
      <c r="S576" s="358">
        <f ca="1">IF(C576&lt;=EOMONTH('&gt;&gt;Vistas Consolidadas'!$D$2, '&gt;&gt;Vistas Consolidadas'!$F$2),J576+I576,J576)</f>
        <v>948.02</v>
      </c>
      <c r="T576" s="18" t="str">
        <f ca="1">IF(C576&gt;='&gt;&gt;Vistas Consolidadas'!$D$2,"SI","NO")</f>
        <v>SI</v>
      </c>
      <c r="U576" s="358">
        <f ca="1">IF(C576&lt;=EOMONTH('&gt;&gt;Vistas Consolidadas'!$D$2, '&gt;&gt;Vistas Consolidadas'!$F$2),I576,0)</f>
        <v>0</v>
      </c>
      <c r="V576" s="18" t="b">
        <f ca="1">AND(C576&gt;='Interes Por Semana'!$C$4, C576&lt;='Interes Por Semana'!$E$4)</f>
        <v>0</v>
      </c>
      <c r="W576" s="18" t="str">
        <f t="shared" si="17"/>
        <v>domingo</v>
      </c>
    </row>
    <row r="577" spans="2:23" hidden="1" x14ac:dyDescent="0.25">
      <c r="B577" s="337">
        <v>46097</v>
      </c>
      <c r="C577" s="337">
        <v>47553</v>
      </c>
      <c r="D577" s="374" t="s">
        <v>88</v>
      </c>
      <c r="E577" s="309" t="s">
        <v>47</v>
      </c>
      <c r="F577" s="310" t="s">
        <v>121</v>
      </c>
      <c r="G577" s="311">
        <v>9</v>
      </c>
      <c r="H577" s="311">
        <v>10.25</v>
      </c>
      <c r="I577" s="340">
        <v>327.24</v>
      </c>
      <c r="J577" s="340">
        <v>965</v>
      </c>
      <c r="K577" s="311"/>
      <c r="L577" s="340">
        <f t="shared" si="18"/>
        <v>327.24</v>
      </c>
      <c r="M577" s="311"/>
      <c r="N577" s="311"/>
      <c r="O577" s="311"/>
      <c r="P577" s="311"/>
      <c r="Q577" s="311"/>
      <c r="R577" s="392"/>
      <c r="S577" s="358">
        <f ca="1">IF(C577&lt;=EOMONTH('&gt;&gt;Vistas Consolidadas'!$D$2, '&gt;&gt;Vistas Consolidadas'!$F$2),J577+I577,J577)</f>
        <v>965</v>
      </c>
      <c r="T577" s="18" t="str">
        <f ca="1">IF(C577&gt;='&gt;&gt;Vistas Consolidadas'!$D$2,"SI","NO")</f>
        <v>SI</v>
      </c>
      <c r="U577" s="358">
        <f ca="1">IF(C577&lt;=EOMONTH('&gt;&gt;Vistas Consolidadas'!$D$2, '&gt;&gt;Vistas Consolidadas'!$F$2),I577,0)</f>
        <v>0</v>
      </c>
      <c r="V577" s="18" t="b">
        <f ca="1">AND(C577&gt;='Interes Por Semana'!$C$4, C577&lt;='Interes Por Semana'!$E$4)</f>
        <v>0</v>
      </c>
      <c r="W577" s="18" t="str">
        <f t="shared" si="17"/>
        <v>lunes</v>
      </c>
    </row>
    <row r="578" spans="2:23" hidden="1" x14ac:dyDescent="0.25">
      <c r="B578" s="337">
        <v>46105</v>
      </c>
      <c r="C578" s="337">
        <v>47553</v>
      </c>
      <c r="D578" s="374" t="s">
        <v>88</v>
      </c>
      <c r="E578" s="309" t="s">
        <v>47</v>
      </c>
      <c r="F578" s="310" t="s">
        <v>121</v>
      </c>
      <c r="G578" s="311">
        <v>9</v>
      </c>
      <c r="H578" s="311">
        <v>10.25</v>
      </c>
      <c r="I578" s="340">
        <v>54.05</v>
      </c>
      <c r="J578" s="340">
        <v>159.4</v>
      </c>
      <c r="K578" s="311"/>
      <c r="L578" s="340">
        <f t="shared" si="18"/>
        <v>54.05</v>
      </c>
      <c r="M578" s="311"/>
      <c r="N578" s="311"/>
      <c r="O578" s="311"/>
      <c r="P578" s="311"/>
      <c r="Q578" s="311"/>
      <c r="R578" s="392"/>
      <c r="S578" s="358">
        <f ca="1">IF(C578&lt;=EOMONTH('&gt;&gt;Vistas Consolidadas'!$D$2, '&gt;&gt;Vistas Consolidadas'!$F$2),J578+I578,J578)</f>
        <v>159.4</v>
      </c>
      <c r="T578" s="18" t="str">
        <f ca="1">IF(C578&gt;='&gt;&gt;Vistas Consolidadas'!$D$2,"SI","NO")</f>
        <v>SI</v>
      </c>
      <c r="U578" s="358">
        <f ca="1">IF(C578&lt;=EOMONTH('&gt;&gt;Vistas Consolidadas'!$D$2, '&gt;&gt;Vistas Consolidadas'!$F$2),I578,0)</f>
        <v>0</v>
      </c>
      <c r="V578" s="18" t="b">
        <f ca="1">AND(C578&gt;='Interes Por Semana'!$C$4, C578&lt;='Interes Por Semana'!$E$4)</f>
        <v>0</v>
      </c>
      <c r="W578" s="18" t="str">
        <f t="shared" si="17"/>
        <v>lunes</v>
      </c>
    </row>
    <row r="579" spans="2:23" hidden="1" x14ac:dyDescent="0.25">
      <c r="B579" s="337">
        <v>46072</v>
      </c>
      <c r="C579" s="337">
        <v>47586</v>
      </c>
      <c r="D579" s="374" t="s">
        <v>88</v>
      </c>
      <c r="E579" s="309" t="s">
        <v>46</v>
      </c>
      <c r="F579" s="310" t="s">
        <v>94</v>
      </c>
      <c r="G579" s="312">
        <v>9</v>
      </c>
      <c r="H579" s="312">
        <v>10.5</v>
      </c>
      <c r="I579" s="340">
        <v>115.06</v>
      </c>
      <c r="J579" s="340">
        <v>948.02</v>
      </c>
      <c r="K579" s="312"/>
      <c r="L579" s="340">
        <f t="shared" si="18"/>
        <v>115.06</v>
      </c>
      <c r="M579" s="311"/>
      <c r="N579" s="311"/>
      <c r="O579" s="311"/>
      <c r="P579" s="311"/>
      <c r="Q579" s="311"/>
      <c r="R579" s="392"/>
      <c r="S579" s="358">
        <f ca="1">IF(C579&lt;=EOMONTH('&gt;&gt;Vistas Consolidadas'!$D$2, '&gt;&gt;Vistas Consolidadas'!$F$2),J579+I579,J579)</f>
        <v>948.02</v>
      </c>
      <c r="T579" s="18" t="str">
        <f ca="1">IF(C579&gt;='&gt;&gt;Vistas Consolidadas'!$D$2,"SI","NO")</f>
        <v>SI</v>
      </c>
      <c r="U579" s="358">
        <f ca="1">IF(C579&lt;=EOMONTH('&gt;&gt;Vistas Consolidadas'!$D$2, '&gt;&gt;Vistas Consolidadas'!$F$2),I579,0)</f>
        <v>0</v>
      </c>
      <c r="V579" s="18" t="b">
        <f ca="1">AND(C579&gt;='Interes Por Semana'!$C$4, C579&lt;='Interes Por Semana'!$E$4)</f>
        <v>0</v>
      </c>
      <c r="W579" s="18" t="str">
        <f t="shared" ref="W579:W642" si="19">TEXT(C579, "dddd")</f>
        <v>sábado</v>
      </c>
    </row>
    <row r="580" spans="2:23" hidden="1" x14ac:dyDescent="0.25">
      <c r="B580" s="337">
        <v>46097</v>
      </c>
      <c r="C580" s="337">
        <v>47645</v>
      </c>
      <c r="D580" s="374" t="s">
        <v>88</v>
      </c>
      <c r="E580" s="309" t="s">
        <v>47</v>
      </c>
      <c r="F580" s="310" t="s">
        <v>121</v>
      </c>
      <c r="G580" s="311">
        <v>9</v>
      </c>
      <c r="H580" s="311">
        <v>10.25</v>
      </c>
      <c r="I580" s="340">
        <v>304.74</v>
      </c>
      <c r="J580" s="340">
        <v>965</v>
      </c>
      <c r="K580" s="311"/>
      <c r="L580" s="340">
        <f t="shared" si="18"/>
        <v>304.74</v>
      </c>
      <c r="M580" s="311"/>
      <c r="N580" s="311"/>
      <c r="O580" s="311"/>
      <c r="P580" s="311"/>
      <c r="Q580" s="311"/>
      <c r="R580" s="392"/>
      <c r="S580" s="358">
        <f ca="1">IF(C580&lt;=EOMONTH('&gt;&gt;Vistas Consolidadas'!$D$2, '&gt;&gt;Vistas Consolidadas'!$F$2),J580+I580,J580)</f>
        <v>965</v>
      </c>
      <c r="T580" s="18" t="str">
        <f ca="1">IF(C580&gt;='&gt;&gt;Vistas Consolidadas'!$D$2,"SI","NO")</f>
        <v>SI</v>
      </c>
      <c r="U580" s="358">
        <f ca="1">IF(C580&lt;=EOMONTH('&gt;&gt;Vistas Consolidadas'!$D$2, '&gt;&gt;Vistas Consolidadas'!$F$2),I580,0)</f>
        <v>0</v>
      </c>
      <c r="V580" s="18" t="b">
        <f ca="1">AND(C580&gt;='Interes Por Semana'!$C$4, C580&lt;='Interes Por Semana'!$E$4)</f>
        <v>0</v>
      </c>
      <c r="W580" s="18" t="str">
        <f t="shared" si="19"/>
        <v>martes</v>
      </c>
    </row>
    <row r="581" spans="2:23" hidden="1" x14ac:dyDescent="0.25">
      <c r="B581" s="337">
        <v>46105</v>
      </c>
      <c r="C581" s="337">
        <v>47645</v>
      </c>
      <c r="D581" s="374" t="s">
        <v>88</v>
      </c>
      <c r="E581" s="309" t="s">
        <v>47</v>
      </c>
      <c r="F581" s="310" t="s">
        <v>121</v>
      </c>
      <c r="G581" s="311">
        <v>9</v>
      </c>
      <c r="H581" s="311">
        <v>10.25</v>
      </c>
      <c r="I581" s="340">
        <v>50.34</v>
      </c>
      <c r="J581" s="340">
        <v>159.4</v>
      </c>
      <c r="K581" s="311"/>
      <c r="L581" s="340">
        <f t="shared" si="18"/>
        <v>50.34</v>
      </c>
      <c r="M581" s="311"/>
      <c r="N581" s="311"/>
      <c r="O581" s="311"/>
      <c r="P581" s="311"/>
      <c r="Q581" s="311"/>
      <c r="R581" s="392"/>
      <c r="S581" s="358">
        <f ca="1">IF(C581&lt;=EOMONTH('&gt;&gt;Vistas Consolidadas'!$D$2, '&gt;&gt;Vistas Consolidadas'!$F$2),J581+I581,J581)</f>
        <v>159.4</v>
      </c>
      <c r="T581" s="18" t="str">
        <f ca="1">IF(C581&gt;='&gt;&gt;Vistas Consolidadas'!$D$2,"SI","NO")</f>
        <v>SI</v>
      </c>
      <c r="U581" s="358">
        <f ca="1">IF(C581&lt;=EOMONTH('&gt;&gt;Vistas Consolidadas'!$D$2, '&gt;&gt;Vistas Consolidadas'!$F$2),I581,0)</f>
        <v>0</v>
      </c>
      <c r="V581" s="18" t="b">
        <f ca="1">AND(C581&gt;='Interes Por Semana'!$C$4, C581&lt;='Interes Por Semana'!$E$4)</f>
        <v>0</v>
      </c>
      <c r="W581" s="18" t="str">
        <f t="shared" si="19"/>
        <v>martes</v>
      </c>
    </row>
    <row r="582" spans="2:23" hidden="1" x14ac:dyDescent="0.25">
      <c r="B582" s="337">
        <v>46072</v>
      </c>
      <c r="C582" s="337">
        <v>47677</v>
      </c>
      <c r="D582" s="374" t="s">
        <v>88</v>
      </c>
      <c r="E582" s="309" t="s">
        <v>46</v>
      </c>
      <c r="F582" s="310" t="s">
        <v>94</v>
      </c>
      <c r="G582" s="312">
        <v>9</v>
      </c>
      <c r="H582" s="312">
        <v>10.5</v>
      </c>
      <c r="I582" s="340">
        <v>93.11</v>
      </c>
      <c r="J582" s="340">
        <v>948.02</v>
      </c>
      <c r="K582" s="312"/>
      <c r="L582" s="340">
        <f t="shared" si="18"/>
        <v>93.11</v>
      </c>
      <c r="M582" s="311"/>
      <c r="N582" s="311"/>
      <c r="O582" s="311"/>
      <c r="P582" s="311"/>
      <c r="Q582" s="311"/>
      <c r="R582" s="392"/>
      <c r="S582" s="358">
        <f ca="1">IF(C582&lt;=EOMONTH('&gt;&gt;Vistas Consolidadas'!$D$2, '&gt;&gt;Vistas Consolidadas'!$F$2),J582+I582,J582)</f>
        <v>948.02</v>
      </c>
      <c r="T582" s="18" t="str">
        <f ca="1">IF(C582&gt;='&gt;&gt;Vistas Consolidadas'!$D$2,"SI","NO")</f>
        <v>SI</v>
      </c>
      <c r="U582" s="358">
        <f ca="1">IF(C582&lt;=EOMONTH('&gt;&gt;Vistas Consolidadas'!$D$2, '&gt;&gt;Vistas Consolidadas'!$F$2),I582,0)</f>
        <v>0</v>
      </c>
      <c r="V582" s="18" t="b">
        <f ca="1">AND(C582&gt;='Interes Por Semana'!$C$4, C582&lt;='Interes Por Semana'!$E$4)</f>
        <v>0</v>
      </c>
      <c r="W582" s="18" t="str">
        <f t="shared" si="19"/>
        <v>sábado</v>
      </c>
    </row>
    <row r="583" spans="2:23" hidden="1" x14ac:dyDescent="0.25">
      <c r="B583" s="337">
        <v>46097</v>
      </c>
      <c r="C583" s="337">
        <v>47737</v>
      </c>
      <c r="D583" s="374" t="s">
        <v>88</v>
      </c>
      <c r="E583" s="309" t="s">
        <v>47</v>
      </c>
      <c r="F583" s="310" t="s">
        <v>121</v>
      </c>
      <c r="G583" s="311">
        <v>9</v>
      </c>
      <c r="H583" s="311">
        <v>10.25</v>
      </c>
      <c r="I583" s="340">
        <v>282.25</v>
      </c>
      <c r="J583" s="340">
        <v>965</v>
      </c>
      <c r="K583" s="311"/>
      <c r="L583" s="340">
        <f t="shared" si="18"/>
        <v>282.25</v>
      </c>
      <c r="M583" s="311"/>
      <c r="N583" s="311"/>
      <c r="O583" s="311"/>
      <c r="P583" s="311"/>
      <c r="Q583" s="311"/>
      <c r="R583" s="392"/>
      <c r="S583" s="358">
        <f ca="1">IF(C583&lt;=EOMONTH('&gt;&gt;Vistas Consolidadas'!$D$2, '&gt;&gt;Vistas Consolidadas'!$F$2),J583+I583,J583)</f>
        <v>965</v>
      </c>
      <c r="T583" s="18" t="str">
        <f ca="1">IF(C583&gt;='&gt;&gt;Vistas Consolidadas'!$D$2,"SI","NO")</f>
        <v>SI</v>
      </c>
      <c r="U583" s="358">
        <f ca="1">IF(C583&lt;=EOMONTH('&gt;&gt;Vistas Consolidadas'!$D$2, '&gt;&gt;Vistas Consolidadas'!$F$2),I583,0)</f>
        <v>0</v>
      </c>
      <c r="V583" s="18" t="b">
        <f ca="1">AND(C583&gt;='Interes Por Semana'!$C$4, C583&lt;='Interes Por Semana'!$E$4)</f>
        <v>0</v>
      </c>
      <c r="W583" s="18" t="str">
        <f t="shared" si="19"/>
        <v>miércoles</v>
      </c>
    </row>
    <row r="584" spans="2:23" hidden="1" x14ac:dyDescent="0.25">
      <c r="B584" s="337">
        <v>46105</v>
      </c>
      <c r="C584" s="337">
        <v>47737</v>
      </c>
      <c r="D584" s="374" t="s">
        <v>88</v>
      </c>
      <c r="E584" s="309" t="s">
        <v>47</v>
      </c>
      <c r="F584" s="310" t="s">
        <v>121</v>
      </c>
      <c r="G584" s="311">
        <v>9</v>
      </c>
      <c r="H584" s="311">
        <v>10.25</v>
      </c>
      <c r="I584" s="340">
        <v>46.62</v>
      </c>
      <c r="J584" s="340">
        <v>159.4</v>
      </c>
      <c r="K584" s="311"/>
      <c r="L584" s="340">
        <f t="shared" si="18"/>
        <v>46.62</v>
      </c>
      <c r="M584" s="311"/>
      <c r="N584" s="311"/>
      <c r="O584" s="311"/>
      <c r="P584" s="311"/>
      <c r="Q584" s="311"/>
      <c r="R584" s="392"/>
      <c r="S584" s="358">
        <f ca="1">IF(C584&lt;=EOMONTH('&gt;&gt;Vistas Consolidadas'!$D$2, '&gt;&gt;Vistas Consolidadas'!$F$2),J584+I584,J584)</f>
        <v>159.4</v>
      </c>
      <c r="T584" s="18" t="str">
        <f ca="1">IF(C584&gt;='&gt;&gt;Vistas Consolidadas'!$D$2,"SI","NO")</f>
        <v>SI</v>
      </c>
      <c r="U584" s="358">
        <f ca="1">IF(C584&lt;=EOMONTH('&gt;&gt;Vistas Consolidadas'!$D$2, '&gt;&gt;Vistas Consolidadas'!$F$2),I584,0)</f>
        <v>0</v>
      </c>
      <c r="V584" s="18" t="b">
        <f ca="1">AND(C584&gt;='Interes Por Semana'!$C$4, C584&lt;='Interes Por Semana'!$E$4)</f>
        <v>0</v>
      </c>
      <c r="W584" s="18" t="str">
        <f t="shared" si="19"/>
        <v>miércoles</v>
      </c>
    </row>
    <row r="585" spans="2:23" hidden="1" x14ac:dyDescent="0.25">
      <c r="B585" s="337">
        <v>46072</v>
      </c>
      <c r="C585" s="337">
        <v>47769</v>
      </c>
      <c r="D585" s="374" t="s">
        <v>88</v>
      </c>
      <c r="E585" s="309" t="s">
        <v>46</v>
      </c>
      <c r="F585" s="310" t="s">
        <v>94</v>
      </c>
      <c r="G585" s="312">
        <v>9</v>
      </c>
      <c r="H585" s="312">
        <v>10.5</v>
      </c>
      <c r="I585" s="340">
        <v>71.17</v>
      </c>
      <c r="J585" s="340">
        <v>948.02</v>
      </c>
      <c r="K585" s="312"/>
      <c r="L585" s="340">
        <f t="shared" si="18"/>
        <v>71.17</v>
      </c>
      <c r="M585" s="311"/>
      <c r="N585" s="311"/>
      <c r="O585" s="311"/>
      <c r="P585" s="311"/>
      <c r="Q585" s="311"/>
      <c r="R585" s="392"/>
      <c r="S585" s="358">
        <f ca="1">IF(C585&lt;=EOMONTH('&gt;&gt;Vistas Consolidadas'!$D$2, '&gt;&gt;Vistas Consolidadas'!$F$2),J585+I585,J585)</f>
        <v>948.02</v>
      </c>
      <c r="T585" s="18" t="str">
        <f ca="1">IF(C585&gt;='&gt;&gt;Vistas Consolidadas'!$D$2,"SI","NO")</f>
        <v>SI</v>
      </c>
      <c r="U585" s="358">
        <f ca="1">IF(C585&lt;=EOMONTH('&gt;&gt;Vistas Consolidadas'!$D$2, '&gt;&gt;Vistas Consolidadas'!$F$2),I585,0)</f>
        <v>0</v>
      </c>
      <c r="V585" s="18" t="b">
        <f ca="1">AND(C585&gt;='Interes Por Semana'!$C$4, C585&lt;='Interes Por Semana'!$E$4)</f>
        <v>0</v>
      </c>
      <c r="W585" s="18" t="str">
        <f t="shared" si="19"/>
        <v>domingo</v>
      </c>
    </row>
    <row r="586" spans="2:23" hidden="1" x14ac:dyDescent="0.25">
      <c r="B586" s="337">
        <v>46097</v>
      </c>
      <c r="C586" s="337">
        <v>47828</v>
      </c>
      <c r="D586" s="374" t="s">
        <v>88</v>
      </c>
      <c r="E586" s="309" t="s">
        <v>47</v>
      </c>
      <c r="F586" s="310" t="s">
        <v>121</v>
      </c>
      <c r="G586" s="311">
        <v>9</v>
      </c>
      <c r="H586" s="311">
        <v>10.25</v>
      </c>
      <c r="I586" s="340">
        <v>259.76</v>
      </c>
      <c r="J586" s="340">
        <v>965</v>
      </c>
      <c r="K586" s="311"/>
      <c r="L586" s="340">
        <f t="shared" si="18"/>
        <v>259.76</v>
      </c>
      <c r="M586" s="311"/>
      <c r="N586" s="311"/>
      <c r="O586" s="311"/>
      <c r="P586" s="311"/>
      <c r="Q586" s="311"/>
      <c r="R586" s="392"/>
      <c r="S586" s="358">
        <f ca="1">IF(C586&lt;=EOMONTH('&gt;&gt;Vistas Consolidadas'!$D$2, '&gt;&gt;Vistas Consolidadas'!$F$2),J586+I586,J586)</f>
        <v>965</v>
      </c>
      <c r="T586" s="18" t="str">
        <f ca="1">IF(C586&gt;='&gt;&gt;Vistas Consolidadas'!$D$2,"SI","NO")</f>
        <v>SI</v>
      </c>
      <c r="U586" s="358">
        <f ca="1">IF(C586&lt;=EOMONTH('&gt;&gt;Vistas Consolidadas'!$D$2, '&gt;&gt;Vistas Consolidadas'!$F$2),I586,0)</f>
        <v>0</v>
      </c>
      <c r="V586" s="18" t="b">
        <f ca="1">AND(C586&gt;='Interes Por Semana'!$C$4, C586&lt;='Interes Por Semana'!$E$4)</f>
        <v>0</v>
      </c>
      <c r="W586" s="18" t="str">
        <f t="shared" si="19"/>
        <v>miércoles</v>
      </c>
    </row>
    <row r="587" spans="2:23" hidden="1" x14ac:dyDescent="0.25">
      <c r="B587" s="337">
        <v>46105</v>
      </c>
      <c r="C587" s="337">
        <v>47828</v>
      </c>
      <c r="D587" s="374" t="s">
        <v>88</v>
      </c>
      <c r="E587" s="309" t="s">
        <v>47</v>
      </c>
      <c r="F587" s="310" t="s">
        <v>121</v>
      </c>
      <c r="G587" s="311">
        <v>9</v>
      </c>
      <c r="H587" s="311">
        <v>10.25</v>
      </c>
      <c r="I587" s="340">
        <v>42.91</v>
      </c>
      <c r="J587" s="340">
        <v>159.4</v>
      </c>
      <c r="K587" s="311"/>
      <c r="L587" s="340">
        <f t="shared" si="18"/>
        <v>42.91</v>
      </c>
      <c r="M587" s="311"/>
      <c r="N587" s="311"/>
      <c r="O587" s="311"/>
      <c r="P587" s="311"/>
      <c r="Q587" s="311"/>
      <c r="R587" s="392"/>
      <c r="S587" s="358">
        <f ca="1">IF(C587&lt;=EOMONTH('&gt;&gt;Vistas Consolidadas'!$D$2, '&gt;&gt;Vistas Consolidadas'!$F$2),J587+I587,J587)</f>
        <v>159.4</v>
      </c>
      <c r="T587" s="18" t="str">
        <f ca="1">IF(C587&gt;='&gt;&gt;Vistas Consolidadas'!$D$2,"SI","NO")</f>
        <v>SI</v>
      </c>
      <c r="U587" s="358">
        <f ca="1">IF(C587&lt;=EOMONTH('&gt;&gt;Vistas Consolidadas'!$D$2, '&gt;&gt;Vistas Consolidadas'!$F$2),I587,0)</f>
        <v>0</v>
      </c>
      <c r="V587" s="18" t="b">
        <f ca="1">AND(C587&gt;='Interes Por Semana'!$C$4, C587&lt;='Interes Por Semana'!$E$4)</f>
        <v>0</v>
      </c>
      <c r="W587" s="18" t="str">
        <f t="shared" si="19"/>
        <v>miércoles</v>
      </c>
    </row>
    <row r="588" spans="2:23" hidden="1" x14ac:dyDescent="0.25">
      <c r="B588" s="337">
        <v>46072</v>
      </c>
      <c r="C588" s="337">
        <v>47861</v>
      </c>
      <c r="D588" s="374" t="s">
        <v>88</v>
      </c>
      <c r="E588" s="309" t="s">
        <v>46</v>
      </c>
      <c r="F588" s="310" t="s">
        <v>94</v>
      </c>
      <c r="G588" s="312">
        <v>9</v>
      </c>
      <c r="H588" s="308">
        <v>10.5</v>
      </c>
      <c r="I588" s="340">
        <v>49.22</v>
      </c>
      <c r="J588" s="340">
        <v>948.02</v>
      </c>
      <c r="K588" s="308"/>
      <c r="L588" s="340">
        <f t="shared" si="18"/>
        <v>49.22</v>
      </c>
      <c r="M588" s="308"/>
      <c r="N588" s="311"/>
      <c r="O588" s="312"/>
      <c r="P588" s="308"/>
      <c r="Q588" s="308"/>
      <c r="R588" s="392"/>
      <c r="S588" s="358">
        <f ca="1">IF(C588&lt;=EOMONTH('&gt;&gt;Vistas Consolidadas'!$D$2, '&gt;&gt;Vistas Consolidadas'!$F$2),J588+I588,J588)</f>
        <v>948.02</v>
      </c>
      <c r="T588" s="18" t="str">
        <f ca="1">IF(C588&gt;='&gt;&gt;Vistas Consolidadas'!$D$2,"SI","NO")</f>
        <v>SI</v>
      </c>
      <c r="U588" s="358">
        <f ca="1">IF(C588&lt;=EOMONTH('&gt;&gt;Vistas Consolidadas'!$D$2, '&gt;&gt;Vistas Consolidadas'!$F$2),I588,0)</f>
        <v>0</v>
      </c>
      <c r="V588" s="18" t="b">
        <f ca="1">AND(C588&gt;='Interes Por Semana'!$C$4, C588&lt;='Interes Por Semana'!$E$4)</f>
        <v>0</v>
      </c>
      <c r="W588" s="18" t="str">
        <f t="shared" si="19"/>
        <v>lunes</v>
      </c>
    </row>
    <row r="589" spans="2:23" hidden="1" x14ac:dyDescent="0.25">
      <c r="B589" s="337">
        <v>46097</v>
      </c>
      <c r="C589" s="337">
        <v>47918</v>
      </c>
      <c r="D589" s="374" t="s">
        <v>88</v>
      </c>
      <c r="E589" s="309" t="s">
        <v>47</v>
      </c>
      <c r="F589" s="310" t="s">
        <v>121</v>
      </c>
      <c r="G589" s="311">
        <v>9</v>
      </c>
      <c r="H589" s="311">
        <v>10.25</v>
      </c>
      <c r="I589" s="340">
        <v>237.27</v>
      </c>
      <c r="J589" s="340">
        <v>965</v>
      </c>
      <c r="K589" s="311"/>
      <c r="L589" s="340">
        <f>J589</f>
        <v>965</v>
      </c>
      <c r="M589" s="311"/>
      <c r="N589" s="311"/>
      <c r="O589" s="311"/>
      <c r="P589" s="311"/>
      <c r="Q589" s="311"/>
      <c r="R589" s="392"/>
      <c r="S589" s="358">
        <f ca="1">IF(C589&lt;=EOMONTH('&gt;&gt;Vistas Consolidadas'!$D$2, '&gt;&gt;Vistas Consolidadas'!$F$2),J589+I589,J589)</f>
        <v>965</v>
      </c>
      <c r="T589" s="18" t="str">
        <f ca="1">IF(C589&gt;='&gt;&gt;Vistas Consolidadas'!$D$2,"SI","NO")</f>
        <v>SI</v>
      </c>
      <c r="U589" s="358">
        <f ca="1">IF(C589&lt;=EOMONTH('&gt;&gt;Vistas Consolidadas'!$D$2, '&gt;&gt;Vistas Consolidadas'!$F$2),I589,0)</f>
        <v>0</v>
      </c>
      <c r="V589" s="18" t="b">
        <f ca="1">AND(C589&gt;='Interes Por Semana'!$C$4, C589&lt;='Interes Por Semana'!$E$4)</f>
        <v>0</v>
      </c>
      <c r="W589" s="18" t="str">
        <f t="shared" si="19"/>
        <v>martes</v>
      </c>
    </row>
    <row r="590" spans="2:23" hidden="1" x14ac:dyDescent="0.25">
      <c r="B590" s="337">
        <v>46105</v>
      </c>
      <c r="C590" s="337">
        <v>47918</v>
      </c>
      <c r="D590" s="374" t="s">
        <v>88</v>
      </c>
      <c r="E590" s="309" t="s">
        <v>47</v>
      </c>
      <c r="F590" s="310" t="s">
        <v>121</v>
      </c>
      <c r="G590" s="311">
        <v>9</v>
      </c>
      <c r="H590" s="311">
        <v>10.25</v>
      </c>
      <c r="I590" s="340">
        <v>39.19</v>
      </c>
      <c r="J590" s="340">
        <v>159.4</v>
      </c>
      <c r="K590" s="311"/>
      <c r="L590" s="340">
        <f>I590</f>
        <v>39.19</v>
      </c>
      <c r="M590" s="311"/>
      <c r="N590" s="311"/>
      <c r="O590" s="311"/>
      <c r="P590" s="311"/>
      <c r="Q590" s="311"/>
      <c r="R590" s="392"/>
      <c r="S590" s="358">
        <f ca="1">IF(C590&lt;=EOMONTH('&gt;&gt;Vistas Consolidadas'!$D$2, '&gt;&gt;Vistas Consolidadas'!$F$2),J590+I590,J590)</f>
        <v>159.4</v>
      </c>
      <c r="T590" s="18" t="str">
        <f ca="1">IF(C590&gt;='&gt;&gt;Vistas Consolidadas'!$D$2,"SI","NO")</f>
        <v>SI</v>
      </c>
      <c r="U590" s="358">
        <f ca="1">IF(C590&lt;=EOMONTH('&gt;&gt;Vistas Consolidadas'!$D$2, '&gt;&gt;Vistas Consolidadas'!$F$2),I590,0)</f>
        <v>0</v>
      </c>
      <c r="V590" s="18" t="b">
        <f ca="1">AND(C590&gt;='Interes Por Semana'!$C$4, C590&lt;='Interes Por Semana'!$E$4)</f>
        <v>0</v>
      </c>
      <c r="W590" s="18" t="str">
        <f t="shared" si="19"/>
        <v>martes</v>
      </c>
    </row>
    <row r="591" spans="2:23" hidden="1" x14ac:dyDescent="0.25">
      <c r="B591" s="337">
        <v>46097</v>
      </c>
      <c r="C591" s="337">
        <v>48010</v>
      </c>
      <c r="D591" s="374" t="s">
        <v>88</v>
      </c>
      <c r="E591" s="309" t="s">
        <v>47</v>
      </c>
      <c r="F591" s="310" t="s">
        <v>121</v>
      </c>
      <c r="G591" s="311">
        <v>9</v>
      </c>
      <c r="H591" s="311">
        <v>10.25</v>
      </c>
      <c r="I591" s="340">
        <v>214.78</v>
      </c>
      <c r="J591" s="340">
        <v>965</v>
      </c>
      <c r="K591" s="311"/>
      <c r="L591" s="340">
        <f>J591</f>
        <v>965</v>
      </c>
      <c r="M591" s="311"/>
      <c r="N591" s="311"/>
      <c r="O591" s="311"/>
      <c r="P591" s="311"/>
      <c r="Q591" s="311"/>
      <c r="R591" s="392"/>
      <c r="S591" s="358">
        <f ca="1">IF(C591&lt;=EOMONTH('&gt;&gt;Vistas Consolidadas'!$D$2, '&gt;&gt;Vistas Consolidadas'!$F$2),J591+I591,J591)</f>
        <v>965</v>
      </c>
      <c r="T591" s="18" t="str">
        <f ca="1">IF(C591&gt;='&gt;&gt;Vistas Consolidadas'!$D$2,"SI","NO")</f>
        <v>SI</v>
      </c>
      <c r="U591" s="358">
        <f ca="1">IF(C591&lt;=EOMONTH('&gt;&gt;Vistas Consolidadas'!$D$2, '&gt;&gt;Vistas Consolidadas'!$F$2),I591,0)</f>
        <v>0</v>
      </c>
      <c r="V591" s="18" t="b">
        <f ca="1">AND(C591&gt;='Interes Por Semana'!$C$4, C591&lt;='Interes Por Semana'!$E$4)</f>
        <v>0</v>
      </c>
      <c r="W591" s="18" t="str">
        <f t="shared" si="19"/>
        <v>miércoles</v>
      </c>
    </row>
    <row r="592" spans="2:23" hidden="1" x14ac:dyDescent="0.25">
      <c r="B592" s="337">
        <v>46105</v>
      </c>
      <c r="C592" s="337">
        <v>48010</v>
      </c>
      <c r="D592" s="374" t="s">
        <v>88</v>
      </c>
      <c r="E592" s="309" t="s">
        <v>47</v>
      </c>
      <c r="F592" s="310" t="s">
        <v>121</v>
      </c>
      <c r="G592" s="311">
        <v>9</v>
      </c>
      <c r="H592" s="311">
        <v>10.25</v>
      </c>
      <c r="I592" s="340">
        <v>35.479999999999997</v>
      </c>
      <c r="J592" s="340">
        <v>159.4</v>
      </c>
      <c r="K592" s="311"/>
      <c r="L592" s="340">
        <f>I592</f>
        <v>35.479999999999997</v>
      </c>
      <c r="M592" s="311"/>
      <c r="N592" s="311"/>
      <c r="O592" s="311"/>
      <c r="P592" s="311"/>
      <c r="Q592" s="311"/>
      <c r="R592" s="392"/>
      <c r="S592" s="358">
        <f ca="1">IF(C592&lt;=EOMONTH('&gt;&gt;Vistas Consolidadas'!$D$2, '&gt;&gt;Vistas Consolidadas'!$F$2),J592+I592,J592)</f>
        <v>159.4</v>
      </c>
      <c r="T592" s="18" t="str">
        <f ca="1">IF(C592&gt;='&gt;&gt;Vistas Consolidadas'!$D$2,"SI","NO")</f>
        <v>SI</v>
      </c>
      <c r="U592" s="358">
        <f ca="1">IF(C592&lt;=EOMONTH('&gt;&gt;Vistas Consolidadas'!$D$2, '&gt;&gt;Vistas Consolidadas'!$F$2),I592,0)</f>
        <v>0</v>
      </c>
      <c r="V592" s="18" t="b">
        <f ca="1">AND(C592&gt;='Interes Por Semana'!$C$4, C592&lt;='Interes Por Semana'!$E$4)</f>
        <v>0</v>
      </c>
      <c r="W592" s="18" t="str">
        <f t="shared" si="19"/>
        <v>miércoles</v>
      </c>
    </row>
    <row r="593" spans="2:23" hidden="1" x14ac:dyDescent="0.25">
      <c r="B593" s="337">
        <v>46097</v>
      </c>
      <c r="C593" s="337">
        <v>48102</v>
      </c>
      <c r="D593" s="374" t="s">
        <v>88</v>
      </c>
      <c r="E593" s="309" t="s">
        <v>47</v>
      </c>
      <c r="F593" s="310" t="s">
        <v>121</v>
      </c>
      <c r="G593" s="311">
        <v>9</v>
      </c>
      <c r="H593" s="311">
        <v>10.25</v>
      </c>
      <c r="I593" s="340">
        <v>192.29</v>
      </c>
      <c r="J593" s="340">
        <v>965</v>
      </c>
      <c r="K593" s="311"/>
      <c r="L593" s="340">
        <f>J593</f>
        <v>965</v>
      </c>
      <c r="M593" s="311"/>
      <c r="N593" s="311"/>
      <c r="O593" s="311"/>
      <c r="P593" s="311"/>
      <c r="Q593" s="311"/>
      <c r="R593" s="392"/>
      <c r="S593" s="358">
        <f ca="1">IF(C593&lt;=EOMONTH('&gt;&gt;Vistas Consolidadas'!$D$2, '&gt;&gt;Vistas Consolidadas'!$F$2),J593+I593,J593)</f>
        <v>965</v>
      </c>
      <c r="T593" s="18" t="str">
        <f ca="1">IF(C593&gt;='&gt;&gt;Vistas Consolidadas'!$D$2,"SI","NO")</f>
        <v>SI</v>
      </c>
      <c r="U593" s="358">
        <f ca="1">IF(C593&lt;=EOMONTH('&gt;&gt;Vistas Consolidadas'!$D$2, '&gt;&gt;Vistas Consolidadas'!$F$2),I593,0)</f>
        <v>0</v>
      </c>
      <c r="V593" s="18" t="b">
        <f ca="1">AND(C593&gt;='Interes Por Semana'!$C$4, C593&lt;='Interes Por Semana'!$E$4)</f>
        <v>0</v>
      </c>
      <c r="W593" s="18" t="str">
        <f t="shared" si="19"/>
        <v>jueves</v>
      </c>
    </row>
    <row r="594" spans="2:23" hidden="1" x14ac:dyDescent="0.25">
      <c r="B594" s="337">
        <v>46105</v>
      </c>
      <c r="C594" s="337">
        <v>48102</v>
      </c>
      <c r="D594" s="374" t="s">
        <v>88</v>
      </c>
      <c r="E594" s="309" t="s">
        <v>47</v>
      </c>
      <c r="F594" s="310" t="s">
        <v>121</v>
      </c>
      <c r="G594" s="311">
        <v>9</v>
      </c>
      <c r="H594" s="311">
        <v>10.25</v>
      </c>
      <c r="I594" s="340">
        <v>31.76</v>
      </c>
      <c r="J594" s="340">
        <v>159.4</v>
      </c>
      <c r="K594" s="311"/>
      <c r="L594" s="340">
        <f t="shared" ref="L594:L657" si="20">I594</f>
        <v>31.76</v>
      </c>
      <c r="M594" s="311"/>
      <c r="N594" s="311"/>
      <c r="O594" s="311"/>
      <c r="P594" s="311"/>
      <c r="Q594" s="311"/>
      <c r="R594" s="392"/>
      <c r="S594" s="358">
        <f ca="1">IF(C594&lt;=EOMONTH('&gt;&gt;Vistas Consolidadas'!$D$2, '&gt;&gt;Vistas Consolidadas'!$F$2),J594+I594,J594)</f>
        <v>159.4</v>
      </c>
      <c r="T594" s="18" t="str">
        <f ca="1">IF(C594&gt;='&gt;&gt;Vistas Consolidadas'!$D$2,"SI","NO")</f>
        <v>SI</v>
      </c>
      <c r="U594" s="358">
        <f ca="1">IF(C594&lt;=EOMONTH('&gt;&gt;Vistas Consolidadas'!$D$2, '&gt;&gt;Vistas Consolidadas'!$F$2),I594,0)</f>
        <v>0</v>
      </c>
      <c r="V594" s="18" t="b">
        <f ca="1">AND(C594&gt;='Interes Por Semana'!$C$4, C594&lt;='Interes Por Semana'!$E$4)</f>
        <v>0</v>
      </c>
      <c r="W594" s="18" t="str">
        <f t="shared" si="19"/>
        <v>jueves</v>
      </c>
    </row>
    <row r="595" spans="2:23" hidden="1" x14ac:dyDescent="0.25">
      <c r="B595" s="337">
        <v>46097</v>
      </c>
      <c r="C595" s="337">
        <v>48193</v>
      </c>
      <c r="D595" s="374" t="s">
        <v>88</v>
      </c>
      <c r="E595" s="309" t="s">
        <v>47</v>
      </c>
      <c r="F595" s="310" t="s">
        <v>121</v>
      </c>
      <c r="G595" s="311">
        <v>9</v>
      </c>
      <c r="H595" s="311">
        <v>10.25</v>
      </c>
      <c r="I595" s="340">
        <v>169.8</v>
      </c>
      <c r="J595" s="340">
        <v>965</v>
      </c>
      <c r="K595" s="311"/>
      <c r="L595" s="340">
        <f t="shared" si="20"/>
        <v>169.8</v>
      </c>
      <c r="M595" s="311"/>
      <c r="N595" s="311"/>
      <c r="O595" s="311"/>
      <c r="P595" s="311"/>
      <c r="Q595" s="311"/>
      <c r="R595" s="392"/>
      <c r="S595" s="358">
        <f ca="1">IF(C595&lt;=EOMONTH('&gt;&gt;Vistas Consolidadas'!$D$2, '&gt;&gt;Vistas Consolidadas'!$F$2),J595+I595,J595)</f>
        <v>965</v>
      </c>
      <c r="T595" s="18" t="str">
        <f ca="1">IF(C595&gt;='&gt;&gt;Vistas Consolidadas'!$D$2,"SI","NO")</f>
        <v>SI</v>
      </c>
      <c r="U595" s="358">
        <f ca="1">IF(C595&lt;=EOMONTH('&gt;&gt;Vistas Consolidadas'!$D$2, '&gt;&gt;Vistas Consolidadas'!$F$2),I595,0)</f>
        <v>0</v>
      </c>
      <c r="V595" s="18" t="b">
        <f ca="1">AND(C595&gt;='Interes Por Semana'!$C$4, C595&lt;='Interes Por Semana'!$E$4)</f>
        <v>0</v>
      </c>
      <c r="W595" s="18" t="str">
        <f t="shared" si="19"/>
        <v>jueves</v>
      </c>
    </row>
    <row r="596" spans="2:23" hidden="1" x14ac:dyDescent="0.25">
      <c r="B596" s="337">
        <v>46105</v>
      </c>
      <c r="C596" s="337">
        <v>48193</v>
      </c>
      <c r="D596" s="374" t="s">
        <v>88</v>
      </c>
      <c r="E596" s="309" t="s">
        <v>47</v>
      </c>
      <c r="F596" s="310" t="s">
        <v>121</v>
      </c>
      <c r="G596" s="311">
        <v>9</v>
      </c>
      <c r="H596" s="311">
        <v>10.25</v>
      </c>
      <c r="I596" s="340">
        <v>28.05</v>
      </c>
      <c r="J596" s="340">
        <v>159.4</v>
      </c>
      <c r="K596" s="311"/>
      <c r="L596" s="340">
        <f t="shared" si="20"/>
        <v>28.05</v>
      </c>
      <c r="M596" s="311"/>
      <c r="N596" s="311"/>
      <c r="O596" s="311"/>
      <c r="P596" s="311"/>
      <c r="Q596" s="311"/>
      <c r="R596" s="392"/>
      <c r="S596" s="358">
        <f ca="1">IF(C596&lt;=EOMONTH('&gt;&gt;Vistas Consolidadas'!$D$2, '&gt;&gt;Vistas Consolidadas'!$F$2),J596+I596,J596)</f>
        <v>159.4</v>
      </c>
      <c r="T596" s="18" t="str">
        <f ca="1">IF(C596&gt;='&gt;&gt;Vistas Consolidadas'!$D$2,"SI","NO")</f>
        <v>SI</v>
      </c>
      <c r="U596" s="358">
        <f ca="1">IF(C596&lt;=EOMONTH('&gt;&gt;Vistas Consolidadas'!$D$2, '&gt;&gt;Vistas Consolidadas'!$F$2),I596,0)</f>
        <v>0</v>
      </c>
      <c r="V596" s="18" t="b">
        <f ca="1">AND(C596&gt;='Interes Por Semana'!$C$4, C596&lt;='Interes Por Semana'!$E$4)</f>
        <v>0</v>
      </c>
      <c r="W596" s="18" t="str">
        <f t="shared" si="19"/>
        <v>jueves</v>
      </c>
    </row>
    <row r="597" spans="2:23" hidden="1" x14ac:dyDescent="0.25">
      <c r="B597" s="337">
        <v>46097</v>
      </c>
      <c r="C597" s="337">
        <v>48284</v>
      </c>
      <c r="D597" s="374" t="s">
        <v>88</v>
      </c>
      <c r="E597" s="309" t="s">
        <v>47</v>
      </c>
      <c r="F597" s="310" t="s">
        <v>121</v>
      </c>
      <c r="G597" s="311">
        <v>9</v>
      </c>
      <c r="H597" s="311">
        <v>10.25</v>
      </c>
      <c r="I597" s="340">
        <v>147.31</v>
      </c>
      <c r="J597" s="340">
        <v>965</v>
      </c>
      <c r="K597" s="311"/>
      <c r="L597" s="340">
        <f t="shared" si="20"/>
        <v>147.31</v>
      </c>
      <c r="M597" s="311"/>
      <c r="N597" s="311"/>
      <c r="O597" s="311"/>
      <c r="P597" s="311"/>
      <c r="Q597" s="311"/>
      <c r="R597" s="392"/>
      <c r="S597" s="358">
        <f ca="1">IF(C597&lt;=EOMONTH('&gt;&gt;Vistas Consolidadas'!$D$2, '&gt;&gt;Vistas Consolidadas'!$F$2),J597+I597,J597)</f>
        <v>965</v>
      </c>
      <c r="T597" s="18" t="str">
        <f ca="1">IF(C597&gt;='&gt;&gt;Vistas Consolidadas'!$D$2,"SI","NO")</f>
        <v>SI</v>
      </c>
      <c r="U597" s="358">
        <f ca="1">IF(C597&lt;=EOMONTH('&gt;&gt;Vistas Consolidadas'!$D$2, '&gt;&gt;Vistas Consolidadas'!$F$2),I597,0)</f>
        <v>0</v>
      </c>
      <c r="V597" s="18" t="b">
        <f ca="1">AND(C597&gt;='Interes Por Semana'!$C$4, C597&lt;='Interes Por Semana'!$E$4)</f>
        <v>0</v>
      </c>
      <c r="W597" s="18" t="str">
        <f t="shared" si="19"/>
        <v>jueves</v>
      </c>
    </row>
    <row r="598" spans="2:23" hidden="1" x14ac:dyDescent="0.25">
      <c r="B598" s="337">
        <v>46105</v>
      </c>
      <c r="C598" s="337">
        <v>48284</v>
      </c>
      <c r="D598" s="374" t="s">
        <v>88</v>
      </c>
      <c r="E598" s="309" t="s">
        <v>47</v>
      </c>
      <c r="F598" s="310" t="s">
        <v>121</v>
      </c>
      <c r="G598" s="311">
        <v>9</v>
      </c>
      <c r="H598" s="311">
        <v>10.25</v>
      </c>
      <c r="I598" s="340">
        <v>24.33</v>
      </c>
      <c r="J598" s="340">
        <v>159.4</v>
      </c>
      <c r="K598" s="311"/>
      <c r="L598" s="340">
        <f t="shared" si="20"/>
        <v>24.33</v>
      </c>
      <c r="M598" s="311"/>
      <c r="N598" s="311"/>
      <c r="O598" s="311"/>
      <c r="P598" s="311"/>
      <c r="Q598" s="311"/>
      <c r="R598" s="392"/>
      <c r="S598" s="358">
        <f ca="1">IF(C598&lt;=EOMONTH('&gt;&gt;Vistas Consolidadas'!$D$2, '&gt;&gt;Vistas Consolidadas'!$F$2),J598+I598,J598)</f>
        <v>159.4</v>
      </c>
      <c r="T598" s="18" t="str">
        <f ca="1">IF(C598&gt;='&gt;&gt;Vistas Consolidadas'!$D$2,"SI","NO")</f>
        <v>SI</v>
      </c>
      <c r="U598" s="358">
        <f ca="1">IF(C598&lt;=EOMONTH('&gt;&gt;Vistas Consolidadas'!$D$2, '&gt;&gt;Vistas Consolidadas'!$F$2),I598,0)</f>
        <v>0</v>
      </c>
      <c r="V598" s="18" t="b">
        <f ca="1">AND(C598&gt;='Interes Por Semana'!$C$4, C598&lt;='Interes Por Semana'!$E$4)</f>
        <v>0</v>
      </c>
      <c r="W598" s="18" t="str">
        <f t="shared" si="19"/>
        <v>jueves</v>
      </c>
    </row>
    <row r="599" spans="2:23" hidden="1" x14ac:dyDescent="0.25">
      <c r="B599" s="337">
        <v>46097</v>
      </c>
      <c r="C599" s="337">
        <v>48376</v>
      </c>
      <c r="D599" s="374" t="s">
        <v>88</v>
      </c>
      <c r="E599" s="309" t="s">
        <v>47</v>
      </c>
      <c r="F599" s="310" t="s">
        <v>121</v>
      </c>
      <c r="G599" s="311">
        <v>9</v>
      </c>
      <c r="H599" s="311">
        <v>10.25</v>
      </c>
      <c r="I599" s="340">
        <v>124.82</v>
      </c>
      <c r="J599" s="340">
        <v>965</v>
      </c>
      <c r="K599" s="311"/>
      <c r="L599" s="340">
        <f t="shared" si="20"/>
        <v>124.82</v>
      </c>
      <c r="M599" s="311"/>
      <c r="N599" s="311"/>
      <c r="O599" s="311"/>
      <c r="P599" s="311"/>
      <c r="Q599" s="311"/>
      <c r="R599" s="392"/>
      <c r="S599" s="358">
        <f ca="1">IF(C599&lt;=EOMONTH('&gt;&gt;Vistas Consolidadas'!$D$2, '&gt;&gt;Vistas Consolidadas'!$F$2),J599+I599,J599)</f>
        <v>965</v>
      </c>
      <c r="T599" s="18" t="str">
        <f ca="1">IF(C599&gt;='&gt;&gt;Vistas Consolidadas'!$D$2,"SI","NO")</f>
        <v>SI</v>
      </c>
      <c r="U599" s="358">
        <f ca="1">IF(C599&lt;=EOMONTH('&gt;&gt;Vistas Consolidadas'!$D$2, '&gt;&gt;Vistas Consolidadas'!$F$2),I599,0)</f>
        <v>0</v>
      </c>
      <c r="V599" s="18" t="b">
        <f ca="1">AND(C599&gt;='Interes Por Semana'!$C$4, C599&lt;='Interes Por Semana'!$E$4)</f>
        <v>0</v>
      </c>
      <c r="W599" s="18" t="str">
        <f t="shared" si="19"/>
        <v>viernes</v>
      </c>
    </row>
    <row r="600" spans="2:23" hidden="1" x14ac:dyDescent="0.25">
      <c r="B600" s="337">
        <v>46105</v>
      </c>
      <c r="C600" s="337">
        <v>48376</v>
      </c>
      <c r="D600" s="374" t="s">
        <v>88</v>
      </c>
      <c r="E600" s="309" t="s">
        <v>47</v>
      </c>
      <c r="F600" s="310" t="s">
        <v>121</v>
      </c>
      <c r="G600" s="311">
        <v>9</v>
      </c>
      <c r="H600" s="311">
        <v>10.25</v>
      </c>
      <c r="I600" s="340">
        <v>20.62</v>
      </c>
      <c r="J600" s="340">
        <v>159.4</v>
      </c>
      <c r="K600" s="311"/>
      <c r="L600" s="340">
        <f t="shared" si="20"/>
        <v>20.62</v>
      </c>
      <c r="M600" s="311"/>
      <c r="N600" s="311"/>
      <c r="O600" s="311"/>
      <c r="P600" s="311"/>
      <c r="Q600" s="311"/>
      <c r="R600" s="392"/>
      <c r="S600" s="358">
        <f ca="1">IF(C600&lt;=EOMONTH('&gt;&gt;Vistas Consolidadas'!$D$2, '&gt;&gt;Vistas Consolidadas'!$F$2),J600+I600,J600)</f>
        <v>159.4</v>
      </c>
      <c r="T600" s="18" t="str">
        <f ca="1">IF(C600&gt;='&gt;&gt;Vistas Consolidadas'!$D$2,"SI","NO")</f>
        <v>SI</v>
      </c>
      <c r="U600" s="358">
        <f ca="1">IF(C600&lt;=EOMONTH('&gt;&gt;Vistas Consolidadas'!$D$2, '&gt;&gt;Vistas Consolidadas'!$F$2),I600,0)</f>
        <v>0</v>
      </c>
      <c r="V600" s="18" t="b">
        <f ca="1">AND(C600&gt;='Interes Por Semana'!$C$4, C600&lt;='Interes Por Semana'!$E$4)</f>
        <v>0</v>
      </c>
      <c r="W600" s="18" t="str">
        <f t="shared" si="19"/>
        <v>viernes</v>
      </c>
    </row>
    <row r="601" spans="2:23" hidden="1" x14ac:dyDescent="0.25">
      <c r="B601" s="337">
        <v>46097</v>
      </c>
      <c r="C601" s="337">
        <v>48468</v>
      </c>
      <c r="D601" s="374" t="s">
        <v>88</v>
      </c>
      <c r="E601" s="309" t="s">
        <v>47</v>
      </c>
      <c r="F601" s="310" t="s">
        <v>121</v>
      </c>
      <c r="G601" s="311">
        <v>9</v>
      </c>
      <c r="H601" s="311">
        <v>10.25</v>
      </c>
      <c r="I601" s="340">
        <v>102.33</v>
      </c>
      <c r="J601" s="340">
        <v>965</v>
      </c>
      <c r="K601" s="311"/>
      <c r="L601" s="340">
        <f t="shared" si="20"/>
        <v>102.33</v>
      </c>
      <c r="M601" s="311"/>
      <c r="N601" s="311"/>
      <c r="O601" s="311"/>
      <c r="P601" s="311"/>
      <c r="Q601" s="311"/>
      <c r="R601" s="392"/>
      <c r="S601" s="358">
        <f ca="1">IF(C601&lt;=EOMONTH('&gt;&gt;Vistas Consolidadas'!$D$2, '&gt;&gt;Vistas Consolidadas'!$F$2),J601+I601,J601)</f>
        <v>965</v>
      </c>
      <c r="T601" s="18" t="str">
        <f ca="1">IF(C601&gt;='&gt;&gt;Vistas Consolidadas'!$D$2,"SI","NO")</f>
        <v>SI</v>
      </c>
      <c r="U601" s="358">
        <f ca="1">IF(C601&lt;=EOMONTH('&gt;&gt;Vistas Consolidadas'!$D$2, '&gt;&gt;Vistas Consolidadas'!$F$2),I601,0)</f>
        <v>0</v>
      </c>
      <c r="V601" s="18" t="b">
        <f ca="1">AND(C601&gt;='Interes Por Semana'!$C$4, C601&lt;='Interes Por Semana'!$E$4)</f>
        <v>0</v>
      </c>
      <c r="W601" s="18" t="str">
        <f t="shared" si="19"/>
        <v>sábado</v>
      </c>
    </row>
    <row r="602" spans="2:23" hidden="1" x14ac:dyDescent="0.25">
      <c r="B602" s="337">
        <v>46105</v>
      </c>
      <c r="C602" s="337">
        <v>48468</v>
      </c>
      <c r="D602" s="374" t="s">
        <v>88</v>
      </c>
      <c r="E602" s="309" t="s">
        <v>47</v>
      </c>
      <c r="F602" s="310" t="s">
        <v>121</v>
      </c>
      <c r="G602" s="311">
        <v>9</v>
      </c>
      <c r="H602" s="311">
        <v>10.25</v>
      </c>
      <c r="I602" s="340">
        <v>16.899999999999999</v>
      </c>
      <c r="J602" s="340">
        <v>159.4</v>
      </c>
      <c r="K602" s="311"/>
      <c r="L602" s="340">
        <f t="shared" si="20"/>
        <v>16.899999999999999</v>
      </c>
      <c r="M602" s="311"/>
      <c r="N602" s="311"/>
      <c r="O602" s="311"/>
      <c r="P602" s="311"/>
      <c r="Q602" s="311"/>
      <c r="R602" s="392"/>
      <c r="S602" s="358">
        <f ca="1">IF(C602&lt;=EOMONTH('&gt;&gt;Vistas Consolidadas'!$D$2, '&gt;&gt;Vistas Consolidadas'!$F$2),J602+I602,J602)</f>
        <v>159.4</v>
      </c>
      <c r="T602" s="18" t="str">
        <f ca="1">IF(C602&gt;='&gt;&gt;Vistas Consolidadas'!$D$2,"SI","NO")</f>
        <v>SI</v>
      </c>
      <c r="U602" s="358">
        <f ca="1">IF(C602&lt;=EOMONTH('&gt;&gt;Vistas Consolidadas'!$D$2, '&gt;&gt;Vistas Consolidadas'!$F$2),I602,0)</f>
        <v>0</v>
      </c>
      <c r="V602" s="18" t="b">
        <f ca="1">AND(C602&gt;='Interes Por Semana'!$C$4, C602&lt;='Interes Por Semana'!$E$4)</f>
        <v>0</v>
      </c>
      <c r="W602" s="18" t="str">
        <f t="shared" si="19"/>
        <v>sábado</v>
      </c>
    </row>
    <row r="603" spans="2:23" hidden="1" x14ac:dyDescent="0.25">
      <c r="B603" s="337">
        <v>46097</v>
      </c>
      <c r="C603" s="337">
        <v>48559</v>
      </c>
      <c r="D603" s="374" t="s">
        <v>88</v>
      </c>
      <c r="E603" s="309" t="s">
        <v>47</v>
      </c>
      <c r="F603" s="310" t="s">
        <v>121</v>
      </c>
      <c r="G603" s="311">
        <v>9</v>
      </c>
      <c r="H603" s="311">
        <v>10.25</v>
      </c>
      <c r="I603" s="340">
        <v>79.83</v>
      </c>
      <c r="J603" s="340">
        <v>965</v>
      </c>
      <c r="K603" s="311"/>
      <c r="L603" s="340">
        <f t="shared" si="20"/>
        <v>79.83</v>
      </c>
      <c r="M603" s="311"/>
      <c r="N603" s="311"/>
      <c r="O603" s="311"/>
      <c r="P603" s="311"/>
      <c r="Q603" s="311"/>
      <c r="R603" s="392"/>
      <c r="S603" s="358">
        <f ca="1">IF(C603&lt;=EOMONTH('&gt;&gt;Vistas Consolidadas'!$D$2, '&gt;&gt;Vistas Consolidadas'!$F$2),J603+I603,J603)</f>
        <v>965</v>
      </c>
      <c r="T603" s="18" t="str">
        <f ca="1">IF(C603&gt;='&gt;&gt;Vistas Consolidadas'!$D$2,"SI","NO")</f>
        <v>SI</v>
      </c>
      <c r="U603" s="358">
        <f ca="1">IF(C603&lt;=EOMONTH('&gt;&gt;Vistas Consolidadas'!$D$2, '&gt;&gt;Vistas Consolidadas'!$F$2),I603,0)</f>
        <v>0</v>
      </c>
      <c r="V603" s="18" t="b">
        <f ca="1">AND(C603&gt;='Interes Por Semana'!$C$4, C603&lt;='Interes Por Semana'!$E$4)</f>
        <v>0</v>
      </c>
      <c r="W603" s="18" t="str">
        <f t="shared" si="19"/>
        <v>sábado</v>
      </c>
    </row>
    <row r="604" spans="2:23" hidden="1" x14ac:dyDescent="0.25">
      <c r="B604" s="337">
        <v>46105</v>
      </c>
      <c r="C604" s="337">
        <v>48559</v>
      </c>
      <c r="D604" s="374" t="s">
        <v>88</v>
      </c>
      <c r="E604" s="309" t="s">
        <v>47</v>
      </c>
      <c r="F604" s="310" t="s">
        <v>121</v>
      </c>
      <c r="G604" s="311">
        <v>9</v>
      </c>
      <c r="H604" s="311">
        <v>10.25</v>
      </c>
      <c r="I604" s="340">
        <v>13.19</v>
      </c>
      <c r="J604" s="340">
        <v>159.4</v>
      </c>
      <c r="K604" s="311"/>
      <c r="L604" s="340">
        <f t="shared" si="20"/>
        <v>13.19</v>
      </c>
      <c r="M604" s="311"/>
      <c r="N604" s="311"/>
      <c r="O604" s="311"/>
      <c r="P604" s="311"/>
      <c r="Q604" s="311"/>
      <c r="R604" s="392"/>
      <c r="S604" s="358">
        <f ca="1">IF(C604&lt;=EOMONTH('&gt;&gt;Vistas Consolidadas'!$D$2, '&gt;&gt;Vistas Consolidadas'!$F$2),J604+I604,J604)</f>
        <v>159.4</v>
      </c>
      <c r="T604" s="18" t="str">
        <f ca="1">IF(C604&gt;='&gt;&gt;Vistas Consolidadas'!$D$2,"SI","NO")</f>
        <v>SI</v>
      </c>
      <c r="U604" s="358">
        <f ca="1">IF(C604&lt;=EOMONTH('&gt;&gt;Vistas Consolidadas'!$D$2, '&gt;&gt;Vistas Consolidadas'!$F$2),I604,0)</f>
        <v>0</v>
      </c>
      <c r="V604" s="18" t="b">
        <f ca="1">AND(C604&gt;='Interes Por Semana'!$C$4, C604&lt;='Interes Por Semana'!$E$4)</f>
        <v>0</v>
      </c>
      <c r="W604" s="18" t="str">
        <f t="shared" si="19"/>
        <v>sábado</v>
      </c>
    </row>
    <row r="605" spans="2:23" hidden="1" x14ac:dyDescent="0.25">
      <c r="B605" s="337">
        <v>46097</v>
      </c>
      <c r="C605" s="337">
        <v>48649</v>
      </c>
      <c r="D605" s="374" t="s">
        <v>88</v>
      </c>
      <c r="E605" s="309" t="s">
        <v>47</v>
      </c>
      <c r="F605" s="310" t="s">
        <v>121</v>
      </c>
      <c r="G605" s="311">
        <v>9</v>
      </c>
      <c r="H605" s="311">
        <v>10.25</v>
      </c>
      <c r="I605" s="340">
        <v>68.540000000000006</v>
      </c>
      <c r="J605" s="340">
        <v>965</v>
      </c>
      <c r="K605" s="311"/>
      <c r="L605" s="340">
        <f t="shared" si="20"/>
        <v>68.540000000000006</v>
      </c>
      <c r="M605" s="311"/>
      <c r="N605" s="311"/>
      <c r="O605" s="311"/>
      <c r="P605" s="311"/>
      <c r="Q605" s="311"/>
      <c r="R605" s="392"/>
      <c r="S605" s="358">
        <f ca="1">IF(C605&lt;=EOMONTH('&gt;&gt;Vistas Consolidadas'!$D$2, '&gt;&gt;Vistas Consolidadas'!$F$2),J605+I605,J605)</f>
        <v>965</v>
      </c>
      <c r="T605" s="18" t="str">
        <f ca="1">IF(C605&gt;='&gt;&gt;Vistas Consolidadas'!$D$2,"SI","NO")</f>
        <v>SI</v>
      </c>
      <c r="U605" s="358">
        <f ca="1">IF(C605&lt;=EOMONTH('&gt;&gt;Vistas Consolidadas'!$D$2, '&gt;&gt;Vistas Consolidadas'!$F$2),I605,0)</f>
        <v>0</v>
      </c>
      <c r="V605" s="18" t="b">
        <f ca="1">AND(C605&gt;='Interes Por Semana'!$C$4, C605&lt;='Interes Por Semana'!$E$4)</f>
        <v>0</v>
      </c>
      <c r="W605" s="18" t="str">
        <f t="shared" si="19"/>
        <v>viernes</v>
      </c>
    </row>
    <row r="606" spans="2:23" hidden="1" x14ac:dyDescent="0.25">
      <c r="B606" s="337">
        <v>46105</v>
      </c>
      <c r="C606" s="337">
        <v>48649</v>
      </c>
      <c r="D606" s="374" t="s">
        <v>88</v>
      </c>
      <c r="E606" s="309" t="s">
        <v>47</v>
      </c>
      <c r="F606" s="310" t="s">
        <v>121</v>
      </c>
      <c r="G606" s="311">
        <v>9</v>
      </c>
      <c r="H606" s="311">
        <v>10.25</v>
      </c>
      <c r="I606" s="340">
        <v>11.11</v>
      </c>
      <c r="J606" s="340">
        <v>159.4</v>
      </c>
      <c r="K606" s="311"/>
      <c r="L606" s="340">
        <f t="shared" si="20"/>
        <v>11.11</v>
      </c>
      <c r="M606" s="311"/>
      <c r="N606" s="311"/>
      <c r="O606" s="311"/>
      <c r="P606" s="311"/>
      <c r="Q606" s="311"/>
      <c r="R606" s="392"/>
      <c r="S606" s="358">
        <f ca="1">IF(C606&lt;=EOMONTH('&gt;&gt;Vistas Consolidadas'!$D$2, '&gt;&gt;Vistas Consolidadas'!$F$2),J606+I606,J606)</f>
        <v>159.4</v>
      </c>
      <c r="T606" s="18" t="str">
        <f ca="1">IF(C606&gt;='&gt;&gt;Vistas Consolidadas'!$D$2,"SI","NO")</f>
        <v>SI</v>
      </c>
      <c r="U606" s="358">
        <f ca="1">IF(C606&lt;=EOMONTH('&gt;&gt;Vistas Consolidadas'!$D$2, '&gt;&gt;Vistas Consolidadas'!$F$2),I606,0)</f>
        <v>0</v>
      </c>
      <c r="V606" s="18" t="b">
        <f ca="1">AND(C606&gt;='Interes Por Semana'!$C$4, C606&lt;='Interes Por Semana'!$E$4)</f>
        <v>0</v>
      </c>
      <c r="W606" s="18" t="str">
        <f t="shared" si="19"/>
        <v>viernes</v>
      </c>
    </row>
    <row r="607" spans="2:23" hidden="1" x14ac:dyDescent="0.25">
      <c r="B607" s="337">
        <v>46122</v>
      </c>
      <c r="C607" s="337">
        <v>46130</v>
      </c>
      <c r="D607" s="374" t="s">
        <v>78</v>
      </c>
      <c r="E607" s="309" t="s">
        <v>47</v>
      </c>
      <c r="F607" s="310" t="s">
        <v>102</v>
      </c>
      <c r="G607" s="311">
        <v>6.21</v>
      </c>
      <c r="H607" s="311">
        <v>9.5</v>
      </c>
      <c r="I607" s="340">
        <v>62.89</v>
      </c>
      <c r="J607" s="340">
        <v>172.97</v>
      </c>
      <c r="K607" s="311"/>
      <c r="L607" s="340">
        <f t="shared" si="20"/>
        <v>62.89</v>
      </c>
      <c r="M607" s="311"/>
      <c r="N607" s="311"/>
      <c r="O607" s="311"/>
      <c r="P607" s="311"/>
      <c r="Q607" s="311"/>
      <c r="R607" s="392"/>
      <c r="S607" s="358">
        <f ca="1">IF(C607&lt;=EOMONTH('&gt;&gt;Vistas Consolidadas'!$D$2, '&gt;&gt;Vistas Consolidadas'!$F$2),J607+I607,J607)</f>
        <v>235.86</v>
      </c>
      <c r="T607" s="18" t="str">
        <f ca="1">IF(C607&gt;='&gt;&gt;Vistas Consolidadas'!$D$2,"SI","NO")</f>
        <v>NO</v>
      </c>
      <c r="U607" s="358">
        <f ca="1">IF(C607&lt;=EOMONTH('&gt;&gt;Vistas Consolidadas'!$D$2, '&gt;&gt;Vistas Consolidadas'!$F$2),I607,0)</f>
        <v>62.89</v>
      </c>
      <c r="V607" s="18" t="b">
        <f ca="1">AND(C607&gt;='Interes Por Semana'!$C$4, C607&lt;='Interes Por Semana'!$E$4)</f>
        <v>0</v>
      </c>
      <c r="W607" s="18" t="str">
        <f t="shared" si="19"/>
        <v>sábado</v>
      </c>
    </row>
    <row r="608" spans="2:23" hidden="1" x14ac:dyDescent="0.25">
      <c r="B608" s="337">
        <v>46122</v>
      </c>
      <c r="C608" s="337">
        <v>46130</v>
      </c>
      <c r="D608" s="374" t="s">
        <v>78</v>
      </c>
      <c r="E608" s="309" t="s">
        <v>46</v>
      </c>
      <c r="F608" s="310" t="s">
        <v>102</v>
      </c>
      <c r="G608" s="311">
        <v>6.21</v>
      </c>
      <c r="H608" s="311">
        <v>9.4499999999999993</v>
      </c>
      <c r="I608" s="340">
        <v>73</v>
      </c>
      <c r="J608" s="340">
        <v>368.29</v>
      </c>
      <c r="K608" s="311"/>
      <c r="L608" s="340">
        <f t="shared" si="20"/>
        <v>73</v>
      </c>
      <c r="M608" s="311"/>
      <c r="N608" s="311"/>
      <c r="O608" s="311"/>
      <c r="P608" s="311"/>
      <c r="Q608" s="311"/>
      <c r="R608" s="392"/>
      <c r="S608" s="358">
        <f ca="1">IF(C608&lt;=EOMONTH('&gt;&gt;Vistas Consolidadas'!$D$2, '&gt;&gt;Vistas Consolidadas'!$F$2),J608+I608,J608)</f>
        <v>441.29</v>
      </c>
      <c r="T608" s="18" t="str">
        <f ca="1">IF(C608&gt;='&gt;&gt;Vistas Consolidadas'!$D$2,"SI","NO")</f>
        <v>NO</v>
      </c>
      <c r="U608" s="358">
        <f ca="1">IF(C608&lt;=EOMONTH('&gt;&gt;Vistas Consolidadas'!$D$2, '&gt;&gt;Vistas Consolidadas'!$F$2),I608,0)</f>
        <v>73</v>
      </c>
      <c r="V608" s="18" t="b">
        <f ca="1">AND(C608&gt;='Interes Por Semana'!$C$4, C608&lt;='Interes Por Semana'!$E$4)</f>
        <v>0</v>
      </c>
      <c r="W608" s="18" t="str">
        <f t="shared" si="19"/>
        <v>sábado</v>
      </c>
    </row>
    <row r="609" spans="2:23" hidden="1" x14ac:dyDescent="0.25">
      <c r="B609" s="338">
        <v>46123</v>
      </c>
      <c r="C609" s="338">
        <v>49309</v>
      </c>
      <c r="D609" s="374" t="s">
        <v>96</v>
      </c>
      <c r="E609" s="314" t="s">
        <v>47</v>
      </c>
      <c r="F609" s="315" t="s">
        <v>127</v>
      </c>
      <c r="G609" s="313">
        <v>1</v>
      </c>
      <c r="H609" s="313">
        <v>1</v>
      </c>
      <c r="I609" s="341">
        <v>0</v>
      </c>
      <c r="J609" s="341">
        <v>170</v>
      </c>
      <c r="K609" s="313"/>
      <c r="L609" s="340">
        <f t="shared" si="20"/>
        <v>0</v>
      </c>
      <c r="M609" s="313"/>
      <c r="N609" s="313"/>
      <c r="O609" s="313"/>
      <c r="P609" s="313"/>
      <c r="Q609" s="311"/>
      <c r="R609" s="392"/>
      <c r="S609" s="358">
        <f ca="1">IF(C609&lt;=EOMONTH('&gt;&gt;Vistas Consolidadas'!$D$2, '&gt;&gt;Vistas Consolidadas'!$F$2),J609+I609,J609)</f>
        <v>170</v>
      </c>
      <c r="T609" s="18" t="str">
        <f ca="1">IF(C609&gt;='&gt;&gt;Vistas Consolidadas'!$D$2,"SI","NO")</f>
        <v>SI</v>
      </c>
      <c r="U609" s="358">
        <f ca="1">IF(C609&lt;=EOMONTH('&gt;&gt;Vistas Consolidadas'!$D$2, '&gt;&gt;Vistas Consolidadas'!$F$2),I609,0)</f>
        <v>0</v>
      </c>
      <c r="V609" s="18" t="b">
        <f ca="1">AND(C609&gt;='Interes Por Semana'!$C$4, C609&lt;='Interes Por Semana'!$E$4)</f>
        <v>0</v>
      </c>
      <c r="W609" s="18" t="str">
        <f t="shared" si="19"/>
        <v>domingo</v>
      </c>
    </row>
    <row r="610" spans="2:23" hidden="1" x14ac:dyDescent="0.25">
      <c r="B610" s="338">
        <v>46123</v>
      </c>
      <c r="C610" s="338">
        <v>49309</v>
      </c>
      <c r="D610" s="374" t="s">
        <v>96</v>
      </c>
      <c r="E610" s="314" t="s">
        <v>46</v>
      </c>
      <c r="F610" s="315" t="s">
        <v>127</v>
      </c>
      <c r="G610" s="313">
        <v>1</v>
      </c>
      <c r="H610" s="313">
        <v>1</v>
      </c>
      <c r="I610" s="341">
        <v>0</v>
      </c>
      <c r="J610" s="341">
        <v>170</v>
      </c>
      <c r="K610" s="313"/>
      <c r="L610" s="340">
        <f t="shared" si="20"/>
        <v>0</v>
      </c>
      <c r="M610" s="313"/>
      <c r="N610" s="313"/>
      <c r="O610" s="313"/>
      <c r="P610" s="313"/>
      <c r="Q610" s="311"/>
      <c r="R610" s="392"/>
      <c r="S610" s="358">
        <f ca="1">IF(C610&lt;=EOMONTH('&gt;&gt;Vistas Consolidadas'!$D$2, '&gt;&gt;Vistas Consolidadas'!$F$2),J610+I610,J610)</f>
        <v>170</v>
      </c>
      <c r="T610" s="18" t="str">
        <f ca="1">IF(C610&gt;='&gt;&gt;Vistas Consolidadas'!$D$2,"SI","NO")</f>
        <v>SI</v>
      </c>
      <c r="U610" s="358">
        <f ca="1">IF(C610&lt;=EOMONTH('&gt;&gt;Vistas Consolidadas'!$D$2, '&gt;&gt;Vistas Consolidadas'!$F$2),I610,0)</f>
        <v>0</v>
      </c>
      <c r="V610" s="18" t="b">
        <f ca="1">AND(C610&gt;='Interes Por Semana'!$C$4, C610&lt;='Interes Por Semana'!$E$4)</f>
        <v>0</v>
      </c>
      <c r="W610" s="18" t="str">
        <f t="shared" si="19"/>
        <v>domingo</v>
      </c>
    </row>
    <row r="611" spans="2:23" hidden="1" x14ac:dyDescent="0.25">
      <c r="B611" s="338">
        <v>46123</v>
      </c>
      <c r="C611" s="338">
        <v>49309</v>
      </c>
      <c r="D611" s="374" t="s">
        <v>96</v>
      </c>
      <c r="E611" s="314" t="s">
        <v>47</v>
      </c>
      <c r="F611" s="315" t="s">
        <v>128</v>
      </c>
      <c r="G611" s="313">
        <v>1</v>
      </c>
      <c r="H611" s="313">
        <v>1</v>
      </c>
      <c r="I611" s="341">
        <v>0</v>
      </c>
      <c r="J611" s="341">
        <f>7536.75-2840.3-1243.5</f>
        <v>3452.95</v>
      </c>
      <c r="K611" s="313"/>
      <c r="L611" s="340">
        <f t="shared" si="20"/>
        <v>0</v>
      </c>
      <c r="M611" s="313"/>
      <c r="N611" s="313"/>
      <c r="O611" s="313"/>
      <c r="P611" s="313"/>
      <c r="Q611" s="311"/>
      <c r="R611" s="392"/>
      <c r="S611" s="358">
        <f ca="1">IF(C611&lt;=EOMONTH('&gt;&gt;Vistas Consolidadas'!$D$2, '&gt;&gt;Vistas Consolidadas'!$F$2),J611+I611,J611)</f>
        <v>3452.95</v>
      </c>
      <c r="T611" s="18" t="str">
        <f ca="1">IF(C611&gt;='&gt;&gt;Vistas Consolidadas'!$D$2,"SI","NO")</f>
        <v>SI</v>
      </c>
      <c r="U611" s="358">
        <f ca="1">IF(C611&lt;=EOMONTH('&gt;&gt;Vistas Consolidadas'!$D$2, '&gt;&gt;Vistas Consolidadas'!$F$2),I611,0)</f>
        <v>0</v>
      </c>
      <c r="V611" s="18" t="b">
        <f ca="1">AND(C611&gt;='Interes Por Semana'!$C$4, C611&lt;='Interes Por Semana'!$E$4)</f>
        <v>0</v>
      </c>
      <c r="W611" s="18" t="str">
        <f t="shared" si="19"/>
        <v>domingo</v>
      </c>
    </row>
    <row r="612" spans="2:23" hidden="1" x14ac:dyDescent="0.25">
      <c r="B612" s="338">
        <v>46123</v>
      </c>
      <c r="C612" s="338">
        <v>49309</v>
      </c>
      <c r="D612" s="373" t="s">
        <v>129</v>
      </c>
      <c r="E612" s="314" t="s">
        <v>47</v>
      </c>
      <c r="F612" s="315" t="s">
        <v>130</v>
      </c>
      <c r="G612" s="313">
        <v>1</v>
      </c>
      <c r="H612" s="313">
        <v>1</v>
      </c>
      <c r="I612" s="341">
        <v>0</v>
      </c>
      <c r="J612" s="341">
        <v>20900.48</v>
      </c>
      <c r="K612" s="313"/>
      <c r="L612" s="340">
        <f t="shared" si="20"/>
        <v>0</v>
      </c>
      <c r="M612" s="313"/>
      <c r="N612" s="313"/>
      <c r="O612" s="313"/>
      <c r="P612" s="313"/>
      <c r="Q612" s="311"/>
      <c r="R612" s="392"/>
      <c r="S612" s="358">
        <f ca="1">IF(C612&lt;=EOMONTH('&gt;&gt;Vistas Consolidadas'!$D$2, '&gt;&gt;Vistas Consolidadas'!$F$2),J612+I612,J612)</f>
        <v>20900.48</v>
      </c>
      <c r="T612" s="18" t="str">
        <f ca="1">IF(C612&gt;='&gt;&gt;Vistas Consolidadas'!$D$2,"SI","NO")</f>
        <v>SI</v>
      </c>
      <c r="U612" s="358">
        <f ca="1">IF(C612&lt;=EOMONTH('&gt;&gt;Vistas Consolidadas'!$D$2, '&gt;&gt;Vistas Consolidadas'!$F$2),I612,0)</f>
        <v>0</v>
      </c>
      <c r="V612" s="18" t="b">
        <f ca="1">AND(C612&gt;='Interes Por Semana'!$C$4, C612&lt;='Interes Por Semana'!$E$4)</f>
        <v>0</v>
      </c>
      <c r="W612" s="18" t="str">
        <f t="shared" si="19"/>
        <v>domingo</v>
      </c>
    </row>
    <row r="613" spans="2:23" hidden="1" x14ac:dyDescent="0.25">
      <c r="B613" s="338">
        <v>46123</v>
      </c>
      <c r="C613" s="338">
        <v>49309</v>
      </c>
      <c r="D613" s="373" t="s">
        <v>129</v>
      </c>
      <c r="E613" s="314" t="s">
        <v>46</v>
      </c>
      <c r="F613" s="315" t="s">
        <v>130</v>
      </c>
      <c r="G613" s="313">
        <v>1</v>
      </c>
      <c r="H613" s="313">
        <v>1</v>
      </c>
      <c r="I613" s="341">
        <v>0</v>
      </c>
      <c r="J613" s="341">
        <v>12046.8</v>
      </c>
      <c r="K613" s="313"/>
      <c r="L613" s="340">
        <f t="shared" si="20"/>
        <v>0</v>
      </c>
      <c r="M613" s="313"/>
      <c r="N613" s="313"/>
      <c r="O613" s="313"/>
      <c r="P613" s="313"/>
      <c r="Q613" s="311"/>
      <c r="R613" s="392"/>
      <c r="S613" s="358">
        <f ca="1">IF(C613&lt;=EOMONTH('&gt;&gt;Vistas Consolidadas'!$D$2, '&gt;&gt;Vistas Consolidadas'!$F$2),J613+I613,J613)</f>
        <v>12046.8</v>
      </c>
      <c r="T613" s="18" t="str">
        <f ca="1">IF(C613&gt;='&gt;&gt;Vistas Consolidadas'!$D$2,"SI","NO")</f>
        <v>SI</v>
      </c>
      <c r="U613" s="358">
        <f ca="1">IF(C613&lt;=EOMONTH('&gt;&gt;Vistas Consolidadas'!$D$2, '&gt;&gt;Vistas Consolidadas'!$F$2),I613,0)</f>
        <v>0</v>
      </c>
      <c r="V613" s="18" t="b">
        <f ca="1">AND(C613&gt;='Interes Por Semana'!$C$4, C613&lt;='Interes Por Semana'!$E$4)</f>
        <v>0</v>
      </c>
      <c r="W613" s="18" t="str">
        <f t="shared" si="19"/>
        <v>domingo</v>
      </c>
    </row>
    <row r="614" spans="2:23" hidden="1" x14ac:dyDescent="0.25">
      <c r="B614" s="338">
        <v>46123</v>
      </c>
      <c r="C614" s="338">
        <v>49309</v>
      </c>
      <c r="D614" s="374" t="s">
        <v>96</v>
      </c>
      <c r="E614" s="314" t="s">
        <v>46</v>
      </c>
      <c r="F614" s="315" t="s">
        <v>131</v>
      </c>
      <c r="G614" s="313">
        <v>1</v>
      </c>
      <c r="H614" s="313">
        <v>1</v>
      </c>
      <c r="I614" s="341">
        <v>0</v>
      </c>
      <c r="J614" s="341">
        <v>319.58999999999997</v>
      </c>
      <c r="K614" s="313"/>
      <c r="L614" s="340">
        <f t="shared" si="20"/>
        <v>0</v>
      </c>
      <c r="M614" s="313"/>
      <c r="N614" s="313"/>
      <c r="O614" s="313"/>
      <c r="P614" s="313"/>
      <c r="Q614" s="311"/>
      <c r="R614" s="392"/>
      <c r="S614" s="358">
        <f ca="1">IF(C614&lt;=EOMONTH('&gt;&gt;Vistas Consolidadas'!$D$2, '&gt;&gt;Vistas Consolidadas'!$F$2),J614+I614,J614)</f>
        <v>319.58999999999997</v>
      </c>
      <c r="T614" s="18" t="str">
        <f ca="1">IF(C614&gt;='&gt;&gt;Vistas Consolidadas'!$D$2,"SI","NO")</f>
        <v>SI</v>
      </c>
      <c r="U614" s="358">
        <f ca="1">IF(C614&lt;=EOMONTH('&gt;&gt;Vistas Consolidadas'!$D$2, '&gt;&gt;Vistas Consolidadas'!$F$2),I614,0)</f>
        <v>0</v>
      </c>
      <c r="V614" s="18" t="b">
        <f ca="1">AND(C614&gt;='Interes Por Semana'!$C$4, C614&lt;='Interes Por Semana'!$E$4)</f>
        <v>0</v>
      </c>
      <c r="W614" s="18" t="str">
        <f t="shared" si="19"/>
        <v>domingo</v>
      </c>
    </row>
    <row r="615" spans="2:23" hidden="1" x14ac:dyDescent="0.25">
      <c r="B615" s="338">
        <v>46123</v>
      </c>
      <c r="C615" s="338">
        <v>49309</v>
      </c>
      <c r="D615" s="374" t="s">
        <v>96</v>
      </c>
      <c r="E615" s="314" t="s">
        <v>47</v>
      </c>
      <c r="F615" s="315" t="s">
        <v>131</v>
      </c>
      <c r="G615" s="313">
        <v>1</v>
      </c>
      <c r="H615" s="313">
        <v>1</v>
      </c>
      <c r="I615" s="341">
        <v>0</v>
      </c>
      <c r="J615" s="341">
        <v>4801.6000000000004</v>
      </c>
      <c r="K615" s="313"/>
      <c r="L615" s="340">
        <f t="shared" si="20"/>
        <v>0</v>
      </c>
      <c r="M615" s="313"/>
      <c r="N615" s="313"/>
      <c r="O615" s="313"/>
      <c r="P615" s="313"/>
      <c r="Q615" s="311"/>
      <c r="R615" s="392"/>
      <c r="S615" s="358">
        <f ca="1">IF(C615&lt;=EOMONTH('&gt;&gt;Vistas Consolidadas'!$D$2, '&gt;&gt;Vistas Consolidadas'!$F$2),J615+I615,J615)</f>
        <v>4801.6000000000004</v>
      </c>
      <c r="T615" s="18" t="str">
        <f ca="1">IF(C615&gt;='&gt;&gt;Vistas Consolidadas'!$D$2,"SI","NO")</f>
        <v>SI</v>
      </c>
      <c r="U615" s="358">
        <f ca="1">IF(C615&lt;=EOMONTH('&gt;&gt;Vistas Consolidadas'!$D$2, '&gt;&gt;Vistas Consolidadas'!$F$2),I615,0)</f>
        <v>0</v>
      </c>
      <c r="V615" s="18" t="b">
        <f ca="1">AND(C615&gt;='Interes Por Semana'!$C$4, C615&lt;='Interes Por Semana'!$E$4)</f>
        <v>0</v>
      </c>
      <c r="W615" s="18" t="str">
        <f t="shared" si="19"/>
        <v>domingo</v>
      </c>
    </row>
    <row r="616" spans="2:23" x14ac:dyDescent="0.25">
      <c r="B616" s="338">
        <v>46123</v>
      </c>
      <c r="C616" s="338">
        <v>49309</v>
      </c>
      <c r="D616" s="374" t="s">
        <v>96</v>
      </c>
      <c r="E616" s="314" t="s">
        <v>47</v>
      </c>
      <c r="F616" s="315" t="s">
        <v>132</v>
      </c>
      <c r="G616" s="313">
        <v>1</v>
      </c>
      <c r="H616" s="313">
        <v>1</v>
      </c>
      <c r="I616" s="341">
        <v>0</v>
      </c>
      <c r="J616" s="341">
        <v>1630</v>
      </c>
      <c r="K616" s="313"/>
      <c r="L616" s="340">
        <f t="shared" si="20"/>
        <v>0</v>
      </c>
      <c r="M616" s="313"/>
      <c r="N616" s="313"/>
      <c r="O616" s="313"/>
      <c r="P616" s="313"/>
      <c r="Q616" s="311"/>
      <c r="R616" s="392" t="s">
        <v>133</v>
      </c>
      <c r="S616" s="358">
        <f ca="1">IF(C616&lt;=EOMONTH('&gt;&gt;Vistas Consolidadas'!$D$2, '&gt;&gt;Vistas Consolidadas'!$F$2),J616+I616,J616)</f>
        <v>1630</v>
      </c>
      <c r="T616" s="18" t="str">
        <f ca="1">IF(C616&gt;='&gt;&gt;Vistas Consolidadas'!$D$2,"SI","NO")</f>
        <v>SI</v>
      </c>
      <c r="U616" s="358">
        <f ca="1">IF(C616&lt;=EOMONTH('&gt;&gt;Vistas Consolidadas'!$D$2, '&gt;&gt;Vistas Consolidadas'!$F$2),I616,0)</f>
        <v>0</v>
      </c>
      <c r="V616" s="18" t="b">
        <f ca="1">AND(C616&gt;='Interes Por Semana'!$C$4, C616&lt;='Interes Por Semana'!$E$4)</f>
        <v>0</v>
      </c>
      <c r="W616" s="18" t="str">
        <f t="shared" si="19"/>
        <v>domingo</v>
      </c>
    </row>
    <row r="617" spans="2:23" hidden="1" x14ac:dyDescent="0.25">
      <c r="B617" s="338">
        <v>46123</v>
      </c>
      <c r="C617" s="338">
        <v>49309</v>
      </c>
      <c r="D617" s="374" t="s">
        <v>96</v>
      </c>
      <c r="E617" s="314" t="s">
        <v>46</v>
      </c>
      <c r="F617" s="315" t="s">
        <v>134</v>
      </c>
      <c r="G617" s="313">
        <v>1</v>
      </c>
      <c r="H617" s="313">
        <v>1</v>
      </c>
      <c r="I617" s="341">
        <v>0</v>
      </c>
      <c r="J617" s="341">
        <v>2252.84</v>
      </c>
      <c r="K617" s="313"/>
      <c r="L617" s="340">
        <f t="shared" si="20"/>
        <v>0</v>
      </c>
      <c r="M617" s="313"/>
      <c r="N617" s="313"/>
      <c r="O617" s="313"/>
      <c r="P617" s="313"/>
      <c r="Q617" s="311"/>
      <c r="R617" s="392"/>
      <c r="S617" s="358">
        <f ca="1">IF(C617&lt;=EOMONTH('&gt;&gt;Vistas Consolidadas'!$D$2, '&gt;&gt;Vistas Consolidadas'!$F$2),J617+I617,J617)</f>
        <v>2252.84</v>
      </c>
      <c r="T617" s="18" t="str">
        <f ca="1">IF(C617&gt;='&gt;&gt;Vistas Consolidadas'!$D$2,"SI","NO")</f>
        <v>SI</v>
      </c>
      <c r="U617" s="358">
        <f ca="1">IF(C617&lt;=EOMONTH('&gt;&gt;Vistas Consolidadas'!$D$2, '&gt;&gt;Vistas Consolidadas'!$F$2),I617,0)</f>
        <v>0</v>
      </c>
      <c r="V617" s="18" t="b">
        <f ca="1">AND(C617&gt;='Interes Por Semana'!$C$4, C617&lt;='Interes Por Semana'!$E$4)</f>
        <v>0</v>
      </c>
      <c r="W617" s="18" t="str">
        <f t="shared" si="19"/>
        <v>domingo</v>
      </c>
    </row>
    <row r="618" spans="2:23" hidden="1" x14ac:dyDescent="0.25">
      <c r="B618" s="338">
        <v>46125</v>
      </c>
      <c r="C618" s="338">
        <v>46154</v>
      </c>
      <c r="D618" s="374" t="s">
        <v>78</v>
      </c>
      <c r="E618" s="314" t="s">
        <v>46</v>
      </c>
      <c r="F618" s="315" t="s">
        <v>135</v>
      </c>
      <c r="G618" s="313">
        <v>5.07</v>
      </c>
      <c r="H618" s="313">
        <v>8.6999999999999993</v>
      </c>
      <c r="I618" s="341">
        <v>65.349999999999994</v>
      </c>
      <c r="J618" s="341">
        <v>2.25</v>
      </c>
      <c r="K618" s="313"/>
      <c r="L618" s="340">
        <f t="shared" si="20"/>
        <v>65.349999999999994</v>
      </c>
      <c r="M618" s="313"/>
      <c r="N618" s="313"/>
      <c r="O618" s="313"/>
      <c r="P618" s="313"/>
      <c r="Q618" s="311"/>
      <c r="R618" s="392"/>
      <c r="S618" s="358">
        <f ca="1">IF(C618&lt;=EOMONTH('&gt;&gt;Vistas Consolidadas'!$D$2, '&gt;&gt;Vistas Consolidadas'!$F$2),J618+I618,J618)</f>
        <v>67.599999999999994</v>
      </c>
      <c r="T618" s="18" t="str">
        <f ca="1">IF(C618&gt;='&gt;&gt;Vistas Consolidadas'!$D$2,"SI","NO")</f>
        <v>NO</v>
      </c>
      <c r="U618" s="358">
        <f ca="1">IF(C618&lt;=EOMONTH('&gt;&gt;Vistas Consolidadas'!$D$2, '&gt;&gt;Vistas Consolidadas'!$F$2),I618,0)</f>
        <v>65.349999999999994</v>
      </c>
      <c r="V618" s="18" t="b">
        <f ca="1">AND(C618&gt;='Interes Por Semana'!$C$4, C618&lt;='Interes Por Semana'!$E$4)</f>
        <v>0</v>
      </c>
      <c r="W618" s="18" t="str">
        <f t="shared" si="19"/>
        <v>martes</v>
      </c>
    </row>
    <row r="619" spans="2:23" hidden="1" x14ac:dyDescent="0.25">
      <c r="B619" s="338">
        <v>46127</v>
      </c>
      <c r="C619" s="338">
        <v>49309</v>
      </c>
      <c r="D619" s="374" t="s">
        <v>96</v>
      </c>
      <c r="E619" s="314" t="s">
        <v>47</v>
      </c>
      <c r="F619" s="315" t="s">
        <v>136</v>
      </c>
      <c r="G619" s="313">
        <v>1</v>
      </c>
      <c r="H619" s="313">
        <v>1</v>
      </c>
      <c r="I619" s="341">
        <v>0</v>
      </c>
      <c r="J619" s="341">
        <v>7466.8</v>
      </c>
      <c r="K619" s="313"/>
      <c r="L619" s="341">
        <f t="shared" si="20"/>
        <v>0</v>
      </c>
      <c r="M619" s="313"/>
      <c r="N619" s="313"/>
      <c r="O619" s="313"/>
      <c r="P619" s="313"/>
      <c r="Q619" s="311"/>
      <c r="R619" s="392"/>
      <c r="S619" s="358">
        <f ca="1">IF(C619&lt;=EOMONTH('&gt;&gt;Vistas Consolidadas'!$D$2, '&gt;&gt;Vistas Consolidadas'!$F$2),J619+I619,J619)</f>
        <v>7466.8</v>
      </c>
      <c r="T619" s="18" t="str">
        <f ca="1">IF(C619&gt;='&gt;&gt;Vistas Consolidadas'!$D$2,"SI","NO")</f>
        <v>SI</v>
      </c>
      <c r="U619" s="358">
        <f ca="1">IF(C619&lt;=EOMONTH('&gt;&gt;Vistas Consolidadas'!$D$2, '&gt;&gt;Vistas Consolidadas'!$F$2),I619,0)</f>
        <v>0</v>
      </c>
      <c r="V619" s="18" t="b">
        <f ca="1">AND(C619&gt;='Interes Por Semana'!$C$4, C619&lt;='Interes Por Semana'!$E$4)</f>
        <v>0</v>
      </c>
      <c r="W619" s="18" t="str">
        <f t="shared" si="19"/>
        <v>domingo</v>
      </c>
    </row>
    <row r="620" spans="2:23" hidden="1" x14ac:dyDescent="0.25">
      <c r="B620" s="338">
        <v>46129</v>
      </c>
      <c r="C620" s="338">
        <v>46486</v>
      </c>
      <c r="D620" s="374" t="s">
        <v>123</v>
      </c>
      <c r="E620" s="314" t="s">
        <v>47</v>
      </c>
      <c r="F620" s="315" t="s">
        <v>137</v>
      </c>
      <c r="G620" s="313">
        <v>1</v>
      </c>
      <c r="H620" s="313">
        <v>1</v>
      </c>
      <c r="I620" s="341">
        <v>3134.54</v>
      </c>
      <c r="J620" s="341">
        <v>0</v>
      </c>
      <c r="K620" s="313"/>
      <c r="L620" s="341">
        <f t="shared" si="20"/>
        <v>3134.54</v>
      </c>
      <c r="M620" s="313"/>
      <c r="N620" s="313"/>
      <c r="O620" s="313"/>
      <c r="P620" s="313"/>
      <c r="Q620" s="311"/>
      <c r="R620" s="392"/>
      <c r="S620" s="358">
        <f ca="1">IF(C620&lt;=EOMONTH('&gt;&gt;Vistas Consolidadas'!$D$2, '&gt;&gt;Vistas Consolidadas'!$F$2),J620+I620,J620)</f>
        <v>3134.54</v>
      </c>
      <c r="T620" s="18" t="str">
        <f ca="1">IF(C620&gt;='&gt;&gt;Vistas Consolidadas'!$D$2,"SI","NO")</f>
        <v>SI</v>
      </c>
      <c r="U620" s="358">
        <f ca="1">IF(C620&lt;=EOMONTH('&gt;&gt;Vistas Consolidadas'!$D$2, '&gt;&gt;Vistas Consolidadas'!$F$2),I620,0)</f>
        <v>3134.54</v>
      </c>
      <c r="V620" s="18" t="b">
        <f ca="1">AND(C620&gt;='Interes Por Semana'!$C$4, C620&lt;='Interes Por Semana'!$E$4)</f>
        <v>0</v>
      </c>
      <c r="W620" s="18" t="str">
        <f t="shared" si="19"/>
        <v>viernes</v>
      </c>
    </row>
    <row r="621" spans="2:23" hidden="1" x14ac:dyDescent="0.25">
      <c r="B621" s="338">
        <v>46129</v>
      </c>
      <c r="C621" s="338">
        <v>46486</v>
      </c>
      <c r="D621" s="374" t="s">
        <v>123</v>
      </c>
      <c r="E621" s="314" t="s">
        <v>46</v>
      </c>
      <c r="F621" s="315" t="s">
        <v>137</v>
      </c>
      <c r="G621" s="313">
        <v>1</v>
      </c>
      <c r="H621" s="313">
        <v>1</v>
      </c>
      <c r="I621" s="341">
        <v>642</v>
      </c>
      <c r="J621" s="341">
        <v>0</v>
      </c>
      <c r="K621" s="313"/>
      <c r="L621" s="341">
        <f t="shared" si="20"/>
        <v>642</v>
      </c>
      <c r="M621" s="313"/>
      <c r="N621" s="313"/>
      <c r="O621" s="313"/>
      <c r="P621" s="313"/>
      <c r="Q621" s="311"/>
      <c r="R621" s="392"/>
      <c r="S621" s="358">
        <f ca="1">IF(C621&lt;=EOMONTH('&gt;&gt;Vistas Consolidadas'!$D$2, '&gt;&gt;Vistas Consolidadas'!$F$2),J621+I621,J621)</f>
        <v>642</v>
      </c>
      <c r="T621" s="18" t="str">
        <f ca="1">IF(C621&gt;='&gt;&gt;Vistas Consolidadas'!$D$2,"SI","NO")</f>
        <v>SI</v>
      </c>
      <c r="U621" s="358">
        <f ca="1">IF(C621&lt;=EOMONTH('&gt;&gt;Vistas Consolidadas'!$D$2, '&gt;&gt;Vistas Consolidadas'!$F$2),I621,0)</f>
        <v>642</v>
      </c>
      <c r="V621" s="18" t="b">
        <f ca="1">AND(C621&gt;='Interes Por Semana'!$C$4, C621&lt;='Interes Por Semana'!$E$4)</f>
        <v>0</v>
      </c>
      <c r="W621" s="18" t="str">
        <f t="shared" si="19"/>
        <v>viernes</v>
      </c>
    </row>
    <row r="622" spans="2:23" hidden="1" x14ac:dyDescent="0.25">
      <c r="B622" s="338">
        <v>46129</v>
      </c>
      <c r="C622" s="338">
        <v>46486</v>
      </c>
      <c r="D622" s="374" t="s">
        <v>123</v>
      </c>
      <c r="E622" s="314" t="s">
        <v>48</v>
      </c>
      <c r="F622" s="315" t="s">
        <v>137</v>
      </c>
      <c r="G622" s="313">
        <v>1</v>
      </c>
      <c r="H622" s="313">
        <v>1</v>
      </c>
      <c r="I622" s="341">
        <v>526.44999999999982</v>
      </c>
      <c r="J622" s="341">
        <v>0</v>
      </c>
      <c r="K622" s="313"/>
      <c r="L622" s="341">
        <f t="shared" si="20"/>
        <v>526.44999999999982</v>
      </c>
      <c r="M622" s="313"/>
      <c r="N622" s="313"/>
      <c r="O622" s="313"/>
      <c r="P622" s="313"/>
      <c r="Q622" s="311"/>
      <c r="R622" s="392"/>
      <c r="S622" s="358">
        <f ca="1">IF(C622&lt;=EOMONTH('&gt;&gt;Vistas Consolidadas'!$D$2, '&gt;&gt;Vistas Consolidadas'!$F$2),J622+I622,J622)</f>
        <v>526.44999999999982</v>
      </c>
      <c r="T622" s="18" t="str">
        <f ca="1">IF(C622&gt;='&gt;&gt;Vistas Consolidadas'!$D$2,"SI","NO")</f>
        <v>SI</v>
      </c>
      <c r="U622" s="358">
        <f ca="1">IF(C622&lt;=EOMONTH('&gt;&gt;Vistas Consolidadas'!$D$2, '&gt;&gt;Vistas Consolidadas'!$F$2),I622,0)</f>
        <v>526.44999999999982</v>
      </c>
      <c r="V622" s="18" t="b">
        <f ca="1">AND(C622&gt;='Interes Por Semana'!$C$4, C622&lt;='Interes Por Semana'!$E$4)</f>
        <v>0</v>
      </c>
      <c r="W622" s="18" t="str">
        <f t="shared" si="19"/>
        <v>viernes</v>
      </c>
    </row>
    <row r="623" spans="2:23" hidden="1" x14ac:dyDescent="0.25">
      <c r="B623" s="338">
        <v>46129</v>
      </c>
      <c r="C623" s="338">
        <v>46486</v>
      </c>
      <c r="D623" s="374" t="s">
        <v>123</v>
      </c>
      <c r="E623" s="314" t="s">
        <v>48</v>
      </c>
      <c r="F623" s="315" t="s">
        <v>137</v>
      </c>
      <c r="G623" s="313">
        <v>1</v>
      </c>
      <c r="H623" s="313">
        <v>1</v>
      </c>
      <c r="I623" s="341">
        <v>1142.700000000001</v>
      </c>
      <c r="J623" s="341">
        <v>0</v>
      </c>
      <c r="K623" s="313"/>
      <c r="L623" s="341">
        <f t="shared" si="20"/>
        <v>1142.700000000001</v>
      </c>
      <c r="M623" s="313"/>
      <c r="N623" s="313"/>
      <c r="O623" s="313"/>
      <c r="P623" s="313"/>
      <c r="Q623" s="311"/>
      <c r="R623" s="392"/>
      <c r="S623" s="358">
        <f ca="1">IF(C623&lt;=EOMONTH('&gt;&gt;Vistas Consolidadas'!$D$2, '&gt;&gt;Vistas Consolidadas'!$F$2),J623+I623,J623)</f>
        <v>1142.700000000001</v>
      </c>
      <c r="T623" s="18" t="str">
        <f ca="1">IF(C623&gt;='&gt;&gt;Vistas Consolidadas'!$D$2,"SI","NO")</f>
        <v>SI</v>
      </c>
      <c r="U623" s="358">
        <f ca="1">IF(C623&lt;=EOMONTH('&gt;&gt;Vistas Consolidadas'!$D$2, '&gt;&gt;Vistas Consolidadas'!$F$2),I623,0)</f>
        <v>1142.700000000001</v>
      </c>
      <c r="V623" s="18" t="b">
        <f ca="1">AND(C623&gt;='Interes Por Semana'!$C$4, C623&lt;='Interes Por Semana'!$E$4)</f>
        <v>0</v>
      </c>
      <c r="W623" s="18" t="str">
        <f t="shared" si="19"/>
        <v>viernes</v>
      </c>
    </row>
    <row r="624" spans="2:23" hidden="1" x14ac:dyDescent="0.25">
      <c r="B624" s="338">
        <v>46134</v>
      </c>
      <c r="C624" s="338">
        <v>46493</v>
      </c>
      <c r="D624" s="374" t="s">
        <v>123</v>
      </c>
      <c r="E624" s="314" t="s">
        <v>138</v>
      </c>
      <c r="F624" s="315" t="s">
        <v>139</v>
      </c>
      <c r="G624" s="313">
        <v>1</v>
      </c>
      <c r="H624" s="313">
        <v>1</v>
      </c>
      <c r="I624" s="341">
        <v>2100</v>
      </c>
      <c r="J624" s="341">
        <v>0</v>
      </c>
      <c r="K624" s="313"/>
      <c r="L624" s="341">
        <f t="shared" si="20"/>
        <v>2100</v>
      </c>
      <c r="M624" s="313"/>
      <c r="N624" s="313"/>
      <c r="O624" s="313"/>
      <c r="P624" s="313"/>
      <c r="Q624" s="311"/>
      <c r="R624" s="392"/>
      <c r="S624" s="358">
        <f ca="1">IF(C624&lt;=EOMONTH('&gt;&gt;Vistas Consolidadas'!$D$2, '&gt;&gt;Vistas Consolidadas'!$F$2),J624+I624,J624)</f>
        <v>2100</v>
      </c>
      <c r="T624" s="18" t="str">
        <f ca="1">IF(C624&gt;='&gt;&gt;Vistas Consolidadas'!$D$2,"SI","NO")</f>
        <v>SI</v>
      </c>
      <c r="U624" s="358">
        <f ca="1">IF(C624&lt;=EOMONTH('&gt;&gt;Vistas Consolidadas'!$D$2, '&gt;&gt;Vistas Consolidadas'!$F$2),I624,0)</f>
        <v>2100</v>
      </c>
      <c r="V624" s="18" t="b">
        <f ca="1">AND(C624&gt;='Interes Por Semana'!$C$4, C624&lt;='Interes Por Semana'!$E$4)</f>
        <v>0</v>
      </c>
      <c r="W624" s="18" t="str">
        <f t="shared" si="19"/>
        <v>viernes</v>
      </c>
    </row>
    <row r="625" spans="2:23" hidden="1" x14ac:dyDescent="0.25">
      <c r="B625" s="338">
        <v>46139</v>
      </c>
      <c r="C625" s="338">
        <v>46486</v>
      </c>
      <c r="D625" s="374" t="s">
        <v>123</v>
      </c>
      <c r="E625" s="314" t="s">
        <v>47</v>
      </c>
      <c r="F625" s="315" t="s">
        <v>137</v>
      </c>
      <c r="G625" s="313">
        <v>1</v>
      </c>
      <c r="H625" s="313">
        <v>1</v>
      </c>
      <c r="I625" s="341">
        <v>982.64372000000003</v>
      </c>
      <c r="J625" s="341">
        <v>0</v>
      </c>
      <c r="K625" s="313"/>
      <c r="L625" s="341">
        <f t="shared" si="20"/>
        <v>982.64372000000003</v>
      </c>
      <c r="M625" s="313"/>
      <c r="N625" s="313"/>
      <c r="O625" s="313"/>
      <c r="P625" s="313"/>
      <c r="Q625" s="311"/>
      <c r="R625" s="392">
        <v>366433</v>
      </c>
      <c r="S625" s="358">
        <f ca="1">IF(C625&lt;=EOMONTH('&gt;&gt;Vistas Consolidadas'!$D$2, '&gt;&gt;Vistas Consolidadas'!$F$2),J625+I625,J625)</f>
        <v>982.64372000000003</v>
      </c>
      <c r="T625" s="18" t="str">
        <f ca="1">IF(C625&gt;='&gt;&gt;Vistas Consolidadas'!$D$2,"SI","NO")</f>
        <v>SI</v>
      </c>
      <c r="U625" s="358">
        <f ca="1">IF(C625&lt;=EOMONTH('&gt;&gt;Vistas Consolidadas'!$D$2, '&gt;&gt;Vistas Consolidadas'!$F$2),I625,0)</f>
        <v>982.64372000000003</v>
      </c>
      <c r="V625" s="18" t="b">
        <f ca="1">AND(C625&gt;='Interes Por Semana'!$C$4, C625&lt;='Interes Por Semana'!$E$4)</f>
        <v>0</v>
      </c>
      <c r="W625" s="18" t="str">
        <f t="shared" si="19"/>
        <v>viernes</v>
      </c>
    </row>
    <row r="626" spans="2:23" hidden="1" x14ac:dyDescent="0.25">
      <c r="B626" s="338">
        <v>46139</v>
      </c>
      <c r="C626" s="338">
        <v>46486</v>
      </c>
      <c r="D626" s="374" t="s">
        <v>123</v>
      </c>
      <c r="E626" s="314" t="s">
        <v>46</v>
      </c>
      <c r="F626" s="315" t="s">
        <v>137</v>
      </c>
      <c r="G626" s="313">
        <v>1</v>
      </c>
      <c r="H626" s="313">
        <v>1</v>
      </c>
      <c r="I626" s="341">
        <v>7843.71</v>
      </c>
      <c r="J626" s="341">
        <v>0</v>
      </c>
      <c r="K626" s="313"/>
      <c r="L626" s="341">
        <f t="shared" si="20"/>
        <v>7843.71</v>
      </c>
      <c r="M626" s="313"/>
      <c r="N626" s="313"/>
      <c r="O626" s="313"/>
      <c r="P626" s="313"/>
      <c r="Q626" s="311"/>
      <c r="R626" s="392"/>
      <c r="S626" s="358">
        <f ca="1">IF(C626&lt;=EOMONTH('&gt;&gt;Vistas Consolidadas'!$D$2, '&gt;&gt;Vistas Consolidadas'!$F$2),J626+I626,J626)</f>
        <v>7843.71</v>
      </c>
      <c r="T626" s="18" t="str">
        <f ca="1">IF(C626&gt;='&gt;&gt;Vistas Consolidadas'!$D$2,"SI","NO")</f>
        <v>SI</v>
      </c>
      <c r="U626" s="358">
        <f ca="1">IF(C626&lt;=EOMONTH('&gt;&gt;Vistas Consolidadas'!$D$2, '&gt;&gt;Vistas Consolidadas'!$F$2),I626,0)</f>
        <v>7843.71</v>
      </c>
      <c r="V626" s="18" t="b">
        <f ca="1">AND(C626&gt;='Interes Por Semana'!$C$4, C626&lt;='Interes Por Semana'!$E$4)</f>
        <v>0</v>
      </c>
      <c r="W626" s="18" t="str">
        <f t="shared" si="19"/>
        <v>viernes</v>
      </c>
    </row>
    <row r="627" spans="2:23" hidden="1" x14ac:dyDescent="0.25">
      <c r="B627" s="338">
        <v>46140</v>
      </c>
      <c r="C627" s="338">
        <v>49309</v>
      </c>
      <c r="D627" s="374" t="s">
        <v>96</v>
      </c>
      <c r="E627" s="314" t="s">
        <v>47</v>
      </c>
      <c r="F627" s="315" t="s">
        <v>140</v>
      </c>
      <c r="G627" s="313">
        <v>1</v>
      </c>
      <c r="H627" s="313">
        <v>1</v>
      </c>
      <c r="I627" s="341">
        <v>0</v>
      </c>
      <c r="J627" s="341">
        <v>3700.56</v>
      </c>
      <c r="K627" s="313"/>
      <c r="L627" s="341">
        <f t="shared" si="20"/>
        <v>0</v>
      </c>
      <c r="M627" s="313"/>
      <c r="N627" s="313"/>
      <c r="O627" s="313"/>
      <c r="P627" s="313"/>
      <c r="Q627" s="311"/>
      <c r="R627" s="392" t="s">
        <v>141</v>
      </c>
      <c r="S627" s="358">
        <f ca="1">IF(C627&lt;=EOMONTH('&gt;&gt;Vistas Consolidadas'!$D$2, '&gt;&gt;Vistas Consolidadas'!$F$2),J627+I627,J627)</f>
        <v>3700.56</v>
      </c>
      <c r="T627" s="18" t="str">
        <f ca="1">IF(C627&gt;='&gt;&gt;Vistas Consolidadas'!$D$2,"SI","NO")</f>
        <v>SI</v>
      </c>
      <c r="U627" s="358">
        <f ca="1">IF(C627&lt;=EOMONTH('&gt;&gt;Vistas Consolidadas'!$D$2, '&gt;&gt;Vistas Consolidadas'!$F$2),I627,0)</f>
        <v>0</v>
      </c>
      <c r="V627" s="18" t="b">
        <f ca="1">AND(C627&gt;='Interes Por Semana'!$C$4, C627&lt;='Interes Por Semana'!$E$4)</f>
        <v>0</v>
      </c>
      <c r="W627" s="18" t="str">
        <f t="shared" si="19"/>
        <v>domingo</v>
      </c>
    </row>
    <row r="628" spans="2:23" hidden="1" x14ac:dyDescent="0.25">
      <c r="B628" s="338">
        <v>46139</v>
      </c>
      <c r="C628" s="338">
        <v>46486</v>
      </c>
      <c r="D628" s="374" t="s">
        <v>123</v>
      </c>
      <c r="E628" s="314" t="s">
        <v>46</v>
      </c>
      <c r="F628" s="315" t="s">
        <v>137</v>
      </c>
      <c r="G628" s="313">
        <v>1</v>
      </c>
      <c r="H628" s="313">
        <v>1</v>
      </c>
      <c r="I628" s="341">
        <v>471.35000000000042</v>
      </c>
      <c r="J628" s="341">
        <v>0</v>
      </c>
      <c r="K628" s="313"/>
      <c r="L628" s="341">
        <f t="shared" si="20"/>
        <v>471.35000000000042</v>
      </c>
      <c r="M628" s="313"/>
      <c r="N628" s="313"/>
      <c r="O628" s="313"/>
      <c r="P628" s="313"/>
      <c r="Q628" s="311"/>
      <c r="R628" s="392"/>
      <c r="S628" s="358">
        <f ca="1">IF(C628&lt;=EOMONTH('&gt;&gt;Vistas Consolidadas'!$D$2, '&gt;&gt;Vistas Consolidadas'!$F$2),J628+I628,J628)</f>
        <v>471.35000000000042</v>
      </c>
      <c r="T628" s="18" t="str">
        <f ca="1">IF(C628&gt;='&gt;&gt;Vistas Consolidadas'!$D$2,"SI","NO")</f>
        <v>SI</v>
      </c>
      <c r="U628" s="358">
        <f ca="1">IF(C628&lt;=EOMONTH('&gt;&gt;Vistas Consolidadas'!$D$2, '&gt;&gt;Vistas Consolidadas'!$F$2),I628,0)</f>
        <v>471.35000000000042</v>
      </c>
      <c r="V628" s="18" t="b">
        <f ca="1">AND(C628&gt;='Interes Por Semana'!$C$4, C628&lt;='Interes Por Semana'!$E$4)</f>
        <v>0</v>
      </c>
      <c r="W628" s="18" t="str">
        <f t="shared" si="19"/>
        <v>viernes</v>
      </c>
    </row>
    <row r="629" spans="2:23" hidden="1" x14ac:dyDescent="0.25">
      <c r="B629" s="338">
        <v>46141</v>
      </c>
      <c r="C629" s="338">
        <v>46167</v>
      </c>
      <c r="D629" s="374" t="s">
        <v>78</v>
      </c>
      <c r="E629" s="314" t="s">
        <v>47</v>
      </c>
      <c r="F629" s="315" t="s">
        <v>142</v>
      </c>
      <c r="G629" s="313">
        <v>6.21</v>
      </c>
      <c r="H629" s="313">
        <v>8.9</v>
      </c>
      <c r="I629" s="341">
        <v>161.91</v>
      </c>
      <c r="J629" s="341">
        <v>24.91</v>
      </c>
      <c r="K629" s="313"/>
      <c r="L629" s="341">
        <f t="shared" si="20"/>
        <v>161.91</v>
      </c>
      <c r="M629" s="313"/>
      <c r="N629" s="313"/>
      <c r="O629" s="313"/>
      <c r="P629" s="313"/>
      <c r="Q629" s="311"/>
      <c r="R629" s="392"/>
      <c r="S629" s="358">
        <f ca="1">IF(C629&lt;=EOMONTH('&gt;&gt;Vistas Consolidadas'!$D$2, '&gt;&gt;Vistas Consolidadas'!$F$2),J629+I629,J629)</f>
        <v>186.82</v>
      </c>
      <c r="T629" s="18" t="str">
        <f ca="1">IF(C629&gt;='&gt;&gt;Vistas Consolidadas'!$D$2,"SI","NO")</f>
        <v>NO</v>
      </c>
      <c r="U629" s="358">
        <f ca="1">IF(C629&lt;=EOMONTH('&gt;&gt;Vistas Consolidadas'!$D$2, '&gt;&gt;Vistas Consolidadas'!$F$2),I629,0)</f>
        <v>161.91</v>
      </c>
      <c r="V629" s="18" t="b">
        <f ca="1">AND(C629&gt;='Interes Por Semana'!$C$4, C629&lt;='Interes Por Semana'!$E$4)</f>
        <v>0</v>
      </c>
      <c r="W629" s="18" t="str">
        <f t="shared" si="19"/>
        <v>lunes</v>
      </c>
    </row>
    <row r="630" spans="2:23" hidden="1" x14ac:dyDescent="0.25">
      <c r="B630" s="338">
        <v>46141</v>
      </c>
      <c r="C630" s="338">
        <v>46198</v>
      </c>
      <c r="D630" s="374" t="s">
        <v>78</v>
      </c>
      <c r="E630" s="314" t="s">
        <v>47</v>
      </c>
      <c r="F630" s="315" t="s">
        <v>143</v>
      </c>
      <c r="G630" s="313">
        <v>6.21</v>
      </c>
      <c r="H630" s="313">
        <v>8.9</v>
      </c>
      <c r="I630" s="341">
        <v>186.82</v>
      </c>
      <c r="J630" s="341">
        <v>0</v>
      </c>
      <c r="K630" s="313"/>
      <c r="L630" s="341">
        <f t="shared" si="20"/>
        <v>186.82</v>
      </c>
      <c r="M630" s="313"/>
      <c r="N630" s="313"/>
      <c r="O630" s="313"/>
      <c r="P630" s="313"/>
      <c r="Q630" s="311"/>
      <c r="R630" s="392"/>
      <c r="S630" s="358">
        <f ca="1">IF(C630&lt;=EOMONTH('&gt;&gt;Vistas Consolidadas'!$D$2, '&gt;&gt;Vistas Consolidadas'!$F$2),J630+I630,J630)</f>
        <v>186.82</v>
      </c>
      <c r="T630" s="18" t="str">
        <f ca="1">IF(C630&gt;='&gt;&gt;Vistas Consolidadas'!$D$2,"SI","NO")</f>
        <v>NO</v>
      </c>
      <c r="U630" s="358">
        <f ca="1">IF(C630&lt;=EOMONTH('&gt;&gt;Vistas Consolidadas'!$D$2, '&gt;&gt;Vistas Consolidadas'!$F$2),I630,0)</f>
        <v>186.82</v>
      </c>
      <c r="V630" s="18" t="b">
        <f ca="1">AND(C630&gt;='Interes Por Semana'!$C$4, C630&lt;='Interes Por Semana'!$E$4)</f>
        <v>0</v>
      </c>
      <c r="W630" s="18" t="str">
        <f t="shared" si="19"/>
        <v>jueves</v>
      </c>
    </row>
    <row r="631" spans="2:23" hidden="1" x14ac:dyDescent="0.25">
      <c r="B631" s="338">
        <v>46141</v>
      </c>
      <c r="C631" s="338">
        <v>46228</v>
      </c>
      <c r="D631" s="374" t="s">
        <v>78</v>
      </c>
      <c r="E631" s="314" t="s">
        <v>47</v>
      </c>
      <c r="F631" s="315" t="s">
        <v>144</v>
      </c>
      <c r="G631" s="313">
        <v>6.21</v>
      </c>
      <c r="H631" s="313">
        <v>8.9</v>
      </c>
      <c r="I631" s="341">
        <v>186.82</v>
      </c>
      <c r="J631" s="341">
        <v>0</v>
      </c>
      <c r="K631" s="313"/>
      <c r="L631" s="341">
        <f t="shared" si="20"/>
        <v>186.82</v>
      </c>
      <c r="M631" s="313"/>
      <c r="N631" s="313"/>
      <c r="O631" s="313"/>
      <c r="P631" s="313"/>
      <c r="Q631" s="311"/>
      <c r="R631" s="392"/>
      <c r="S631" s="358">
        <f ca="1">IF(C631&lt;=EOMONTH('&gt;&gt;Vistas Consolidadas'!$D$2, '&gt;&gt;Vistas Consolidadas'!$F$2),J631+I631,J631)</f>
        <v>186.82</v>
      </c>
      <c r="T631" s="18" t="str">
        <f ca="1">IF(C631&gt;='&gt;&gt;Vistas Consolidadas'!$D$2,"SI","NO")</f>
        <v>NO</v>
      </c>
      <c r="U631" s="358">
        <f ca="1">IF(C631&lt;=EOMONTH('&gt;&gt;Vistas Consolidadas'!$D$2, '&gt;&gt;Vistas Consolidadas'!$F$2),I631,0)</f>
        <v>186.82</v>
      </c>
      <c r="V631" s="18" t="b">
        <f ca="1">AND(C631&gt;='Interes Por Semana'!$C$4, C631&lt;='Interes Por Semana'!$E$4)</f>
        <v>0</v>
      </c>
      <c r="W631" s="18" t="str">
        <f t="shared" si="19"/>
        <v>sábado</v>
      </c>
    </row>
    <row r="632" spans="2:23" hidden="1" x14ac:dyDescent="0.25">
      <c r="B632" s="338">
        <v>46141</v>
      </c>
      <c r="C632" s="338">
        <v>46259</v>
      </c>
      <c r="D632" s="374" t="s">
        <v>78</v>
      </c>
      <c r="E632" s="314" t="s">
        <v>47</v>
      </c>
      <c r="F632" s="315" t="s">
        <v>145</v>
      </c>
      <c r="G632" s="313">
        <v>6.21</v>
      </c>
      <c r="H632" s="313">
        <v>8.9</v>
      </c>
      <c r="I632" s="341">
        <v>186.82</v>
      </c>
      <c r="J632" s="341">
        <v>0</v>
      </c>
      <c r="K632" s="313"/>
      <c r="L632" s="341">
        <f t="shared" si="20"/>
        <v>186.82</v>
      </c>
      <c r="M632" s="313"/>
      <c r="N632" s="313"/>
      <c r="O632" s="313"/>
      <c r="P632" s="313"/>
      <c r="Q632" s="311"/>
      <c r="R632" s="392"/>
      <c r="S632" s="358">
        <f ca="1">IF(C632&lt;=EOMONTH('&gt;&gt;Vistas Consolidadas'!$D$2, '&gt;&gt;Vistas Consolidadas'!$F$2),J632+I632,J632)</f>
        <v>186.82</v>
      </c>
      <c r="T632" s="18" t="str">
        <f ca="1">IF(C632&gt;='&gt;&gt;Vistas Consolidadas'!$D$2,"SI","NO")</f>
        <v>NO</v>
      </c>
      <c r="U632" s="358">
        <f ca="1">IF(C632&lt;=EOMONTH('&gt;&gt;Vistas Consolidadas'!$D$2, '&gt;&gt;Vistas Consolidadas'!$F$2),I632,0)</f>
        <v>186.82</v>
      </c>
      <c r="V632" s="18" t="b">
        <f ca="1">AND(C632&gt;='Interes Por Semana'!$C$4, C632&lt;='Interes Por Semana'!$E$4)</f>
        <v>0</v>
      </c>
      <c r="W632" s="18" t="str">
        <f t="shared" si="19"/>
        <v>martes</v>
      </c>
    </row>
    <row r="633" spans="2:23" hidden="1" x14ac:dyDescent="0.25">
      <c r="B633" s="338">
        <v>46141</v>
      </c>
      <c r="C633" s="338">
        <v>46290</v>
      </c>
      <c r="D633" s="374" t="s">
        <v>78</v>
      </c>
      <c r="E633" s="314" t="s">
        <v>47</v>
      </c>
      <c r="F633" s="315" t="s">
        <v>146</v>
      </c>
      <c r="G633" s="313">
        <v>6.21</v>
      </c>
      <c r="H633" s="313">
        <v>8.9</v>
      </c>
      <c r="I633" s="341">
        <v>186.82</v>
      </c>
      <c r="J633" s="341">
        <v>0</v>
      </c>
      <c r="K633" s="313"/>
      <c r="L633" s="341">
        <f t="shared" si="20"/>
        <v>186.82</v>
      </c>
      <c r="M633" s="313"/>
      <c r="N633" s="313"/>
      <c r="O633" s="313"/>
      <c r="P633" s="313"/>
      <c r="Q633" s="311"/>
      <c r="R633" s="392"/>
      <c r="S633" s="358">
        <f ca="1">IF(C633&lt;=EOMONTH('&gt;&gt;Vistas Consolidadas'!$D$2, '&gt;&gt;Vistas Consolidadas'!$F$2),J633+I633,J633)</f>
        <v>186.82</v>
      </c>
      <c r="T633" s="18" t="str">
        <f ca="1">IF(C633&gt;='&gt;&gt;Vistas Consolidadas'!$D$2,"SI","NO")</f>
        <v>NO</v>
      </c>
      <c r="U633" s="358">
        <f ca="1">IF(C633&lt;=EOMONTH('&gt;&gt;Vistas Consolidadas'!$D$2, '&gt;&gt;Vistas Consolidadas'!$F$2),I633,0)</f>
        <v>186.82</v>
      </c>
      <c r="V633" s="18" t="b">
        <f ca="1">AND(C633&gt;='Interes Por Semana'!$C$4, C633&lt;='Interes Por Semana'!$E$4)</f>
        <v>0</v>
      </c>
      <c r="W633" s="18" t="str">
        <f t="shared" si="19"/>
        <v>viernes</v>
      </c>
    </row>
    <row r="634" spans="2:23" hidden="1" x14ac:dyDescent="0.25">
      <c r="B634" s="338">
        <v>46141</v>
      </c>
      <c r="C634" s="338">
        <v>46320</v>
      </c>
      <c r="D634" s="374" t="s">
        <v>78</v>
      </c>
      <c r="E634" s="314" t="s">
        <v>47</v>
      </c>
      <c r="F634" s="315" t="s">
        <v>147</v>
      </c>
      <c r="G634" s="313">
        <v>6.21</v>
      </c>
      <c r="H634" s="313">
        <v>8.9</v>
      </c>
      <c r="I634" s="341">
        <v>186.82</v>
      </c>
      <c r="J634" s="341">
        <v>0</v>
      </c>
      <c r="K634" s="313"/>
      <c r="L634" s="341">
        <f t="shared" si="20"/>
        <v>186.82</v>
      </c>
      <c r="M634" s="313"/>
      <c r="N634" s="313"/>
      <c r="O634" s="313"/>
      <c r="P634" s="313"/>
      <c r="Q634" s="311"/>
      <c r="R634" s="392"/>
      <c r="S634" s="358">
        <f ca="1">IF(C634&lt;=EOMONTH('&gt;&gt;Vistas Consolidadas'!$D$2, '&gt;&gt;Vistas Consolidadas'!$F$2),J634+I634,J634)</f>
        <v>186.82</v>
      </c>
      <c r="T634" s="18" t="str">
        <f ca="1">IF(C634&gt;='&gt;&gt;Vistas Consolidadas'!$D$2,"SI","NO")</f>
        <v>SI</v>
      </c>
      <c r="U634" s="358">
        <f ca="1">IF(C634&lt;=EOMONTH('&gt;&gt;Vistas Consolidadas'!$D$2, '&gt;&gt;Vistas Consolidadas'!$F$2),I634,0)</f>
        <v>186.82</v>
      </c>
      <c r="V634" s="18" t="b">
        <f ca="1">AND(C634&gt;='Interes Por Semana'!$C$4, C634&lt;='Interes Por Semana'!$E$4)</f>
        <v>0</v>
      </c>
      <c r="W634" s="18" t="str">
        <f t="shared" si="19"/>
        <v>domingo</v>
      </c>
    </row>
    <row r="635" spans="2:23" hidden="1" x14ac:dyDescent="0.25">
      <c r="B635" s="338">
        <v>46141</v>
      </c>
      <c r="C635" s="338">
        <v>46351</v>
      </c>
      <c r="D635" s="374" t="s">
        <v>78</v>
      </c>
      <c r="E635" s="314" t="s">
        <v>47</v>
      </c>
      <c r="F635" s="315" t="s">
        <v>148</v>
      </c>
      <c r="G635" s="313">
        <v>6.21</v>
      </c>
      <c r="H635" s="313">
        <v>8.9</v>
      </c>
      <c r="I635" s="341">
        <v>186.82</v>
      </c>
      <c r="J635" s="341">
        <v>0</v>
      </c>
      <c r="K635" s="313"/>
      <c r="L635" s="341">
        <f t="shared" si="20"/>
        <v>186.82</v>
      </c>
      <c r="M635" s="313"/>
      <c r="N635" s="313"/>
      <c r="O635" s="313"/>
      <c r="P635" s="313"/>
      <c r="Q635" s="311"/>
      <c r="R635" s="392"/>
      <c r="S635" s="358">
        <f ca="1">IF(C635&lt;=EOMONTH('&gt;&gt;Vistas Consolidadas'!$D$2, '&gt;&gt;Vistas Consolidadas'!$F$2),J635+I635,J635)</f>
        <v>186.82</v>
      </c>
      <c r="T635" s="18" t="str">
        <f ca="1">IF(C635&gt;='&gt;&gt;Vistas Consolidadas'!$D$2,"SI","NO")</f>
        <v>SI</v>
      </c>
      <c r="U635" s="358">
        <f ca="1">IF(C635&lt;=EOMONTH('&gt;&gt;Vistas Consolidadas'!$D$2, '&gt;&gt;Vistas Consolidadas'!$F$2),I635,0)</f>
        <v>186.82</v>
      </c>
      <c r="V635" s="18" t="b">
        <f ca="1">AND(C635&gt;='Interes Por Semana'!$C$4, C635&lt;='Interes Por Semana'!$E$4)</f>
        <v>0</v>
      </c>
      <c r="W635" s="18" t="str">
        <f t="shared" si="19"/>
        <v>miércoles</v>
      </c>
    </row>
    <row r="636" spans="2:23" hidden="1" x14ac:dyDescent="0.25">
      <c r="B636" s="338">
        <v>46141</v>
      </c>
      <c r="C636" s="338">
        <v>46381</v>
      </c>
      <c r="D636" s="374" t="s">
        <v>78</v>
      </c>
      <c r="E636" s="314" t="s">
        <v>47</v>
      </c>
      <c r="F636" s="315" t="s">
        <v>149</v>
      </c>
      <c r="G636" s="313">
        <v>6.21</v>
      </c>
      <c r="H636" s="313">
        <v>8.9</v>
      </c>
      <c r="I636" s="341">
        <v>186.82</v>
      </c>
      <c r="J636" s="341">
        <v>0</v>
      </c>
      <c r="K636" s="313"/>
      <c r="L636" s="341">
        <f t="shared" si="20"/>
        <v>186.82</v>
      </c>
      <c r="M636" s="313"/>
      <c r="N636" s="313"/>
      <c r="O636" s="313"/>
      <c r="P636" s="313"/>
      <c r="Q636" s="311"/>
      <c r="R636" s="392"/>
      <c r="S636" s="358">
        <f ca="1">IF(C636&lt;=EOMONTH('&gt;&gt;Vistas Consolidadas'!$D$2, '&gt;&gt;Vistas Consolidadas'!$F$2),J636+I636,J636)</f>
        <v>186.82</v>
      </c>
      <c r="T636" s="18" t="str">
        <f ca="1">IF(C636&gt;='&gt;&gt;Vistas Consolidadas'!$D$2,"SI","NO")</f>
        <v>SI</v>
      </c>
      <c r="U636" s="358">
        <f ca="1">IF(C636&lt;=EOMONTH('&gt;&gt;Vistas Consolidadas'!$D$2, '&gt;&gt;Vistas Consolidadas'!$F$2),I636,0)</f>
        <v>186.82</v>
      </c>
      <c r="V636" s="18" t="b">
        <f ca="1">AND(C636&gt;='Interes Por Semana'!$C$4, C636&lt;='Interes Por Semana'!$E$4)</f>
        <v>0</v>
      </c>
      <c r="W636" s="18" t="str">
        <f t="shared" si="19"/>
        <v>viernes</v>
      </c>
    </row>
    <row r="637" spans="2:23" hidden="1" x14ac:dyDescent="0.25">
      <c r="B637" s="338">
        <v>46141</v>
      </c>
      <c r="C637" s="338">
        <v>46412</v>
      </c>
      <c r="D637" s="374" t="s">
        <v>78</v>
      </c>
      <c r="E637" s="314" t="s">
        <v>47</v>
      </c>
      <c r="F637" s="315" t="s">
        <v>150</v>
      </c>
      <c r="G637" s="313">
        <v>6.21</v>
      </c>
      <c r="H637" s="313">
        <v>8.9</v>
      </c>
      <c r="I637" s="341">
        <v>186.82</v>
      </c>
      <c r="J637" s="341">
        <v>0</v>
      </c>
      <c r="K637" s="313"/>
      <c r="L637" s="341">
        <f t="shared" si="20"/>
        <v>186.82</v>
      </c>
      <c r="M637" s="313"/>
      <c r="N637" s="313"/>
      <c r="O637" s="313"/>
      <c r="P637" s="313"/>
      <c r="Q637" s="311"/>
      <c r="R637" s="392"/>
      <c r="S637" s="358">
        <f ca="1">IF(C637&lt;=EOMONTH('&gt;&gt;Vistas Consolidadas'!$D$2, '&gt;&gt;Vistas Consolidadas'!$F$2),J637+I637,J637)</f>
        <v>186.82</v>
      </c>
      <c r="T637" s="18" t="str">
        <f ca="1">IF(C637&gt;='&gt;&gt;Vistas Consolidadas'!$D$2,"SI","NO")</f>
        <v>SI</v>
      </c>
      <c r="U637" s="358">
        <f ca="1">IF(C637&lt;=EOMONTH('&gt;&gt;Vistas Consolidadas'!$D$2, '&gt;&gt;Vistas Consolidadas'!$F$2),I637,0)</f>
        <v>186.82</v>
      </c>
      <c r="V637" s="18" t="b">
        <f ca="1">AND(C637&gt;='Interes Por Semana'!$C$4, C637&lt;='Interes Por Semana'!$E$4)</f>
        <v>0</v>
      </c>
      <c r="W637" s="18" t="str">
        <f t="shared" si="19"/>
        <v>lunes</v>
      </c>
    </row>
    <row r="638" spans="2:23" hidden="1" x14ac:dyDescent="0.25">
      <c r="B638" s="338">
        <v>46141</v>
      </c>
      <c r="C638" s="338">
        <v>46443</v>
      </c>
      <c r="D638" s="374" t="s">
        <v>78</v>
      </c>
      <c r="E638" s="314" t="s">
        <v>47</v>
      </c>
      <c r="F638" s="315" t="s">
        <v>151</v>
      </c>
      <c r="G638" s="313">
        <v>6.21</v>
      </c>
      <c r="H638" s="313">
        <v>8.9</v>
      </c>
      <c r="I638" s="341">
        <v>186.82</v>
      </c>
      <c r="J638" s="341">
        <v>0</v>
      </c>
      <c r="K638" s="313"/>
      <c r="L638" s="341">
        <f t="shared" si="20"/>
        <v>186.82</v>
      </c>
      <c r="M638" s="313"/>
      <c r="N638" s="313"/>
      <c r="O638" s="313"/>
      <c r="P638" s="313"/>
      <c r="Q638" s="311"/>
      <c r="R638" s="392"/>
      <c r="S638" s="358">
        <f ca="1">IF(C638&lt;=EOMONTH('&gt;&gt;Vistas Consolidadas'!$D$2, '&gt;&gt;Vistas Consolidadas'!$F$2),J638+I638,J638)</f>
        <v>186.82</v>
      </c>
      <c r="T638" s="18" t="str">
        <f ca="1">IF(C638&gt;='&gt;&gt;Vistas Consolidadas'!$D$2,"SI","NO")</f>
        <v>SI</v>
      </c>
      <c r="U638" s="358">
        <f ca="1">IF(C638&lt;=EOMONTH('&gt;&gt;Vistas Consolidadas'!$D$2, '&gt;&gt;Vistas Consolidadas'!$F$2),I638,0)</f>
        <v>186.82</v>
      </c>
      <c r="V638" s="18" t="b">
        <f ca="1">AND(C638&gt;='Interes Por Semana'!$C$4, C638&lt;='Interes Por Semana'!$E$4)</f>
        <v>0</v>
      </c>
      <c r="W638" s="18" t="str">
        <f t="shared" si="19"/>
        <v>jueves</v>
      </c>
    </row>
    <row r="639" spans="2:23" hidden="1" x14ac:dyDescent="0.25">
      <c r="B639" s="338">
        <v>46141</v>
      </c>
      <c r="C639" s="338">
        <v>46471</v>
      </c>
      <c r="D639" s="374" t="s">
        <v>78</v>
      </c>
      <c r="E639" s="314" t="s">
        <v>47</v>
      </c>
      <c r="F639" s="315" t="s">
        <v>142</v>
      </c>
      <c r="G639" s="313">
        <v>6.21</v>
      </c>
      <c r="H639" s="313">
        <v>8.9</v>
      </c>
      <c r="I639" s="341">
        <v>186.82</v>
      </c>
      <c r="J639" s="341">
        <v>0</v>
      </c>
      <c r="K639" s="313"/>
      <c r="L639" s="341">
        <f t="shared" si="20"/>
        <v>186.82</v>
      </c>
      <c r="M639" s="313"/>
      <c r="N639" s="313"/>
      <c r="O639" s="313"/>
      <c r="P639" s="313"/>
      <c r="Q639" s="311"/>
      <c r="R639" s="392"/>
      <c r="S639" s="358">
        <f ca="1">IF(C639&lt;=EOMONTH('&gt;&gt;Vistas Consolidadas'!$D$2, '&gt;&gt;Vistas Consolidadas'!$F$2),J639+I639,J639)</f>
        <v>186.82</v>
      </c>
      <c r="T639" s="18" t="str">
        <f ca="1">IF(C639&gt;='&gt;&gt;Vistas Consolidadas'!$D$2,"SI","NO")</f>
        <v>SI</v>
      </c>
      <c r="U639" s="358">
        <f ca="1">IF(C639&lt;=EOMONTH('&gt;&gt;Vistas Consolidadas'!$D$2, '&gt;&gt;Vistas Consolidadas'!$F$2),I639,0)</f>
        <v>186.82</v>
      </c>
      <c r="V639" s="18" t="b">
        <f ca="1">AND(C639&gt;='Interes Por Semana'!$C$4, C639&lt;='Interes Por Semana'!$E$4)</f>
        <v>0</v>
      </c>
      <c r="W639" s="18" t="str">
        <f t="shared" si="19"/>
        <v>jueves</v>
      </c>
    </row>
    <row r="640" spans="2:23" hidden="1" x14ac:dyDescent="0.25">
      <c r="B640" s="338">
        <v>46141</v>
      </c>
      <c r="C640" s="338">
        <v>46502</v>
      </c>
      <c r="D640" s="374" t="s">
        <v>78</v>
      </c>
      <c r="E640" s="314" t="s">
        <v>47</v>
      </c>
      <c r="F640" s="315" t="s">
        <v>152</v>
      </c>
      <c r="G640" s="313">
        <v>6.21</v>
      </c>
      <c r="H640" s="313">
        <v>8.9</v>
      </c>
      <c r="I640" s="341">
        <v>186.82</v>
      </c>
      <c r="J640" s="341">
        <v>0</v>
      </c>
      <c r="K640" s="313"/>
      <c r="L640" s="341">
        <f t="shared" si="20"/>
        <v>186.82</v>
      </c>
      <c r="M640" s="313"/>
      <c r="N640" s="313"/>
      <c r="O640" s="313"/>
      <c r="P640" s="313"/>
      <c r="Q640" s="311"/>
      <c r="R640" s="392"/>
      <c r="S640" s="358">
        <f ca="1">IF(C640&lt;=EOMONTH('&gt;&gt;Vistas Consolidadas'!$D$2, '&gt;&gt;Vistas Consolidadas'!$F$2),J640+I640,J640)</f>
        <v>186.82</v>
      </c>
      <c r="T640" s="18" t="str">
        <f ca="1">IF(C640&gt;='&gt;&gt;Vistas Consolidadas'!$D$2,"SI","NO")</f>
        <v>SI</v>
      </c>
      <c r="U640" s="358">
        <f ca="1">IF(C640&lt;=EOMONTH('&gt;&gt;Vistas Consolidadas'!$D$2, '&gt;&gt;Vistas Consolidadas'!$F$2),I640,0)</f>
        <v>186.82</v>
      </c>
      <c r="V640" s="18" t="b">
        <f ca="1">AND(C640&gt;='Interes Por Semana'!$C$4, C640&lt;='Interes Por Semana'!$E$4)</f>
        <v>0</v>
      </c>
      <c r="W640" s="18" t="str">
        <f t="shared" si="19"/>
        <v>domingo</v>
      </c>
    </row>
    <row r="641" spans="2:23" hidden="1" x14ac:dyDescent="0.25">
      <c r="B641" s="337">
        <v>45552</v>
      </c>
      <c r="C641" s="337">
        <v>46480</v>
      </c>
      <c r="D641" s="374" t="s">
        <v>78</v>
      </c>
      <c r="E641" s="309" t="s">
        <v>47</v>
      </c>
      <c r="F641" s="310" t="s">
        <v>79</v>
      </c>
      <c r="G641" s="311">
        <v>5.36</v>
      </c>
      <c r="H641" s="311">
        <v>13.5</v>
      </c>
      <c r="I641" s="340">
        <v>15.63</v>
      </c>
      <c r="J641" s="340"/>
      <c r="K641" s="311"/>
      <c r="L641" s="341">
        <f t="shared" si="20"/>
        <v>15.63</v>
      </c>
      <c r="M641" s="313"/>
      <c r="N641" s="313"/>
      <c r="O641" s="313"/>
      <c r="P641" s="313"/>
      <c r="Q641" s="311"/>
      <c r="R641" s="392"/>
      <c r="S641" s="358">
        <f ca="1">IF(C641&lt;=EOMONTH('&gt;&gt;Vistas Consolidadas'!$D$2, '&gt;&gt;Vistas Consolidadas'!$F$2),J641+I641,J641)</f>
        <v>15.63</v>
      </c>
      <c r="T641" s="18" t="str">
        <f ca="1">IF(C641&gt;='&gt;&gt;Vistas Consolidadas'!$D$2,"SI","NO")</f>
        <v>SI</v>
      </c>
      <c r="U641" s="358">
        <f ca="1">IF(C641&lt;=EOMONTH('&gt;&gt;Vistas Consolidadas'!$D$2, '&gt;&gt;Vistas Consolidadas'!$F$2),I641,0)</f>
        <v>15.63</v>
      </c>
      <c r="V641" s="18" t="b">
        <f ca="1">AND(C641&gt;='Interes Por Semana'!$C$4, C641&lt;='Interes Por Semana'!$E$4)</f>
        <v>0</v>
      </c>
      <c r="W641" s="18" t="str">
        <f t="shared" si="19"/>
        <v>sábado</v>
      </c>
    </row>
    <row r="642" spans="2:23" hidden="1" x14ac:dyDescent="0.25">
      <c r="B642" s="337">
        <v>45560</v>
      </c>
      <c r="C642" s="337">
        <v>46480</v>
      </c>
      <c r="D642" s="374" t="s">
        <v>78</v>
      </c>
      <c r="E642" s="309" t="s">
        <v>47</v>
      </c>
      <c r="F642" s="310" t="s">
        <v>79</v>
      </c>
      <c r="G642" s="311">
        <v>5.36</v>
      </c>
      <c r="H642" s="311">
        <v>12.5</v>
      </c>
      <c r="I642" s="340">
        <v>12.51</v>
      </c>
      <c r="J642" s="340"/>
      <c r="K642" s="311"/>
      <c r="L642" s="341">
        <f t="shared" si="20"/>
        <v>12.51</v>
      </c>
      <c r="M642" s="313"/>
      <c r="N642" s="313"/>
      <c r="O642" s="313"/>
      <c r="P642" s="313"/>
      <c r="Q642" s="311"/>
      <c r="R642" s="392"/>
      <c r="S642" s="358">
        <f ca="1">IF(C642&lt;=EOMONTH('&gt;&gt;Vistas Consolidadas'!$D$2, '&gt;&gt;Vistas Consolidadas'!$F$2),J642+I642,J642)</f>
        <v>12.51</v>
      </c>
      <c r="T642" s="18" t="str">
        <f ca="1">IF(C642&gt;='&gt;&gt;Vistas Consolidadas'!$D$2,"SI","NO")</f>
        <v>SI</v>
      </c>
      <c r="U642" s="358">
        <f ca="1">IF(C642&lt;=EOMONTH('&gt;&gt;Vistas Consolidadas'!$D$2, '&gt;&gt;Vistas Consolidadas'!$F$2),I642,0)</f>
        <v>12.51</v>
      </c>
      <c r="V642" s="18" t="b">
        <f ca="1">AND(C642&gt;='Interes Por Semana'!$C$4, C642&lt;='Interes Por Semana'!$E$4)</f>
        <v>0</v>
      </c>
      <c r="W642" s="18" t="str">
        <f t="shared" si="19"/>
        <v>sábado</v>
      </c>
    </row>
    <row r="643" spans="2:23" hidden="1" x14ac:dyDescent="0.25">
      <c r="B643" s="337">
        <v>45708</v>
      </c>
      <c r="C643" s="337">
        <v>46481</v>
      </c>
      <c r="D643" s="374" t="s">
        <v>78</v>
      </c>
      <c r="E643" s="309" t="s">
        <v>46</v>
      </c>
      <c r="F643" s="310" t="s">
        <v>81</v>
      </c>
      <c r="G643" s="311">
        <v>5.36</v>
      </c>
      <c r="H643" s="311">
        <v>11.35</v>
      </c>
      <c r="I643" s="340">
        <v>16.79</v>
      </c>
      <c r="J643" s="340">
        <v>0</v>
      </c>
      <c r="K643" s="311"/>
      <c r="L643" s="341">
        <f t="shared" si="20"/>
        <v>16.79</v>
      </c>
      <c r="M643" s="313"/>
      <c r="N643" s="313"/>
      <c r="O643" s="313"/>
      <c r="P643" s="313"/>
      <c r="Q643" s="311"/>
      <c r="R643" s="392"/>
      <c r="S643" s="358">
        <f ca="1">IF(C643&lt;=EOMONTH('&gt;&gt;Vistas Consolidadas'!$D$2, '&gt;&gt;Vistas Consolidadas'!$F$2),J643+I643,J643)</f>
        <v>16.79</v>
      </c>
      <c r="T643" s="18" t="str">
        <f ca="1">IF(C643&gt;='&gt;&gt;Vistas Consolidadas'!$D$2,"SI","NO")</f>
        <v>SI</v>
      </c>
      <c r="U643" s="358">
        <f ca="1">IF(C643&lt;=EOMONTH('&gt;&gt;Vistas Consolidadas'!$D$2, '&gt;&gt;Vistas Consolidadas'!$F$2),I643,0)</f>
        <v>16.79</v>
      </c>
      <c r="V643" s="18" t="b">
        <f ca="1">AND(C643&gt;='Interes Por Semana'!$C$4, C643&lt;='Interes Por Semana'!$E$4)</f>
        <v>0</v>
      </c>
      <c r="W643" s="18" t="str">
        <f t="shared" ref="W643:W706" si="21">TEXT(C643, "dddd")</f>
        <v>domingo</v>
      </c>
    </row>
    <row r="644" spans="2:23" hidden="1" x14ac:dyDescent="0.25">
      <c r="B644" s="337">
        <v>46057</v>
      </c>
      <c r="C644" s="337">
        <v>46483</v>
      </c>
      <c r="D644" s="374" t="s">
        <v>78</v>
      </c>
      <c r="E644" s="309" t="s">
        <v>47</v>
      </c>
      <c r="F644" s="310" t="s">
        <v>85</v>
      </c>
      <c r="G644" s="311">
        <v>7.93</v>
      </c>
      <c r="H644" s="311">
        <v>11.25</v>
      </c>
      <c r="I644" s="340">
        <v>58.023180428134552</v>
      </c>
      <c r="J644" s="340"/>
      <c r="K644" s="311"/>
      <c r="L644" s="341">
        <f t="shared" si="20"/>
        <v>58.023180428134552</v>
      </c>
      <c r="M644" s="313"/>
      <c r="N644" s="313"/>
      <c r="O644" s="313"/>
      <c r="P644" s="313"/>
      <c r="Q644" s="311"/>
      <c r="R644" s="392"/>
      <c r="S644" s="358">
        <f ca="1">IF(C644&lt;=EOMONTH('&gt;&gt;Vistas Consolidadas'!$D$2, '&gt;&gt;Vistas Consolidadas'!$F$2),J644+I644,J644)</f>
        <v>58.023180428134552</v>
      </c>
      <c r="T644" s="18" t="str">
        <f ca="1">IF(C644&gt;='&gt;&gt;Vistas Consolidadas'!$D$2,"SI","NO")</f>
        <v>SI</v>
      </c>
      <c r="U644" s="358">
        <f ca="1">IF(C644&lt;=EOMONTH('&gt;&gt;Vistas Consolidadas'!$D$2, '&gt;&gt;Vistas Consolidadas'!$F$2),I644,0)</f>
        <v>58.023180428134552</v>
      </c>
      <c r="V644" s="18" t="b">
        <f ca="1">AND(C644&gt;='Interes Por Semana'!$C$4, C644&lt;='Interes Por Semana'!$E$4)</f>
        <v>0</v>
      </c>
      <c r="W644" s="18" t="str">
        <f t="shared" si="21"/>
        <v>martes</v>
      </c>
    </row>
    <row r="645" spans="2:23" hidden="1" x14ac:dyDescent="0.25">
      <c r="B645" s="337">
        <v>46057</v>
      </c>
      <c r="C645" s="337">
        <v>46483</v>
      </c>
      <c r="D645" s="374" t="s">
        <v>78</v>
      </c>
      <c r="E645" s="309" t="s">
        <v>47</v>
      </c>
      <c r="F645" s="310" t="s">
        <v>86</v>
      </c>
      <c r="G645" s="311">
        <v>7.35</v>
      </c>
      <c r="H645" s="311">
        <v>11</v>
      </c>
      <c r="I645" s="340">
        <v>20.79</v>
      </c>
      <c r="J645" s="340"/>
      <c r="K645" s="311"/>
      <c r="L645" s="341">
        <f t="shared" si="20"/>
        <v>20.79</v>
      </c>
      <c r="M645" s="313"/>
      <c r="N645" s="313"/>
      <c r="O645" s="313"/>
      <c r="P645" s="313"/>
      <c r="Q645" s="311"/>
      <c r="R645" s="392"/>
      <c r="S645" s="358">
        <f ca="1">IF(C645&lt;=EOMONTH('&gt;&gt;Vistas Consolidadas'!$D$2, '&gt;&gt;Vistas Consolidadas'!$F$2),J645+I645,J645)</f>
        <v>20.79</v>
      </c>
      <c r="T645" s="18" t="str">
        <f ca="1">IF(C645&gt;='&gt;&gt;Vistas Consolidadas'!$D$2,"SI","NO")</f>
        <v>SI</v>
      </c>
      <c r="U645" s="358">
        <f ca="1">IF(C645&lt;=EOMONTH('&gt;&gt;Vistas Consolidadas'!$D$2, '&gt;&gt;Vistas Consolidadas'!$F$2),I645,0)</f>
        <v>20.79</v>
      </c>
      <c r="V645" s="18" t="b">
        <f ca="1">AND(C645&gt;='Interes Por Semana'!$C$4, C645&lt;='Interes Por Semana'!$E$4)</f>
        <v>0</v>
      </c>
      <c r="W645" s="18" t="str">
        <f t="shared" si="21"/>
        <v>martes</v>
      </c>
    </row>
    <row r="646" spans="2:23" hidden="1" x14ac:dyDescent="0.25">
      <c r="B646" s="337">
        <v>46001</v>
      </c>
      <c r="C646" s="337">
        <v>46483</v>
      </c>
      <c r="D646" s="374" t="s">
        <v>78</v>
      </c>
      <c r="E646" s="309" t="s">
        <v>46</v>
      </c>
      <c r="F646" s="310" t="s">
        <v>87</v>
      </c>
      <c r="G646" s="311">
        <v>7.54</v>
      </c>
      <c r="H646" s="311">
        <v>11</v>
      </c>
      <c r="I646" s="340">
        <v>7.79</v>
      </c>
      <c r="J646" s="340"/>
      <c r="K646" s="311"/>
      <c r="L646" s="341">
        <f t="shared" si="20"/>
        <v>7.79</v>
      </c>
      <c r="M646" s="313"/>
      <c r="N646" s="313"/>
      <c r="O646" s="313"/>
      <c r="P646" s="313"/>
      <c r="Q646" s="311"/>
      <c r="R646" s="392"/>
      <c r="S646" s="358">
        <f ca="1">IF(C646&lt;=EOMONTH('&gt;&gt;Vistas Consolidadas'!$D$2, '&gt;&gt;Vistas Consolidadas'!$F$2),J646+I646,J646)</f>
        <v>7.79</v>
      </c>
      <c r="T646" s="18" t="str">
        <f ca="1">IF(C646&gt;='&gt;&gt;Vistas Consolidadas'!$D$2,"SI","NO")</f>
        <v>SI</v>
      </c>
      <c r="U646" s="358">
        <f ca="1">IF(C646&lt;=EOMONTH('&gt;&gt;Vistas Consolidadas'!$D$2, '&gt;&gt;Vistas Consolidadas'!$F$2),I646,0)</f>
        <v>7.79</v>
      </c>
      <c r="V646" s="18" t="b">
        <f ca="1">AND(C646&gt;='Interes Por Semana'!$C$4, C646&lt;='Interes Por Semana'!$E$4)</f>
        <v>0</v>
      </c>
      <c r="W646" s="18" t="str">
        <f t="shared" si="21"/>
        <v>martes</v>
      </c>
    </row>
    <row r="647" spans="2:23" hidden="1" x14ac:dyDescent="0.25">
      <c r="B647" s="337">
        <v>45943</v>
      </c>
      <c r="C647" s="337">
        <v>46487</v>
      </c>
      <c r="D647" s="374" t="s">
        <v>78</v>
      </c>
      <c r="E647" s="309" t="s">
        <v>47</v>
      </c>
      <c r="F647" s="310" t="s">
        <v>91</v>
      </c>
      <c r="G647" s="311">
        <v>7.54</v>
      </c>
      <c r="H647" s="311">
        <v>9.85</v>
      </c>
      <c r="I647" s="340">
        <v>35.25</v>
      </c>
      <c r="J647" s="340"/>
      <c r="K647" s="311"/>
      <c r="L647" s="341">
        <f t="shared" si="20"/>
        <v>35.25</v>
      </c>
      <c r="M647" s="313"/>
      <c r="N647" s="313"/>
      <c r="O647" s="313"/>
      <c r="P647" s="313"/>
      <c r="Q647" s="311"/>
      <c r="R647" s="392"/>
      <c r="S647" s="358">
        <f ca="1">IF(C647&lt;=EOMONTH('&gt;&gt;Vistas Consolidadas'!$D$2, '&gt;&gt;Vistas Consolidadas'!$F$2),J647+I647,J647)</f>
        <v>35.25</v>
      </c>
      <c r="T647" s="18" t="str">
        <f ca="1">IF(C647&gt;='&gt;&gt;Vistas Consolidadas'!$D$2,"SI","NO")</f>
        <v>SI</v>
      </c>
      <c r="U647" s="358">
        <f ca="1">IF(C647&lt;=EOMONTH('&gt;&gt;Vistas Consolidadas'!$D$2, '&gt;&gt;Vistas Consolidadas'!$F$2),I647,0)</f>
        <v>35.25</v>
      </c>
      <c r="V647" s="18" t="b">
        <f ca="1">AND(C647&gt;='Interes Por Semana'!$C$4, C647&lt;='Interes Por Semana'!$E$4)</f>
        <v>0</v>
      </c>
      <c r="W647" s="18" t="str">
        <f t="shared" si="21"/>
        <v>sábado</v>
      </c>
    </row>
    <row r="648" spans="2:23" hidden="1" x14ac:dyDescent="0.25">
      <c r="B648" s="337">
        <v>46121</v>
      </c>
      <c r="C648" s="337">
        <v>46489</v>
      </c>
      <c r="D648" s="374" t="s">
        <v>78</v>
      </c>
      <c r="E648" s="309" t="s">
        <v>47</v>
      </c>
      <c r="F648" s="310" t="s">
        <v>93</v>
      </c>
      <c r="G648" s="311">
        <v>4.71</v>
      </c>
      <c r="H648" s="311">
        <v>9.5</v>
      </c>
      <c r="I648" s="340">
        <v>3.53</v>
      </c>
      <c r="J648" s="340">
        <v>0</v>
      </c>
      <c r="K648" s="311"/>
      <c r="L648" s="341">
        <f t="shared" si="20"/>
        <v>3.53</v>
      </c>
      <c r="M648" s="313"/>
      <c r="N648" s="313"/>
      <c r="O648" s="313"/>
      <c r="P648" s="313"/>
      <c r="Q648" s="311"/>
      <c r="R648" s="392"/>
      <c r="S648" s="358">
        <f ca="1">IF(C648&lt;=EOMONTH('&gt;&gt;Vistas Consolidadas'!$D$2, '&gt;&gt;Vistas Consolidadas'!$F$2),J648+I648,J648)</f>
        <v>3.53</v>
      </c>
      <c r="T648" s="18" t="str">
        <f ca="1">IF(C648&gt;='&gt;&gt;Vistas Consolidadas'!$D$2,"SI","NO")</f>
        <v>SI</v>
      </c>
      <c r="U648" s="358">
        <f ca="1">IF(C648&lt;=EOMONTH('&gt;&gt;Vistas Consolidadas'!$D$2, '&gt;&gt;Vistas Consolidadas'!$F$2),I648,0)</f>
        <v>3.53</v>
      </c>
      <c r="V648" s="18" t="b">
        <f ca="1">AND(C648&gt;='Interes Por Semana'!$C$4, C648&lt;='Interes Por Semana'!$E$4)</f>
        <v>0</v>
      </c>
      <c r="W648" s="18" t="str">
        <f t="shared" si="21"/>
        <v>lunes</v>
      </c>
    </row>
    <row r="649" spans="2:23" hidden="1" x14ac:dyDescent="0.25">
      <c r="B649" s="337">
        <v>44462</v>
      </c>
      <c r="C649" s="337">
        <v>46494</v>
      </c>
      <c r="D649" s="374" t="s">
        <v>78</v>
      </c>
      <c r="E649" s="309" t="s">
        <v>46</v>
      </c>
      <c r="F649" s="310" t="s">
        <v>98</v>
      </c>
      <c r="G649" s="312">
        <v>5.64</v>
      </c>
      <c r="H649" s="308">
        <v>8.1999999999999993</v>
      </c>
      <c r="I649" s="340">
        <v>5.05</v>
      </c>
      <c r="J649" s="340"/>
      <c r="K649" s="308"/>
      <c r="L649" s="341">
        <f t="shared" si="20"/>
        <v>5.05</v>
      </c>
      <c r="M649" s="313"/>
      <c r="N649" s="313"/>
      <c r="O649" s="313"/>
      <c r="P649" s="313"/>
      <c r="Q649" s="311"/>
      <c r="R649" s="392"/>
      <c r="S649" s="358">
        <f ca="1">IF(C649&lt;=EOMONTH('&gt;&gt;Vistas Consolidadas'!$D$2, '&gt;&gt;Vistas Consolidadas'!$F$2),J649+I649,J649)</f>
        <v>5.05</v>
      </c>
      <c r="T649" s="18" t="str">
        <f ca="1">IF(C649&gt;='&gt;&gt;Vistas Consolidadas'!$D$2,"SI","NO")</f>
        <v>SI</v>
      </c>
      <c r="U649" s="358">
        <f ca="1">IF(C649&lt;=EOMONTH('&gt;&gt;Vistas Consolidadas'!$D$2, '&gt;&gt;Vistas Consolidadas'!$F$2),I649,0)</f>
        <v>5.05</v>
      </c>
      <c r="V649" s="18" t="b">
        <f ca="1">AND(C649&gt;='Interes Por Semana'!$C$4, C649&lt;='Interes Por Semana'!$E$4)</f>
        <v>0</v>
      </c>
      <c r="W649" s="18" t="str">
        <f t="shared" si="21"/>
        <v>sábado</v>
      </c>
    </row>
    <row r="650" spans="2:23" hidden="1" x14ac:dyDescent="0.25">
      <c r="B650" s="337">
        <v>45264</v>
      </c>
      <c r="C650" s="337">
        <v>46494</v>
      </c>
      <c r="D650" s="374" t="s">
        <v>78</v>
      </c>
      <c r="E650" s="309" t="s">
        <v>46</v>
      </c>
      <c r="F650" s="310" t="s">
        <v>99</v>
      </c>
      <c r="G650" s="312">
        <v>5.64</v>
      </c>
      <c r="H650" s="308">
        <v>13</v>
      </c>
      <c r="I650" s="340">
        <v>14.1</v>
      </c>
      <c r="J650" s="340"/>
      <c r="K650" s="308"/>
      <c r="L650" s="341">
        <f t="shared" si="20"/>
        <v>14.1</v>
      </c>
      <c r="M650" s="313"/>
      <c r="N650" s="313"/>
      <c r="O650" s="313"/>
      <c r="P650" s="313"/>
      <c r="Q650" s="311"/>
      <c r="R650" s="392"/>
      <c r="S650" s="358">
        <f ca="1">IF(C650&lt;=EOMONTH('&gt;&gt;Vistas Consolidadas'!$D$2, '&gt;&gt;Vistas Consolidadas'!$F$2),J650+I650,J650)</f>
        <v>14.1</v>
      </c>
      <c r="T650" s="18" t="str">
        <f ca="1">IF(C650&gt;='&gt;&gt;Vistas Consolidadas'!$D$2,"SI","NO")</f>
        <v>SI</v>
      </c>
      <c r="U650" s="358">
        <f ca="1">IF(C650&lt;=EOMONTH('&gt;&gt;Vistas Consolidadas'!$D$2, '&gt;&gt;Vistas Consolidadas'!$F$2),I650,0)</f>
        <v>14.1</v>
      </c>
      <c r="V650" s="18" t="b">
        <f ca="1">AND(C650&gt;='Interes Por Semana'!$C$4, C650&lt;='Interes Por Semana'!$E$4)</f>
        <v>0</v>
      </c>
      <c r="W650" s="18" t="str">
        <f t="shared" si="21"/>
        <v>sábado</v>
      </c>
    </row>
    <row r="651" spans="2:23" hidden="1" x14ac:dyDescent="0.25">
      <c r="B651" s="337">
        <v>45302</v>
      </c>
      <c r="C651" s="337">
        <v>46494</v>
      </c>
      <c r="D651" s="374" t="s">
        <v>78</v>
      </c>
      <c r="E651" s="309" t="s">
        <v>46</v>
      </c>
      <c r="F651" s="310" t="s">
        <v>99</v>
      </c>
      <c r="G651" s="312">
        <v>5.64</v>
      </c>
      <c r="H651" s="308">
        <v>12.75</v>
      </c>
      <c r="I651" s="340">
        <v>7.28</v>
      </c>
      <c r="J651" s="340"/>
      <c r="K651" s="308"/>
      <c r="L651" s="341">
        <f t="shared" si="20"/>
        <v>7.28</v>
      </c>
      <c r="M651" s="313"/>
      <c r="N651" s="313"/>
      <c r="O651" s="313"/>
      <c r="P651" s="313"/>
      <c r="Q651" s="311"/>
      <c r="R651" s="392"/>
      <c r="S651" s="358">
        <f ca="1">IF(C651&lt;=EOMONTH('&gt;&gt;Vistas Consolidadas'!$D$2, '&gt;&gt;Vistas Consolidadas'!$F$2),J651+I651,J651)</f>
        <v>7.28</v>
      </c>
      <c r="T651" s="18" t="str">
        <f ca="1">IF(C651&gt;='&gt;&gt;Vistas Consolidadas'!$D$2,"SI","NO")</f>
        <v>SI</v>
      </c>
      <c r="U651" s="358">
        <f ca="1">IF(C651&lt;=EOMONTH('&gt;&gt;Vistas Consolidadas'!$D$2, '&gt;&gt;Vistas Consolidadas'!$F$2),I651,0)</f>
        <v>7.28</v>
      </c>
      <c r="V651" s="18" t="b">
        <f ca="1">AND(C651&gt;='Interes Por Semana'!$C$4, C651&lt;='Interes Por Semana'!$E$4)</f>
        <v>0</v>
      </c>
      <c r="W651" s="18" t="str">
        <f t="shared" si="21"/>
        <v>sábado</v>
      </c>
    </row>
    <row r="652" spans="2:23" hidden="1" x14ac:dyDescent="0.25">
      <c r="B652" s="337">
        <v>46006</v>
      </c>
      <c r="C652" s="337">
        <v>46495</v>
      </c>
      <c r="D652" s="374" t="s">
        <v>78</v>
      </c>
      <c r="E652" s="309" t="s">
        <v>46</v>
      </c>
      <c r="F652" s="310" t="s">
        <v>100</v>
      </c>
      <c r="G652" s="312">
        <v>5.93</v>
      </c>
      <c r="H652" s="308">
        <v>8.5</v>
      </c>
      <c r="I652" s="340">
        <v>23.09</v>
      </c>
      <c r="J652" s="340"/>
      <c r="K652" s="308"/>
      <c r="L652" s="341">
        <f t="shared" si="20"/>
        <v>23.09</v>
      </c>
      <c r="M652" s="313"/>
      <c r="N652" s="313"/>
      <c r="O652" s="313"/>
      <c r="P652" s="313"/>
      <c r="Q652" s="311"/>
      <c r="R652" s="392"/>
      <c r="S652" s="358">
        <f ca="1">IF(C652&lt;=EOMONTH('&gt;&gt;Vistas Consolidadas'!$D$2, '&gt;&gt;Vistas Consolidadas'!$F$2),J652+I652,J652)</f>
        <v>23.09</v>
      </c>
      <c r="T652" s="18" t="str">
        <f ca="1">IF(C652&gt;='&gt;&gt;Vistas Consolidadas'!$D$2,"SI","NO")</f>
        <v>SI</v>
      </c>
      <c r="U652" s="358">
        <f ca="1">IF(C652&lt;=EOMONTH('&gt;&gt;Vistas Consolidadas'!$D$2, '&gt;&gt;Vistas Consolidadas'!$F$2),I652,0)</f>
        <v>23.09</v>
      </c>
      <c r="V652" s="18" t="b">
        <f ca="1">AND(C652&gt;='Interes Por Semana'!$C$4, C652&lt;='Interes Por Semana'!$E$4)</f>
        <v>0</v>
      </c>
      <c r="W652" s="18" t="str">
        <f t="shared" si="21"/>
        <v>domingo</v>
      </c>
    </row>
    <row r="653" spans="2:23" hidden="1" x14ac:dyDescent="0.25">
      <c r="B653" s="337">
        <v>45734</v>
      </c>
      <c r="C653" s="337">
        <v>46495</v>
      </c>
      <c r="D653" s="374" t="s">
        <v>78</v>
      </c>
      <c r="E653" s="309" t="s">
        <v>47</v>
      </c>
      <c r="F653" s="310" t="s">
        <v>101</v>
      </c>
      <c r="G653" s="312">
        <v>5.93</v>
      </c>
      <c r="H653" s="308">
        <v>12</v>
      </c>
      <c r="I653" s="340">
        <v>8.94</v>
      </c>
      <c r="J653" s="340"/>
      <c r="K653" s="308"/>
      <c r="L653" s="341">
        <f t="shared" si="20"/>
        <v>8.94</v>
      </c>
      <c r="M653" s="313"/>
      <c r="N653" s="313"/>
      <c r="O653" s="313"/>
      <c r="P653" s="313"/>
      <c r="Q653" s="311"/>
      <c r="R653" s="392"/>
      <c r="S653" s="358">
        <f ca="1">IF(C653&lt;=EOMONTH('&gt;&gt;Vistas Consolidadas'!$D$2, '&gt;&gt;Vistas Consolidadas'!$F$2),J653+I653,J653)</f>
        <v>8.94</v>
      </c>
      <c r="T653" s="18" t="str">
        <f ca="1">IF(C653&gt;='&gt;&gt;Vistas Consolidadas'!$D$2,"SI","NO")</f>
        <v>SI</v>
      </c>
      <c r="U653" s="358">
        <f ca="1">IF(C653&lt;=EOMONTH('&gt;&gt;Vistas Consolidadas'!$D$2, '&gt;&gt;Vistas Consolidadas'!$F$2),I653,0)</f>
        <v>8.94</v>
      </c>
      <c r="V653" s="18" t="b">
        <f ca="1">AND(C653&gt;='Interes Por Semana'!$C$4, C653&lt;='Interes Por Semana'!$E$4)</f>
        <v>0</v>
      </c>
      <c r="W653" s="18" t="str">
        <f t="shared" si="21"/>
        <v>domingo</v>
      </c>
    </row>
    <row r="654" spans="2:23" hidden="1" x14ac:dyDescent="0.25">
      <c r="B654" s="337">
        <v>45264</v>
      </c>
      <c r="C654" s="337">
        <v>46498</v>
      </c>
      <c r="D654" s="374" t="s">
        <v>78</v>
      </c>
      <c r="E654" s="309" t="s">
        <v>46</v>
      </c>
      <c r="F654" s="310" t="s">
        <v>103</v>
      </c>
      <c r="G654" s="312">
        <v>5.36</v>
      </c>
      <c r="H654" s="308">
        <v>13</v>
      </c>
      <c r="I654" s="340">
        <v>5.58</v>
      </c>
      <c r="J654" s="340"/>
      <c r="K654" s="308"/>
      <c r="L654" s="341">
        <f t="shared" si="20"/>
        <v>5.58</v>
      </c>
      <c r="M654" s="313"/>
      <c r="N654" s="313"/>
      <c r="O654" s="313"/>
      <c r="P654" s="313"/>
      <c r="Q654" s="311"/>
      <c r="R654" s="392"/>
      <c r="S654" s="358">
        <f ca="1">IF(C654&lt;=EOMONTH('&gt;&gt;Vistas Consolidadas'!$D$2, '&gt;&gt;Vistas Consolidadas'!$F$2),J654+I654,J654)</f>
        <v>5.58</v>
      </c>
      <c r="T654" s="18" t="str">
        <f ca="1">IF(C654&gt;='&gt;&gt;Vistas Consolidadas'!$D$2,"SI","NO")</f>
        <v>SI</v>
      </c>
      <c r="U654" s="358">
        <f ca="1">IF(C654&lt;=EOMONTH('&gt;&gt;Vistas Consolidadas'!$D$2, '&gt;&gt;Vistas Consolidadas'!$F$2),I654,0)</f>
        <v>5.58</v>
      </c>
      <c r="V654" s="18" t="b">
        <f ca="1">AND(C654&gt;='Interes Por Semana'!$C$4, C654&lt;='Interes Por Semana'!$E$4)</f>
        <v>0</v>
      </c>
      <c r="W654" s="18" t="str">
        <f t="shared" si="21"/>
        <v>miércoles</v>
      </c>
    </row>
    <row r="655" spans="2:23" hidden="1" x14ac:dyDescent="0.25">
      <c r="B655" s="337">
        <v>45279</v>
      </c>
      <c r="C655" s="337">
        <v>46498</v>
      </c>
      <c r="D655" s="374" t="s">
        <v>78</v>
      </c>
      <c r="E655" s="309" t="s">
        <v>46</v>
      </c>
      <c r="F655" s="310" t="s">
        <v>103</v>
      </c>
      <c r="G655" s="312">
        <v>5.36</v>
      </c>
      <c r="H655" s="308">
        <v>13</v>
      </c>
      <c r="I655" s="340">
        <v>3.13</v>
      </c>
      <c r="J655" s="340"/>
      <c r="K655" s="308"/>
      <c r="L655" s="341">
        <f t="shared" si="20"/>
        <v>3.13</v>
      </c>
      <c r="M655" s="313"/>
      <c r="N655" s="313"/>
      <c r="O655" s="313"/>
      <c r="P655" s="313"/>
      <c r="Q655" s="311"/>
      <c r="R655" s="392"/>
      <c r="S655" s="358">
        <f ca="1">IF(C655&lt;=EOMONTH('&gt;&gt;Vistas Consolidadas'!$D$2, '&gt;&gt;Vistas Consolidadas'!$F$2),J655+I655,J655)</f>
        <v>3.13</v>
      </c>
      <c r="T655" s="18" t="str">
        <f ca="1">IF(C655&gt;='&gt;&gt;Vistas Consolidadas'!$D$2,"SI","NO")</f>
        <v>SI</v>
      </c>
      <c r="U655" s="358">
        <f ca="1">IF(C655&lt;=EOMONTH('&gt;&gt;Vistas Consolidadas'!$D$2, '&gt;&gt;Vistas Consolidadas'!$F$2),I655,0)</f>
        <v>3.13</v>
      </c>
      <c r="V655" s="18" t="b">
        <f ca="1">AND(C655&gt;='Interes Por Semana'!$C$4, C655&lt;='Interes Por Semana'!$E$4)</f>
        <v>0</v>
      </c>
      <c r="W655" s="18" t="str">
        <f t="shared" si="21"/>
        <v>miércoles</v>
      </c>
    </row>
    <row r="656" spans="2:23" hidden="1" x14ac:dyDescent="0.25">
      <c r="B656" s="337">
        <v>45552</v>
      </c>
      <c r="C656" s="337">
        <v>46498</v>
      </c>
      <c r="D656" s="374" t="s">
        <v>78</v>
      </c>
      <c r="E656" s="309" t="s">
        <v>47</v>
      </c>
      <c r="F656" s="310" t="s">
        <v>103</v>
      </c>
      <c r="G656" s="312">
        <v>5.36</v>
      </c>
      <c r="H656" s="308">
        <v>13.75</v>
      </c>
      <c r="I656" s="340">
        <v>4.47</v>
      </c>
      <c r="J656" s="340"/>
      <c r="K656" s="308"/>
      <c r="L656" s="341">
        <f t="shared" si="20"/>
        <v>4.47</v>
      </c>
      <c r="M656" s="313"/>
      <c r="N656" s="313"/>
      <c r="O656" s="313"/>
      <c r="P656" s="313"/>
      <c r="Q656" s="311"/>
      <c r="R656" s="392"/>
      <c r="S656" s="358">
        <f ca="1">IF(C656&lt;=EOMONTH('&gt;&gt;Vistas Consolidadas'!$D$2, '&gt;&gt;Vistas Consolidadas'!$F$2),J656+I656,J656)</f>
        <v>4.47</v>
      </c>
      <c r="T656" s="18" t="str">
        <f ca="1">IF(C656&gt;='&gt;&gt;Vistas Consolidadas'!$D$2,"SI","NO")</f>
        <v>SI</v>
      </c>
      <c r="U656" s="358">
        <f ca="1">IF(C656&lt;=EOMONTH('&gt;&gt;Vistas Consolidadas'!$D$2, '&gt;&gt;Vistas Consolidadas'!$F$2),I656,0)</f>
        <v>4.47</v>
      </c>
      <c r="V656" s="18" t="b">
        <f ca="1">AND(C656&gt;='Interes Por Semana'!$C$4, C656&lt;='Interes Por Semana'!$E$4)</f>
        <v>0</v>
      </c>
      <c r="W656" s="18" t="str">
        <f t="shared" si="21"/>
        <v>miércoles</v>
      </c>
    </row>
    <row r="657" spans="2:23" hidden="1" x14ac:dyDescent="0.25">
      <c r="B657" s="337">
        <v>45447</v>
      </c>
      <c r="C657" s="337">
        <v>46501</v>
      </c>
      <c r="D657" s="374" t="s">
        <v>78</v>
      </c>
      <c r="E657" s="309" t="s">
        <v>47</v>
      </c>
      <c r="F657" s="310" t="s">
        <v>105</v>
      </c>
      <c r="G657" s="312">
        <v>5.93</v>
      </c>
      <c r="H657" s="308">
        <v>13.25</v>
      </c>
      <c r="I657" s="340">
        <v>29.65</v>
      </c>
      <c r="J657" s="340"/>
      <c r="K657" s="308"/>
      <c r="L657" s="341">
        <f t="shared" si="20"/>
        <v>29.65</v>
      </c>
      <c r="M657" s="313"/>
      <c r="N657" s="313"/>
      <c r="O657" s="313"/>
      <c r="P657" s="313"/>
      <c r="Q657" s="311"/>
      <c r="R657" s="392"/>
      <c r="S657" s="358">
        <f ca="1">IF(C657&lt;=EOMONTH('&gt;&gt;Vistas Consolidadas'!$D$2, '&gt;&gt;Vistas Consolidadas'!$F$2),J657+I657,J657)</f>
        <v>29.65</v>
      </c>
      <c r="T657" s="18" t="str">
        <f ca="1">IF(C657&gt;='&gt;&gt;Vistas Consolidadas'!$D$2,"SI","NO")</f>
        <v>SI</v>
      </c>
      <c r="U657" s="358">
        <f ca="1">IF(C657&lt;=EOMONTH('&gt;&gt;Vistas Consolidadas'!$D$2, '&gt;&gt;Vistas Consolidadas'!$F$2),I657,0)</f>
        <v>29.65</v>
      </c>
      <c r="V657" s="18" t="b">
        <f ca="1">AND(C657&gt;='Interes Por Semana'!$C$4, C657&lt;='Interes Por Semana'!$E$4)</f>
        <v>0</v>
      </c>
      <c r="W657" s="18" t="str">
        <f t="shared" si="21"/>
        <v>sábado</v>
      </c>
    </row>
    <row r="658" spans="2:23" hidden="1" x14ac:dyDescent="0.25">
      <c r="B658" s="337">
        <v>45832</v>
      </c>
      <c r="C658" s="337">
        <v>46502</v>
      </c>
      <c r="D658" s="374" t="s">
        <v>78</v>
      </c>
      <c r="E658" s="309" t="s">
        <v>47</v>
      </c>
      <c r="F658" s="310" t="s">
        <v>106</v>
      </c>
      <c r="G658" s="312">
        <v>5.93</v>
      </c>
      <c r="H658" s="308">
        <v>11</v>
      </c>
      <c r="I658" s="340">
        <v>22.41</v>
      </c>
      <c r="J658" s="340"/>
      <c r="K658" s="308"/>
      <c r="L658" s="341">
        <f t="shared" ref="L658:L721" si="22">I658</f>
        <v>22.41</v>
      </c>
      <c r="M658" s="313"/>
      <c r="N658" s="313"/>
      <c r="O658" s="313"/>
      <c r="P658" s="313"/>
      <c r="Q658" s="311"/>
      <c r="R658" s="392"/>
      <c r="S658" s="358">
        <f ca="1">IF(C658&lt;=EOMONTH('&gt;&gt;Vistas Consolidadas'!$D$2, '&gt;&gt;Vistas Consolidadas'!$F$2),J658+I658,J658)</f>
        <v>22.41</v>
      </c>
      <c r="T658" s="18" t="str">
        <f ca="1">IF(C658&gt;='&gt;&gt;Vistas Consolidadas'!$D$2,"SI","NO")</f>
        <v>SI</v>
      </c>
      <c r="U658" s="358">
        <f ca="1">IF(C658&lt;=EOMONTH('&gt;&gt;Vistas Consolidadas'!$D$2, '&gt;&gt;Vistas Consolidadas'!$F$2),I658,0)</f>
        <v>22.41</v>
      </c>
      <c r="V658" s="18" t="b">
        <f ca="1">AND(C658&gt;='Interes Por Semana'!$C$4, C658&lt;='Interes Por Semana'!$E$4)</f>
        <v>0</v>
      </c>
      <c r="W658" s="18" t="str">
        <f t="shared" si="21"/>
        <v>domingo</v>
      </c>
    </row>
    <row r="659" spans="2:23" hidden="1" x14ac:dyDescent="0.25">
      <c r="B659" s="337">
        <v>45889</v>
      </c>
      <c r="C659" s="337">
        <v>46502</v>
      </c>
      <c r="D659" s="374" t="s">
        <v>78</v>
      </c>
      <c r="E659" s="309" t="s">
        <v>47</v>
      </c>
      <c r="F659" s="310" t="s">
        <v>106</v>
      </c>
      <c r="G659" s="312">
        <v>6.21</v>
      </c>
      <c r="H659" s="308">
        <v>9.75</v>
      </c>
      <c r="I659" s="340">
        <v>4.5</v>
      </c>
      <c r="J659" s="340"/>
      <c r="K659" s="308"/>
      <c r="L659" s="341">
        <f t="shared" si="22"/>
        <v>4.5</v>
      </c>
      <c r="M659" s="313"/>
      <c r="N659" s="313"/>
      <c r="O659" s="313"/>
      <c r="P659" s="313"/>
      <c r="Q659" s="311"/>
      <c r="R659" s="392"/>
      <c r="S659" s="358">
        <f ca="1">IF(C659&lt;=EOMONTH('&gt;&gt;Vistas Consolidadas'!$D$2, '&gt;&gt;Vistas Consolidadas'!$F$2),J659+I659,J659)</f>
        <v>4.5</v>
      </c>
      <c r="T659" s="18" t="str">
        <f ca="1">IF(C659&gt;='&gt;&gt;Vistas Consolidadas'!$D$2,"SI","NO")</f>
        <v>SI</v>
      </c>
      <c r="U659" s="358">
        <f ca="1">IF(C659&lt;=EOMONTH('&gt;&gt;Vistas Consolidadas'!$D$2, '&gt;&gt;Vistas Consolidadas'!$F$2),I659,0)</f>
        <v>4.5</v>
      </c>
      <c r="V659" s="18" t="b">
        <f ca="1">AND(C659&gt;='Interes Por Semana'!$C$4, C659&lt;='Interes Por Semana'!$E$4)</f>
        <v>0</v>
      </c>
      <c r="W659" s="18" t="str">
        <f t="shared" si="21"/>
        <v>domingo</v>
      </c>
    </row>
    <row r="660" spans="2:23" hidden="1" x14ac:dyDescent="0.25">
      <c r="B660" s="337">
        <v>45889</v>
      </c>
      <c r="C660" s="337">
        <v>46502</v>
      </c>
      <c r="D660" s="374" t="s">
        <v>78</v>
      </c>
      <c r="E660" s="309" t="s">
        <v>46</v>
      </c>
      <c r="F660" s="310" t="s">
        <v>106</v>
      </c>
      <c r="G660" s="312">
        <v>6.21</v>
      </c>
      <c r="H660" s="308">
        <v>10.75</v>
      </c>
      <c r="I660" s="340">
        <v>25.88</v>
      </c>
      <c r="J660" s="340"/>
      <c r="K660" s="308"/>
      <c r="L660" s="341">
        <f t="shared" si="22"/>
        <v>25.88</v>
      </c>
      <c r="M660" s="313"/>
      <c r="N660" s="313"/>
      <c r="O660" s="313"/>
      <c r="P660" s="313"/>
      <c r="Q660" s="311"/>
      <c r="R660" s="392"/>
      <c r="S660" s="358">
        <f ca="1">IF(C660&lt;=EOMONTH('&gt;&gt;Vistas Consolidadas'!$D$2, '&gt;&gt;Vistas Consolidadas'!$F$2),J660+I660,J660)</f>
        <v>25.88</v>
      </c>
      <c r="T660" s="18" t="str">
        <f ca="1">IF(C660&gt;='&gt;&gt;Vistas Consolidadas'!$D$2,"SI","NO")</f>
        <v>SI</v>
      </c>
      <c r="U660" s="358">
        <f ca="1">IF(C660&lt;=EOMONTH('&gt;&gt;Vistas Consolidadas'!$D$2, '&gt;&gt;Vistas Consolidadas'!$F$2),I660,0)</f>
        <v>25.88</v>
      </c>
      <c r="V660" s="18" t="b">
        <f ca="1">AND(C660&gt;='Interes Por Semana'!$C$4, C660&lt;='Interes Por Semana'!$E$4)</f>
        <v>0</v>
      </c>
      <c r="W660" s="18" t="str">
        <f t="shared" si="21"/>
        <v>domingo</v>
      </c>
    </row>
    <row r="661" spans="2:23" hidden="1" x14ac:dyDescent="0.25">
      <c r="B661" s="337">
        <v>45593</v>
      </c>
      <c r="C661" s="337">
        <v>46503</v>
      </c>
      <c r="D661" s="374" t="s">
        <v>78</v>
      </c>
      <c r="E661" s="309" t="s">
        <v>47</v>
      </c>
      <c r="F661" s="310" t="s">
        <v>107</v>
      </c>
      <c r="G661" s="312">
        <v>5.07</v>
      </c>
      <c r="H661" s="308">
        <v>13</v>
      </c>
      <c r="I661" s="340">
        <v>11.41</v>
      </c>
      <c r="J661" s="340"/>
      <c r="K661" s="308"/>
      <c r="L661" s="341">
        <f t="shared" si="22"/>
        <v>11.41</v>
      </c>
      <c r="M661" s="313"/>
      <c r="N661" s="313"/>
      <c r="O661" s="313"/>
      <c r="P661" s="313"/>
      <c r="Q661" s="311"/>
      <c r="R661" s="392"/>
      <c r="S661" s="358">
        <f ca="1">IF(C661&lt;=EOMONTH('&gt;&gt;Vistas Consolidadas'!$D$2, '&gt;&gt;Vistas Consolidadas'!$F$2),J661+I661,J661)</f>
        <v>11.41</v>
      </c>
      <c r="T661" s="18" t="str">
        <f ca="1">IF(C661&gt;='&gt;&gt;Vistas Consolidadas'!$D$2,"SI","NO")</f>
        <v>SI</v>
      </c>
      <c r="U661" s="358">
        <f ca="1">IF(C661&lt;=EOMONTH('&gt;&gt;Vistas Consolidadas'!$D$2, '&gt;&gt;Vistas Consolidadas'!$F$2),I661,0)</f>
        <v>11.41</v>
      </c>
      <c r="V661" s="18" t="b">
        <f ca="1">AND(C661&gt;='Interes Por Semana'!$C$4, C661&lt;='Interes Por Semana'!$E$4)</f>
        <v>0</v>
      </c>
      <c r="W661" s="18" t="str">
        <f t="shared" si="21"/>
        <v>lunes</v>
      </c>
    </row>
    <row r="662" spans="2:23" hidden="1" x14ac:dyDescent="0.25">
      <c r="B662" s="337">
        <v>44830</v>
      </c>
      <c r="C662" s="337">
        <v>46504</v>
      </c>
      <c r="D662" s="374" t="s">
        <v>78</v>
      </c>
      <c r="E662" s="309" t="s">
        <v>47</v>
      </c>
      <c r="F662" s="310" t="s">
        <v>108</v>
      </c>
      <c r="G662" s="312">
        <v>5.64</v>
      </c>
      <c r="H662" s="308">
        <v>10.199999999999999</v>
      </c>
      <c r="I662" s="340">
        <v>9.4</v>
      </c>
      <c r="J662" s="340"/>
      <c r="K662" s="308"/>
      <c r="L662" s="341">
        <f t="shared" si="22"/>
        <v>9.4</v>
      </c>
      <c r="M662" s="313"/>
      <c r="N662" s="313"/>
      <c r="O662" s="313"/>
      <c r="P662" s="313"/>
      <c r="Q662" s="311"/>
      <c r="R662" s="392"/>
      <c r="S662" s="358">
        <f ca="1">IF(C662&lt;=EOMONTH('&gt;&gt;Vistas Consolidadas'!$D$2, '&gt;&gt;Vistas Consolidadas'!$F$2),J662+I662,J662)</f>
        <v>9.4</v>
      </c>
      <c r="T662" s="18" t="str">
        <f ca="1">IF(C662&gt;='&gt;&gt;Vistas Consolidadas'!$D$2,"SI","NO")</f>
        <v>SI</v>
      </c>
      <c r="U662" s="358">
        <f ca="1">IF(C662&lt;=EOMONTH('&gt;&gt;Vistas Consolidadas'!$D$2, '&gt;&gt;Vistas Consolidadas'!$F$2),I662,0)</f>
        <v>9.4</v>
      </c>
      <c r="V662" s="18" t="b">
        <f ca="1">AND(C662&gt;='Interes Por Semana'!$C$4, C662&lt;='Interes Por Semana'!$E$4)</f>
        <v>0</v>
      </c>
      <c r="W662" s="18" t="str">
        <f t="shared" si="21"/>
        <v>martes</v>
      </c>
    </row>
    <row r="663" spans="2:23" hidden="1" x14ac:dyDescent="0.25">
      <c r="B663" s="337">
        <v>46057</v>
      </c>
      <c r="C663" s="337">
        <v>46504</v>
      </c>
      <c r="D663" s="374" t="s">
        <v>78</v>
      </c>
      <c r="E663" s="309" t="s">
        <v>47</v>
      </c>
      <c r="F663" s="310" t="s">
        <v>109</v>
      </c>
      <c r="G663" s="312">
        <v>6.21</v>
      </c>
      <c r="H663" s="308">
        <v>11</v>
      </c>
      <c r="I663" s="340">
        <v>15.61</v>
      </c>
      <c r="J663" s="340"/>
      <c r="K663" s="308"/>
      <c r="L663" s="341">
        <f t="shared" si="22"/>
        <v>15.61</v>
      </c>
      <c r="M663" s="313"/>
      <c r="N663" s="313"/>
      <c r="O663" s="313"/>
      <c r="P663" s="313"/>
      <c r="Q663" s="311"/>
      <c r="R663" s="392"/>
      <c r="S663" s="358">
        <f ca="1">IF(C663&lt;=EOMONTH('&gt;&gt;Vistas Consolidadas'!$D$2, '&gt;&gt;Vistas Consolidadas'!$F$2),J663+I663,J663)</f>
        <v>15.61</v>
      </c>
      <c r="T663" s="18" t="str">
        <f ca="1">IF(C663&gt;='&gt;&gt;Vistas Consolidadas'!$D$2,"SI","NO")</f>
        <v>SI</v>
      </c>
      <c r="U663" s="358">
        <f ca="1">IF(C663&lt;=EOMONTH('&gt;&gt;Vistas Consolidadas'!$D$2, '&gt;&gt;Vistas Consolidadas'!$F$2),I663,0)</f>
        <v>15.61</v>
      </c>
      <c r="V663" s="18" t="b">
        <f ca="1">AND(C663&gt;='Interes Por Semana'!$C$4, C663&lt;='Interes Por Semana'!$E$4)</f>
        <v>0</v>
      </c>
      <c r="W663" s="18" t="str">
        <f t="shared" si="21"/>
        <v>martes</v>
      </c>
    </row>
    <row r="664" spans="2:23" hidden="1" x14ac:dyDescent="0.25">
      <c r="B664" s="337">
        <v>46080</v>
      </c>
      <c r="C664" s="337">
        <v>46504</v>
      </c>
      <c r="D664" s="374" t="s">
        <v>78</v>
      </c>
      <c r="E664" s="309" t="s">
        <v>46</v>
      </c>
      <c r="F664" s="310" t="s">
        <v>110</v>
      </c>
      <c r="G664" s="312">
        <v>6.21</v>
      </c>
      <c r="H664" s="308">
        <v>10.6</v>
      </c>
      <c r="I664" s="340">
        <v>17.79</v>
      </c>
      <c r="J664" s="340"/>
      <c r="K664" s="308"/>
      <c r="L664" s="341">
        <f t="shared" si="22"/>
        <v>17.79</v>
      </c>
      <c r="M664" s="313"/>
      <c r="N664" s="313"/>
      <c r="O664" s="313"/>
      <c r="P664" s="313"/>
      <c r="Q664" s="311"/>
      <c r="R664" s="392"/>
      <c r="S664" s="358">
        <f ca="1">IF(C664&lt;=EOMONTH('&gt;&gt;Vistas Consolidadas'!$D$2, '&gt;&gt;Vistas Consolidadas'!$F$2),J664+I664,J664)</f>
        <v>17.79</v>
      </c>
      <c r="T664" s="18" t="str">
        <f ca="1">IF(C664&gt;='&gt;&gt;Vistas Consolidadas'!$D$2,"SI","NO")</f>
        <v>SI</v>
      </c>
      <c r="U664" s="358">
        <f ca="1">IF(C664&lt;=EOMONTH('&gt;&gt;Vistas Consolidadas'!$D$2, '&gt;&gt;Vistas Consolidadas'!$F$2),I664,0)</f>
        <v>17.79</v>
      </c>
      <c r="V664" s="18" t="b">
        <f ca="1">AND(C664&gt;='Interes Por Semana'!$C$4, C664&lt;='Interes Por Semana'!$E$4)</f>
        <v>0</v>
      </c>
      <c r="W664" s="18" t="str">
        <f t="shared" si="21"/>
        <v>martes</v>
      </c>
    </row>
    <row r="665" spans="2:23" hidden="1" x14ac:dyDescent="0.25">
      <c r="B665" s="337">
        <v>45987</v>
      </c>
      <c r="C665" s="337">
        <v>46505</v>
      </c>
      <c r="D665" s="374" t="s">
        <v>78</v>
      </c>
      <c r="E665" s="309" t="s">
        <v>46</v>
      </c>
      <c r="F665" s="310" t="s">
        <v>111</v>
      </c>
      <c r="G665" s="312">
        <v>6.82</v>
      </c>
      <c r="H665" s="308">
        <v>11</v>
      </c>
      <c r="I665" s="340">
        <v>6.82</v>
      </c>
      <c r="J665" s="340">
        <v>0</v>
      </c>
      <c r="K665" s="308"/>
      <c r="L665" s="341">
        <f t="shared" si="22"/>
        <v>6.82</v>
      </c>
      <c r="M665" s="313"/>
      <c r="N665" s="313"/>
      <c r="O665" s="313"/>
      <c r="P665" s="313"/>
      <c r="Q665" s="311"/>
      <c r="R665" s="392"/>
      <c r="S665" s="358">
        <f ca="1">IF(C665&lt;=EOMONTH('&gt;&gt;Vistas Consolidadas'!$D$2, '&gt;&gt;Vistas Consolidadas'!$F$2),J665+I665,J665)</f>
        <v>6.82</v>
      </c>
      <c r="T665" s="18" t="str">
        <f ca="1">IF(C665&gt;='&gt;&gt;Vistas Consolidadas'!$D$2,"SI","NO")</f>
        <v>SI</v>
      </c>
      <c r="U665" s="358">
        <f ca="1">IF(C665&lt;=EOMONTH('&gt;&gt;Vistas Consolidadas'!$D$2, '&gt;&gt;Vistas Consolidadas'!$F$2),I665,0)</f>
        <v>6.82</v>
      </c>
      <c r="V665" s="18" t="b">
        <f ca="1">AND(C665&gt;='Interes Por Semana'!$C$4, C665&lt;='Interes Por Semana'!$E$4)</f>
        <v>0</v>
      </c>
      <c r="W665" s="18" t="str">
        <f t="shared" si="21"/>
        <v>miércoles</v>
      </c>
    </row>
    <row r="666" spans="2:23" hidden="1" x14ac:dyDescent="0.25">
      <c r="B666" s="337">
        <v>45323</v>
      </c>
      <c r="C666" s="337">
        <v>46492</v>
      </c>
      <c r="D666" s="374" t="s">
        <v>96</v>
      </c>
      <c r="E666" s="309" t="s">
        <v>47</v>
      </c>
      <c r="F666" s="310" t="s">
        <v>97</v>
      </c>
      <c r="G666" s="311">
        <v>6</v>
      </c>
      <c r="H666" s="311">
        <v>12</v>
      </c>
      <c r="I666" s="340">
        <v>16.670000000000002</v>
      </c>
      <c r="J666" s="340"/>
      <c r="K666" s="311"/>
      <c r="L666" s="341">
        <f t="shared" si="22"/>
        <v>16.670000000000002</v>
      </c>
      <c r="M666" s="313"/>
      <c r="N666" s="313"/>
      <c r="O666" s="313"/>
      <c r="P666" s="313"/>
      <c r="Q666" s="311"/>
      <c r="R666" s="392"/>
      <c r="S666" s="358">
        <f ca="1">IF(C666&lt;=EOMONTH('&gt;&gt;Vistas Consolidadas'!$D$2, '&gt;&gt;Vistas Consolidadas'!$F$2),J666+I666,J666)</f>
        <v>16.670000000000002</v>
      </c>
      <c r="T666" s="18" t="str">
        <f ca="1">IF(C666&gt;='&gt;&gt;Vistas Consolidadas'!$D$2,"SI","NO")</f>
        <v>SI</v>
      </c>
      <c r="U666" s="358">
        <f ca="1">IF(C666&lt;=EOMONTH('&gt;&gt;Vistas Consolidadas'!$D$2, '&gt;&gt;Vistas Consolidadas'!$F$2),I666,0)</f>
        <v>16.670000000000002</v>
      </c>
      <c r="V666" s="18" t="b">
        <f ca="1">AND(C666&gt;='Interes Por Semana'!$C$4, C666&lt;='Interes Por Semana'!$E$4)</f>
        <v>0</v>
      </c>
      <c r="W666" s="18" t="str">
        <f t="shared" si="21"/>
        <v>jueves</v>
      </c>
    </row>
    <row r="667" spans="2:23" hidden="1" x14ac:dyDescent="0.25">
      <c r="B667" s="337">
        <v>45356</v>
      </c>
      <c r="C667" s="337">
        <v>46492</v>
      </c>
      <c r="D667" s="374" t="s">
        <v>96</v>
      </c>
      <c r="E667" s="309" t="s">
        <v>47</v>
      </c>
      <c r="F667" s="310" t="s">
        <v>97</v>
      </c>
      <c r="G667" s="311">
        <v>6</v>
      </c>
      <c r="H667" s="311">
        <v>12</v>
      </c>
      <c r="I667" s="340">
        <v>108.33</v>
      </c>
      <c r="J667" s="340"/>
      <c r="K667" s="311"/>
      <c r="L667" s="341">
        <f t="shared" si="22"/>
        <v>108.33</v>
      </c>
      <c r="M667" s="313"/>
      <c r="N667" s="313"/>
      <c r="O667" s="313"/>
      <c r="P667" s="313"/>
      <c r="Q667" s="311"/>
      <c r="R667" s="392"/>
      <c r="S667" s="358">
        <f ca="1">IF(C667&lt;=EOMONTH('&gt;&gt;Vistas Consolidadas'!$D$2, '&gt;&gt;Vistas Consolidadas'!$F$2),J667+I667,J667)</f>
        <v>108.33</v>
      </c>
      <c r="T667" s="18" t="str">
        <f ca="1">IF(C667&gt;='&gt;&gt;Vistas Consolidadas'!$D$2,"SI","NO")</f>
        <v>SI</v>
      </c>
      <c r="U667" s="358">
        <f ca="1">IF(C667&lt;=EOMONTH('&gt;&gt;Vistas Consolidadas'!$D$2, '&gt;&gt;Vistas Consolidadas'!$F$2),I667,0)</f>
        <v>108.33</v>
      </c>
      <c r="V667" s="18" t="b">
        <f ca="1">AND(C667&gt;='Interes Por Semana'!$C$4, C667&lt;='Interes Por Semana'!$E$4)</f>
        <v>0</v>
      </c>
      <c r="W667" s="18" t="str">
        <f t="shared" si="21"/>
        <v>jueves</v>
      </c>
    </row>
    <row r="668" spans="2:23" hidden="1" x14ac:dyDescent="0.25">
      <c r="B668" s="337">
        <v>45006</v>
      </c>
      <c r="C668" s="337">
        <v>46492</v>
      </c>
      <c r="D668" s="374" t="s">
        <v>96</v>
      </c>
      <c r="E668" s="309" t="s">
        <v>46</v>
      </c>
      <c r="F668" s="310" t="s">
        <v>97</v>
      </c>
      <c r="G668" s="311">
        <v>6</v>
      </c>
      <c r="H668" s="311">
        <v>12</v>
      </c>
      <c r="I668" s="340">
        <v>62.5</v>
      </c>
      <c r="J668" s="340"/>
      <c r="K668" s="311"/>
      <c r="L668" s="341">
        <f t="shared" si="22"/>
        <v>62.5</v>
      </c>
      <c r="M668" s="313"/>
      <c r="N668" s="313"/>
      <c r="O668" s="313"/>
      <c r="P668" s="313"/>
      <c r="Q668" s="311"/>
      <c r="R668" s="392"/>
      <c r="S668" s="358">
        <f ca="1">IF(C668&lt;=EOMONTH('&gt;&gt;Vistas Consolidadas'!$D$2, '&gt;&gt;Vistas Consolidadas'!$F$2),J668+I668,J668)</f>
        <v>62.5</v>
      </c>
      <c r="T668" s="18" t="str">
        <f ca="1">IF(C668&gt;='&gt;&gt;Vistas Consolidadas'!$D$2,"SI","NO")</f>
        <v>SI</v>
      </c>
      <c r="U668" s="358">
        <f ca="1">IF(C668&lt;=EOMONTH('&gt;&gt;Vistas Consolidadas'!$D$2, '&gt;&gt;Vistas Consolidadas'!$F$2),I668,0)</f>
        <v>62.5</v>
      </c>
      <c r="V668" s="18" t="b">
        <f ca="1">AND(C668&gt;='Interes Por Semana'!$C$4, C668&lt;='Interes Por Semana'!$E$4)</f>
        <v>0</v>
      </c>
      <c r="W668" s="18" t="str">
        <f t="shared" si="21"/>
        <v>jueves</v>
      </c>
    </row>
    <row r="669" spans="2:23" hidden="1" x14ac:dyDescent="0.25">
      <c r="B669" s="337">
        <v>45397</v>
      </c>
      <c r="C669" s="337">
        <v>46492</v>
      </c>
      <c r="D669" s="374" t="s">
        <v>96</v>
      </c>
      <c r="E669" s="309" t="s">
        <v>47</v>
      </c>
      <c r="F669" s="310" t="s">
        <v>97</v>
      </c>
      <c r="G669" s="311">
        <v>6</v>
      </c>
      <c r="H669" s="311">
        <v>12</v>
      </c>
      <c r="I669" s="340">
        <v>54.16</v>
      </c>
      <c r="J669" s="340"/>
      <c r="K669" s="311"/>
      <c r="L669" s="341">
        <f t="shared" si="22"/>
        <v>54.16</v>
      </c>
      <c r="M669" s="313"/>
      <c r="N669" s="313"/>
      <c r="O669" s="313"/>
      <c r="P669" s="313"/>
      <c r="Q669" s="311"/>
      <c r="R669" s="392"/>
      <c r="S669" s="358">
        <f ca="1">IF(C669&lt;=EOMONTH('&gt;&gt;Vistas Consolidadas'!$D$2, '&gt;&gt;Vistas Consolidadas'!$F$2),J669+I669,J669)</f>
        <v>54.16</v>
      </c>
      <c r="T669" s="18" t="str">
        <f ca="1">IF(C669&gt;='&gt;&gt;Vistas Consolidadas'!$D$2,"SI","NO")</f>
        <v>SI</v>
      </c>
      <c r="U669" s="358">
        <f ca="1">IF(C669&lt;=EOMONTH('&gt;&gt;Vistas Consolidadas'!$D$2, '&gt;&gt;Vistas Consolidadas'!$F$2),I669,0)</f>
        <v>54.16</v>
      </c>
      <c r="V669" s="18" t="b">
        <f ca="1">AND(C669&gt;='Interes Por Semana'!$C$4, C669&lt;='Interes Por Semana'!$E$4)</f>
        <v>0</v>
      </c>
      <c r="W669" s="18" t="str">
        <f t="shared" si="21"/>
        <v>jueves</v>
      </c>
    </row>
    <row r="670" spans="2:23" hidden="1" x14ac:dyDescent="0.25">
      <c r="B670" s="337">
        <v>45397</v>
      </c>
      <c r="C670" s="337">
        <v>46492</v>
      </c>
      <c r="D670" s="374" t="s">
        <v>96</v>
      </c>
      <c r="E670" s="309" t="s">
        <v>46</v>
      </c>
      <c r="F670" s="310" t="s">
        <v>97</v>
      </c>
      <c r="G670" s="311">
        <v>6</v>
      </c>
      <c r="H670" s="311">
        <v>12</v>
      </c>
      <c r="I670" s="340">
        <v>62.5</v>
      </c>
      <c r="J670" s="340"/>
      <c r="K670" s="311"/>
      <c r="L670" s="341">
        <f t="shared" si="22"/>
        <v>62.5</v>
      </c>
      <c r="M670" s="313"/>
      <c r="N670" s="313"/>
      <c r="O670" s="313"/>
      <c r="P670" s="313"/>
      <c r="Q670" s="311"/>
      <c r="R670" s="392"/>
      <c r="S670" s="358">
        <f ca="1">IF(C670&lt;=EOMONTH('&gt;&gt;Vistas Consolidadas'!$D$2, '&gt;&gt;Vistas Consolidadas'!$F$2),J670+I670,J670)</f>
        <v>62.5</v>
      </c>
      <c r="T670" s="18" t="str">
        <f ca="1">IF(C670&gt;='&gt;&gt;Vistas Consolidadas'!$D$2,"SI","NO")</f>
        <v>SI</v>
      </c>
      <c r="U670" s="358">
        <f ca="1">IF(C670&lt;=EOMONTH('&gt;&gt;Vistas Consolidadas'!$D$2, '&gt;&gt;Vistas Consolidadas'!$F$2),I670,0)</f>
        <v>62.5</v>
      </c>
      <c r="V670" s="18" t="b">
        <f ca="1">AND(C670&gt;='Interes Por Semana'!$C$4, C670&lt;='Interes Por Semana'!$E$4)</f>
        <v>0</v>
      </c>
      <c r="W670" s="18" t="str">
        <f t="shared" si="21"/>
        <v>jueves</v>
      </c>
    </row>
    <row r="671" spans="2:23" hidden="1" x14ac:dyDescent="0.25">
      <c r="B671" s="337">
        <v>45398</v>
      </c>
      <c r="C671" s="337">
        <v>46492</v>
      </c>
      <c r="D671" s="374" t="s">
        <v>96</v>
      </c>
      <c r="E671" s="309" t="s">
        <v>47</v>
      </c>
      <c r="F671" s="310" t="s">
        <v>97</v>
      </c>
      <c r="G671" s="311">
        <v>6</v>
      </c>
      <c r="H671" s="311">
        <v>12</v>
      </c>
      <c r="I671" s="340">
        <v>16.670000000000002</v>
      </c>
      <c r="J671" s="340"/>
      <c r="K671" s="311"/>
      <c r="L671" s="341">
        <f t="shared" si="22"/>
        <v>16.670000000000002</v>
      </c>
      <c r="M671" s="313"/>
      <c r="N671" s="313"/>
      <c r="O671" s="313"/>
      <c r="P671" s="313"/>
      <c r="Q671" s="311"/>
      <c r="R671" s="392"/>
      <c r="S671" s="358">
        <f ca="1">IF(C671&lt;=EOMONTH('&gt;&gt;Vistas Consolidadas'!$D$2, '&gt;&gt;Vistas Consolidadas'!$F$2),J671+I671,J671)</f>
        <v>16.670000000000002</v>
      </c>
      <c r="T671" s="18" t="str">
        <f ca="1">IF(C671&gt;='&gt;&gt;Vistas Consolidadas'!$D$2,"SI","NO")</f>
        <v>SI</v>
      </c>
      <c r="U671" s="358">
        <f ca="1">IF(C671&lt;=EOMONTH('&gt;&gt;Vistas Consolidadas'!$D$2, '&gt;&gt;Vistas Consolidadas'!$F$2),I671,0)</f>
        <v>16.670000000000002</v>
      </c>
      <c r="V671" s="18" t="b">
        <f ca="1">AND(C671&gt;='Interes Por Semana'!$C$4, C671&lt;='Interes Por Semana'!$E$4)</f>
        <v>0</v>
      </c>
      <c r="W671" s="18" t="str">
        <f t="shared" si="21"/>
        <v>jueves</v>
      </c>
    </row>
    <row r="672" spans="2:23" hidden="1" x14ac:dyDescent="0.25">
      <c r="B672" s="337">
        <v>46105</v>
      </c>
      <c r="C672" s="337">
        <v>46492</v>
      </c>
      <c r="D672" s="374" t="s">
        <v>96</v>
      </c>
      <c r="E672" s="309" t="s">
        <v>47</v>
      </c>
      <c r="F672" s="310" t="s">
        <v>97</v>
      </c>
      <c r="G672" s="311">
        <v>6</v>
      </c>
      <c r="H672" s="311">
        <v>10</v>
      </c>
      <c r="I672" s="340">
        <v>16.670000000000002</v>
      </c>
      <c r="J672" s="340"/>
      <c r="K672" s="311"/>
      <c r="L672" s="341">
        <f t="shared" si="22"/>
        <v>16.670000000000002</v>
      </c>
      <c r="M672" s="313"/>
      <c r="N672" s="313"/>
      <c r="O672" s="313"/>
      <c r="P672" s="313"/>
      <c r="Q672" s="311"/>
      <c r="R672" s="392"/>
      <c r="S672" s="358">
        <f ca="1">IF(C672&lt;=EOMONTH('&gt;&gt;Vistas Consolidadas'!$D$2, '&gt;&gt;Vistas Consolidadas'!$F$2),J672+I672,J672)</f>
        <v>16.670000000000002</v>
      </c>
      <c r="T672" s="18" t="str">
        <f ca="1">IF(C672&gt;='&gt;&gt;Vistas Consolidadas'!$D$2,"SI","NO")</f>
        <v>SI</v>
      </c>
      <c r="U672" s="358">
        <f ca="1">IF(C672&lt;=EOMONTH('&gt;&gt;Vistas Consolidadas'!$D$2, '&gt;&gt;Vistas Consolidadas'!$F$2),I672,0)</f>
        <v>16.670000000000002</v>
      </c>
      <c r="V672" s="18" t="b">
        <f ca="1">AND(C672&gt;='Interes Por Semana'!$C$4, C672&lt;='Interes Por Semana'!$E$4)</f>
        <v>0</v>
      </c>
      <c r="W672" s="18" t="str">
        <f t="shared" si="21"/>
        <v>jueves</v>
      </c>
    </row>
    <row r="673" spans="2:23" hidden="1" x14ac:dyDescent="0.25">
      <c r="B673" s="337">
        <v>46149</v>
      </c>
      <c r="C673" s="337">
        <v>46150</v>
      </c>
      <c r="D673" s="374" t="s">
        <v>78</v>
      </c>
      <c r="E673" s="309" t="s">
        <v>138</v>
      </c>
      <c r="F673" s="310" t="s">
        <v>153</v>
      </c>
      <c r="G673" s="311">
        <v>7.72</v>
      </c>
      <c r="H673" s="311">
        <v>9</v>
      </c>
      <c r="I673" s="340">
        <v>2.25</v>
      </c>
      <c r="J673" s="340">
        <v>65.3</v>
      </c>
      <c r="K673" s="311"/>
      <c r="L673" s="340">
        <f t="shared" si="22"/>
        <v>2.25</v>
      </c>
      <c r="M673" s="311"/>
      <c r="N673" s="311"/>
      <c r="O673" s="311"/>
      <c r="P673" s="311"/>
      <c r="Q673" s="386"/>
      <c r="R673" s="392"/>
      <c r="S673" s="358">
        <f ca="1">IF(C673&lt;=EOMONTH('&gt;&gt;Vistas Consolidadas'!$D$2, '&gt;&gt;Vistas Consolidadas'!$F$2),J673+I673,J673)</f>
        <v>67.55</v>
      </c>
      <c r="T673" s="18" t="str">
        <f ca="1">IF(C673&gt;='&gt;&gt;Vistas Consolidadas'!$D$2,"SI","NO")</f>
        <v>NO</v>
      </c>
      <c r="U673" s="358">
        <f ca="1">IF(C673&lt;=EOMONTH('&gt;&gt;Vistas Consolidadas'!$D$2, '&gt;&gt;Vistas Consolidadas'!$F$2),I673,0)</f>
        <v>2.25</v>
      </c>
      <c r="V673" s="18" t="b">
        <f ca="1">AND(C673&gt;='Interes Por Semana'!$C$4, C673&lt;='Interes Por Semana'!$E$4)</f>
        <v>0</v>
      </c>
      <c r="W673" s="18" t="str">
        <f t="shared" si="21"/>
        <v>viernes</v>
      </c>
    </row>
    <row r="674" spans="2:23" hidden="1" x14ac:dyDescent="0.25">
      <c r="B674" s="337">
        <v>46149</v>
      </c>
      <c r="C674" s="337">
        <v>46181</v>
      </c>
      <c r="D674" s="374" t="s">
        <v>78</v>
      </c>
      <c r="E674" s="309" t="s">
        <v>138</v>
      </c>
      <c r="F674" s="310" t="s">
        <v>153</v>
      </c>
      <c r="G674" s="311">
        <v>7.72</v>
      </c>
      <c r="H674" s="311">
        <v>9</v>
      </c>
      <c r="I674" s="340">
        <v>67.55</v>
      </c>
      <c r="J674" s="340"/>
      <c r="K674" s="311"/>
      <c r="L674" s="340">
        <f t="shared" si="22"/>
        <v>67.55</v>
      </c>
      <c r="M674" s="311"/>
      <c r="N674" s="311"/>
      <c r="O674" s="311"/>
      <c r="P674" s="311"/>
      <c r="Q674" s="386"/>
      <c r="R674" s="392"/>
      <c r="S674" s="358">
        <f ca="1">IF(C674&lt;=EOMONTH('&gt;&gt;Vistas Consolidadas'!$D$2, '&gt;&gt;Vistas Consolidadas'!$F$2),J674+I674,J674)</f>
        <v>67.55</v>
      </c>
      <c r="T674" s="18" t="str">
        <f ca="1">IF(C674&gt;='&gt;&gt;Vistas Consolidadas'!$D$2,"SI","NO")</f>
        <v>NO</v>
      </c>
      <c r="U674" s="358">
        <f ca="1">IF(C674&lt;=EOMONTH('&gt;&gt;Vistas Consolidadas'!$D$2, '&gt;&gt;Vistas Consolidadas'!$F$2),I674,0)</f>
        <v>67.55</v>
      </c>
      <c r="V674" s="18" t="b">
        <f ca="1">AND(C674&gt;='Interes Por Semana'!$C$4, C674&lt;='Interes Por Semana'!$E$4)</f>
        <v>0</v>
      </c>
      <c r="W674" s="18" t="str">
        <f t="shared" si="21"/>
        <v>lunes</v>
      </c>
    </row>
    <row r="675" spans="2:23" hidden="1" x14ac:dyDescent="0.25">
      <c r="B675" s="337">
        <v>46149</v>
      </c>
      <c r="C675" s="337">
        <v>46211</v>
      </c>
      <c r="D675" s="374" t="s">
        <v>78</v>
      </c>
      <c r="E675" s="309" t="s">
        <v>138</v>
      </c>
      <c r="F675" s="310" t="s">
        <v>153</v>
      </c>
      <c r="G675" s="311">
        <v>7.72</v>
      </c>
      <c r="H675" s="311">
        <v>9</v>
      </c>
      <c r="I675" s="340">
        <v>67.55</v>
      </c>
      <c r="J675" s="340"/>
      <c r="K675" s="311"/>
      <c r="L675" s="340">
        <f t="shared" si="22"/>
        <v>67.55</v>
      </c>
      <c r="M675" s="311"/>
      <c r="N675" s="311"/>
      <c r="O675" s="311"/>
      <c r="P675" s="311"/>
      <c r="Q675" s="386"/>
      <c r="R675" s="392"/>
      <c r="S675" s="358">
        <f ca="1">IF(C675&lt;=EOMONTH('&gt;&gt;Vistas Consolidadas'!$D$2, '&gt;&gt;Vistas Consolidadas'!$F$2),J675+I675,J675)</f>
        <v>67.55</v>
      </c>
      <c r="T675" s="18" t="str">
        <f ca="1">IF(C675&gt;='&gt;&gt;Vistas Consolidadas'!$D$2,"SI","NO")</f>
        <v>NO</v>
      </c>
      <c r="U675" s="358">
        <f ca="1">IF(C675&lt;=EOMONTH('&gt;&gt;Vistas Consolidadas'!$D$2, '&gt;&gt;Vistas Consolidadas'!$F$2),I675,0)</f>
        <v>67.55</v>
      </c>
      <c r="V675" s="18" t="b">
        <f ca="1">AND(C675&gt;='Interes Por Semana'!$C$4, C675&lt;='Interes Por Semana'!$E$4)</f>
        <v>0</v>
      </c>
      <c r="W675" s="18" t="str">
        <f t="shared" si="21"/>
        <v>miércoles</v>
      </c>
    </row>
    <row r="676" spans="2:23" hidden="1" x14ac:dyDescent="0.25">
      <c r="B676" s="337">
        <v>46149</v>
      </c>
      <c r="C676" s="337">
        <v>46242</v>
      </c>
      <c r="D676" s="374" t="s">
        <v>78</v>
      </c>
      <c r="E676" s="309" t="s">
        <v>138</v>
      </c>
      <c r="F676" s="310" t="s">
        <v>153</v>
      </c>
      <c r="G676" s="311">
        <v>7.72</v>
      </c>
      <c r="H676" s="311">
        <v>9</v>
      </c>
      <c r="I676" s="340">
        <v>67.55</v>
      </c>
      <c r="J676" s="340"/>
      <c r="K676" s="311"/>
      <c r="L676" s="340">
        <f t="shared" si="22"/>
        <v>67.55</v>
      </c>
      <c r="M676" s="311"/>
      <c r="N676" s="311"/>
      <c r="O676" s="311"/>
      <c r="P676" s="311"/>
      <c r="Q676" s="386"/>
      <c r="R676" s="392"/>
      <c r="S676" s="358">
        <f ca="1">IF(C676&lt;=EOMONTH('&gt;&gt;Vistas Consolidadas'!$D$2, '&gt;&gt;Vistas Consolidadas'!$F$2),J676+I676,J676)</f>
        <v>67.55</v>
      </c>
      <c r="T676" s="18" t="str">
        <f ca="1">IF(C676&gt;='&gt;&gt;Vistas Consolidadas'!$D$2,"SI","NO")</f>
        <v>NO</v>
      </c>
      <c r="U676" s="358">
        <f ca="1">IF(C676&lt;=EOMONTH('&gt;&gt;Vistas Consolidadas'!$D$2, '&gt;&gt;Vistas Consolidadas'!$F$2),I676,0)</f>
        <v>67.55</v>
      </c>
      <c r="V676" s="18" t="b">
        <f ca="1">AND(C676&gt;='Interes Por Semana'!$C$4, C676&lt;='Interes Por Semana'!$E$4)</f>
        <v>0</v>
      </c>
      <c r="W676" s="18" t="str">
        <f t="shared" si="21"/>
        <v>sábado</v>
      </c>
    </row>
    <row r="677" spans="2:23" hidden="1" x14ac:dyDescent="0.25">
      <c r="B677" s="337">
        <v>46149</v>
      </c>
      <c r="C677" s="337">
        <v>46273</v>
      </c>
      <c r="D677" s="374" t="s">
        <v>78</v>
      </c>
      <c r="E677" s="309" t="s">
        <v>138</v>
      </c>
      <c r="F677" s="310" t="s">
        <v>153</v>
      </c>
      <c r="G677" s="311">
        <v>7.72</v>
      </c>
      <c r="H677" s="311">
        <v>9</v>
      </c>
      <c r="I677" s="340">
        <v>67.55</v>
      </c>
      <c r="J677" s="340"/>
      <c r="K677" s="311"/>
      <c r="L677" s="340">
        <f t="shared" si="22"/>
        <v>67.55</v>
      </c>
      <c r="M677" s="311"/>
      <c r="N677" s="311"/>
      <c r="O677" s="311"/>
      <c r="P677" s="311"/>
      <c r="Q677" s="386"/>
      <c r="R677" s="392"/>
      <c r="S677" s="358">
        <f ca="1">IF(C677&lt;=EOMONTH('&gt;&gt;Vistas Consolidadas'!$D$2, '&gt;&gt;Vistas Consolidadas'!$F$2),J677+I677,J677)</f>
        <v>67.55</v>
      </c>
      <c r="T677" s="18" t="str">
        <f ca="1">IF(C677&gt;='&gt;&gt;Vistas Consolidadas'!$D$2,"SI","NO")</f>
        <v>NO</v>
      </c>
      <c r="U677" s="358">
        <f ca="1">IF(C677&lt;=EOMONTH('&gt;&gt;Vistas Consolidadas'!$D$2, '&gt;&gt;Vistas Consolidadas'!$F$2),I677,0)</f>
        <v>67.55</v>
      </c>
      <c r="V677" s="18" t="b">
        <f ca="1">AND(C677&gt;='Interes Por Semana'!$C$4, C677&lt;='Interes Por Semana'!$E$4)</f>
        <v>0</v>
      </c>
      <c r="W677" s="18" t="str">
        <f t="shared" si="21"/>
        <v>martes</v>
      </c>
    </row>
    <row r="678" spans="2:23" hidden="1" x14ac:dyDescent="0.25">
      <c r="B678" s="337">
        <v>46149</v>
      </c>
      <c r="C678" s="337">
        <v>46303</v>
      </c>
      <c r="D678" s="374" t="s">
        <v>78</v>
      </c>
      <c r="E678" s="309" t="s">
        <v>138</v>
      </c>
      <c r="F678" s="310" t="s">
        <v>153</v>
      </c>
      <c r="G678" s="311">
        <v>7.72</v>
      </c>
      <c r="H678" s="311">
        <v>9</v>
      </c>
      <c r="I678" s="340">
        <v>67.55</v>
      </c>
      <c r="J678" s="340"/>
      <c r="K678" s="311"/>
      <c r="L678" s="340">
        <f t="shared" si="22"/>
        <v>67.55</v>
      </c>
      <c r="M678" s="311"/>
      <c r="N678" s="311"/>
      <c r="O678" s="311"/>
      <c r="P678" s="311"/>
      <c r="Q678" s="386"/>
      <c r="R678" s="392"/>
      <c r="S678" s="358">
        <f ca="1">IF(C678&lt;=EOMONTH('&gt;&gt;Vistas Consolidadas'!$D$2, '&gt;&gt;Vistas Consolidadas'!$F$2),J678+I678,J678)</f>
        <v>67.55</v>
      </c>
      <c r="T678" s="18" t="str">
        <f ca="1">IF(C678&gt;='&gt;&gt;Vistas Consolidadas'!$D$2,"SI","NO")</f>
        <v>NO</v>
      </c>
      <c r="U678" s="358">
        <f ca="1">IF(C678&lt;=EOMONTH('&gt;&gt;Vistas Consolidadas'!$D$2, '&gt;&gt;Vistas Consolidadas'!$F$2),I678,0)</f>
        <v>67.55</v>
      </c>
      <c r="V678" s="18" t="b">
        <f ca="1">AND(C678&gt;='Interes Por Semana'!$C$4, C678&lt;='Interes Por Semana'!$E$4)</f>
        <v>0</v>
      </c>
      <c r="W678" s="18" t="str">
        <f t="shared" si="21"/>
        <v>jueves</v>
      </c>
    </row>
    <row r="679" spans="2:23" hidden="1" x14ac:dyDescent="0.25">
      <c r="B679" s="337">
        <v>46149</v>
      </c>
      <c r="C679" s="337">
        <v>46334</v>
      </c>
      <c r="D679" s="374" t="s">
        <v>78</v>
      </c>
      <c r="E679" s="309" t="s">
        <v>138</v>
      </c>
      <c r="F679" s="310" t="s">
        <v>153</v>
      </c>
      <c r="G679" s="311">
        <v>7.72</v>
      </c>
      <c r="H679" s="311">
        <v>9</v>
      </c>
      <c r="I679" s="340">
        <v>67.55</v>
      </c>
      <c r="J679" s="340"/>
      <c r="K679" s="311"/>
      <c r="L679" s="340">
        <f t="shared" si="22"/>
        <v>67.55</v>
      </c>
      <c r="M679" s="311"/>
      <c r="N679" s="311"/>
      <c r="O679" s="311"/>
      <c r="P679" s="311"/>
      <c r="Q679" s="386"/>
      <c r="R679" s="392"/>
      <c r="S679" s="358">
        <f ca="1">IF(C679&lt;=EOMONTH('&gt;&gt;Vistas Consolidadas'!$D$2, '&gt;&gt;Vistas Consolidadas'!$F$2),J679+I679,J679)</f>
        <v>67.55</v>
      </c>
      <c r="T679" s="18" t="str">
        <f ca="1">IF(C679&gt;='&gt;&gt;Vistas Consolidadas'!$D$2,"SI","NO")</f>
        <v>SI</v>
      </c>
      <c r="U679" s="358">
        <f ca="1">IF(C679&lt;=EOMONTH('&gt;&gt;Vistas Consolidadas'!$D$2, '&gt;&gt;Vistas Consolidadas'!$F$2),I679,0)</f>
        <v>67.55</v>
      </c>
      <c r="V679" s="18" t="b">
        <f ca="1">AND(C679&gt;='Interes Por Semana'!$C$4, C679&lt;='Interes Por Semana'!$E$4)</f>
        <v>0</v>
      </c>
      <c r="W679" s="18" t="str">
        <f t="shared" si="21"/>
        <v>domingo</v>
      </c>
    </row>
    <row r="680" spans="2:23" hidden="1" x14ac:dyDescent="0.25">
      <c r="B680" s="337">
        <v>46149</v>
      </c>
      <c r="C680" s="337">
        <v>46364</v>
      </c>
      <c r="D680" s="374" t="s">
        <v>78</v>
      </c>
      <c r="E680" s="309" t="s">
        <v>138</v>
      </c>
      <c r="F680" s="310" t="s">
        <v>153</v>
      </c>
      <c r="G680" s="311">
        <v>7.72</v>
      </c>
      <c r="H680" s="311">
        <v>9</v>
      </c>
      <c r="I680" s="340">
        <v>67.55</v>
      </c>
      <c r="J680" s="340"/>
      <c r="K680" s="311"/>
      <c r="L680" s="340">
        <f t="shared" si="22"/>
        <v>67.55</v>
      </c>
      <c r="M680" s="311"/>
      <c r="N680" s="311"/>
      <c r="O680" s="311"/>
      <c r="P680" s="311"/>
      <c r="Q680" s="386"/>
      <c r="R680" s="392"/>
      <c r="S680" s="358">
        <f ca="1">IF(C680&lt;=EOMONTH('&gt;&gt;Vistas Consolidadas'!$D$2, '&gt;&gt;Vistas Consolidadas'!$F$2),J680+I680,J680)</f>
        <v>67.55</v>
      </c>
      <c r="T680" s="18" t="str">
        <f ca="1">IF(C680&gt;='&gt;&gt;Vistas Consolidadas'!$D$2,"SI","NO")</f>
        <v>SI</v>
      </c>
      <c r="U680" s="358">
        <f ca="1">IF(C680&lt;=EOMONTH('&gt;&gt;Vistas Consolidadas'!$D$2, '&gt;&gt;Vistas Consolidadas'!$F$2),I680,0)</f>
        <v>67.55</v>
      </c>
      <c r="V680" s="18" t="b">
        <f ca="1">AND(C680&gt;='Interes Por Semana'!$C$4, C680&lt;='Interes Por Semana'!$E$4)</f>
        <v>0</v>
      </c>
      <c r="W680" s="18" t="str">
        <f t="shared" si="21"/>
        <v>martes</v>
      </c>
    </row>
    <row r="681" spans="2:23" hidden="1" x14ac:dyDescent="0.25">
      <c r="B681" s="337">
        <v>46149</v>
      </c>
      <c r="C681" s="337">
        <v>46395</v>
      </c>
      <c r="D681" s="374" t="s">
        <v>78</v>
      </c>
      <c r="E681" s="309" t="s">
        <v>138</v>
      </c>
      <c r="F681" s="310" t="s">
        <v>153</v>
      </c>
      <c r="G681" s="311">
        <v>7.72</v>
      </c>
      <c r="H681" s="311">
        <v>9</v>
      </c>
      <c r="I681" s="340">
        <v>67.55</v>
      </c>
      <c r="J681" s="340"/>
      <c r="K681" s="311"/>
      <c r="L681" s="340">
        <f t="shared" si="22"/>
        <v>67.55</v>
      </c>
      <c r="M681" s="311"/>
      <c r="N681" s="311"/>
      <c r="O681" s="311"/>
      <c r="P681" s="311"/>
      <c r="Q681" s="386"/>
      <c r="R681" s="392"/>
      <c r="S681" s="358">
        <f ca="1">IF(C681&lt;=EOMONTH('&gt;&gt;Vistas Consolidadas'!$D$2, '&gt;&gt;Vistas Consolidadas'!$F$2),J681+I681,J681)</f>
        <v>67.55</v>
      </c>
      <c r="T681" s="18" t="str">
        <f ca="1">IF(C681&gt;='&gt;&gt;Vistas Consolidadas'!$D$2,"SI","NO")</f>
        <v>SI</v>
      </c>
      <c r="U681" s="358">
        <f ca="1">IF(C681&lt;=EOMONTH('&gt;&gt;Vistas Consolidadas'!$D$2, '&gt;&gt;Vistas Consolidadas'!$F$2),I681,0)</f>
        <v>67.55</v>
      </c>
      <c r="V681" s="18" t="b">
        <f ca="1">AND(C681&gt;='Interes Por Semana'!$C$4, C681&lt;='Interes Por Semana'!$E$4)</f>
        <v>0</v>
      </c>
      <c r="W681" s="18" t="str">
        <f t="shared" si="21"/>
        <v>viernes</v>
      </c>
    </row>
    <row r="682" spans="2:23" hidden="1" x14ac:dyDescent="0.25">
      <c r="B682" s="337">
        <v>46149</v>
      </c>
      <c r="C682" s="337">
        <v>46426</v>
      </c>
      <c r="D682" s="374" t="s">
        <v>78</v>
      </c>
      <c r="E682" s="309" t="s">
        <v>138</v>
      </c>
      <c r="F682" s="310" t="s">
        <v>153</v>
      </c>
      <c r="G682" s="311">
        <v>7.72</v>
      </c>
      <c r="H682" s="311">
        <v>9</v>
      </c>
      <c r="I682" s="340">
        <v>67.55</v>
      </c>
      <c r="J682" s="340"/>
      <c r="K682" s="311"/>
      <c r="L682" s="340">
        <f t="shared" si="22"/>
        <v>67.55</v>
      </c>
      <c r="M682" s="311"/>
      <c r="N682" s="311"/>
      <c r="O682" s="311"/>
      <c r="P682" s="311"/>
      <c r="Q682" s="386"/>
      <c r="R682" s="392"/>
      <c r="S682" s="358">
        <f ca="1">IF(C682&lt;=EOMONTH('&gt;&gt;Vistas Consolidadas'!$D$2, '&gt;&gt;Vistas Consolidadas'!$F$2),J682+I682,J682)</f>
        <v>67.55</v>
      </c>
      <c r="T682" s="18" t="str">
        <f ca="1">IF(C682&gt;='&gt;&gt;Vistas Consolidadas'!$D$2,"SI","NO")</f>
        <v>SI</v>
      </c>
      <c r="U682" s="358">
        <f ca="1">IF(C682&lt;=EOMONTH('&gt;&gt;Vistas Consolidadas'!$D$2, '&gt;&gt;Vistas Consolidadas'!$F$2),I682,0)</f>
        <v>67.55</v>
      </c>
      <c r="V682" s="18" t="b">
        <f ca="1">AND(C682&gt;='Interes Por Semana'!$C$4, C682&lt;='Interes Por Semana'!$E$4)</f>
        <v>0</v>
      </c>
      <c r="W682" s="18" t="str">
        <f t="shared" si="21"/>
        <v>lunes</v>
      </c>
    </row>
    <row r="683" spans="2:23" hidden="1" x14ac:dyDescent="0.25">
      <c r="B683" s="337">
        <v>46149</v>
      </c>
      <c r="C683" s="337">
        <v>46454</v>
      </c>
      <c r="D683" s="374" t="s">
        <v>78</v>
      </c>
      <c r="E683" s="309" t="s">
        <v>138</v>
      </c>
      <c r="F683" s="310" t="s">
        <v>153</v>
      </c>
      <c r="G683" s="311">
        <v>7.72</v>
      </c>
      <c r="H683" s="311">
        <v>9</v>
      </c>
      <c r="I683" s="340">
        <v>67.55</v>
      </c>
      <c r="J683" s="340"/>
      <c r="K683" s="311"/>
      <c r="L683" s="340">
        <f t="shared" si="22"/>
        <v>67.55</v>
      </c>
      <c r="M683" s="311"/>
      <c r="N683" s="311"/>
      <c r="O683" s="311"/>
      <c r="P683" s="311"/>
      <c r="Q683" s="386"/>
      <c r="R683" s="392"/>
      <c r="S683" s="358">
        <f ca="1">IF(C683&lt;=EOMONTH('&gt;&gt;Vistas Consolidadas'!$D$2, '&gt;&gt;Vistas Consolidadas'!$F$2),J683+I683,J683)</f>
        <v>67.55</v>
      </c>
      <c r="T683" s="18" t="str">
        <f ca="1">IF(C683&gt;='&gt;&gt;Vistas Consolidadas'!$D$2,"SI","NO")</f>
        <v>SI</v>
      </c>
      <c r="U683" s="358">
        <f ca="1">IF(C683&lt;=EOMONTH('&gt;&gt;Vistas Consolidadas'!$D$2, '&gt;&gt;Vistas Consolidadas'!$F$2),I683,0)</f>
        <v>67.55</v>
      </c>
      <c r="V683" s="18" t="b">
        <f ca="1">AND(C683&gt;='Interes Por Semana'!$C$4, C683&lt;='Interes Por Semana'!$E$4)</f>
        <v>0</v>
      </c>
      <c r="W683" s="18" t="str">
        <f t="shared" si="21"/>
        <v>lunes</v>
      </c>
    </row>
    <row r="684" spans="2:23" hidden="1" x14ac:dyDescent="0.25">
      <c r="B684" s="337">
        <v>46149</v>
      </c>
      <c r="C684" s="337">
        <v>46485</v>
      </c>
      <c r="D684" s="374" t="s">
        <v>78</v>
      </c>
      <c r="E684" s="309" t="s">
        <v>138</v>
      </c>
      <c r="F684" s="310" t="s">
        <v>153</v>
      </c>
      <c r="G684" s="311">
        <v>7.72</v>
      </c>
      <c r="H684" s="311">
        <v>9</v>
      </c>
      <c r="I684" s="340">
        <v>67.55</v>
      </c>
      <c r="J684" s="340"/>
      <c r="K684" s="311"/>
      <c r="L684" s="340">
        <f t="shared" si="22"/>
        <v>67.55</v>
      </c>
      <c r="M684" s="311"/>
      <c r="N684" s="311"/>
      <c r="O684" s="311"/>
      <c r="P684" s="311"/>
      <c r="Q684" s="386"/>
      <c r="R684" s="392"/>
      <c r="S684" s="358">
        <f ca="1">IF(C684&lt;=EOMONTH('&gt;&gt;Vistas Consolidadas'!$D$2, '&gt;&gt;Vistas Consolidadas'!$F$2),J684+I684,J684)</f>
        <v>67.55</v>
      </c>
      <c r="T684" s="18" t="str">
        <f ca="1">IF(C684&gt;='&gt;&gt;Vistas Consolidadas'!$D$2,"SI","NO")</f>
        <v>SI</v>
      </c>
      <c r="U684" s="358">
        <f ca="1">IF(C684&lt;=EOMONTH('&gt;&gt;Vistas Consolidadas'!$D$2, '&gt;&gt;Vistas Consolidadas'!$F$2),I684,0)</f>
        <v>67.55</v>
      </c>
      <c r="V684" s="18" t="b">
        <f ca="1">AND(C684&gt;='Interes Por Semana'!$C$4, C684&lt;='Interes Por Semana'!$E$4)</f>
        <v>0</v>
      </c>
      <c r="W684" s="18" t="str">
        <f t="shared" si="21"/>
        <v>jueves</v>
      </c>
    </row>
    <row r="685" spans="2:23" hidden="1" x14ac:dyDescent="0.25">
      <c r="B685" s="337">
        <v>46149</v>
      </c>
      <c r="C685" s="337">
        <v>46150</v>
      </c>
      <c r="D685" s="374" t="s">
        <v>78</v>
      </c>
      <c r="E685" s="309" t="s">
        <v>47</v>
      </c>
      <c r="F685" s="310" t="s">
        <v>153</v>
      </c>
      <c r="G685" s="311">
        <v>7.72</v>
      </c>
      <c r="H685" s="311">
        <v>9</v>
      </c>
      <c r="I685" s="340">
        <v>4.08</v>
      </c>
      <c r="J685" s="340">
        <v>118.38</v>
      </c>
      <c r="K685" s="311"/>
      <c r="L685" s="340">
        <f t="shared" si="22"/>
        <v>4.08</v>
      </c>
      <c r="M685" s="311"/>
      <c r="N685" s="311"/>
      <c r="O685" s="311"/>
      <c r="P685" s="311"/>
      <c r="Q685" s="386"/>
      <c r="R685" s="392"/>
      <c r="S685" s="358">
        <f ca="1">IF(C685&lt;=EOMONTH('&gt;&gt;Vistas Consolidadas'!$D$2, '&gt;&gt;Vistas Consolidadas'!$F$2),J685+I685,J685)</f>
        <v>122.46</v>
      </c>
      <c r="T685" s="18" t="str">
        <f ca="1">IF(C685&gt;='&gt;&gt;Vistas Consolidadas'!$D$2,"SI","NO")</f>
        <v>NO</v>
      </c>
      <c r="U685" s="358">
        <f ca="1">IF(C685&lt;=EOMONTH('&gt;&gt;Vistas Consolidadas'!$D$2, '&gt;&gt;Vistas Consolidadas'!$F$2),I685,0)</f>
        <v>4.08</v>
      </c>
      <c r="V685" s="18" t="b">
        <f ca="1">AND(C685&gt;='Interes Por Semana'!$C$4, C685&lt;='Interes Por Semana'!$E$4)</f>
        <v>0</v>
      </c>
      <c r="W685" s="18" t="str">
        <f t="shared" si="21"/>
        <v>viernes</v>
      </c>
    </row>
    <row r="686" spans="2:23" hidden="1" x14ac:dyDescent="0.25">
      <c r="B686" s="337">
        <v>46149</v>
      </c>
      <c r="C686" s="337">
        <v>46181</v>
      </c>
      <c r="D686" s="374" t="s">
        <v>78</v>
      </c>
      <c r="E686" s="309" t="s">
        <v>47</v>
      </c>
      <c r="F686" s="310" t="s">
        <v>153</v>
      </c>
      <c r="G686" s="311">
        <v>7.72</v>
      </c>
      <c r="H686" s="311">
        <v>9</v>
      </c>
      <c r="I686" s="340">
        <v>122.46</v>
      </c>
      <c r="J686" s="340"/>
      <c r="K686" s="311"/>
      <c r="L686" s="340">
        <f t="shared" si="22"/>
        <v>122.46</v>
      </c>
      <c r="M686" s="311"/>
      <c r="N686" s="311"/>
      <c r="O686" s="311"/>
      <c r="P686" s="311"/>
      <c r="Q686" s="386"/>
      <c r="R686" s="392"/>
      <c r="S686" s="358">
        <f ca="1">IF(C686&lt;=EOMONTH('&gt;&gt;Vistas Consolidadas'!$D$2, '&gt;&gt;Vistas Consolidadas'!$F$2),J686+I686,J686)</f>
        <v>122.46</v>
      </c>
      <c r="T686" s="18" t="str">
        <f ca="1">IF(C686&gt;='&gt;&gt;Vistas Consolidadas'!$D$2,"SI","NO")</f>
        <v>NO</v>
      </c>
      <c r="U686" s="358">
        <f ca="1">IF(C686&lt;=EOMONTH('&gt;&gt;Vistas Consolidadas'!$D$2, '&gt;&gt;Vistas Consolidadas'!$F$2),I686,0)</f>
        <v>122.46</v>
      </c>
      <c r="V686" s="18" t="b">
        <f ca="1">AND(C686&gt;='Interes Por Semana'!$C$4, C686&lt;='Interes Por Semana'!$E$4)</f>
        <v>0</v>
      </c>
      <c r="W686" s="18" t="str">
        <f t="shared" si="21"/>
        <v>lunes</v>
      </c>
    </row>
    <row r="687" spans="2:23" hidden="1" x14ac:dyDescent="0.25">
      <c r="B687" s="337">
        <v>46149</v>
      </c>
      <c r="C687" s="337">
        <v>46211</v>
      </c>
      <c r="D687" s="374" t="s">
        <v>78</v>
      </c>
      <c r="E687" s="309" t="s">
        <v>47</v>
      </c>
      <c r="F687" s="310" t="s">
        <v>153</v>
      </c>
      <c r="G687" s="311">
        <v>7.72</v>
      </c>
      <c r="H687" s="311">
        <v>9</v>
      </c>
      <c r="I687" s="340">
        <v>122.46</v>
      </c>
      <c r="J687" s="340"/>
      <c r="K687" s="311"/>
      <c r="L687" s="340">
        <f t="shared" si="22"/>
        <v>122.46</v>
      </c>
      <c r="M687" s="311"/>
      <c r="N687" s="311"/>
      <c r="O687" s="311"/>
      <c r="P687" s="311"/>
      <c r="Q687" s="386"/>
      <c r="R687" s="392"/>
      <c r="S687" s="358">
        <f ca="1">IF(C687&lt;=EOMONTH('&gt;&gt;Vistas Consolidadas'!$D$2, '&gt;&gt;Vistas Consolidadas'!$F$2),J687+I687,J687)</f>
        <v>122.46</v>
      </c>
      <c r="T687" s="18" t="str">
        <f ca="1">IF(C687&gt;='&gt;&gt;Vistas Consolidadas'!$D$2,"SI","NO")</f>
        <v>NO</v>
      </c>
      <c r="U687" s="358">
        <f ca="1">IF(C687&lt;=EOMONTH('&gt;&gt;Vistas Consolidadas'!$D$2, '&gt;&gt;Vistas Consolidadas'!$F$2),I687,0)</f>
        <v>122.46</v>
      </c>
      <c r="V687" s="18" t="b">
        <f ca="1">AND(C687&gt;='Interes Por Semana'!$C$4, C687&lt;='Interes Por Semana'!$E$4)</f>
        <v>0</v>
      </c>
      <c r="W687" s="18" t="str">
        <f t="shared" si="21"/>
        <v>miércoles</v>
      </c>
    </row>
    <row r="688" spans="2:23" hidden="1" x14ac:dyDescent="0.25">
      <c r="B688" s="337">
        <v>46149</v>
      </c>
      <c r="C688" s="337">
        <v>46242</v>
      </c>
      <c r="D688" s="374" t="s">
        <v>78</v>
      </c>
      <c r="E688" s="309" t="s">
        <v>47</v>
      </c>
      <c r="F688" s="310" t="s">
        <v>153</v>
      </c>
      <c r="G688" s="311">
        <v>7.72</v>
      </c>
      <c r="H688" s="311">
        <v>9</v>
      </c>
      <c r="I688" s="340">
        <v>122.46</v>
      </c>
      <c r="J688" s="340"/>
      <c r="K688" s="311"/>
      <c r="L688" s="340">
        <f t="shared" si="22"/>
        <v>122.46</v>
      </c>
      <c r="M688" s="311"/>
      <c r="N688" s="311"/>
      <c r="O688" s="311"/>
      <c r="P688" s="311"/>
      <c r="Q688" s="386"/>
      <c r="R688" s="392"/>
      <c r="S688" s="358">
        <f ca="1">IF(C688&lt;=EOMONTH('&gt;&gt;Vistas Consolidadas'!$D$2, '&gt;&gt;Vistas Consolidadas'!$F$2),J688+I688,J688)</f>
        <v>122.46</v>
      </c>
      <c r="T688" s="18" t="str">
        <f ca="1">IF(C688&gt;='&gt;&gt;Vistas Consolidadas'!$D$2,"SI","NO")</f>
        <v>NO</v>
      </c>
      <c r="U688" s="358">
        <f ca="1">IF(C688&lt;=EOMONTH('&gt;&gt;Vistas Consolidadas'!$D$2, '&gt;&gt;Vistas Consolidadas'!$F$2),I688,0)</f>
        <v>122.46</v>
      </c>
      <c r="V688" s="18" t="b">
        <f ca="1">AND(C688&gt;='Interes Por Semana'!$C$4, C688&lt;='Interes Por Semana'!$E$4)</f>
        <v>0</v>
      </c>
      <c r="W688" s="18" t="str">
        <f t="shared" si="21"/>
        <v>sábado</v>
      </c>
    </row>
    <row r="689" spans="2:23" hidden="1" x14ac:dyDescent="0.25">
      <c r="B689" s="337">
        <v>46149</v>
      </c>
      <c r="C689" s="337">
        <v>46273</v>
      </c>
      <c r="D689" s="374" t="s">
        <v>78</v>
      </c>
      <c r="E689" s="309" t="s">
        <v>47</v>
      </c>
      <c r="F689" s="310" t="s">
        <v>153</v>
      </c>
      <c r="G689" s="311">
        <v>7.72</v>
      </c>
      <c r="H689" s="311">
        <v>9</v>
      </c>
      <c r="I689" s="340">
        <v>122.46</v>
      </c>
      <c r="J689" s="340"/>
      <c r="K689" s="311"/>
      <c r="L689" s="340">
        <f t="shared" si="22"/>
        <v>122.46</v>
      </c>
      <c r="M689" s="311"/>
      <c r="N689" s="311"/>
      <c r="O689" s="311"/>
      <c r="P689" s="311"/>
      <c r="Q689" s="386"/>
      <c r="R689" s="392"/>
      <c r="S689" s="358">
        <f ca="1">IF(C689&lt;=EOMONTH('&gt;&gt;Vistas Consolidadas'!$D$2, '&gt;&gt;Vistas Consolidadas'!$F$2),J689+I689,J689)</f>
        <v>122.46</v>
      </c>
      <c r="T689" s="18" t="str">
        <f ca="1">IF(C689&gt;='&gt;&gt;Vistas Consolidadas'!$D$2,"SI","NO")</f>
        <v>NO</v>
      </c>
      <c r="U689" s="358">
        <f ca="1">IF(C689&lt;=EOMONTH('&gt;&gt;Vistas Consolidadas'!$D$2, '&gt;&gt;Vistas Consolidadas'!$F$2),I689,0)</f>
        <v>122.46</v>
      </c>
      <c r="V689" s="18" t="b">
        <f ca="1">AND(C689&gt;='Interes Por Semana'!$C$4, C689&lt;='Interes Por Semana'!$E$4)</f>
        <v>0</v>
      </c>
      <c r="W689" s="18" t="str">
        <f t="shared" si="21"/>
        <v>martes</v>
      </c>
    </row>
    <row r="690" spans="2:23" hidden="1" x14ac:dyDescent="0.25">
      <c r="B690" s="337">
        <v>46149</v>
      </c>
      <c r="C690" s="337">
        <v>46303</v>
      </c>
      <c r="D690" s="374" t="s">
        <v>78</v>
      </c>
      <c r="E690" s="309" t="s">
        <v>47</v>
      </c>
      <c r="F690" s="310" t="s">
        <v>153</v>
      </c>
      <c r="G690" s="311">
        <v>7.72</v>
      </c>
      <c r="H690" s="311">
        <v>9</v>
      </c>
      <c r="I690" s="340">
        <v>122.46</v>
      </c>
      <c r="J690" s="340"/>
      <c r="K690" s="311"/>
      <c r="L690" s="340">
        <f t="shared" si="22"/>
        <v>122.46</v>
      </c>
      <c r="M690" s="311"/>
      <c r="N690" s="311"/>
      <c r="O690" s="311"/>
      <c r="P690" s="311"/>
      <c r="Q690" s="386"/>
      <c r="R690" s="392"/>
      <c r="S690" s="358">
        <f ca="1">IF(C690&lt;=EOMONTH('&gt;&gt;Vistas Consolidadas'!$D$2, '&gt;&gt;Vistas Consolidadas'!$F$2),J690+I690,J690)</f>
        <v>122.46</v>
      </c>
      <c r="T690" s="18" t="str">
        <f ca="1">IF(C690&gt;='&gt;&gt;Vistas Consolidadas'!$D$2,"SI","NO")</f>
        <v>NO</v>
      </c>
      <c r="U690" s="358">
        <f ca="1">IF(C690&lt;=EOMONTH('&gt;&gt;Vistas Consolidadas'!$D$2, '&gt;&gt;Vistas Consolidadas'!$F$2),I690,0)</f>
        <v>122.46</v>
      </c>
      <c r="V690" s="18" t="b">
        <f ca="1">AND(C690&gt;='Interes Por Semana'!$C$4, C690&lt;='Interes Por Semana'!$E$4)</f>
        <v>0</v>
      </c>
      <c r="W690" s="18" t="str">
        <f t="shared" si="21"/>
        <v>jueves</v>
      </c>
    </row>
    <row r="691" spans="2:23" hidden="1" x14ac:dyDescent="0.25">
      <c r="B691" s="337">
        <v>46149</v>
      </c>
      <c r="C691" s="337">
        <v>46334</v>
      </c>
      <c r="D691" s="374" t="s">
        <v>78</v>
      </c>
      <c r="E691" s="309" t="s">
        <v>47</v>
      </c>
      <c r="F691" s="310" t="s">
        <v>153</v>
      </c>
      <c r="G691" s="311">
        <v>7.72</v>
      </c>
      <c r="H691" s="311">
        <v>9</v>
      </c>
      <c r="I691" s="340">
        <v>122.46</v>
      </c>
      <c r="J691" s="340"/>
      <c r="K691" s="311"/>
      <c r="L691" s="340">
        <f t="shared" si="22"/>
        <v>122.46</v>
      </c>
      <c r="M691" s="311"/>
      <c r="N691" s="311"/>
      <c r="O691" s="311"/>
      <c r="P691" s="311"/>
      <c r="Q691" s="386"/>
      <c r="R691" s="392"/>
      <c r="S691" s="358">
        <f ca="1">IF(C691&lt;=EOMONTH('&gt;&gt;Vistas Consolidadas'!$D$2, '&gt;&gt;Vistas Consolidadas'!$F$2),J691+I691,J691)</f>
        <v>122.46</v>
      </c>
      <c r="T691" s="18" t="str">
        <f ca="1">IF(C691&gt;='&gt;&gt;Vistas Consolidadas'!$D$2,"SI","NO")</f>
        <v>SI</v>
      </c>
      <c r="U691" s="358">
        <f ca="1">IF(C691&lt;=EOMONTH('&gt;&gt;Vistas Consolidadas'!$D$2, '&gt;&gt;Vistas Consolidadas'!$F$2),I691,0)</f>
        <v>122.46</v>
      </c>
      <c r="V691" s="18" t="b">
        <f ca="1">AND(C691&gt;='Interes Por Semana'!$C$4, C691&lt;='Interes Por Semana'!$E$4)</f>
        <v>0</v>
      </c>
      <c r="W691" s="18" t="str">
        <f t="shared" si="21"/>
        <v>domingo</v>
      </c>
    </row>
    <row r="692" spans="2:23" hidden="1" x14ac:dyDescent="0.25">
      <c r="B692" s="337">
        <v>46149</v>
      </c>
      <c r="C692" s="337">
        <v>46364</v>
      </c>
      <c r="D692" s="374" t="s">
        <v>78</v>
      </c>
      <c r="E692" s="309" t="s">
        <v>47</v>
      </c>
      <c r="F692" s="310" t="s">
        <v>153</v>
      </c>
      <c r="G692" s="311">
        <v>7.72</v>
      </c>
      <c r="H692" s="311">
        <v>9</v>
      </c>
      <c r="I692" s="340">
        <v>122.46</v>
      </c>
      <c r="J692" s="340"/>
      <c r="K692" s="311"/>
      <c r="L692" s="340">
        <f t="shared" si="22"/>
        <v>122.46</v>
      </c>
      <c r="M692" s="311"/>
      <c r="N692" s="311"/>
      <c r="O692" s="311"/>
      <c r="P692" s="311"/>
      <c r="Q692" s="386"/>
      <c r="R692" s="392"/>
      <c r="S692" s="358">
        <f ca="1">IF(C692&lt;=EOMONTH('&gt;&gt;Vistas Consolidadas'!$D$2, '&gt;&gt;Vistas Consolidadas'!$F$2),J692+I692,J692)</f>
        <v>122.46</v>
      </c>
      <c r="T692" s="18" t="str">
        <f ca="1">IF(C692&gt;='&gt;&gt;Vistas Consolidadas'!$D$2,"SI","NO")</f>
        <v>SI</v>
      </c>
      <c r="U692" s="358">
        <f ca="1">IF(C692&lt;=EOMONTH('&gt;&gt;Vistas Consolidadas'!$D$2, '&gt;&gt;Vistas Consolidadas'!$F$2),I692,0)</f>
        <v>122.46</v>
      </c>
      <c r="V692" s="18" t="b">
        <f ca="1">AND(C692&gt;='Interes Por Semana'!$C$4, C692&lt;='Interes Por Semana'!$E$4)</f>
        <v>0</v>
      </c>
      <c r="W692" s="18" t="str">
        <f t="shared" si="21"/>
        <v>martes</v>
      </c>
    </row>
    <row r="693" spans="2:23" hidden="1" x14ac:dyDescent="0.25">
      <c r="B693" s="337">
        <v>46149</v>
      </c>
      <c r="C693" s="337">
        <v>46395</v>
      </c>
      <c r="D693" s="374" t="s">
        <v>78</v>
      </c>
      <c r="E693" s="309" t="s">
        <v>47</v>
      </c>
      <c r="F693" s="310" t="s">
        <v>153</v>
      </c>
      <c r="G693" s="311">
        <v>7.72</v>
      </c>
      <c r="H693" s="311">
        <v>9</v>
      </c>
      <c r="I693" s="340">
        <v>122.46</v>
      </c>
      <c r="J693" s="340"/>
      <c r="K693" s="311"/>
      <c r="L693" s="340">
        <f t="shared" si="22"/>
        <v>122.46</v>
      </c>
      <c r="M693" s="311"/>
      <c r="N693" s="311"/>
      <c r="O693" s="311"/>
      <c r="P693" s="311"/>
      <c r="Q693" s="386"/>
      <c r="R693" s="392"/>
      <c r="S693" s="358">
        <f ca="1">IF(C693&lt;=EOMONTH('&gt;&gt;Vistas Consolidadas'!$D$2, '&gt;&gt;Vistas Consolidadas'!$F$2),J693+I693,J693)</f>
        <v>122.46</v>
      </c>
      <c r="T693" s="18" t="str">
        <f ca="1">IF(C693&gt;='&gt;&gt;Vistas Consolidadas'!$D$2,"SI","NO")</f>
        <v>SI</v>
      </c>
      <c r="U693" s="358">
        <f ca="1">IF(C693&lt;=EOMONTH('&gt;&gt;Vistas Consolidadas'!$D$2, '&gt;&gt;Vistas Consolidadas'!$F$2),I693,0)</f>
        <v>122.46</v>
      </c>
      <c r="V693" s="18" t="b">
        <f ca="1">AND(C693&gt;='Interes Por Semana'!$C$4, C693&lt;='Interes Por Semana'!$E$4)</f>
        <v>0</v>
      </c>
      <c r="W693" s="18" t="str">
        <f t="shared" si="21"/>
        <v>viernes</v>
      </c>
    </row>
    <row r="694" spans="2:23" hidden="1" x14ac:dyDescent="0.25">
      <c r="B694" s="337">
        <v>46149</v>
      </c>
      <c r="C694" s="337">
        <v>46426</v>
      </c>
      <c r="D694" s="374" t="s">
        <v>78</v>
      </c>
      <c r="E694" s="309" t="s">
        <v>47</v>
      </c>
      <c r="F694" s="310" t="s">
        <v>153</v>
      </c>
      <c r="G694" s="311">
        <v>7.72</v>
      </c>
      <c r="H694" s="311">
        <v>9</v>
      </c>
      <c r="I694" s="340">
        <v>122.46</v>
      </c>
      <c r="J694" s="340"/>
      <c r="K694" s="311"/>
      <c r="L694" s="340">
        <f t="shared" si="22"/>
        <v>122.46</v>
      </c>
      <c r="M694" s="311"/>
      <c r="N694" s="311"/>
      <c r="O694" s="311"/>
      <c r="P694" s="311"/>
      <c r="Q694" s="386"/>
      <c r="R694" s="392"/>
      <c r="S694" s="358">
        <f ca="1">IF(C694&lt;=EOMONTH('&gt;&gt;Vistas Consolidadas'!$D$2, '&gt;&gt;Vistas Consolidadas'!$F$2),J694+I694,J694)</f>
        <v>122.46</v>
      </c>
      <c r="T694" s="18" t="str">
        <f ca="1">IF(C694&gt;='&gt;&gt;Vistas Consolidadas'!$D$2,"SI","NO")</f>
        <v>SI</v>
      </c>
      <c r="U694" s="358">
        <f ca="1">IF(C694&lt;=EOMONTH('&gt;&gt;Vistas Consolidadas'!$D$2, '&gt;&gt;Vistas Consolidadas'!$F$2),I694,0)</f>
        <v>122.46</v>
      </c>
      <c r="V694" s="18" t="b">
        <f ca="1">AND(C694&gt;='Interes Por Semana'!$C$4, C694&lt;='Interes Por Semana'!$E$4)</f>
        <v>0</v>
      </c>
      <c r="W694" s="18" t="str">
        <f t="shared" si="21"/>
        <v>lunes</v>
      </c>
    </row>
    <row r="695" spans="2:23" hidden="1" x14ac:dyDescent="0.25">
      <c r="B695" s="337">
        <v>46149</v>
      </c>
      <c r="C695" s="337">
        <v>46454</v>
      </c>
      <c r="D695" s="374" t="s">
        <v>78</v>
      </c>
      <c r="E695" s="309" t="s">
        <v>47</v>
      </c>
      <c r="F695" s="310" t="s">
        <v>153</v>
      </c>
      <c r="G695" s="311">
        <v>7.72</v>
      </c>
      <c r="H695" s="311">
        <v>9</v>
      </c>
      <c r="I695" s="340">
        <v>122.46</v>
      </c>
      <c r="J695" s="340"/>
      <c r="K695" s="311"/>
      <c r="L695" s="340">
        <f t="shared" si="22"/>
        <v>122.46</v>
      </c>
      <c r="M695" s="311"/>
      <c r="N695" s="311"/>
      <c r="O695" s="311"/>
      <c r="P695" s="311"/>
      <c r="Q695" s="386"/>
      <c r="R695" s="392"/>
      <c r="S695" s="358">
        <f ca="1">IF(C695&lt;=EOMONTH('&gt;&gt;Vistas Consolidadas'!$D$2, '&gt;&gt;Vistas Consolidadas'!$F$2),J695+I695,J695)</f>
        <v>122.46</v>
      </c>
      <c r="T695" s="18" t="str">
        <f ca="1">IF(C695&gt;='&gt;&gt;Vistas Consolidadas'!$D$2,"SI","NO")</f>
        <v>SI</v>
      </c>
      <c r="U695" s="358">
        <f ca="1">IF(C695&lt;=EOMONTH('&gt;&gt;Vistas Consolidadas'!$D$2, '&gt;&gt;Vistas Consolidadas'!$F$2),I695,0)</f>
        <v>122.46</v>
      </c>
      <c r="V695" s="18" t="b">
        <f ca="1">AND(C695&gt;='Interes Por Semana'!$C$4, C695&lt;='Interes Por Semana'!$E$4)</f>
        <v>0</v>
      </c>
      <c r="W695" s="18" t="str">
        <f t="shared" si="21"/>
        <v>lunes</v>
      </c>
    </row>
    <row r="696" spans="2:23" hidden="1" x14ac:dyDescent="0.25">
      <c r="B696" s="337">
        <v>46149</v>
      </c>
      <c r="C696" s="337">
        <v>46485</v>
      </c>
      <c r="D696" s="374" t="s">
        <v>78</v>
      </c>
      <c r="E696" s="309" t="s">
        <v>47</v>
      </c>
      <c r="F696" s="310" t="s">
        <v>153</v>
      </c>
      <c r="G696" s="311">
        <v>7.72</v>
      </c>
      <c r="H696" s="311">
        <v>9</v>
      </c>
      <c r="I696" s="340">
        <v>122.46</v>
      </c>
      <c r="J696" s="340"/>
      <c r="K696" s="311"/>
      <c r="L696" s="340">
        <f t="shared" si="22"/>
        <v>122.46</v>
      </c>
      <c r="M696" s="311"/>
      <c r="N696" s="311"/>
      <c r="O696" s="311"/>
      <c r="P696" s="311"/>
      <c r="Q696" s="386"/>
      <c r="R696" s="392"/>
      <c r="S696" s="358">
        <f ca="1">IF(C696&lt;=EOMONTH('&gt;&gt;Vistas Consolidadas'!$D$2, '&gt;&gt;Vistas Consolidadas'!$F$2),J696+I696,J696)</f>
        <v>122.46</v>
      </c>
      <c r="T696" s="18" t="str">
        <f ca="1">IF(C696&gt;='&gt;&gt;Vistas Consolidadas'!$D$2,"SI","NO")</f>
        <v>SI</v>
      </c>
      <c r="U696" s="358">
        <f ca="1">IF(C696&lt;=EOMONTH('&gt;&gt;Vistas Consolidadas'!$D$2, '&gt;&gt;Vistas Consolidadas'!$F$2),I696,0)</f>
        <v>122.46</v>
      </c>
      <c r="V696" s="18" t="b">
        <f ca="1">AND(C696&gt;='Interes Por Semana'!$C$4, C696&lt;='Interes Por Semana'!$E$4)</f>
        <v>0</v>
      </c>
      <c r="W696" s="18" t="str">
        <f t="shared" si="21"/>
        <v>jueves</v>
      </c>
    </row>
    <row r="697" spans="2:23" hidden="1" x14ac:dyDescent="0.25">
      <c r="B697" s="337">
        <v>46149</v>
      </c>
      <c r="C697" s="337">
        <v>46160</v>
      </c>
      <c r="D697" s="374" t="s">
        <v>78</v>
      </c>
      <c r="E697" s="309" t="s">
        <v>47</v>
      </c>
      <c r="F697" s="310" t="s">
        <v>154</v>
      </c>
      <c r="G697" s="311">
        <v>6.21</v>
      </c>
      <c r="H697" s="311">
        <v>9</v>
      </c>
      <c r="I697" s="387">
        <v>68.97</v>
      </c>
      <c r="J697" s="340">
        <v>119.14</v>
      </c>
      <c r="K697" s="311"/>
      <c r="L697" s="340">
        <f t="shared" si="22"/>
        <v>68.97</v>
      </c>
      <c r="M697" s="311"/>
      <c r="N697" s="311"/>
      <c r="O697" s="311"/>
      <c r="P697" s="311"/>
      <c r="Q697" s="386"/>
      <c r="R697" s="392"/>
      <c r="S697" s="358">
        <f ca="1">IF(C697&lt;=EOMONTH('&gt;&gt;Vistas Consolidadas'!$D$2, '&gt;&gt;Vistas Consolidadas'!$F$2),J697+I697,J697)</f>
        <v>188.11</v>
      </c>
      <c r="T697" s="18" t="str">
        <f ca="1">IF(C697&gt;='&gt;&gt;Vistas Consolidadas'!$D$2,"SI","NO")</f>
        <v>NO</v>
      </c>
      <c r="U697" s="358">
        <f ca="1">IF(C697&lt;=EOMONTH('&gt;&gt;Vistas Consolidadas'!$D$2, '&gt;&gt;Vistas Consolidadas'!$F$2),I697,0)</f>
        <v>68.97</v>
      </c>
      <c r="V697" s="18" t="b">
        <f ca="1">AND(C697&gt;='Interes Por Semana'!$C$4, C697&lt;='Interes Por Semana'!$E$4)</f>
        <v>0</v>
      </c>
      <c r="W697" s="18" t="str">
        <f t="shared" si="21"/>
        <v>lunes</v>
      </c>
    </row>
    <row r="698" spans="2:23" hidden="1" x14ac:dyDescent="0.25">
      <c r="B698" s="337">
        <v>46149</v>
      </c>
      <c r="C698" s="337">
        <v>46191</v>
      </c>
      <c r="D698" s="374" t="s">
        <v>78</v>
      </c>
      <c r="E698" s="309" t="s">
        <v>47</v>
      </c>
      <c r="F698" s="310" t="s">
        <v>154</v>
      </c>
      <c r="G698" s="311">
        <v>6.21</v>
      </c>
      <c r="H698" s="311">
        <v>9</v>
      </c>
      <c r="I698" s="387">
        <v>188.11</v>
      </c>
      <c r="J698" s="340"/>
      <c r="K698" s="311"/>
      <c r="L698" s="340">
        <f t="shared" si="22"/>
        <v>188.11</v>
      </c>
      <c r="M698" s="311"/>
      <c r="N698" s="311"/>
      <c r="O698" s="311"/>
      <c r="P698" s="311"/>
      <c r="Q698" s="386"/>
      <c r="R698" s="392"/>
      <c r="S698" s="358">
        <f ca="1">IF(C698&lt;=EOMONTH('&gt;&gt;Vistas Consolidadas'!$D$2, '&gt;&gt;Vistas Consolidadas'!$F$2),J698+I698,J698)</f>
        <v>188.11</v>
      </c>
      <c r="T698" s="18" t="str">
        <f ca="1">IF(C698&gt;='&gt;&gt;Vistas Consolidadas'!$D$2,"SI","NO")</f>
        <v>NO</v>
      </c>
      <c r="U698" s="358">
        <f ca="1">IF(C698&lt;=EOMONTH('&gt;&gt;Vistas Consolidadas'!$D$2, '&gt;&gt;Vistas Consolidadas'!$F$2),I698,0)</f>
        <v>188.11</v>
      </c>
      <c r="V698" s="18" t="b">
        <f ca="1">AND(C698&gt;='Interes Por Semana'!$C$4, C698&lt;='Interes Por Semana'!$E$4)</f>
        <v>0</v>
      </c>
      <c r="W698" s="18" t="str">
        <f t="shared" si="21"/>
        <v>jueves</v>
      </c>
    </row>
    <row r="699" spans="2:23" hidden="1" x14ac:dyDescent="0.25">
      <c r="B699" s="337">
        <v>46149</v>
      </c>
      <c r="C699" s="337">
        <v>46221</v>
      </c>
      <c r="D699" s="374" t="s">
        <v>78</v>
      </c>
      <c r="E699" s="309" t="s">
        <v>47</v>
      </c>
      <c r="F699" s="310" t="s">
        <v>154</v>
      </c>
      <c r="G699" s="311">
        <v>6.21</v>
      </c>
      <c r="H699" s="311">
        <v>9</v>
      </c>
      <c r="I699" s="387">
        <v>188.11</v>
      </c>
      <c r="J699" s="340"/>
      <c r="K699" s="311"/>
      <c r="L699" s="340">
        <f t="shared" si="22"/>
        <v>188.11</v>
      </c>
      <c r="M699" s="311"/>
      <c r="N699" s="311"/>
      <c r="O699" s="311"/>
      <c r="P699" s="311"/>
      <c r="Q699" s="386"/>
      <c r="R699" s="392"/>
      <c r="S699" s="358">
        <f ca="1">IF(C699&lt;=EOMONTH('&gt;&gt;Vistas Consolidadas'!$D$2, '&gt;&gt;Vistas Consolidadas'!$F$2),J699+I699,J699)</f>
        <v>188.11</v>
      </c>
      <c r="T699" s="18" t="str">
        <f ca="1">IF(C699&gt;='&gt;&gt;Vistas Consolidadas'!$D$2,"SI","NO")</f>
        <v>NO</v>
      </c>
      <c r="U699" s="358">
        <f ca="1">IF(C699&lt;=EOMONTH('&gt;&gt;Vistas Consolidadas'!$D$2, '&gt;&gt;Vistas Consolidadas'!$F$2),I699,0)</f>
        <v>188.11</v>
      </c>
      <c r="V699" s="18" t="b">
        <f ca="1">AND(C699&gt;='Interes Por Semana'!$C$4, C699&lt;='Interes Por Semana'!$E$4)</f>
        <v>0</v>
      </c>
      <c r="W699" s="18" t="str">
        <f t="shared" si="21"/>
        <v>sábado</v>
      </c>
    </row>
    <row r="700" spans="2:23" hidden="1" x14ac:dyDescent="0.25">
      <c r="B700" s="337">
        <v>46149</v>
      </c>
      <c r="C700" s="337">
        <v>46252</v>
      </c>
      <c r="D700" s="374" t="s">
        <v>78</v>
      </c>
      <c r="E700" s="309" t="s">
        <v>47</v>
      </c>
      <c r="F700" s="310" t="s">
        <v>154</v>
      </c>
      <c r="G700" s="311">
        <v>6.21</v>
      </c>
      <c r="H700" s="311">
        <v>9</v>
      </c>
      <c r="I700" s="387">
        <v>188.11</v>
      </c>
      <c r="J700" s="340"/>
      <c r="K700" s="311"/>
      <c r="L700" s="340">
        <f t="shared" si="22"/>
        <v>188.11</v>
      </c>
      <c r="M700" s="311"/>
      <c r="N700" s="311"/>
      <c r="O700" s="311"/>
      <c r="P700" s="311"/>
      <c r="Q700" s="386"/>
      <c r="R700" s="392"/>
      <c r="S700" s="358">
        <f ca="1">IF(C700&lt;=EOMONTH('&gt;&gt;Vistas Consolidadas'!$D$2, '&gt;&gt;Vistas Consolidadas'!$F$2),J700+I700,J700)</f>
        <v>188.11</v>
      </c>
      <c r="T700" s="18" t="str">
        <f ca="1">IF(C700&gt;='&gt;&gt;Vistas Consolidadas'!$D$2,"SI","NO")</f>
        <v>NO</v>
      </c>
      <c r="U700" s="358">
        <f ca="1">IF(C700&lt;=EOMONTH('&gt;&gt;Vistas Consolidadas'!$D$2, '&gt;&gt;Vistas Consolidadas'!$F$2),I700,0)</f>
        <v>188.11</v>
      </c>
      <c r="V700" s="18" t="b">
        <f ca="1">AND(C700&gt;='Interes Por Semana'!$C$4, C700&lt;='Interes Por Semana'!$E$4)</f>
        <v>0</v>
      </c>
      <c r="W700" s="18" t="str">
        <f t="shared" si="21"/>
        <v>martes</v>
      </c>
    </row>
    <row r="701" spans="2:23" hidden="1" x14ac:dyDescent="0.25">
      <c r="B701" s="337">
        <v>46149</v>
      </c>
      <c r="C701" s="337">
        <v>46283</v>
      </c>
      <c r="D701" s="374" t="s">
        <v>78</v>
      </c>
      <c r="E701" s="309" t="s">
        <v>47</v>
      </c>
      <c r="F701" s="310" t="s">
        <v>154</v>
      </c>
      <c r="G701" s="311">
        <v>6.21</v>
      </c>
      <c r="H701" s="311">
        <v>9</v>
      </c>
      <c r="I701" s="387">
        <v>188.11</v>
      </c>
      <c r="J701" s="340"/>
      <c r="K701" s="311"/>
      <c r="L701" s="340">
        <f t="shared" si="22"/>
        <v>188.11</v>
      </c>
      <c r="M701" s="311"/>
      <c r="N701" s="311"/>
      <c r="O701" s="311"/>
      <c r="P701" s="311"/>
      <c r="Q701" s="386"/>
      <c r="R701" s="392"/>
      <c r="S701" s="358">
        <f ca="1">IF(C701&lt;=EOMONTH('&gt;&gt;Vistas Consolidadas'!$D$2, '&gt;&gt;Vistas Consolidadas'!$F$2),J701+I701,J701)</f>
        <v>188.11</v>
      </c>
      <c r="T701" s="18" t="str">
        <f ca="1">IF(C701&gt;='&gt;&gt;Vistas Consolidadas'!$D$2,"SI","NO")</f>
        <v>NO</v>
      </c>
      <c r="U701" s="358">
        <f ca="1">IF(C701&lt;=EOMONTH('&gt;&gt;Vistas Consolidadas'!$D$2, '&gt;&gt;Vistas Consolidadas'!$F$2),I701,0)</f>
        <v>188.11</v>
      </c>
      <c r="V701" s="18" t="b">
        <f ca="1">AND(C701&gt;='Interes Por Semana'!$C$4, C701&lt;='Interes Por Semana'!$E$4)</f>
        <v>0</v>
      </c>
      <c r="W701" s="18" t="str">
        <f t="shared" si="21"/>
        <v>viernes</v>
      </c>
    </row>
    <row r="702" spans="2:23" hidden="1" x14ac:dyDescent="0.25">
      <c r="B702" s="337">
        <v>46149</v>
      </c>
      <c r="C702" s="337">
        <v>46313</v>
      </c>
      <c r="D702" s="374" t="s">
        <v>78</v>
      </c>
      <c r="E702" s="309" t="s">
        <v>47</v>
      </c>
      <c r="F702" s="310" t="s">
        <v>154</v>
      </c>
      <c r="G702" s="311">
        <v>6.21</v>
      </c>
      <c r="H702" s="311">
        <v>9</v>
      </c>
      <c r="I702" s="387">
        <v>188.11</v>
      </c>
      <c r="J702" s="340"/>
      <c r="K702" s="311"/>
      <c r="L702" s="340">
        <f t="shared" si="22"/>
        <v>188.11</v>
      </c>
      <c r="M702" s="311"/>
      <c r="N702" s="311"/>
      <c r="O702" s="311"/>
      <c r="P702" s="311"/>
      <c r="Q702" s="386"/>
      <c r="R702" s="392"/>
      <c r="S702" s="358">
        <f ca="1">IF(C702&lt;=EOMONTH('&gt;&gt;Vistas Consolidadas'!$D$2, '&gt;&gt;Vistas Consolidadas'!$F$2),J702+I702,J702)</f>
        <v>188.11</v>
      </c>
      <c r="T702" s="18" t="str">
        <f ca="1">IF(C702&gt;='&gt;&gt;Vistas Consolidadas'!$D$2,"SI","NO")</f>
        <v>SI</v>
      </c>
      <c r="U702" s="358">
        <f ca="1">IF(C702&lt;=EOMONTH('&gt;&gt;Vistas Consolidadas'!$D$2, '&gt;&gt;Vistas Consolidadas'!$F$2),I702,0)</f>
        <v>188.11</v>
      </c>
      <c r="V702" s="18" t="b">
        <f ca="1">AND(C702&gt;='Interes Por Semana'!$C$4, C702&lt;='Interes Por Semana'!$E$4)</f>
        <v>0</v>
      </c>
      <c r="W702" s="18" t="str">
        <f t="shared" si="21"/>
        <v>domingo</v>
      </c>
    </row>
    <row r="703" spans="2:23" hidden="1" x14ac:dyDescent="0.25">
      <c r="B703" s="337">
        <v>46149</v>
      </c>
      <c r="C703" s="337">
        <v>46344</v>
      </c>
      <c r="D703" s="374" t="s">
        <v>78</v>
      </c>
      <c r="E703" s="309" t="s">
        <v>47</v>
      </c>
      <c r="F703" s="310" t="s">
        <v>154</v>
      </c>
      <c r="G703" s="311">
        <v>6.21</v>
      </c>
      <c r="H703" s="311">
        <v>9</v>
      </c>
      <c r="I703" s="387">
        <v>188.11</v>
      </c>
      <c r="J703" s="340"/>
      <c r="K703" s="311"/>
      <c r="L703" s="340">
        <f t="shared" si="22"/>
        <v>188.11</v>
      </c>
      <c r="M703" s="311"/>
      <c r="N703" s="311"/>
      <c r="O703" s="311"/>
      <c r="P703" s="311"/>
      <c r="Q703" s="386"/>
      <c r="R703" s="392"/>
      <c r="S703" s="358">
        <f ca="1">IF(C703&lt;=EOMONTH('&gt;&gt;Vistas Consolidadas'!$D$2, '&gt;&gt;Vistas Consolidadas'!$F$2),J703+I703,J703)</f>
        <v>188.11</v>
      </c>
      <c r="T703" s="18" t="str">
        <f ca="1">IF(C703&gt;='&gt;&gt;Vistas Consolidadas'!$D$2,"SI","NO")</f>
        <v>SI</v>
      </c>
      <c r="U703" s="358">
        <f ca="1">IF(C703&lt;=EOMONTH('&gt;&gt;Vistas Consolidadas'!$D$2, '&gt;&gt;Vistas Consolidadas'!$F$2),I703,0)</f>
        <v>188.11</v>
      </c>
      <c r="V703" s="18" t="b">
        <f ca="1">AND(C703&gt;='Interes Por Semana'!$C$4, C703&lt;='Interes Por Semana'!$E$4)</f>
        <v>0</v>
      </c>
      <c r="W703" s="18" t="str">
        <f t="shared" si="21"/>
        <v>miércoles</v>
      </c>
    </row>
    <row r="704" spans="2:23" hidden="1" x14ac:dyDescent="0.25">
      <c r="B704" s="337">
        <v>46149</v>
      </c>
      <c r="C704" s="337">
        <v>46374</v>
      </c>
      <c r="D704" s="374" t="s">
        <v>78</v>
      </c>
      <c r="E704" s="309" t="s">
        <v>47</v>
      </c>
      <c r="F704" s="310" t="s">
        <v>154</v>
      </c>
      <c r="G704" s="311">
        <v>6.21</v>
      </c>
      <c r="H704" s="311">
        <v>9</v>
      </c>
      <c r="I704" s="387">
        <v>188.11</v>
      </c>
      <c r="J704" s="340"/>
      <c r="K704" s="311"/>
      <c r="L704" s="340">
        <f t="shared" si="22"/>
        <v>188.11</v>
      </c>
      <c r="M704" s="311"/>
      <c r="N704" s="311"/>
      <c r="O704" s="311"/>
      <c r="P704" s="311"/>
      <c r="Q704" s="386"/>
      <c r="R704" s="392"/>
      <c r="S704" s="358">
        <f ca="1">IF(C704&lt;=EOMONTH('&gt;&gt;Vistas Consolidadas'!$D$2, '&gt;&gt;Vistas Consolidadas'!$F$2),J704+I704,J704)</f>
        <v>188.11</v>
      </c>
      <c r="T704" s="18" t="str">
        <f ca="1">IF(C704&gt;='&gt;&gt;Vistas Consolidadas'!$D$2,"SI","NO")</f>
        <v>SI</v>
      </c>
      <c r="U704" s="358">
        <f ca="1">IF(C704&lt;=EOMONTH('&gt;&gt;Vistas Consolidadas'!$D$2, '&gt;&gt;Vistas Consolidadas'!$F$2),I704,0)</f>
        <v>188.11</v>
      </c>
      <c r="V704" s="18" t="b">
        <f ca="1">AND(C704&gt;='Interes Por Semana'!$C$4, C704&lt;='Interes Por Semana'!$E$4)</f>
        <v>0</v>
      </c>
      <c r="W704" s="18" t="str">
        <f t="shared" si="21"/>
        <v>viernes</v>
      </c>
    </row>
    <row r="705" spans="2:23" hidden="1" x14ac:dyDescent="0.25">
      <c r="B705" s="337">
        <v>46149</v>
      </c>
      <c r="C705" s="337">
        <v>46405</v>
      </c>
      <c r="D705" s="374" t="s">
        <v>78</v>
      </c>
      <c r="E705" s="309" t="s">
        <v>47</v>
      </c>
      <c r="F705" s="310" t="s">
        <v>154</v>
      </c>
      <c r="G705" s="311">
        <v>6.21</v>
      </c>
      <c r="H705" s="311">
        <v>9</v>
      </c>
      <c r="I705" s="387">
        <v>188.11</v>
      </c>
      <c r="J705" s="340"/>
      <c r="K705" s="311"/>
      <c r="L705" s="340">
        <f t="shared" si="22"/>
        <v>188.11</v>
      </c>
      <c r="M705" s="311"/>
      <c r="N705" s="311"/>
      <c r="O705" s="311"/>
      <c r="P705" s="311"/>
      <c r="Q705" s="386"/>
      <c r="R705" s="392"/>
      <c r="S705" s="358">
        <f ca="1">IF(C705&lt;=EOMONTH('&gt;&gt;Vistas Consolidadas'!$D$2, '&gt;&gt;Vistas Consolidadas'!$F$2),J705+I705,J705)</f>
        <v>188.11</v>
      </c>
      <c r="T705" s="18" t="str">
        <f ca="1">IF(C705&gt;='&gt;&gt;Vistas Consolidadas'!$D$2,"SI","NO")</f>
        <v>SI</v>
      </c>
      <c r="U705" s="358">
        <f ca="1">IF(C705&lt;=EOMONTH('&gt;&gt;Vistas Consolidadas'!$D$2, '&gt;&gt;Vistas Consolidadas'!$F$2),I705,0)</f>
        <v>188.11</v>
      </c>
      <c r="V705" s="18" t="b">
        <f ca="1">AND(C705&gt;='Interes Por Semana'!$C$4, C705&lt;='Interes Por Semana'!$E$4)</f>
        <v>0</v>
      </c>
      <c r="W705" s="18" t="str">
        <f t="shared" si="21"/>
        <v>lunes</v>
      </c>
    </row>
    <row r="706" spans="2:23" hidden="1" x14ac:dyDescent="0.25">
      <c r="B706" s="337">
        <v>46149</v>
      </c>
      <c r="C706" s="337">
        <v>46436</v>
      </c>
      <c r="D706" s="374" t="s">
        <v>78</v>
      </c>
      <c r="E706" s="309" t="s">
        <v>47</v>
      </c>
      <c r="F706" s="310" t="s">
        <v>154</v>
      </c>
      <c r="G706" s="311">
        <v>6.21</v>
      </c>
      <c r="H706" s="311">
        <v>9</v>
      </c>
      <c r="I706" s="387">
        <v>188.11</v>
      </c>
      <c r="J706" s="340"/>
      <c r="K706" s="311"/>
      <c r="L706" s="340">
        <f t="shared" si="22"/>
        <v>188.11</v>
      </c>
      <c r="M706" s="311"/>
      <c r="N706" s="311"/>
      <c r="O706" s="311"/>
      <c r="P706" s="311"/>
      <c r="Q706" s="386"/>
      <c r="R706" s="392"/>
      <c r="S706" s="358">
        <f ca="1">IF(C706&lt;=EOMONTH('&gt;&gt;Vistas Consolidadas'!$D$2, '&gt;&gt;Vistas Consolidadas'!$F$2),J706+I706,J706)</f>
        <v>188.11</v>
      </c>
      <c r="T706" s="18" t="str">
        <f ca="1">IF(C706&gt;='&gt;&gt;Vistas Consolidadas'!$D$2,"SI","NO")</f>
        <v>SI</v>
      </c>
      <c r="U706" s="358">
        <f ca="1">IF(C706&lt;=EOMONTH('&gt;&gt;Vistas Consolidadas'!$D$2, '&gt;&gt;Vistas Consolidadas'!$F$2),I706,0)</f>
        <v>188.11</v>
      </c>
      <c r="V706" s="18" t="b">
        <f ca="1">AND(C706&gt;='Interes Por Semana'!$C$4, C706&lt;='Interes Por Semana'!$E$4)</f>
        <v>0</v>
      </c>
      <c r="W706" s="18" t="str">
        <f t="shared" si="21"/>
        <v>jueves</v>
      </c>
    </row>
    <row r="707" spans="2:23" hidden="1" x14ac:dyDescent="0.25">
      <c r="B707" s="337">
        <v>46149</v>
      </c>
      <c r="C707" s="337">
        <v>46464</v>
      </c>
      <c r="D707" s="374" t="s">
        <v>78</v>
      </c>
      <c r="E707" s="309" t="s">
        <v>47</v>
      </c>
      <c r="F707" s="310" t="s">
        <v>154</v>
      </c>
      <c r="G707" s="311">
        <v>6.21</v>
      </c>
      <c r="H707" s="311">
        <v>9</v>
      </c>
      <c r="I707" s="387">
        <v>188.11</v>
      </c>
      <c r="J707" s="340"/>
      <c r="K707" s="311"/>
      <c r="L707" s="340">
        <f t="shared" si="22"/>
        <v>188.11</v>
      </c>
      <c r="M707" s="311"/>
      <c r="N707" s="311"/>
      <c r="O707" s="311"/>
      <c r="P707" s="311"/>
      <c r="Q707" s="386"/>
      <c r="R707" s="392"/>
      <c r="S707" s="358">
        <f ca="1">IF(C707&lt;=EOMONTH('&gt;&gt;Vistas Consolidadas'!$D$2, '&gt;&gt;Vistas Consolidadas'!$F$2),J707+I707,J707)</f>
        <v>188.11</v>
      </c>
      <c r="T707" s="18" t="str">
        <f ca="1">IF(C707&gt;='&gt;&gt;Vistas Consolidadas'!$D$2,"SI","NO")</f>
        <v>SI</v>
      </c>
      <c r="U707" s="358">
        <f ca="1">IF(C707&lt;=EOMONTH('&gt;&gt;Vistas Consolidadas'!$D$2, '&gt;&gt;Vistas Consolidadas'!$F$2),I707,0)</f>
        <v>188.11</v>
      </c>
      <c r="V707" s="18" t="b">
        <f ca="1">AND(C707&gt;='Interes Por Semana'!$C$4, C707&lt;='Interes Por Semana'!$E$4)</f>
        <v>0</v>
      </c>
      <c r="W707" s="18" t="str">
        <f t="shared" ref="W707:W770" si="23">TEXT(C707, "dddd")</f>
        <v>jueves</v>
      </c>
    </row>
    <row r="708" spans="2:23" hidden="1" x14ac:dyDescent="0.25">
      <c r="B708" s="337">
        <v>46149</v>
      </c>
      <c r="C708" s="337">
        <v>46495</v>
      </c>
      <c r="D708" s="374" t="s">
        <v>78</v>
      </c>
      <c r="E708" s="309" t="s">
        <v>47</v>
      </c>
      <c r="F708" s="310" t="s">
        <v>154</v>
      </c>
      <c r="G708" s="311">
        <v>6.21</v>
      </c>
      <c r="H708" s="311">
        <v>9</v>
      </c>
      <c r="I708" s="387">
        <v>188.11</v>
      </c>
      <c r="J708" s="340"/>
      <c r="K708" s="311"/>
      <c r="L708" s="340">
        <f t="shared" si="22"/>
        <v>188.11</v>
      </c>
      <c r="M708" s="311"/>
      <c r="N708" s="311"/>
      <c r="O708" s="311"/>
      <c r="P708" s="311"/>
      <c r="Q708" s="386"/>
      <c r="R708" s="392"/>
      <c r="S708" s="358">
        <f ca="1">IF(C708&lt;=EOMONTH('&gt;&gt;Vistas Consolidadas'!$D$2, '&gt;&gt;Vistas Consolidadas'!$F$2),J708+I708,J708)</f>
        <v>188.11</v>
      </c>
      <c r="T708" s="18" t="str">
        <f ca="1">IF(C708&gt;='&gt;&gt;Vistas Consolidadas'!$D$2,"SI","NO")</f>
        <v>SI</v>
      </c>
      <c r="U708" s="358">
        <f ca="1">IF(C708&lt;=EOMONTH('&gt;&gt;Vistas Consolidadas'!$D$2, '&gt;&gt;Vistas Consolidadas'!$F$2),I708,0)</f>
        <v>188.11</v>
      </c>
      <c r="V708" s="18" t="b">
        <f ca="1">AND(C708&gt;='Interes Por Semana'!$C$4, C708&lt;='Interes Por Semana'!$E$4)</f>
        <v>0</v>
      </c>
      <c r="W708" s="18" t="str">
        <f t="shared" si="23"/>
        <v>domingo</v>
      </c>
    </row>
    <row r="709" spans="2:23" hidden="1" x14ac:dyDescent="0.25">
      <c r="B709" s="337">
        <v>46154</v>
      </c>
      <c r="C709" s="337">
        <v>46166</v>
      </c>
      <c r="D709" s="374" t="s">
        <v>78</v>
      </c>
      <c r="E709" s="309" t="s">
        <v>46</v>
      </c>
      <c r="F709" s="310" t="s">
        <v>155</v>
      </c>
      <c r="G709" s="311">
        <v>9.25</v>
      </c>
      <c r="H709" s="311">
        <v>9.5</v>
      </c>
      <c r="I709" s="340">
        <v>69.91</v>
      </c>
      <c r="J709" s="340">
        <v>978.73</v>
      </c>
      <c r="K709" s="311"/>
      <c r="L709" s="340">
        <f t="shared" si="22"/>
        <v>69.91</v>
      </c>
      <c r="M709" s="311"/>
      <c r="N709" s="311"/>
      <c r="O709" s="311"/>
      <c r="P709" s="311"/>
      <c r="Q709" s="386"/>
      <c r="R709" s="392"/>
      <c r="S709" s="358">
        <f ca="1">IF(C709&lt;=EOMONTH('&gt;&gt;Vistas Consolidadas'!$D$2, '&gt;&gt;Vistas Consolidadas'!$F$2),J709+I709,J709)</f>
        <v>1048.6400000000001</v>
      </c>
      <c r="T709" s="18" t="str">
        <f ca="1">IF(C709&gt;='&gt;&gt;Vistas Consolidadas'!$D$2,"SI","NO")</f>
        <v>NO</v>
      </c>
      <c r="U709" s="358">
        <f ca="1">IF(C709&lt;=EOMONTH('&gt;&gt;Vistas Consolidadas'!$D$2, '&gt;&gt;Vistas Consolidadas'!$F$2),I709,0)</f>
        <v>69.91</v>
      </c>
      <c r="V709" s="18" t="b">
        <f ca="1">AND(C709&gt;='Interes Por Semana'!$C$4, C709&lt;='Interes Por Semana'!$E$4)</f>
        <v>0</v>
      </c>
      <c r="W709" s="18" t="str">
        <f t="shared" si="23"/>
        <v>domingo</v>
      </c>
    </row>
    <row r="710" spans="2:23" hidden="1" x14ac:dyDescent="0.25">
      <c r="B710" s="337">
        <v>46154</v>
      </c>
      <c r="C710" s="337">
        <v>46350</v>
      </c>
      <c r="D710" s="374" t="s">
        <v>78</v>
      </c>
      <c r="E710" s="309" t="s">
        <v>46</v>
      </c>
      <c r="F710" s="310" t="s">
        <v>155</v>
      </c>
      <c r="G710" s="311">
        <v>9.25</v>
      </c>
      <c r="H710" s="311">
        <v>9.5</v>
      </c>
      <c r="I710" s="340">
        <v>1048.6400000000001</v>
      </c>
      <c r="J710" s="340"/>
      <c r="K710" s="311"/>
      <c r="L710" s="340">
        <f t="shared" si="22"/>
        <v>1048.6400000000001</v>
      </c>
      <c r="M710" s="311"/>
      <c r="N710" s="311"/>
      <c r="O710" s="311"/>
      <c r="P710" s="311"/>
      <c r="Q710" s="386"/>
      <c r="R710" s="392"/>
      <c r="S710" s="358">
        <f ca="1">IF(C710&lt;=EOMONTH('&gt;&gt;Vistas Consolidadas'!$D$2, '&gt;&gt;Vistas Consolidadas'!$F$2),J710+I710,J710)</f>
        <v>1048.6400000000001</v>
      </c>
      <c r="T710" s="18" t="str">
        <f ca="1">IF(C710&gt;='&gt;&gt;Vistas Consolidadas'!$D$2,"SI","NO")</f>
        <v>SI</v>
      </c>
      <c r="U710" s="358">
        <f ca="1">IF(C710&lt;=EOMONTH('&gt;&gt;Vistas Consolidadas'!$D$2, '&gt;&gt;Vistas Consolidadas'!$F$2),I710,0)</f>
        <v>1048.6400000000001</v>
      </c>
      <c r="V710" s="18" t="b">
        <f ca="1">AND(C710&gt;='Interes Por Semana'!$C$4, C710&lt;='Interes Por Semana'!$E$4)</f>
        <v>0</v>
      </c>
      <c r="W710" s="18" t="str">
        <f t="shared" si="23"/>
        <v>martes</v>
      </c>
    </row>
    <row r="711" spans="2:23" hidden="1" x14ac:dyDescent="0.25">
      <c r="B711" s="337">
        <v>46157</v>
      </c>
      <c r="C711" s="337">
        <v>46180</v>
      </c>
      <c r="D711" s="374" t="s">
        <v>78</v>
      </c>
      <c r="E711" s="309" t="s">
        <v>47</v>
      </c>
      <c r="F711" s="310" t="s">
        <v>156</v>
      </c>
      <c r="G711" s="311">
        <v>7.93</v>
      </c>
      <c r="H711" s="311">
        <v>9.9247584100000008</v>
      </c>
      <c r="I711" s="340">
        <v>96.1328125</v>
      </c>
      <c r="J711" s="340">
        <v>34.96</v>
      </c>
      <c r="K711" s="311"/>
      <c r="L711" s="340">
        <f t="shared" si="22"/>
        <v>96.1328125</v>
      </c>
      <c r="M711" s="311"/>
      <c r="N711" s="311"/>
      <c r="O711" s="311"/>
      <c r="P711" s="311"/>
      <c r="Q711" s="386"/>
      <c r="R711" s="392"/>
      <c r="S711" s="358">
        <f ca="1">IF(C711&lt;=EOMONTH('&gt;&gt;Vistas Consolidadas'!$D$2, '&gt;&gt;Vistas Consolidadas'!$F$2),J711+I711,J711)</f>
        <v>131.09281250000001</v>
      </c>
      <c r="T711" s="18" t="str">
        <f ca="1">IF(C711&gt;='&gt;&gt;Vistas Consolidadas'!$D$2,"SI","NO")</f>
        <v>NO</v>
      </c>
      <c r="U711" s="358">
        <f ca="1">IF(C711&lt;=EOMONTH('&gt;&gt;Vistas Consolidadas'!$D$2, '&gt;&gt;Vistas Consolidadas'!$F$2),I711,0)</f>
        <v>96.1328125</v>
      </c>
      <c r="V711" s="18" t="b">
        <f ca="1">AND(C711&gt;='Interes Por Semana'!$C$4, C711&lt;='Interes Por Semana'!$E$4)</f>
        <v>0</v>
      </c>
      <c r="W711" s="18" t="str">
        <f t="shared" si="23"/>
        <v>domingo</v>
      </c>
    </row>
    <row r="712" spans="2:23" hidden="1" x14ac:dyDescent="0.25">
      <c r="B712" s="337">
        <v>46157</v>
      </c>
      <c r="C712" s="337">
        <v>46210</v>
      </c>
      <c r="D712" s="374" t="s">
        <v>78</v>
      </c>
      <c r="E712" s="309" t="s">
        <v>47</v>
      </c>
      <c r="F712" s="310" t="s">
        <v>156</v>
      </c>
      <c r="G712" s="311">
        <v>7.93</v>
      </c>
      <c r="H712" s="311">
        <v>9.9247584100000008</v>
      </c>
      <c r="I712" s="340">
        <v>131.09281250000001</v>
      </c>
      <c r="J712" s="340"/>
      <c r="K712" s="311"/>
      <c r="L712" s="340">
        <f t="shared" si="22"/>
        <v>131.09281250000001</v>
      </c>
      <c r="M712" s="311"/>
      <c r="N712" s="311"/>
      <c r="O712" s="311"/>
      <c r="P712" s="311"/>
      <c r="Q712" s="386"/>
      <c r="R712" s="392"/>
      <c r="S712" s="358">
        <f ca="1">IF(C712&lt;=EOMONTH('&gt;&gt;Vistas Consolidadas'!$D$2, '&gt;&gt;Vistas Consolidadas'!$F$2),J712+I712,J712)</f>
        <v>131.09281250000001</v>
      </c>
      <c r="T712" s="18" t="str">
        <f ca="1">IF(C712&gt;='&gt;&gt;Vistas Consolidadas'!$D$2,"SI","NO")</f>
        <v>NO</v>
      </c>
      <c r="U712" s="358">
        <f ca="1">IF(C712&lt;=EOMONTH('&gt;&gt;Vistas Consolidadas'!$D$2, '&gt;&gt;Vistas Consolidadas'!$F$2),I712,0)</f>
        <v>131.09281250000001</v>
      </c>
      <c r="V712" s="18" t="b">
        <f ca="1">AND(C712&gt;='Interes Por Semana'!$C$4, C712&lt;='Interes Por Semana'!$E$4)</f>
        <v>0</v>
      </c>
      <c r="W712" s="18" t="str">
        <f t="shared" si="23"/>
        <v>martes</v>
      </c>
    </row>
    <row r="713" spans="2:23" hidden="1" x14ac:dyDescent="0.25">
      <c r="B713" s="337">
        <v>46157</v>
      </c>
      <c r="C713" s="337">
        <v>46241</v>
      </c>
      <c r="D713" s="374" t="s">
        <v>78</v>
      </c>
      <c r="E713" s="309" t="s">
        <v>47</v>
      </c>
      <c r="F713" s="310" t="s">
        <v>156</v>
      </c>
      <c r="G713" s="311">
        <v>7.93</v>
      </c>
      <c r="H713" s="311">
        <v>9.9247584100000008</v>
      </c>
      <c r="I713" s="340">
        <v>131.09281250000001</v>
      </c>
      <c r="J713" s="340"/>
      <c r="K713" s="311"/>
      <c r="L713" s="340">
        <f t="shared" si="22"/>
        <v>131.09281250000001</v>
      </c>
      <c r="M713" s="311"/>
      <c r="N713" s="311"/>
      <c r="O713" s="311"/>
      <c r="P713" s="311"/>
      <c r="Q713" s="386"/>
      <c r="R713" s="392"/>
      <c r="S713" s="358">
        <f ca="1">IF(C713&lt;=EOMONTH('&gt;&gt;Vistas Consolidadas'!$D$2, '&gt;&gt;Vistas Consolidadas'!$F$2),J713+I713,J713)</f>
        <v>131.09281250000001</v>
      </c>
      <c r="T713" s="18" t="str">
        <f ca="1">IF(C713&gt;='&gt;&gt;Vistas Consolidadas'!$D$2,"SI","NO")</f>
        <v>NO</v>
      </c>
      <c r="U713" s="358">
        <f ca="1">IF(C713&lt;=EOMONTH('&gt;&gt;Vistas Consolidadas'!$D$2, '&gt;&gt;Vistas Consolidadas'!$F$2),I713,0)</f>
        <v>131.09281250000001</v>
      </c>
      <c r="V713" s="18" t="b">
        <f ca="1">AND(C713&gt;='Interes Por Semana'!$C$4, C713&lt;='Interes Por Semana'!$E$4)</f>
        <v>0</v>
      </c>
      <c r="W713" s="18" t="str">
        <f t="shared" si="23"/>
        <v>viernes</v>
      </c>
    </row>
    <row r="714" spans="2:23" hidden="1" x14ac:dyDescent="0.25">
      <c r="B714" s="337">
        <v>46157</v>
      </c>
      <c r="C714" s="337">
        <v>46272</v>
      </c>
      <c r="D714" s="374" t="s">
        <v>78</v>
      </c>
      <c r="E714" s="309" t="s">
        <v>47</v>
      </c>
      <c r="F714" s="310" t="s">
        <v>156</v>
      </c>
      <c r="G714" s="311">
        <v>7.93</v>
      </c>
      <c r="H714" s="311">
        <v>9.9247584100000008</v>
      </c>
      <c r="I714" s="340">
        <v>131.09281250000001</v>
      </c>
      <c r="J714" s="340"/>
      <c r="K714" s="311"/>
      <c r="L714" s="340">
        <f t="shared" si="22"/>
        <v>131.09281250000001</v>
      </c>
      <c r="M714" s="311"/>
      <c r="N714" s="311"/>
      <c r="O714" s="311"/>
      <c r="P714" s="311"/>
      <c r="Q714" s="386"/>
      <c r="R714" s="392"/>
      <c r="S714" s="358">
        <f ca="1">IF(C714&lt;=EOMONTH('&gt;&gt;Vistas Consolidadas'!$D$2, '&gt;&gt;Vistas Consolidadas'!$F$2),J714+I714,J714)</f>
        <v>131.09281250000001</v>
      </c>
      <c r="T714" s="18" t="str">
        <f ca="1">IF(C714&gt;='&gt;&gt;Vistas Consolidadas'!$D$2,"SI","NO")</f>
        <v>NO</v>
      </c>
      <c r="U714" s="358">
        <f ca="1">IF(C714&lt;=EOMONTH('&gt;&gt;Vistas Consolidadas'!$D$2, '&gt;&gt;Vistas Consolidadas'!$F$2),I714,0)</f>
        <v>131.09281250000001</v>
      </c>
      <c r="V714" s="18" t="b">
        <f ca="1">AND(C714&gt;='Interes Por Semana'!$C$4, C714&lt;='Interes Por Semana'!$E$4)</f>
        <v>0</v>
      </c>
      <c r="W714" s="18" t="str">
        <f t="shared" si="23"/>
        <v>lunes</v>
      </c>
    </row>
    <row r="715" spans="2:23" hidden="1" x14ac:dyDescent="0.25">
      <c r="B715" s="337">
        <v>46157</v>
      </c>
      <c r="C715" s="337">
        <v>46302</v>
      </c>
      <c r="D715" s="374" t="s">
        <v>78</v>
      </c>
      <c r="E715" s="309" t="s">
        <v>47</v>
      </c>
      <c r="F715" s="310" t="s">
        <v>156</v>
      </c>
      <c r="G715" s="311">
        <v>7.93</v>
      </c>
      <c r="H715" s="311">
        <v>9.9247584100000008</v>
      </c>
      <c r="I715" s="340">
        <v>131.09281250000001</v>
      </c>
      <c r="J715" s="340"/>
      <c r="K715" s="311"/>
      <c r="L715" s="340">
        <f t="shared" si="22"/>
        <v>131.09281250000001</v>
      </c>
      <c r="M715" s="311"/>
      <c r="N715" s="311"/>
      <c r="O715" s="311"/>
      <c r="P715" s="311"/>
      <c r="Q715" s="386"/>
      <c r="R715" s="392"/>
      <c r="S715" s="358">
        <f ca="1">IF(C715&lt;=EOMONTH('&gt;&gt;Vistas Consolidadas'!$D$2, '&gt;&gt;Vistas Consolidadas'!$F$2),J715+I715,J715)</f>
        <v>131.09281250000001</v>
      </c>
      <c r="T715" s="18" t="str">
        <f ca="1">IF(C715&gt;='&gt;&gt;Vistas Consolidadas'!$D$2,"SI","NO")</f>
        <v>NO</v>
      </c>
      <c r="U715" s="358">
        <f ca="1">IF(C715&lt;=EOMONTH('&gt;&gt;Vistas Consolidadas'!$D$2, '&gt;&gt;Vistas Consolidadas'!$F$2),I715,0)</f>
        <v>131.09281250000001</v>
      </c>
      <c r="V715" s="18" t="b">
        <f ca="1">AND(C715&gt;='Interes Por Semana'!$C$4, C715&lt;='Interes Por Semana'!$E$4)</f>
        <v>0</v>
      </c>
      <c r="W715" s="18" t="str">
        <f t="shared" si="23"/>
        <v>miércoles</v>
      </c>
    </row>
    <row r="716" spans="2:23" hidden="1" x14ac:dyDescent="0.25">
      <c r="B716" s="337">
        <v>46157</v>
      </c>
      <c r="C716" s="337">
        <v>46333</v>
      </c>
      <c r="D716" s="374" t="s">
        <v>78</v>
      </c>
      <c r="E716" s="309" t="s">
        <v>47</v>
      </c>
      <c r="F716" s="310" t="s">
        <v>156</v>
      </c>
      <c r="G716" s="311">
        <v>7.93</v>
      </c>
      <c r="H716" s="311">
        <v>9.9247584100000008</v>
      </c>
      <c r="I716" s="340">
        <v>131.09281250000001</v>
      </c>
      <c r="J716" s="340"/>
      <c r="K716" s="311"/>
      <c r="L716" s="340">
        <f t="shared" si="22"/>
        <v>131.09281250000001</v>
      </c>
      <c r="M716" s="311"/>
      <c r="N716" s="311"/>
      <c r="O716" s="311"/>
      <c r="P716" s="311"/>
      <c r="Q716" s="386"/>
      <c r="R716" s="392"/>
      <c r="S716" s="358">
        <f ca="1">IF(C716&lt;=EOMONTH('&gt;&gt;Vistas Consolidadas'!$D$2, '&gt;&gt;Vistas Consolidadas'!$F$2),J716+I716,J716)</f>
        <v>131.09281250000001</v>
      </c>
      <c r="T716" s="18" t="str">
        <f ca="1">IF(C716&gt;='&gt;&gt;Vistas Consolidadas'!$D$2,"SI","NO")</f>
        <v>SI</v>
      </c>
      <c r="U716" s="358">
        <f ca="1">IF(C716&lt;=EOMONTH('&gt;&gt;Vistas Consolidadas'!$D$2, '&gt;&gt;Vistas Consolidadas'!$F$2),I716,0)</f>
        <v>131.09281250000001</v>
      </c>
      <c r="V716" s="18" t="b">
        <f ca="1">AND(C716&gt;='Interes Por Semana'!$C$4, C716&lt;='Interes Por Semana'!$E$4)</f>
        <v>0</v>
      </c>
      <c r="W716" s="18" t="str">
        <f t="shared" si="23"/>
        <v>sábado</v>
      </c>
    </row>
    <row r="717" spans="2:23" hidden="1" x14ac:dyDescent="0.25">
      <c r="B717" s="337">
        <v>46157</v>
      </c>
      <c r="C717" s="337">
        <v>46363</v>
      </c>
      <c r="D717" s="374" t="s">
        <v>78</v>
      </c>
      <c r="E717" s="309" t="s">
        <v>47</v>
      </c>
      <c r="F717" s="310" t="s">
        <v>156</v>
      </c>
      <c r="G717" s="311">
        <v>7.93</v>
      </c>
      <c r="H717" s="311">
        <v>9.9247584100000008</v>
      </c>
      <c r="I717" s="340">
        <v>131.09281250000001</v>
      </c>
      <c r="J717" s="340"/>
      <c r="K717" s="311"/>
      <c r="L717" s="340">
        <f t="shared" si="22"/>
        <v>131.09281250000001</v>
      </c>
      <c r="M717" s="311"/>
      <c r="N717" s="311"/>
      <c r="O717" s="311"/>
      <c r="P717" s="311"/>
      <c r="Q717" s="386"/>
      <c r="R717" s="392"/>
      <c r="S717" s="358">
        <f ca="1">IF(C717&lt;=EOMONTH('&gt;&gt;Vistas Consolidadas'!$D$2, '&gt;&gt;Vistas Consolidadas'!$F$2),J717+I717,J717)</f>
        <v>131.09281250000001</v>
      </c>
      <c r="T717" s="18" t="str">
        <f ca="1">IF(C717&gt;='&gt;&gt;Vistas Consolidadas'!$D$2,"SI","NO")</f>
        <v>SI</v>
      </c>
      <c r="U717" s="358">
        <f ca="1">IF(C717&lt;=EOMONTH('&gt;&gt;Vistas Consolidadas'!$D$2, '&gt;&gt;Vistas Consolidadas'!$F$2),I717,0)</f>
        <v>131.09281250000001</v>
      </c>
      <c r="V717" s="18" t="b">
        <f ca="1">AND(C717&gt;='Interes Por Semana'!$C$4, C717&lt;='Interes Por Semana'!$E$4)</f>
        <v>0</v>
      </c>
      <c r="W717" s="18" t="str">
        <f t="shared" si="23"/>
        <v>lunes</v>
      </c>
    </row>
    <row r="718" spans="2:23" hidden="1" x14ac:dyDescent="0.25">
      <c r="B718" s="337">
        <v>46157</v>
      </c>
      <c r="C718" s="337">
        <v>46394</v>
      </c>
      <c r="D718" s="374" t="s">
        <v>78</v>
      </c>
      <c r="E718" s="309" t="s">
        <v>47</v>
      </c>
      <c r="F718" s="310" t="s">
        <v>156</v>
      </c>
      <c r="G718" s="311">
        <v>7.93</v>
      </c>
      <c r="H718" s="311">
        <v>9.9247584100000008</v>
      </c>
      <c r="I718" s="340">
        <v>131.09281250000001</v>
      </c>
      <c r="J718" s="340"/>
      <c r="K718" s="311"/>
      <c r="L718" s="340">
        <f t="shared" si="22"/>
        <v>131.09281250000001</v>
      </c>
      <c r="M718" s="311"/>
      <c r="N718" s="311"/>
      <c r="O718" s="311"/>
      <c r="P718" s="311"/>
      <c r="Q718" s="386"/>
      <c r="R718" s="392"/>
      <c r="S718" s="358">
        <f ca="1">IF(C718&lt;=EOMONTH('&gt;&gt;Vistas Consolidadas'!$D$2, '&gt;&gt;Vistas Consolidadas'!$F$2),J718+I718,J718)</f>
        <v>131.09281250000001</v>
      </c>
      <c r="T718" s="18" t="str">
        <f ca="1">IF(C718&gt;='&gt;&gt;Vistas Consolidadas'!$D$2,"SI","NO")</f>
        <v>SI</v>
      </c>
      <c r="U718" s="358">
        <f ca="1">IF(C718&lt;=EOMONTH('&gt;&gt;Vistas Consolidadas'!$D$2, '&gt;&gt;Vistas Consolidadas'!$F$2),I718,0)</f>
        <v>131.09281250000001</v>
      </c>
      <c r="V718" s="18" t="b">
        <f ca="1">AND(C718&gt;='Interes Por Semana'!$C$4, C718&lt;='Interes Por Semana'!$E$4)</f>
        <v>0</v>
      </c>
      <c r="W718" s="18" t="str">
        <f t="shared" si="23"/>
        <v>jueves</v>
      </c>
    </row>
    <row r="719" spans="2:23" hidden="1" x14ac:dyDescent="0.25">
      <c r="B719" s="337">
        <v>46157</v>
      </c>
      <c r="C719" s="337">
        <v>46425</v>
      </c>
      <c r="D719" s="374" t="s">
        <v>78</v>
      </c>
      <c r="E719" s="309" t="s">
        <v>47</v>
      </c>
      <c r="F719" s="310" t="s">
        <v>156</v>
      </c>
      <c r="G719" s="311">
        <v>7.93</v>
      </c>
      <c r="H719" s="311">
        <v>9.9247584100000008</v>
      </c>
      <c r="I719" s="340">
        <v>131.09281250000001</v>
      </c>
      <c r="J719" s="340"/>
      <c r="K719" s="311"/>
      <c r="L719" s="340">
        <f t="shared" si="22"/>
        <v>131.09281250000001</v>
      </c>
      <c r="M719" s="311"/>
      <c r="N719" s="311"/>
      <c r="O719" s="311"/>
      <c r="P719" s="311"/>
      <c r="Q719" s="386"/>
      <c r="R719" s="392"/>
      <c r="S719" s="358">
        <f ca="1">IF(C719&lt;=EOMONTH('&gt;&gt;Vistas Consolidadas'!$D$2, '&gt;&gt;Vistas Consolidadas'!$F$2),J719+I719,J719)</f>
        <v>131.09281250000001</v>
      </c>
      <c r="T719" s="18" t="str">
        <f ca="1">IF(C719&gt;='&gt;&gt;Vistas Consolidadas'!$D$2,"SI","NO")</f>
        <v>SI</v>
      </c>
      <c r="U719" s="358">
        <f ca="1">IF(C719&lt;=EOMONTH('&gt;&gt;Vistas Consolidadas'!$D$2, '&gt;&gt;Vistas Consolidadas'!$F$2),I719,0)</f>
        <v>131.09281250000001</v>
      </c>
      <c r="V719" s="18" t="b">
        <f ca="1">AND(C719&gt;='Interes Por Semana'!$C$4, C719&lt;='Interes Por Semana'!$E$4)</f>
        <v>0</v>
      </c>
      <c r="W719" s="18" t="str">
        <f t="shared" si="23"/>
        <v>domingo</v>
      </c>
    </row>
    <row r="720" spans="2:23" hidden="1" x14ac:dyDescent="0.25">
      <c r="B720" s="337">
        <v>46157</v>
      </c>
      <c r="C720" s="337">
        <v>46453</v>
      </c>
      <c r="D720" s="374" t="s">
        <v>78</v>
      </c>
      <c r="E720" s="309" t="s">
        <v>47</v>
      </c>
      <c r="F720" s="310" t="s">
        <v>156</v>
      </c>
      <c r="G720" s="311">
        <v>7.93</v>
      </c>
      <c r="H720" s="311">
        <v>9.9247584100000008</v>
      </c>
      <c r="I720" s="340">
        <v>131.09281250000001</v>
      </c>
      <c r="J720" s="340"/>
      <c r="K720" s="311"/>
      <c r="L720" s="340">
        <f t="shared" si="22"/>
        <v>131.09281250000001</v>
      </c>
      <c r="M720" s="311"/>
      <c r="N720" s="311"/>
      <c r="O720" s="311"/>
      <c r="P720" s="311"/>
      <c r="Q720" s="386"/>
      <c r="R720" s="392"/>
      <c r="S720" s="358">
        <f ca="1">IF(C720&lt;=EOMONTH('&gt;&gt;Vistas Consolidadas'!$D$2, '&gt;&gt;Vistas Consolidadas'!$F$2),J720+I720,J720)</f>
        <v>131.09281250000001</v>
      </c>
      <c r="T720" s="18" t="str">
        <f ca="1">IF(C720&gt;='&gt;&gt;Vistas Consolidadas'!$D$2,"SI","NO")</f>
        <v>SI</v>
      </c>
      <c r="U720" s="358">
        <f ca="1">IF(C720&lt;=EOMONTH('&gt;&gt;Vistas Consolidadas'!$D$2, '&gt;&gt;Vistas Consolidadas'!$F$2),I720,0)</f>
        <v>131.09281250000001</v>
      </c>
      <c r="V720" s="18" t="b">
        <f ca="1">AND(C720&gt;='Interes Por Semana'!$C$4, C720&lt;='Interes Por Semana'!$E$4)</f>
        <v>0</v>
      </c>
      <c r="W720" s="18" t="str">
        <f t="shared" si="23"/>
        <v>domingo</v>
      </c>
    </row>
    <row r="721" spans="2:23" hidden="1" x14ac:dyDescent="0.25">
      <c r="B721" s="337">
        <v>46157</v>
      </c>
      <c r="C721" s="337">
        <v>46484</v>
      </c>
      <c r="D721" s="374" t="s">
        <v>78</v>
      </c>
      <c r="E721" s="309" t="s">
        <v>47</v>
      </c>
      <c r="F721" s="310" t="s">
        <v>156</v>
      </c>
      <c r="G721" s="311">
        <v>7.93</v>
      </c>
      <c r="H721" s="311">
        <v>9.9247584100000008</v>
      </c>
      <c r="I721" s="340">
        <v>131.09281250000001</v>
      </c>
      <c r="J721" s="340"/>
      <c r="K721" s="311"/>
      <c r="L721" s="340">
        <f t="shared" si="22"/>
        <v>131.09281250000001</v>
      </c>
      <c r="M721" s="311"/>
      <c r="N721" s="311"/>
      <c r="O721" s="311"/>
      <c r="P721" s="311"/>
      <c r="Q721" s="386"/>
      <c r="R721" s="392"/>
      <c r="S721" s="358">
        <f ca="1">IF(C721&lt;=EOMONTH('&gt;&gt;Vistas Consolidadas'!$D$2, '&gt;&gt;Vistas Consolidadas'!$F$2),J721+I721,J721)</f>
        <v>131.09281250000001</v>
      </c>
      <c r="T721" s="18" t="str">
        <f ca="1">IF(C721&gt;='&gt;&gt;Vistas Consolidadas'!$D$2,"SI","NO")</f>
        <v>SI</v>
      </c>
      <c r="U721" s="358">
        <f ca="1">IF(C721&lt;=EOMONTH('&gt;&gt;Vistas Consolidadas'!$D$2, '&gt;&gt;Vistas Consolidadas'!$F$2),I721,0)</f>
        <v>131.09281250000001</v>
      </c>
      <c r="V721" s="18" t="b">
        <f ca="1">AND(C721&gt;='Interes Por Semana'!$C$4, C721&lt;='Interes Por Semana'!$E$4)</f>
        <v>0</v>
      </c>
      <c r="W721" s="18" t="str">
        <f t="shared" si="23"/>
        <v>miércoles</v>
      </c>
    </row>
    <row r="722" spans="2:23" x14ac:dyDescent="0.25">
      <c r="B722" s="337">
        <v>46160</v>
      </c>
      <c r="C722" s="338">
        <v>49309</v>
      </c>
      <c r="D722" s="374" t="s">
        <v>96</v>
      </c>
      <c r="E722" s="309" t="s">
        <v>47</v>
      </c>
      <c r="F722" s="315" t="s">
        <v>132</v>
      </c>
      <c r="G722" s="311">
        <v>1</v>
      </c>
      <c r="H722" s="311">
        <v>1</v>
      </c>
      <c r="I722" s="340">
        <v>0</v>
      </c>
      <c r="J722" s="341">
        <v>1882.37</v>
      </c>
      <c r="K722" s="311"/>
      <c r="L722" s="340">
        <f t="shared" ref="L722:L785" si="24">I722</f>
        <v>0</v>
      </c>
      <c r="M722" s="311"/>
      <c r="N722" s="311"/>
      <c r="O722" s="311"/>
      <c r="P722" s="311"/>
      <c r="Q722" s="386"/>
      <c r="R722" s="392">
        <v>367646</v>
      </c>
      <c r="S722" s="358">
        <f ca="1">IF(C722&lt;=EOMONTH('&gt;&gt;Vistas Consolidadas'!$D$2, '&gt;&gt;Vistas Consolidadas'!$F$2),J722+I722,J722)</f>
        <v>1882.37</v>
      </c>
      <c r="T722" s="18" t="str">
        <f ca="1">IF(C722&gt;='&gt;&gt;Vistas Consolidadas'!$D$2,"SI","NO")</f>
        <v>SI</v>
      </c>
      <c r="U722" s="358">
        <f ca="1">IF(C722&lt;=EOMONTH('&gt;&gt;Vistas Consolidadas'!$D$2, '&gt;&gt;Vistas Consolidadas'!$F$2),I722,0)</f>
        <v>0</v>
      </c>
      <c r="V722" s="18" t="b">
        <f ca="1">AND(C722&gt;='Interes Por Semana'!$C$4, C722&lt;='Interes Por Semana'!$E$4)</f>
        <v>0</v>
      </c>
      <c r="W722" s="18" t="str">
        <f t="shared" si="23"/>
        <v>domingo</v>
      </c>
    </row>
    <row r="723" spans="2:23" x14ac:dyDescent="0.25">
      <c r="B723" s="337">
        <v>46161</v>
      </c>
      <c r="C723" s="338">
        <v>49309</v>
      </c>
      <c r="D723" s="374" t="s">
        <v>96</v>
      </c>
      <c r="E723" s="309" t="s">
        <v>47</v>
      </c>
      <c r="F723" s="315" t="s">
        <v>132</v>
      </c>
      <c r="G723" s="311">
        <v>1</v>
      </c>
      <c r="H723" s="311">
        <v>1</v>
      </c>
      <c r="I723" s="340">
        <v>0</v>
      </c>
      <c r="J723" s="341">
        <v>3489.14</v>
      </c>
      <c r="K723" s="311"/>
      <c r="L723" s="340">
        <f t="shared" si="24"/>
        <v>0</v>
      </c>
      <c r="M723" s="311"/>
      <c r="N723" s="311"/>
      <c r="O723" s="311"/>
      <c r="P723" s="311"/>
      <c r="Q723" s="386"/>
      <c r="R723" s="392">
        <v>367646</v>
      </c>
      <c r="S723" s="358">
        <f ca="1">IF(C723&lt;=EOMONTH('&gt;&gt;Vistas Consolidadas'!$D$2, '&gt;&gt;Vistas Consolidadas'!$F$2),J723+I723,J723)</f>
        <v>3489.14</v>
      </c>
      <c r="T723" s="18" t="str">
        <f ca="1">IF(C723&gt;='&gt;&gt;Vistas Consolidadas'!$D$2,"SI","NO")</f>
        <v>SI</v>
      </c>
      <c r="U723" s="358">
        <f ca="1">IF(C723&lt;=EOMONTH('&gt;&gt;Vistas Consolidadas'!$D$2, '&gt;&gt;Vistas Consolidadas'!$F$2),I723,0)</f>
        <v>0</v>
      </c>
      <c r="V723" s="18" t="b">
        <f ca="1">AND(C723&gt;='Interes Por Semana'!$C$4, C723&lt;='Interes Por Semana'!$E$4)</f>
        <v>0</v>
      </c>
      <c r="W723" s="18" t="str">
        <f t="shared" si="23"/>
        <v>domingo</v>
      </c>
    </row>
    <row r="724" spans="2:23" hidden="1" x14ac:dyDescent="0.25">
      <c r="B724" s="337">
        <v>46161</v>
      </c>
      <c r="C724" s="337">
        <v>46180</v>
      </c>
      <c r="D724" s="374" t="s">
        <v>78</v>
      </c>
      <c r="E724" s="309" t="s">
        <v>47</v>
      </c>
      <c r="F724" s="310" t="s">
        <v>157</v>
      </c>
      <c r="G724" s="311">
        <v>7.13</v>
      </c>
      <c r="H724" s="311">
        <v>9.7885091800000001</v>
      </c>
      <c r="I724" s="340">
        <v>46.799229166666663</v>
      </c>
      <c r="J724" s="340">
        <v>31.2</v>
      </c>
      <c r="K724" s="311"/>
      <c r="L724" s="340">
        <f t="shared" si="24"/>
        <v>46.799229166666663</v>
      </c>
      <c r="M724" s="311"/>
      <c r="N724" s="311"/>
      <c r="O724" s="311"/>
      <c r="P724" s="311"/>
      <c r="Q724" s="386"/>
      <c r="R724" s="392">
        <v>367635</v>
      </c>
      <c r="S724" s="358">
        <f ca="1">IF(C724&lt;=EOMONTH('&gt;&gt;Vistas Consolidadas'!$D$2, '&gt;&gt;Vistas Consolidadas'!$F$2),J724+I724,J724)</f>
        <v>77.999229166666666</v>
      </c>
      <c r="T724" s="18" t="str">
        <f ca="1">IF(C724&gt;='&gt;&gt;Vistas Consolidadas'!$D$2,"SI","NO")</f>
        <v>NO</v>
      </c>
      <c r="U724" s="358">
        <f ca="1">IF(C724&lt;=EOMONTH('&gt;&gt;Vistas Consolidadas'!$D$2, '&gt;&gt;Vistas Consolidadas'!$F$2),I724,0)</f>
        <v>46.799229166666663</v>
      </c>
      <c r="V724" s="18" t="b">
        <f ca="1">AND(C724&gt;='Interes Por Semana'!$C$4, C724&lt;='Interes Por Semana'!$E$4)</f>
        <v>0</v>
      </c>
      <c r="W724" s="18" t="str">
        <f t="shared" si="23"/>
        <v>domingo</v>
      </c>
    </row>
    <row r="725" spans="2:23" hidden="1" x14ac:dyDescent="0.25">
      <c r="B725" s="337">
        <v>46162</v>
      </c>
      <c r="C725" s="337">
        <v>46168</v>
      </c>
      <c r="D725" s="374" t="s">
        <v>78</v>
      </c>
      <c r="E725" s="309" t="s">
        <v>47</v>
      </c>
      <c r="F725" s="310" t="s">
        <v>158</v>
      </c>
      <c r="G725" s="311">
        <v>5.36</v>
      </c>
      <c r="H725" s="311">
        <v>9</v>
      </c>
      <c r="I725" s="340">
        <v>2.554666666666666</v>
      </c>
      <c r="J725" s="340">
        <v>10.220000000000001</v>
      </c>
      <c r="K725" s="311"/>
      <c r="L725" s="340">
        <f t="shared" si="24"/>
        <v>2.554666666666666</v>
      </c>
      <c r="M725" s="311"/>
      <c r="N725" s="311"/>
      <c r="O725" s="311"/>
      <c r="P725" s="311"/>
      <c r="Q725" s="386"/>
      <c r="R725" s="392">
        <v>367706</v>
      </c>
      <c r="S725" s="358">
        <f ca="1">IF(C725&lt;=EOMONTH('&gt;&gt;Vistas Consolidadas'!$D$2, '&gt;&gt;Vistas Consolidadas'!$F$2),J725+I725,J725)</f>
        <v>12.774666666666667</v>
      </c>
      <c r="T725" s="18" t="str">
        <f ca="1">IF(C725&gt;='&gt;&gt;Vistas Consolidadas'!$D$2,"SI","NO")</f>
        <v>NO</v>
      </c>
      <c r="U725" s="358">
        <f ca="1">IF(C725&lt;=EOMONTH('&gt;&gt;Vistas Consolidadas'!$D$2, '&gt;&gt;Vistas Consolidadas'!$F$2),I725,0)</f>
        <v>2.554666666666666</v>
      </c>
      <c r="V725" s="18" t="b">
        <f ca="1">AND(C725&gt;='Interes Por Semana'!$C$4, C725&lt;='Interes Por Semana'!$E$4)</f>
        <v>0</v>
      </c>
      <c r="W725" s="18" t="str">
        <f t="shared" si="23"/>
        <v>martes</v>
      </c>
    </row>
    <row r="726" spans="2:23" hidden="1" x14ac:dyDescent="0.25">
      <c r="B726" s="337">
        <v>46162</v>
      </c>
      <c r="C726" s="337">
        <v>46199</v>
      </c>
      <c r="D726" s="374" t="s">
        <v>78</v>
      </c>
      <c r="E726" s="309" t="s">
        <v>47</v>
      </c>
      <c r="F726" s="310" t="s">
        <v>158</v>
      </c>
      <c r="G726" s="311">
        <v>5.36</v>
      </c>
      <c r="H726" s="311">
        <v>9</v>
      </c>
      <c r="I726" s="340">
        <v>12.77</v>
      </c>
      <c r="J726" s="340"/>
      <c r="K726" s="311"/>
      <c r="L726" s="340">
        <f t="shared" si="24"/>
        <v>12.77</v>
      </c>
      <c r="M726" s="311"/>
      <c r="N726" s="311"/>
      <c r="O726" s="311"/>
      <c r="P726" s="311"/>
      <c r="Q726" s="386"/>
      <c r="R726" s="392">
        <v>367706</v>
      </c>
      <c r="S726" s="358">
        <f ca="1">IF(C726&lt;=EOMONTH('&gt;&gt;Vistas Consolidadas'!$D$2, '&gt;&gt;Vistas Consolidadas'!$F$2),J726+I726,J726)</f>
        <v>12.77</v>
      </c>
      <c r="T726" s="18" t="str">
        <f ca="1">IF(C726&gt;='&gt;&gt;Vistas Consolidadas'!$D$2,"SI","NO")</f>
        <v>NO</v>
      </c>
      <c r="U726" s="358">
        <f ca="1">IF(C726&lt;=EOMONTH('&gt;&gt;Vistas Consolidadas'!$D$2, '&gt;&gt;Vistas Consolidadas'!$F$2),I726,0)</f>
        <v>12.77</v>
      </c>
      <c r="V726" s="18" t="b">
        <f ca="1">AND(C726&gt;='Interes Por Semana'!$C$4, C726&lt;='Interes Por Semana'!$E$4)</f>
        <v>0</v>
      </c>
      <c r="W726" s="18" t="str">
        <f t="shared" si="23"/>
        <v>viernes</v>
      </c>
    </row>
    <row r="727" spans="2:23" hidden="1" x14ac:dyDescent="0.25">
      <c r="B727" s="337">
        <v>46162</v>
      </c>
      <c r="C727" s="337">
        <v>46229</v>
      </c>
      <c r="D727" s="374" t="s">
        <v>78</v>
      </c>
      <c r="E727" s="309" t="s">
        <v>47</v>
      </c>
      <c r="F727" s="310" t="s">
        <v>158</v>
      </c>
      <c r="G727" s="311">
        <v>5.36</v>
      </c>
      <c r="H727" s="311">
        <v>9</v>
      </c>
      <c r="I727" s="340">
        <v>12.77</v>
      </c>
      <c r="J727" s="340"/>
      <c r="K727" s="311"/>
      <c r="L727" s="340">
        <f t="shared" si="24"/>
        <v>12.77</v>
      </c>
      <c r="M727" s="311"/>
      <c r="N727" s="311"/>
      <c r="O727" s="311"/>
      <c r="P727" s="311"/>
      <c r="Q727" s="386"/>
      <c r="R727" s="392">
        <v>367706</v>
      </c>
      <c r="S727" s="358">
        <f ca="1">IF(C727&lt;=EOMONTH('&gt;&gt;Vistas Consolidadas'!$D$2, '&gt;&gt;Vistas Consolidadas'!$F$2),J727+I727,J727)</f>
        <v>12.77</v>
      </c>
      <c r="T727" s="18" t="str">
        <f ca="1">IF(C727&gt;='&gt;&gt;Vistas Consolidadas'!$D$2,"SI","NO")</f>
        <v>NO</v>
      </c>
      <c r="U727" s="358">
        <f ca="1">IF(C727&lt;=EOMONTH('&gt;&gt;Vistas Consolidadas'!$D$2, '&gt;&gt;Vistas Consolidadas'!$F$2),I727,0)</f>
        <v>12.77</v>
      </c>
      <c r="V727" s="18" t="b">
        <f ca="1">AND(C727&gt;='Interes Por Semana'!$C$4, C727&lt;='Interes Por Semana'!$E$4)</f>
        <v>0</v>
      </c>
      <c r="W727" s="18" t="str">
        <f t="shared" si="23"/>
        <v>domingo</v>
      </c>
    </row>
    <row r="728" spans="2:23" hidden="1" x14ac:dyDescent="0.25">
      <c r="B728" s="337">
        <v>46162</v>
      </c>
      <c r="C728" s="337">
        <v>46260</v>
      </c>
      <c r="D728" s="374" t="s">
        <v>78</v>
      </c>
      <c r="E728" s="309" t="s">
        <v>47</v>
      </c>
      <c r="F728" s="310" t="s">
        <v>158</v>
      </c>
      <c r="G728" s="311">
        <v>5.36</v>
      </c>
      <c r="H728" s="311">
        <v>9</v>
      </c>
      <c r="I728" s="340">
        <v>12.77</v>
      </c>
      <c r="J728" s="340"/>
      <c r="K728" s="311"/>
      <c r="L728" s="340">
        <f t="shared" si="24"/>
        <v>12.77</v>
      </c>
      <c r="M728" s="311"/>
      <c r="N728" s="311"/>
      <c r="O728" s="311"/>
      <c r="P728" s="311"/>
      <c r="Q728" s="386"/>
      <c r="R728" s="392">
        <v>367706</v>
      </c>
      <c r="S728" s="358">
        <f ca="1">IF(C728&lt;=EOMONTH('&gt;&gt;Vistas Consolidadas'!$D$2, '&gt;&gt;Vistas Consolidadas'!$F$2),J728+I728,J728)</f>
        <v>12.77</v>
      </c>
      <c r="T728" s="18" t="str">
        <f ca="1">IF(C728&gt;='&gt;&gt;Vistas Consolidadas'!$D$2,"SI","NO")</f>
        <v>NO</v>
      </c>
      <c r="U728" s="358">
        <f ca="1">IF(C728&lt;=EOMONTH('&gt;&gt;Vistas Consolidadas'!$D$2, '&gt;&gt;Vistas Consolidadas'!$F$2),I728,0)</f>
        <v>12.77</v>
      </c>
      <c r="V728" s="18" t="b">
        <f ca="1">AND(C728&gt;='Interes Por Semana'!$C$4, C728&lt;='Interes Por Semana'!$E$4)</f>
        <v>0</v>
      </c>
      <c r="W728" s="18" t="str">
        <f t="shared" si="23"/>
        <v>miércoles</v>
      </c>
    </row>
    <row r="729" spans="2:23" hidden="1" x14ac:dyDescent="0.25">
      <c r="B729" s="337">
        <v>46162</v>
      </c>
      <c r="C729" s="337">
        <v>46291</v>
      </c>
      <c r="D729" s="374" t="s">
        <v>78</v>
      </c>
      <c r="E729" s="309" t="s">
        <v>47</v>
      </c>
      <c r="F729" s="310" t="s">
        <v>158</v>
      </c>
      <c r="G729" s="311">
        <v>5.36</v>
      </c>
      <c r="H729" s="311">
        <v>9</v>
      </c>
      <c r="I729" s="340">
        <v>12.77</v>
      </c>
      <c r="J729" s="340"/>
      <c r="K729" s="311"/>
      <c r="L729" s="340">
        <f t="shared" si="24"/>
        <v>12.77</v>
      </c>
      <c r="M729" s="311"/>
      <c r="N729" s="311"/>
      <c r="O729" s="311"/>
      <c r="P729" s="311"/>
      <c r="Q729" s="386"/>
      <c r="R729" s="392">
        <v>367706</v>
      </c>
      <c r="S729" s="358">
        <f ca="1">IF(C729&lt;=EOMONTH('&gt;&gt;Vistas Consolidadas'!$D$2, '&gt;&gt;Vistas Consolidadas'!$F$2),J729+I729,J729)</f>
        <v>12.77</v>
      </c>
      <c r="T729" s="18" t="str">
        <f ca="1">IF(C729&gt;='&gt;&gt;Vistas Consolidadas'!$D$2,"SI","NO")</f>
        <v>NO</v>
      </c>
      <c r="U729" s="358">
        <f ca="1">IF(C729&lt;=EOMONTH('&gt;&gt;Vistas Consolidadas'!$D$2, '&gt;&gt;Vistas Consolidadas'!$F$2),I729,0)</f>
        <v>12.77</v>
      </c>
      <c r="V729" s="18" t="b">
        <f ca="1">AND(C729&gt;='Interes Por Semana'!$C$4, C729&lt;='Interes Por Semana'!$E$4)</f>
        <v>0</v>
      </c>
      <c r="W729" s="18" t="str">
        <f t="shared" si="23"/>
        <v>sábado</v>
      </c>
    </row>
    <row r="730" spans="2:23" hidden="1" x14ac:dyDescent="0.25">
      <c r="B730" s="337">
        <v>46162</v>
      </c>
      <c r="C730" s="337">
        <v>46321</v>
      </c>
      <c r="D730" s="374" t="s">
        <v>78</v>
      </c>
      <c r="E730" s="309" t="s">
        <v>47</v>
      </c>
      <c r="F730" s="310" t="s">
        <v>158</v>
      </c>
      <c r="G730" s="311">
        <v>5.36</v>
      </c>
      <c r="H730" s="311">
        <v>9</v>
      </c>
      <c r="I730" s="340">
        <v>12.77</v>
      </c>
      <c r="J730" s="340"/>
      <c r="K730" s="311"/>
      <c r="L730" s="340">
        <f t="shared" si="24"/>
        <v>12.77</v>
      </c>
      <c r="M730" s="311"/>
      <c r="N730" s="311"/>
      <c r="O730" s="311"/>
      <c r="P730" s="311"/>
      <c r="Q730" s="386"/>
      <c r="R730" s="392">
        <v>367706</v>
      </c>
      <c r="S730" s="358">
        <f ca="1">IF(C730&lt;=EOMONTH('&gt;&gt;Vistas Consolidadas'!$D$2, '&gt;&gt;Vistas Consolidadas'!$F$2),J730+I730,J730)</f>
        <v>12.77</v>
      </c>
      <c r="T730" s="18" t="str">
        <f ca="1">IF(C730&gt;='&gt;&gt;Vistas Consolidadas'!$D$2,"SI","NO")</f>
        <v>SI</v>
      </c>
      <c r="U730" s="358">
        <f ca="1">IF(C730&lt;=EOMONTH('&gt;&gt;Vistas Consolidadas'!$D$2, '&gt;&gt;Vistas Consolidadas'!$F$2),I730,0)</f>
        <v>12.77</v>
      </c>
      <c r="V730" s="18" t="b">
        <f ca="1">AND(C730&gt;='Interes Por Semana'!$C$4, C730&lt;='Interes Por Semana'!$E$4)</f>
        <v>0</v>
      </c>
      <c r="W730" s="18" t="str">
        <f t="shared" si="23"/>
        <v>lunes</v>
      </c>
    </row>
    <row r="731" spans="2:23" hidden="1" x14ac:dyDescent="0.25">
      <c r="B731" s="337">
        <v>46162</v>
      </c>
      <c r="C731" s="337">
        <v>46352</v>
      </c>
      <c r="D731" s="374" t="s">
        <v>78</v>
      </c>
      <c r="E731" s="309" t="s">
        <v>47</v>
      </c>
      <c r="F731" s="310" t="s">
        <v>158</v>
      </c>
      <c r="G731" s="311">
        <v>5.36</v>
      </c>
      <c r="H731" s="311">
        <v>9</v>
      </c>
      <c r="I731" s="340">
        <v>12.77</v>
      </c>
      <c r="J731" s="340"/>
      <c r="K731" s="311"/>
      <c r="L731" s="340">
        <f t="shared" si="24"/>
        <v>12.77</v>
      </c>
      <c r="M731" s="311"/>
      <c r="N731" s="311"/>
      <c r="O731" s="311"/>
      <c r="P731" s="311"/>
      <c r="Q731" s="386"/>
      <c r="R731" s="392">
        <v>367706</v>
      </c>
      <c r="S731" s="358">
        <f ca="1">IF(C731&lt;=EOMONTH('&gt;&gt;Vistas Consolidadas'!$D$2, '&gt;&gt;Vistas Consolidadas'!$F$2),J731+I731,J731)</f>
        <v>12.77</v>
      </c>
      <c r="T731" s="18" t="str">
        <f ca="1">IF(C731&gt;='&gt;&gt;Vistas Consolidadas'!$D$2,"SI","NO")</f>
        <v>SI</v>
      </c>
      <c r="U731" s="358">
        <f ca="1">IF(C731&lt;=EOMONTH('&gt;&gt;Vistas Consolidadas'!$D$2, '&gt;&gt;Vistas Consolidadas'!$F$2),I731,0)</f>
        <v>12.77</v>
      </c>
      <c r="V731" s="18" t="b">
        <f ca="1">AND(C731&gt;='Interes Por Semana'!$C$4, C731&lt;='Interes Por Semana'!$E$4)</f>
        <v>0</v>
      </c>
      <c r="W731" s="18" t="str">
        <f t="shared" si="23"/>
        <v>jueves</v>
      </c>
    </row>
    <row r="732" spans="2:23" hidden="1" x14ac:dyDescent="0.25">
      <c r="B732" s="337">
        <v>46162</v>
      </c>
      <c r="C732" s="337">
        <v>46382</v>
      </c>
      <c r="D732" s="374" t="s">
        <v>78</v>
      </c>
      <c r="E732" s="309" t="s">
        <v>47</v>
      </c>
      <c r="F732" s="310" t="s">
        <v>158</v>
      </c>
      <c r="G732" s="311">
        <v>5.36</v>
      </c>
      <c r="H732" s="311">
        <v>9</v>
      </c>
      <c r="I732" s="340">
        <v>12.77</v>
      </c>
      <c r="J732" s="340"/>
      <c r="K732" s="311"/>
      <c r="L732" s="340">
        <f t="shared" si="24"/>
        <v>12.77</v>
      </c>
      <c r="M732" s="311"/>
      <c r="N732" s="311"/>
      <c r="O732" s="311"/>
      <c r="P732" s="311"/>
      <c r="Q732" s="386"/>
      <c r="R732" s="392">
        <v>367706</v>
      </c>
      <c r="S732" s="358">
        <f ca="1">IF(C732&lt;=EOMONTH('&gt;&gt;Vistas Consolidadas'!$D$2, '&gt;&gt;Vistas Consolidadas'!$F$2),J732+I732,J732)</f>
        <v>12.77</v>
      </c>
      <c r="T732" s="18" t="str">
        <f ca="1">IF(C732&gt;='&gt;&gt;Vistas Consolidadas'!$D$2,"SI","NO")</f>
        <v>SI</v>
      </c>
      <c r="U732" s="358">
        <f ca="1">IF(C732&lt;=EOMONTH('&gt;&gt;Vistas Consolidadas'!$D$2, '&gt;&gt;Vistas Consolidadas'!$F$2),I732,0)</f>
        <v>12.77</v>
      </c>
      <c r="V732" s="18" t="b">
        <f ca="1">AND(C732&gt;='Interes Por Semana'!$C$4, C732&lt;='Interes Por Semana'!$E$4)</f>
        <v>0</v>
      </c>
      <c r="W732" s="18" t="str">
        <f t="shared" si="23"/>
        <v>sábado</v>
      </c>
    </row>
    <row r="733" spans="2:23" hidden="1" x14ac:dyDescent="0.25">
      <c r="B733" s="337">
        <v>46162</v>
      </c>
      <c r="C733" s="337">
        <v>46413</v>
      </c>
      <c r="D733" s="374" t="s">
        <v>78</v>
      </c>
      <c r="E733" s="309" t="s">
        <v>47</v>
      </c>
      <c r="F733" s="310" t="s">
        <v>158</v>
      </c>
      <c r="G733" s="311">
        <v>5.36</v>
      </c>
      <c r="H733" s="311">
        <v>9</v>
      </c>
      <c r="I733" s="340">
        <v>12.77</v>
      </c>
      <c r="J733" s="340"/>
      <c r="K733" s="311"/>
      <c r="L733" s="340">
        <f t="shared" si="24"/>
        <v>12.77</v>
      </c>
      <c r="M733" s="311"/>
      <c r="N733" s="311"/>
      <c r="O733" s="311"/>
      <c r="P733" s="311"/>
      <c r="Q733" s="386"/>
      <c r="R733" s="392">
        <v>367706</v>
      </c>
      <c r="S733" s="358">
        <f ca="1">IF(C733&lt;=EOMONTH('&gt;&gt;Vistas Consolidadas'!$D$2, '&gt;&gt;Vistas Consolidadas'!$F$2),J733+I733,J733)</f>
        <v>12.77</v>
      </c>
      <c r="T733" s="18" t="str">
        <f ca="1">IF(C733&gt;='&gt;&gt;Vistas Consolidadas'!$D$2,"SI","NO")</f>
        <v>SI</v>
      </c>
      <c r="U733" s="358">
        <f ca="1">IF(C733&lt;=EOMONTH('&gt;&gt;Vistas Consolidadas'!$D$2, '&gt;&gt;Vistas Consolidadas'!$F$2),I733,0)</f>
        <v>12.77</v>
      </c>
      <c r="V733" s="18" t="b">
        <f ca="1">AND(C733&gt;='Interes Por Semana'!$C$4, C733&lt;='Interes Por Semana'!$E$4)</f>
        <v>0</v>
      </c>
      <c r="W733" s="18" t="str">
        <f t="shared" si="23"/>
        <v>martes</v>
      </c>
    </row>
    <row r="734" spans="2:23" hidden="1" x14ac:dyDescent="0.25">
      <c r="B734" s="337">
        <v>46162</v>
      </c>
      <c r="C734" s="337">
        <v>46444</v>
      </c>
      <c r="D734" s="374" t="s">
        <v>78</v>
      </c>
      <c r="E734" s="309" t="s">
        <v>47</v>
      </c>
      <c r="F734" s="310" t="s">
        <v>158</v>
      </c>
      <c r="G734" s="311">
        <v>5.36</v>
      </c>
      <c r="H734" s="311">
        <v>9</v>
      </c>
      <c r="I734" s="340">
        <v>12.77</v>
      </c>
      <c r="J734" s="340"/>
      <c r="K734" s="311"/>
      <c r="L734" s="340">
        <f t="shared" si="24"/>
        <v>12.77</v>
      </c>
      <c r="M734" s="311"/>
      <c r="N734" s="311"/>
      <c r="O734" s="311"/>
      <c r="P734" s="311"/>
      <c r="Q734" s="386"/>
      <c r="R734" s="392">
        <v>367706</v>
      </c>
      <c r="S734" s="358">
        <f ca="1">IF(C734&lt;=EOMONTH('&gt;&gt;Vistas Consolidadas'!$D$2, '&gt;&gt;Vistas Consolidadas'!$F$2),J734+I734,J734)</f>
        <v>12.77</v>
      </c>
      <c r="T734" s="18" t="str">
        <f ca="1">IF(C734&gt;='&gt;&gt;Vistas Consolidadas'!$D$2,"SI","NO")</f>
        <v>SI</v>
      </c>
      <c r="U734" s="358">
        <f ca="1">IF(C734&lt;=EOMONTH('&gt;&gt;Vistas Consolidadas'!$D$2, '&gt;&gt;Vistas Consolidadas'!$F$2),I734,0)</f>
        <v>12.77</v>
      </c>
      <c r="V734" s="18" t="b">
        <f ca="1">AND(C734&gt;='Interes Por Semana'!$C$4, C734&lt;='Interes Por Semana'!$E$4)</f>
        <v>0</v>
      </c>
      <c r="W734" s="18" t="str">
        <f t="shared" si="23"/>
        <v>viernes</v>
      </c>
    </row>
    <row r="735" spans="2:23" hidden="1" x14ac:dyDescent="0.25">
      <c r="B735" s="337">
        <v>46162</v>
      </c>
      <c r="C735" s="337">
        <v>46472</v>
      </c>
      <c r="D735" s="374" t="s">
        <v>78</v>
      </c>
      <c r="E735" s="309" t="s">
        <v>47</v>
      </c>
      <c r="F735" s="310" t="s">
        <v>158</v>
      </c>
      <c r="G735" s="311">
        <v>5.36</v>
      </c>
      <c r="H735" s="311">
        <v>9</v>
      </c>
      <c r="I735" s="340">
        <v>12.77</v>
      </c>
      <c r="J735" s="340"/>
      <c r="K735" s="311"/>
      <c r="L735" s="340">
        <f t="shared" si="24"/>
        <v>12.77</v>
      </c>
      <c r="M735" s="311"/>
      <c r="N735" s="311"/>
      <c r="O735" s="311"/>
      <c r="P735" s="311"/>
      <c r="Q735" s="386"/>
      <c r="R735" s="392">
        <v>367706</v>
      </c>
      <c r="S735" s="358">
        <f ca="1">IF(C735&lt;=EOMONTH('&gt;&gt;Vistas Consolidadas'!$D$2, '&gt;&gt;Vistas Consolidadas'!$F$2),J735+I735,J735)</f>
        <v>12.77</v>
      </c>
      <c r="T735" s="18" t="str">
        <f ca="1">IF(C735&gt;='&gt;&gt;Vistas Consolidadas'!$D$2,"SI","NO")</f>
        <v>SI</v>
      </c>
      <c r="U735" s="358">
        <f ca="1">IF(C735&lt;=EOMONTH('&gt;&gt;Vistas Consolidadas'!$D$2, '&gt;&gt;Vistas Consolidadas'!$F$2),I735,0)</f>
        <v>12.77</v>
      </c>
      <c r="V735" s="18" t="b">
        <f ca="1">AND(C735&gt;='Interes Por Semana'!$C$4, C735&lt;='Interes Por Semana'!$E$4)</f>
        <v>0</v>
      </c>
      <c r="W735" s="18" t="str">
        <f t="shared" si="23"/>
        <v>viernes</v>
      </c>
    </row>
    <row r="736" spans="2:23" hidden="1" x14ac:dyDescent="0.25">
      <c r="B736" s="337">
        <v>46162</v>
      </c>
      <c r="C736" s="337">
        <v>46503</v>
      </c>
      <c r="D736" s="374" t="s">
        <v>78</v>
      </c>
      <c r="E736" s="309" t="s">
        <v>47</v>
      </c>
      <c r="F736" s="310" t="s">
        <v>158</v>
      </c>
      <c r="G736" s="311">
        <v>5.36</v>
      </c>
      <c r="H736" s="311">
        <v>9</v>
      </c>
      <c r="I736" s="340">
        <v>12.77</v>
      </c>
      <c r="J736" s="340"/>
      <c r="K736" s="311"/>
      <c r="L736" s="340">
        <f t="shared" si="24"/>
        <v>12.77</v>
      </c>
      <c r="M736" s="311"/>
      <c r="N736" s="311"/>
      <c r="O736" s="311"/>
      <c r="P736" s="311"/>
      <c r="Q736" s="386"/>
      <c r="R736" s="392">
        <v>367706</v>
      </c>
      <c r="S736" s="358">
        <f ca="1">IF(C736&lt;=EOMONTH('&gt;&gt;Vistas Consolidadas'!$D$2, '&gt;&gt;Vistas Consolidadas'!$F$2),J736+I736,J736)</f>
        <v>12.77</v>
      </c>
      <c r="T736" s="18" t="str">
        <f ca="1">IF(C736&gt;='&gt;&gt;Vistas Consolidadas'!$D$2,"SI","NO")</f>
        <v>SI</v>
      </c>
      <c r="U736" s="358">
        <f ca="1">IF(C736&lt;=EOMONTH('&gt;&gt;Vistas Consolidadas'!$D$2, '&gt;&gt;Vistas Consolidadas'!$F$2),I736,0)</f>
        <v>12.77</v>
      </c>
      <c r="V736" s="18" t="b">
        <f ca="1">AND(C736&gt;='Interes Por Semana'!$C$4, C736&lt;='Interes Por Semana'!$E$4)</f>
        <v>0</v>
      </c>
      <c r="W736" s="18" t="str">
        <f t="shared" si="23"/>
        <v>lunes</v>
      </c>
    </row>
    <row r="737" spans="2:23" hidden="1" x14ac:dyDescent="0.25">
      <c r="B737" s="337">
        <v>46163</v>
      </c>
      <c r="C737" s="338">
        <v>49309</v>
      </c>
      <c r="D737" s="374" t="s">
        <v>96</v>
      </c>
      <c r="E737" s="309" t="s">
        <v>47</v>
      </c>
      <c r="F737" s="315" t="s">
        <v>134</v>
      </c>
      <c r="G737" s="313">
        <v>1</v>
      </c>
      <c r="H737" s="313">
        <v>1</v>
      </c>
      <c r="I737" s="341">
        <v>0</v>
      </c>
      <c r="J737" s="340">
        <v>902.69</v>
      </c>
      <c r="K737" s="311"/>
      <c r="L737" s="340">
        <f t="shared" si="24"/>
        <v>0</v>
      </c>
      <c r="M737" s="311"/>
      <c r="N737" s="311"/>
      <c r="O737" s="311"/>
      <c r="P737" s="311"/>
      <c r="Q737" s="386"/>
      <c r="R737" s="392" t="s">
        <v>159</v>
      </c>
      <c r="S737" s="358">
        <f ca="1">IF(C737&lt;=EOMONTH('&gt;&gt;Vistas Consolidadas'!$D$2, '&gt;&gt;Vistas Consolidadas'!$F$2),J737+I737,J737)</f>
        <v>902.69</v>
      </c>
      <c r="T737" s="18" t="str">
        <f ca="1">IF(C737&gt;='&gt;&gt;Vistas Consolidadas'!$D$2,"SI","NO")</f>
        <v>SI</v>
      </c>
      <c r="U737" s="358">
        <f ca="1">IF(C737&lt;=EOMONTH('&gt;&gt;Vistas Consolidadas'!$D$2, '&gt;&gt;Vistas Consolidadas'!$F$2),I737,0)</f>
        <v>0</v>
      </c>
      <c r="V737" s="18" t="b">
        <f ca="1">AND(C737&gt;='Interes Por Semana'!$C$4, C737&lt;='Interes Por Semana'!$E$4)</f>
        <v>0</v>
      </c>
      <c r="W737" s="18" t="str">
        <f t="shared" si="23"/>
        <v>domingo</v>
      </c>
    </row>
    <row r="738" spans="2:23" hidden="1" x14ac:dyDescent="0.25">
      <c r="B738" s="337">
        <v>46163</v>
      </c>
      <c r="C738" s="338">
        <v>49309</v>
      </c>
      <c r="D738" s="374" t="s">
        <v>96</v>
      </c>
      <c r="E738" s="309" t="s">
        <v>47</v>
      </c>
      <c r="F738" s="315" t="s">
        <v>134</v>
      </c>
      <c r="G738" s="313">
        <v>1</v>
      </c>
      <c r="H738" s="313">
        <v>1</v>
      </c>
      <c r="I738" s="341">
        <v>0</v>
      </c>
      <c r="J738" s="340">
        <v>5648.33</v>
      </c>
      <c r="K738" s="311"/>
      <c r="L738" s="340">
        <f t="shared" si="24"/>
        <v>0</v>
      </c>
      <c r="M738" s="311"/>
      <c r="N738" s="311"/>
      <c r="O738" s="311"/>
      <c r="P738" s="311"/>
      <c r="Q738" s="386"/>
      <c r="R738" s="392" t="s">
        <v>160</v>
      </c>
      <c r="S738" s="358">
        <f ca="1">IF(C738&lt;=EOMONTH('&gt;&gt;Vistas Consolidadas'!$D$2, '&gt;&gt;Vistas Consolidadas'!$F$2),J738+I738,J738)</f>
        <v>5648.33</v>
      </c>
      <c r="T738" s="18" t="str">
        <f ca="1">IF(C738&gt;='&gt;&gt;Vistas Consolidadas'!$D$2,"SI","NO")</f>
        <v>SI</v>
      </c>
      <c r="U738" s="358">
        <f ca="1">IF(C738&lt;=EOMONTH('&gt;&gt;Vistas Consolidadas'!$D$2, '&gt;&gt;Vistas Consolidadas'!$F$2),I738,0)</f>
        <v>0</v>
      </c>
      <c r="V738" s="18" t="b">
        <f ca="1">AND(C738&gt;='Interes Por Semana'!$C$4, C738&lt;='Interes Por Semana'!$E$4)</f>
        <v>0</v>
      </c>
      <c r="W738" s="18" t="str">
        <f t="shared" si="23"/>
        <v>domingo</v>
      </c>
    </row>
    <row r="739" spans="2:23" hidden="1" x14ac:dyDescent="0.25">
      <c r="B739" s="337">
        <v>46163</v>
      </c>
      <c r="C739" s="337">
        <v>46184</v>
      </c>
      <c r="D739" s="374" t="s">
        <v>88</v>
      </c>
      <c r="E739" s="309" t="s">
        <v>47</v>
      </c>
      <c r="F739" s="310" t="s">
        <v>121</v>
      </c>
      <c r="G739" s="311">
        <v>9</v>
      </c>
      <c r="H739" s="311">
        <v>9.75</v>
      </c>
      <c r="I739" s="340">
        <v>20.99</v>
      </c>
      <c r="J739" s="340">
        <v>220.31</v>
      </c>
      <c r="K739" s="311"/>
      <c r="L739" s="340">
        <f t="shared" si="24"/>
        <v>20.99</v>
      </c>
      <c r="M739" s="311"/>
      <c r="N739" s="311"/>
      <c r="O739" s="311"/>
      <c r="P739" s="311"/>
      <c r="Q739" s="386"/>
      <c r="R739" s="392"/>
      <c r="S739" s="358">
        <f ca="1">IF(C739&lt;=EOMONTH('&gt;&gt;Vistas Consolidadas'!$D$2, '&gt;&gt;Vistas Consolidadas'!$F$2),J739+I739,J739)</f>
        <v>241.3</v>
      </c>
      <c r="T739" s="18" t="str">
        <f ca="1">IF(C739&gt;='&gt;&gt;Vistas Consolidadas'!$D$2,"SI","NO")</f>
        <v>NO</v>
      </c>
      <c r="U739" s="358">
        <f ca="1">IF(C739&lt;=EOMONTH('&gt;&gt;Vistas Consolidadas'!$D$2, '&gt;&gt;Vistas Consolidadas'!$F$2),I739,0)</f>
        <v>20.99</v>
      </c>
      <c r="V739" s="18" t="b">
        <f ca="1">AND(C739&gt;='Interes Por Semana'!$C$4, C739&lt;='Interes Por Semana'!$E$4)</f>
        <v>0</v>
      </c>
      <c r="W739" s="18" t="str">
        <f t="shared" si="23"/>
        <v>jueves</v>
      </c>
    </row>
    <row r="740" spans="2:23" hidden="1" x14ac:dyDescent="0.25">
      <c r="B740" s="337">
        <v>46163</v>
      </c>
      <c r="C740" s="337">
        <v>46276</v>
      </c>
      <c r="D740" s="374" t="s">
        <v>88</v>
      </c>
      <c r="E740" s="309" t="s">
        <v>47</v>
      </c>
      <c r="F740" s="310" t="s">
        <v>121</v>
      </c>
      <c r="G740" s="311">
        <v>9</v>
      </c>
      <c r="H740" s="311">
        <v>9.75</v>
      </c>
      <c r="I740" s="340">
        <v>95.01</v>
      </c>
      <c r="J740" s="340">
        <v>146.63</v>
      </c>
      <c r="K740" s="311"/>
      <c r="L740" s="340">
        <f t="shared" si="24"/>
        <v>95.01</v>
      </c>
      <c r="M740" s="311"/>
      <c r="N740" s="311"/>
      <c r="O740" s="311"/>
      <c r="P740" s="311"/>
      <c r="Q740" s="386"/>
      <c r="R740" s="392"/>
      <c r="S740" s="358">
        <f ca="1">IF(C740&lt;=EOMONTH('&gt;&gt;Vistas Consolidadas'!$D$2, '&gt;&gt;Vistas Consolidadas'!$F$2),J740+I740,J740)</f>
        <v>241.64</v>
      </c>
      <c r="T740" s="18" t="str">
        <f ca="1">IF(C740&gt;='&gt;&gt;Vistas Consolidadas'!$D$2,"SI","NO")</f>
        <v>NO</v>
      </c>
      <c r="U740" s="358">
        <f ca="1">IF(C740&lt;=EOMONTH('&gt;&gt;Vistas Consolidadas'!$D$2, '&gt;&gt;Vistas Consolidadas'!$F$2),I740,0)</f>
        <v>95.01</v>
      </c>
      <c r="V740" s="18" t="b">
        <f ca="1">AND(C740&gt;='Interes Por Semana'!$C$4, C740&lt;='Interes Por Semana'!$E$4)</f>
        <v>0</v>
      </c>
      <c r="W740" s="18" t="str">
        <f t="shared" si="23"/>
        <v>viernes</v>
      </c>
    </row>
    <row r="741" spans="2:23" hidden="1" x14ac:dyDescent="0.25">
      <c r="B741" s="337">
        <v>46163</v>
      </c>
      <c r="C741" s="337">
        <v>46367</v>
      </c>
      <c r="D741" s="374" t="s">
        <v>88</v>
      </c>
      <c r="E741" s="309" t="s">
        <v>47</v>
      </c>
      <c r="F741" s="310" t="s">
        <v>121</v>
      </c>
      <c r="G741" s="311">
        <v>9</v>
      </c>
      <c r="H741" s="311">
        <v>9.75</v>
      </c>
      <c r="I741" s="340">
        <v>91.63</v>
      </c>
      <c r="J741" s="340">
        <v>146.63</v>
      </c>
      <c r="K741" s="311"/>
      <c r="L741" s="340">
        <f t="shared" si="24"/>
        <v>91.63</v>
      </c>
      <c r="M741" s="311"/>
      <c r="N741" s="311"/>
      <c r="O741" s="311"/>
      <c r="P741" s="311"/>
      <c r="Q741" s="386"/>
      <c r="R741" s="392"/>
      <c r="S741" s="358">
        <f ca="1">IF(C741&lt;=EOMONTH('&gt;&gt;Vistas Consolidadas'!$D$2, '&gt;&gt;Vistas Consolidadas'!$F$2),J741+I741,J741)</f>
        <v>238.26</v>
      </c>
      <c r="T741" s="18" t="str">
        <f ca="1">IF(C741&gt;='&gt;&gt;Vistas Consolidadas'!$D$2,"SI","NO")</f>
        <v>SI</v>
      </c>
      <c r="U741" s="358">
        <f ca="1">IF(C741&lt;=EOMONTH('&gt;&gt;Vistas Consolidadas'!$D$2, '&gt;&gt;Vistas Consolidadas'!$F$2),I741,0)</f>
        <v>91.63</v>
      </c>
      <c r="V741" s="18" t="b">
        <f ca="1">AND(C741&gt;='Interes Por Semana'!$C$4, C741&lt;='Interes Por Semana'!$E$4)</f>
        <v>0</v>
      </c>
      <c r="W741" s="18" t="str">
        <f t="shared" si="23"/>
        <v>viernes</v>
      </c>
    </row>
    <row r="742" spans="2:23" hidden="1" x14ac:dyDescent="0.25">
      <c r="B742" s="337">
        <v>46163</v>
      </c>
      <c r="C742" s="337">
        <v>46457</v>
      </c>
      <c r="D742" s="374" t="s">
        <v>88</v>
      </c>
      <c r="E742" s="309" t="s">
        <v>47</v>
      </c>
      <c r="F742" s="310" t="s">
        <v>121</v>
      </c>
      <c r="G742" s="311">
        <v>9</v>
      </c>
      <c r="H742" s="311">
        <v>9.75</v>
      </c>
      <c r="I742" s="340">
        <v>88.25</v>
      </c>
      <c r="J742" s="340">
        <v>146.63</v>
      </c>
      <c r="K742" s="311"/>
      <c r="L742" s="340">
        <f t="shared" si="24"/>
        <v>88.25</v>
      </c>
      <c r="M742" s="311"/>
      <c r="N742" s="311"/>
      <c r="O742" s="311"/>
      <c r="P742" s="311"/>
      <c r="Q742" s="386"/>
      <c r="R742" s="392"/>
      <c r="S742" s="358">
        <f ca="1">IF(C742&lt;=EOMONTH('&gt;&gt;Vistas Consolidadas'!$D$2, '&gt;&gt;Vistas Consolidadas'!$F$2),J742+I742,J742)</f>
        <v>234.88</v>
      </c>
      <c r="T742" s="18" t="str">
        <f ca="1">IF(C742&gt;='&gt;&gt;Vistas Consolidadas'!$D$2,"SI","NO")</f>
        <v>SI</v>
      </c>
      <c r="U742" s="358">
        <f ca="1">IF(C742&lt;=EOMONTH('&gt;&gt;Vistas Consolidadas'!$D$2, '&gt;&gt;Vistas Consolidadas'!$F$2),I742,0)</f>
        <v>88.25</v>
      </c>
      <c r="V742" s="18" t="b">
        <f ca="1">AND(C742&gt;='Interes Por Semana'!$C$4, C742&lt;='Interes Por Semana'!$E$4)</f>
        <v>0</v>
      </c>
      <c r="W742" s="18" t="str">
        <f t="shared" si="23"/>
        <v>jueves</v>
      </c>
    </row>
    <row r="743" spans="2:23" hidden="1" x14ac:dyDescent="0.25">
      <c r="B743" s="337">
        <v>46163</v>
      </c>
      <c r="C743" s="337">
        <v>46549</v>
      </c>
      <c r="D743" s="374" t="s">
        <v>88</v>
      </c>
      <c r="E743" s="309" t="s">
        <v>47</v>
      </c>
      <c r="F743" s="310" t="s">
        <v>121</v>
      </c>
      <c r="G743" s="311">
        <v>9</v>
      </c>
      <c r="H743" s="311">
        <v>9.75</v>
      </c>
      <c r="I743" s="340">
        <v>84.87</v>
      </c>
      <c r="J743" s="340">
        <v>146.63</v>
      </c>
      <c r="K743" s="311"/>
      <c r="L743" s="340">
        <f t="shared" si="24"/>
        <v>84.87</v>
      </c>
      <c r="M743" s="311"/>
      <c r="N743" s="311"/>
      <c r="O743" s="311"/>
      <c r="P743" s="311"/>
      <c r="Q743" s="386"/>
      <c r="R743" s="392"/>
      <c r="S743" s="358">
        <f ca="1">IF(C743&lt;=EOMONTH('&gt;&gt;Vistas Consolidadas'!$D$2, '&gt;&gt;Vistas Consolidadas'!$F$2),J743+I743,J743)</f>
        <v>231.5</v>
      </c>
      <c r="T743" s="18" t="str">
        <f ca="1">IF(C743&gt;='&gt;&gt;Vistas Consolidadas'!$D$2,"SI","NO")</f>
        <v>SI</v>
      </c>
      <c r="U743" s="358">
        <f ca="1">IF(C743&lt;=EOMONTH('&gt;&gt;Vistas Consolidadas'!$D$2, '&gt;&gt;Vistas Consolidadas'!$F$2),I743,0)</f>
        <v>84.87</v>
      </c>
      <c r="V743" s="18" t="b">
        <f ca="1">AND(C743&gt;='Interes Por Semana'!$C$4, C743&lt;='Interes Por Semana'!$E$4)</f>
        <v>0</v>
      </c>
      <c r="W743" s="18" t="str">
        <f t="shared" si="23"/>
        <v>viernes</v>
      </c>
    </row>
    <row r="744" spans="2:23" hidden="1" x14ac:dyDescent="0.25">
      <c r="B744" s="337">
        <v>46163</v>
      </c>
      <c r="C744" s="337">
        <v>46641</v>
      </c>
      <c r="D744" s="374" t="s">
        <v>88</v>
      </c>
      <c r="E744" s="309" t="s">
        <v>47</v>
      </c>
      <c r="F744" s="310" t="s">
        <v>121</v>
      </c>
      <c r="G744" s="311">
        <v>9</v>
      </c>
      <c r="H744" s="311">
        <v>9.75</v>
      </c>
      <c r="I744" s="340">
        <v>81.489999999999995</v>
      </c>
      <c r="J744" s="340">
        <v>146.63</v>
      </c>
      <c r="K744" s="311"/>
      <c r="L744" s="340">
        <f t="shared" si="24"/>
        <v>81.489999999999995</v>
      </c>
      <c r="M744" s="311"/>
      <c r="N744" s="311"/>
      <c r="O744" s="311"/>
      <c r="P744" s="311"/>
      <c r="Q744" s="386"/>
      <c r="R744" s="392"/>
      <c r="S744" s="358">
        <f ca="1">IF(C744&lt;=EOMONTH('&gt;&gt;Vistas Consolidadas'!$D$2, '&gt;&gt;Vistas Consolidadas'!$F$2),J744+I744,J744)</f>
        <v>228.12</v>
      </c>
      <c r="T744" s="18" t="str">
        <f ca="1">IF(C744&gt;='&gt;&gt;Vistas Consolidadas'!$D$2,"SI","NO")</f>
        <v>SI</v>
      </c>
      <c r="U744" s="358">
        <f ca="1">IF(C744&lt;=EOMONTH('&gt;&gt;Vistas Consolidadas'!$D$2, '&gt;&gt;Vistas Consolidadas'!$F$2),I744,0)</f>
        <v>81.489999999999995</v>
      </c>
      <c r="V744" s="18" t="b">
        <f ca="1">AND(C744&gt;='Interes Por Semana'!$C$4, C744&lt;='Interes Por Semana'!$E$4)</f>
        <v>0</v>
      </c>
      <c r="W744" s="18" t="str">
        <f t="shared" si="23"/>
        <v>sábado</v>
      </c>
    </row>
    <row r="745" spans="2:23" hidden="1" x14ac:dyDescent="0.25">
      <c r="B745" s="337">
        <v>46163</v>
      </c>
      <c r="C745" s="337">
        <v>46732</v>
      </c>
      <c r="D745" s="374" t="s">
        <v>88</v>
      </c>
      <c r="E745" s="309" t="s">
        <v>47</v>
      </c>
      <c r="F745" s="310" t="s">
        <v>121</v>
      </c>
      <c r="G745" s="311">
        <v>9</v>
      </c>
      <c r="H745" s="311">
        <v>9.75</v>
      </c>
      <c r="I745" s="340">
        <v>78.099999999999994</v>
      </c>
      <c r="J745" s="340">
        <v>146.63</v>
      </c>
      <c r="K745" s="311"/>
      <c r="L745" s="340">
        <f t="shared" si="24"/>
        <v>78.099999999999994</v>
      </c>
      <c r="M745" s="311"/>
      <c r="N745" s="311"/>
      <c r="O745" s="311"/>
      <c r="P745" s="311"/>
      <c r="Q745" s="386"/>
      <c r="R745" s="392"/>
      <c r="S745" s="358">
        <f ca="1">IF(C745&lt;=EOMONTH('&gt;&gt;Vistas Consolidadas'!$D$2, '&gt;&gt;Vistas Consolidadas'!$F$2),J745+I745,J745)</f>
        <v>146.63</v>
      </c>
      <c r="T745" s="18" t="str">
        <f ca="1">IF(C745&gt;='&gt;&gt;Vistas Consolidadas'!$D$2,"SI","NO")</f>
        <v>SI</v>
      </c>
      <c r="U745" s="358">
        <f ca="1">IF(C745&lt;=EOMONTH('&gt;&gt;Vistas Consolidadas'!$D$2, '&gt;&gt;Vistas Consolidadas'!$F$2),I745,0)</f>
        <v>0</v>
      </c>
      <c r="V745" s="18" t="b">
        <f ca="1">AND(C745&gt;='Interes Por Semana'!$C$4, C745&lt;='Interes Por Semana'!$E$4)</f>
        <v>0</v>
      </c>
      <c r="W745" s="18" t="str">
        <f t="shared" si="23"/>
        <v>sábado</v>
      </c>
    </row>
    <row r="746" spans="2:23" hidden="1" x14ac:dyDescent="0.25">
      <c r="B746" s="337">
        <v>46163</v>
      </c>
      <c r="C746" s="337">
        <v>46823</v>
      </c>
      <c r="D746" s="374" t="s">
        <v>88</v>
      </c>
      <c r="E746" s="309" t="s">
        <v>47</v>
      </c>
      <c r="F746" s="310" t="s">
        <v>121</v>
      </c>
      <c r="G746" s="311">
        <v>9</v>
      </c>
      <c r="H746" s="311">
        <v>9.75</v>
      </c>
      <c r="I746" s="340">
        <v>74.72</v>
      </c>
      <c r="J746" s="340">
        <v>146.63</v>
      </c>
      <c r="K746" s="311"/>
      <c r="L746" s="340">
        <f t="shared" si="24"/>
        <v>74.72</v>
      </c>
      <c r="M746" s="311"/>
      <c r="N746" s="311"/>
      <c r="O746" s="311"/>
      <c r="P746" s="311"/>
      <c r="Q746" s="386"/>
      <c r="R746" s="392"/>
      <c r="S746" s="358">
        <f ca="1">IF(C746&lt;=EOMONTH('&gt;&gt;Vistas Consolidadas'!$D$2, '&gt;&gt;Vistas Consolidadas'!$F$2),J746+I746,J746)</f>
        <v>146.63</v>
      </c>
      <c r="T746" s="18" t="str">
        <f ca="1">IF(C746&gt;='&gt;&gt;Vistas Consolidadas'!$D$2,"SI","NO")</f>
        <v>SI</v>
      </c>
      <c r="U746" s="358">
        <f ca="1">IF(C746&lt;=EOMONTH('&gt;&gt;Vistas Consolidadas'!$D$2, '&gt;&gt;Vistas Consolidadas'!$F$2),I746,0)</f>
        <v>0</v>
      </c>
      <c r="V746" s="18" t="b">
        <f ca="1">AND(C746&gt;='Interes Por Semana'!$C$4, C746&lt;='Interes Por Semana'!$E$4)</f>
        <v>0</v>
      </c>
      <c r="W746" s="18" t="str">
        <f t="shared" si="23"/>
        <v>sábado</v>
      </c>
    </row>
    <row r="747" spans="2:23" hidden="1" x14ac:dyDescent="0.25">
      <c r="B747" s="337">
        <v>46163</v>
      </c>
      <c r="C747" s="337">
        <v>46915</v>
      </c>
      <c r="D747" s="374" t="s">
        <v>88</v>
      </c>
      <c r="E747" s="309" t="s">
        <v>47</v>
      </c>
      <c r="F747" s="310" t="s">
        <v>121</v>
      </c>
      <c r="G747" s="311">
        <v>9</v>
      </c>
      <c r="H747" s="311">
        <v>9.75</v>
      </c>
      <c r="I747" s="340">
        <v>71.34</v>
      </c>
      <c r="J747" s="340">
        <v>146.63</v>
      </c>
      <c r="K747" s="311"/>
      <c r="L747" s="340">
        <f t="shared" si="24"/>
        <v>71.34</v>
      </c>
      <c r="M747" s="311"/>
      <c r="N747" s="311"/>
      <c r="O747" s="311"/>
      <c r="P747" s="311"/>
      <c r="Q747" s="386"/>
      <c r="R747" s="392"/>
      <c r="S747" s="358">
        <f ca="1">IF(C747&lt;=EOMONTH('&gt;&gt;Vistas Consolidadas'!$D$2, '&gt;&gt;Vistas Consolidadas'!$F$2),J747+I747,J747)</f>
        <v>146.63</v>
      </c>
      <c r="T747" s="18" t="str">
        <f ca="1">IF(C747&gt;='&gt;&gt;Vistas Consolidadas'!$D$2,"SI","NO")</f>
        <v>SI</v>
      </c>
      <c r="U747" s="358">
        <f ca="1">IF(C747&lt;=EOMONTH('&gt;&gt;Vistas Consolidadas'!$D$2, '&gt;&gt;Vistas Consolidadas'!$F$2),I747,0)</f>
        <v>0</v>
      </c>
      <c r="V747" s="18" t="b">
        <f ca="1">AND(C747&gt;='Interes Por Semana'!$C$4, C747&lt;='Interes Por Semana'!$E$4)</f>
        <v>0</v>
      </c>
      <c r="W747" s="18" t="str">
        <f t="shared" si="23"/>
        <v>domingo</v>
      </c>
    </row>
    <row r="748" spans="2:23" hidden="1" x14ac:dyDescent="0.25">
      <c r="B748" s="337">
        <v>46163</v>
      </c>
      <c r="C748" s="337">
        <v>47007</v>
      </c>
      <c r="D748" s="374" t="s">
        <v>88</v>
      </c>
      <c r="E748" s="309" t="s">
        <v>47</v>
      </c>
      <c r="F748" s="310" t="s">
        <v>121</v>
      </c>
      <c r="G748" s="311">
        <v>9</v>
      </c>
      <c r="H748" s="311">
        <v>9.75</v>
      </c>
      <c r="I748" s="340">
        <v>67.959999999999994</v>
      </c>
      <c r="J748" s="340">
        <v>146.63</v>
      </c>
      <c r="K748" s="311"/>
      <c r="L748" s="340">
        <f t="shared" si="24"/>
        <v>67.959999999999994</v>
      </c>
      <c r="M748" s="311"/>
      <c r="N748" s="311"/>
      <c r="O748" s="311"/>
      <c r="P748" s="311"/>
      <c r="Q748" s="386"/>
      <c r="R748" s="392"/>
      <c r="S748" s="358">
        <f ca="1">IF(C748&lt;=EOMONTH('&gt;&gt;Vistas Consolidadas'!$D$2, '&gt;&gt;Vistas Consolidadas'!$F$2),J748+I748,J748)</f>
        <v>146.63</v>
      </c>
      <c r="T748" s="18" t="str">
        <f ca="1">IF(C748&gt;='&gt;&gt;Vistas Consolidadas'!$D$2,"SI","NO")</f>
        <v>SI</v>
      </c>
      <c r="U748" s="358">
        <f ca="1">IF(C748&lt;=EOMONTH('&gt;&gt;Vistas Consolidadas'!$D$2, '&gt;&gt;Vistas Consolidadas'!$F$2),I748,0)</f>
        <v>0</v>
      </c>
      <c r="V748" s="18" t="b">
        <f ca="1">AND(C748&gt;='Interes Por Semana'!$C$4, C748&lt;='Interes Por Semana'!$E$4)</f>
        <v>0</v>
      </c>
      <c r="W748" s="18" t="str">
        <f t="shared" si="23"/>
        <v>lunes</v>
      </c>
    </row>
    <row r="749" spans="2:23" hidden="1" x14ac:dyDescent="0.25">
      <c r="B749" s="337">
        <v>46163</v>
      </c>
      <c r="C749" s="337">
        <v>47098</v>
      </c>
      <c r="D749" s="374" t="s">
        <v>88</v>
      </c>
      <c r="E749" s="309" t="s">
        <v>47</v>
      </c>
      <c r="F749" s="310" t="s">
        <v>121</v>
      </c>
      <c r="G749" s="311">
        <v>9</v>
      </c>
      <c r="H749" s="311">
        <v>9.75</v>
      </c>
      <c r="I749" s="340">
        <v>64.58</v>
      </c>
      <c r="J749" s="340">
        <v>146.63</v>
      </c>
      <c r="K749" s="311"/>
      <c r="L749" s="340">
        <f t="shared" si="24"/>
        <v>64.58</v>
      </c>
      <c r="M749" s="311"/>
      <c r="N749" s="311"/>
      <c r="O749" s="311"/>
      <c r="P749" s="311"/>
      <c r="Q749" s="386"/>
      <c r="R749" s="392"/>
      <c r="S749" s="358">
        <f ca="1">IF(C749&lt;=EOMONTH('&gt;&gt;Vistas Consolidadas'!$D$2, '&gt;&gt;Vistas Consolidadas'!$F$2),J749+I749,J749)</f>
        <v>146.63</v>
      </c>
      <c r="T749" s="18" t="str">
        <f ca="1">IF(C749&gt;='&gt;&gt;Vistas Consolidadas'!$D$2,"SI","NO")</f>
        <v>SI</v>
      </c>
      <c r="U749" s="358">
        <f ca="1">IF(C749&lt;=EOMONTH('&gt;&gt;Vistas Consolidadas'!$D$2, '&gt;&gt;Vistas Consolidadas'!$F$2),I749,0)</f>
        <v>0</v>
      </c>
      <c r="V749" s="18" t="b">
        <f ca="1">AND(C749&gt;='Interes Por Semana'!$C$4, C749&lt;='Interes Por Semana'!$E$4)</f>
        <v>0</v>
      </c>
      <c r="W749" s="18" t="str">
        <f t="shared" si="23"/>
        <v>lunes</v>
      </c>
    </row>
    <row r="750" spans="2:23" hidden="1" x14ac:dyDescent="0.25">
      <c r="B750" s="337">
        <v>46163</v>
      </c>
      <c r="C750" s="337">
        <v>47188</v>
      </c>
      <c r="D750" s="374" t="s">
        <v>88</v>
      </c>
      <c r="E750" s="309" t="s">
        <v>47</v>
      </c>
      <c r="F750" s="310" t="s">
        <v>121</v>
      </c>
      <c r="G750" s="311">
        <v>9</v>
      </c>
      <c r="H750" s="311">
        <v>9.75</v>
      </c>
      <c r="I750" s="340">
        <v>61.2</v>
      </c>
      <c r="J750" s="340">
        <v>146.63</v>
      </c>
      <c r="K750" s="311"/>
      <c r="L750" s="340">
        <f t="shared" si="24"/>
        <v>61.2</v>
      </c>
      <c r="M750" s="311"/>
      <c r="N750" s="311"/>
      <c r="O750" s="311"/>
      <c r="P750" s="311"/>
      <c r="Q750" s="386"/>
      <c r="R750" s="392"/>
      <c r="S750" s="358">
        <f ca="1">IF(C750&lt;=EOMONTH('&gt;&gt;Vistas Consolidadas'!$D$2, '&gt;&gt;Vistas Consolidadas'!$F$2),J750+I750,J750)</f>
        <v>146.63</v>
      </c>
      <c r="T750" s="18" t="str">
        <f ca="1">IF(C750&gt;='&gt;&gt;Vistas Consolidadas'!$D$2,"SI","NO")</f>
        <v>SI</v>
      </c>
      <c r="U750" s="358">
        <f ca="1">IF(C750&lt;=EOMONTH('&gt;&gt;Vistas Consolidadas'!$D$2, '&gt;&gt;Vistas Consolidadas'!$F$2),I750,0)</f>
        <v>0</v>
      </c>
      <c r="V750" s="18" t="b">
        <f ca="1">AND(C750&gt;='Interes Por Semana'!$C$4, C750&lt;='Interes Por Semana'!$E$4)</f>
        <v>0</v>
      </c>
      <c r="W750" s="18" t="str">
        <f t="shared" si="23"/>
        <v>domingo</v>
      </c>
    </row>
    <row r="751" spans="2:23" hidden="1" x14ac:dyDescent="0.25">
      <c r="B751" s="337">
        <v>46163</v>
      </c>
      <c r="C751" s="337">
        <v>47280</v>
      </c>
      <c r="D751" s="374" t="s">
        <v>88</v>
      </c>
      <c r="E751" s="309" t="s">
        <v>47</v>
      </c>
      <c r="F751" s="310" t="s">
        <v>121</v>
      </c>
      <c r="G751" s="311">
        <v>9</v>
      </c>
      <c r="H751" s="311">
        <v>9.75</v>
      </c>
      <c r="I751" s="340">
        <v>57.81</v>
      </c>
      <c r="J751" s="340">
        <v>146.63</v>
      </c>
      <c r="K751" s="311"/>
      <c r="L751" s="340">
        <f t="shared" si="24"/>
        <v>57.81</v>
      </c>
      <c r="M751" s="311"/>
      <c r="N751" s="311"/>
      <c r="O751" s="311"/>
      <c r="P751" s="311"/>
      <c r="Q751" s="386"/>
      <c r="R751" s="392"/>
      <c r="S751" s="358">
        <f ca="1">IF(C751&lt;=EOMONTH('&gt;&gt;Vistas Consolidadas'!$D$2, '&gt;&gt;Vistas Consolidadas'!$F$2),J751+I751,J751)</f>
        <v>146.63</v>
      </c>
      <c r="T751" s="18" t="str">
        <f ca="1">IF(C751&gt;='&gt;&gt;Vistas Consolidadas'!$D$2,"SI","NO")</f>
        <v>SI</v>
      </c>
      <c r="U751" s="358">
        <f ca="1">IF(C751&lt;=EOMONTH('&gt;&gt;Vistas Consolidadas'!$D$2, '&gt;&gt;Vistas Consolidadas'!$F$2),I751,0)</f>
        <v>0</v>
      </c>
      <c r="V751" s="18" t="b">
        <f ca="1">AND(C751&gt;='Interes Por Semana'!$C$4, C751&lt;='Interes Por Semana'!$E$4)</f>
        <v>0</v>
      </c>
      <c r="W751" s="18" t="str">
        <f t="shared" si="23"/>
        <v>lunes</v>
      </c>
    </row>
    <row r="752" spans="2:23" hidden="1" x14ac:dyDescent="0.25">
      <c r="B752" s="337">
        <v>46163</v>
      </c>
      <c r="C752" s="337">
        <v>47372</v>
      </c>
      <c r="D752" s="374" t="s">
        <v>88</v>
      </c>
      <c r="E752" s="309" t="s">
        <v>47</v>
      </c>
      <c r="F752" s="310" t="s">
        <v>121</v>
      </c>
      <c r="G752" s="311">
        <v>9</v>
      </c>
      <c r="H752" s="311">
        <v>9.75</v>
      </c>
      <c r="I752" s="340">
        <v>54.43</v>
      </c>
      <c r="J752" s="340">
        <v>146.63</v>
      </c>
      <c r="K752" s="311"/>
      <c r="L752" s="340">
        <f t="shared" si="24"/>
        <v>54.43</v>
      </c>
      <c r="M752" s="311"/>
      <c r="N752" s="311"/>
      <c r="O752" s="311"/>
      <c r="P752" s="311"/>
      <c r="Q752" s="386"/>
      <c r="R752" s="392"/>
      <c r="S752" s="358">
        <f ca="1">IF(C752&lt;=EOMONTH('&gt;&gt;Vistas Consolidadas'!$D$2, '&gt;&gt;Vistas Consolidadas'!$F$2),J752+I752,J752)</f>
        <v>146.63</v>
      </c>
      <c r="T752" s="18" t="str">
        <f ca="1">IF(C752&gt;='&gt;&gt;Vistas Consolidadas'!$D$2,"SI","NO")</f>
        <v>SI</v>
      </c>
      <c r="U752" s="358">
        <f ca="1">IF(C752&lt;=EOMONTH('&gt;&gt;Vistas Consolidadas'!$D$2, '&gt;&gt;Vistas Consolidadas'!$F$2),I752,0)</f>
        <v>0</v>
      </c>
      <c r="V752" s="18" t="b">
        <f ca="1">AND(C752&gt;='Interes Por Semana'!$C$4, C752&lt;='Interes Por Semana'!$E$4)</f>
        <v>0</v>
      </c>
      <c r="W752" s="18" t="str">
        <f t="shared" si="23"/>
        <v>martes</v>
      </c>
    </row>
    <row r="753" spans="2:23" hidden="1" x14ac:dyDescent="0.25">
      <c r="B753" s="337">
        <v>46163</v>
      </c>
      <c r="C753" s="337">
        <v>47463</v>
      </c>
      <c r="D753" s="374" t="s">
        <v>88</v>
      </c>
      <c r="E753" s="309" t="s">
        <v>47</v>
      </c>
      <c r="F753" s="310" t="s">
        <v>121</v>
      </c>
      <c r="G753" s="311">
        <v>9</v>
      </c>
      <c r="H753" s="311">
        <v>9.75</v>
      </c>
      <c r="I753" s="340">
        <v>51.05</v>
      </c>
      <c r="J753" s="340">
        <v>146.63</v>
      </c>
      <c r="K753" s="311"/>
      <c r="L753" s="340">
        <f t="shared" si="24"/>
        <v>51.05</v>
      </c>
      <c r="M753" s="311"/>
      <c r="N753" s="311"/>
      <c r="O753" s="311"/>
      <c r="P753" s="311"/>
      <c r="Q753" s="386"/>
      <c r="R753" s="392"/>
      <c r="S753" s="358">
        <f ca="1">IF(C753&lt;=EOMONTH('&gt;&gt;Vistas Consolidadas'!$D$2, '&gt;&gt;Vistas Consolidadas'!$F$2),J753+I753,J753)</f>
        <v>146.63</v>
      </c>
      <c r="T753" s="18" t="str">
        <f ca="1">IF(C753&gt;='&gt;&gt;Vistas Consolidadas'!$D$2,"SI","NO")</f>
        <v>SI</v>
      </c>
      <c r="U753" s="358">
        <f ca="1">IF(C753&lt;=EOMONTH('&gt;&gt;Vistas Consolidadas'!$D$2, '&gt;&gt;Vistas Consolidadas'!$F$2),I753,0)</f>
        <v>0</v>
      </c>
      <c r="V753" s="18" t="b">
        <f ca="1">AND(C753&gt;='Interes Por Semana'!$C$4, C753&lt;='Interes Por Semana'!$E$4)</f>
        <v>0</v>
      </c>
      <c r="W753" s="18" t="str">
        <f t="shared" si="23"/>
        <v>martes</v>
      </c>
    </row>
    <row r="754" spans="2:23" hidden="1" x14ac:dyDescent="0.25">
      <c r="B754" s="337">
        <v>46163</v>
      </c>
      <c r="C754" s="337">
        <v>47553</v>
      </c>
      <c r="D754" s="374" t="s">
        <v>88</v>
      </c>
      <c r="E754" s="309" t="s">
        <v>47</v>
      </c>
      <c r="F754" s="310" t="s">
        <v>121</v>
      </c>
      <c r="G754" s="311">
        <v>9</v>
      </c>
      <c r="H754" s="311">
        <v>9.75</v>
      </c>
      <c r="I754" s="340">
        <v>47.67</v>
      </c>
      <c r="J754" s="340">
        <v>146.63</v>
      </c>
      <c r="K754" s="311"/>
      <c r="L754" s="340">
        <f t="shared" si="24"/>
        <v>47.67</v>
      </c>
      <c r="M754" s="311"/>
      <c r="N754" s="311"/>
      <c r="O754" s="311"/>
      <c r="P754" s="311"/>
      <c r="Q754" s="386"/>
      <c r="R754" s="392"/>
      <c r="S754" s="358">
        <f ca="1">IF(C754&lt;=EOMONTH('&gt;&gt;Vistas Consolidadas'!$D$2, '&gt;&gt;Vistas Consolidadas'!$F$2),J754+I754,J754)</f>
        <v>146.63</v>
      </c>
      <c r="T754" s="18" t="str">
        <f ca="1">IF(C754&gt;='&gt;&gt;Vistas Consolidadas'!$D$2,"SI","NO")</f>
        <v>SI</v>
      </c>
      <c r="U754" s="358">
        <f ca="1">IF(C754&lt;=EOMONTH('&gt;&gt;Vistas Consolidadas'!$D$2, '&gt;&gt;Vistas Consolidadas'!$F$2),I754,0)</f>
        <v>0</v>
      </c>
      <c r="V754" s="18" t="b">
        <f ca="1">AND(C754&gt;='Interes Por Semana'!$C$4, C754&lt;='Interes Por Semana'!$E$4)</f>
        <v>0</v>
      </c>
      <c r="W754" s="18" t="str">
        <f t="shared" si="23"/>
        <v>lunes</v>
      </c>
    </row>
    <row r="755" spans="2:23" hidden="1" x14ac:dyDescent="0.25">
      <c r="B755" s="337">
        <v>46163</v>
      </c>
      <c r="C755" s="337">
        <v>47645</v>
      </c>
      <c r="D755" s="374" t="s">
        <v>88</v>
      </c>
      <c r="E755" s="309" t="s">
        <v>47</v>
      </c>
      <c r="F755" s="310" t="s">
        <v>121</v>
      </c>
      <c r="G755" s="311">
        <v>9</v>
      </c>
      <c r="H755" s="311">
        <v>9.75</v>
      </c>
      <c r="I755" s="340">
        <v>44.29</v>
      </c>
      <c r="J755" s="340">
        <v>146.63</v>
      </c>
      <c r="K755" s="311"/>
      <c r="L755" s="340">
        <f t="shared" si="24"/>
        <v>44.29</v>
      </c>
      <c r="M755" s="311"/>
      <c r="N755" s="311"/>
      <c r="O755" s="311"/>
      <c r="P755" s="311"/>
      <c r="Q755" s="386"/>
      <c r="R755" s="392"/>
      <c r="S755" s="358">
        <f ca="1">IF(C755&lt;=EOMONTH('&gt;&gt;Vistas Consolidadas'!$D$2, '&gt;&gt;Vistas Consolidadas'!$F$2),J755+I755,J755)</f>
        <v>146.63</v>
      </c>
      <c r="T755" s="18" t="str">
        <f ca="1">IF(C755&gt;='&gt;&gt;Vistas Consolidadas'!$D$2,"SI","NO")</f>
        <v>SI</v>
      </c>
      <c r="U755" s="358">
        <f ca="1">IF(C755&lt;=EOMONTH('&gt;&gt;Vistas Consolidadas'!$D$2, '&gt;&gt;Vistas Consolidadas'!$F$2),I755,0)</f>
        <v>0</v>
      </c>
      <c r="V755" s="18" t="b">
        <f ca="1">AND(C755&gt;='Interes Por Semana'!$C$4, C755&lt;='Interes Por Semana'!$E$4)</f>
        <v>0</v>
      </c>
      <c r="W755" s="18" t="str">
        <f t="shared" si="23"/>
        <v>martes</v>
      </c>
    </row>
    <row r="756" spans="2:23" hidden="1" x14ac:dyDescent="0.25">
      <c r="B756" s="337">
        <v>46163</v>
      </c>
      <c r="C756" s="337">
        <v>47737</v>
      </c>
      <c r="D756" s="374" t="s">
        <v>88</v>
      </c>
      <c r="E756" s="309" t="s">
        <v>47</v>
      </c>
      <c r="F756" s="310" t="s">
        <v>121</v>
      </c>
      <c r="G756" s="311">
        <v>9</v>
      </c>
      <c r="H756" s="311">
        <v>9.75</v>
      </c>
      <c r="I756" s="340">
        <v>40.909999999999997</v>
      </c>
      <c r="J756" s="340">
        <v>146.63</v>
      </c>
      <c r="K756" s="311"/>
      <c r="L756" s="340">
        <f t="shared" si="24"/>
        <v>40.909999999999997</v>
      </c>
      <c r="M756" s="311"/>
      <c r="N756" s="311"/>
      <c r="O756" s="311"/>
      <c r="P756" s="311"/>
      <c r="Q756" s="386"/>
      <c r="R756" s="392"/>
      <c r="S756" s="358">
        <f ca="1">IF(C756&lt;=EOMONTH('&gt;&gt;Vistas Consolidadas'!$D$2, '&gt;&gt;Vistas Consolidadas'!$F$2),J756+I756,J756)</f>
        <v>146.63</v>
      </c>
      <c r="T756" s="18" t="str">
        <f ca="1">IF(C756&gt;='&gt;&gt;Vistas Consolidadas'!$D$2,"SI","NO")</f>
        <v>SI</v>
      </c>
      <c r="U756" s="358">
        <f ca="1">IF(C756&lt;=EOMONTH('&gt;&gt;Vistas Consolidadas'!$D$2, '&gt;&gt;Vistas Consolidadas'!$F$2),I756,0)</f>
        <v>0</v>
      </c>
      <c r="V756" s="18" t="b">
        <f ca="1">AND(C756&gt;='Interes Por Semana'!$C$4, C756&lt;='Interes Por Semana'!$E$4)</f>
        <v>0</v>
      </c>
      <c r="W756" s="18" t="str">
        <f t="shared" si="23"/>
        <v>miércoles</v>
      </c>
    </row>
    <row r="757" spans="2:23" hidden="1" x14ac:dyDescent="0.25">
      <c r="B757" s="337">
        <v>46163</v>
      </c>
      <c r="C757" s="337">
        <v>47828</v>
      </c>
      <c r="D757" s="374" t="s">
        <v>88</v>
      </c>
      <c r="E757" s="309" t="s">
        <v>47</v>
      </c>
      <c r="F757" s="310" t="s">
        <v>121</v>
      </c>
      <c r="G757" s="311">
        <v>9</v>
      </c>
      <c r="H757" s="311">
        <v>9.75</v>
      </c>
      <c r="I757" s="340">
        <v>37.520000000000003</v>
      </c>
      <c r="J757" s="340">
        <v>146.63</v>
      </c>
      <c r="K757" s="311"/>
      <c r="L757" s="340">
        <f t="shared" si="24"/>
        <v>37.520000000000003</v>
      </c>
      <c r="M757" s="311"/>
      <c r="N757" s="311"/>
      <c r="O757" s="311"/>
      <c r="P757" s="311"/>
      <c r="Q757" s="386"/>
      <c r="R757" s="392"/>
      <c r="S757" s="358">
        <f ca="1">IF(C757&lt;=EOMONTH('&gt;&gt;Vistas Consolidadas'!$D$2, '&gt;&gt;Vistas Consolidadas'!$F$2),J757+I757,J757)</f>
        <v>146.63</v>
      </c>
      <c r="T757" s="18" t="str">
        <f ca="1">IF(C757&gt;='&gt;&gt;Vistas Consolidadas'!$D$2,"SI","NO")</f>
        <v>SI</v>
      </c>
      <c r="U757" s="358">
        <f ca="1">IF(C757&lt;=EOMONTH('&gt;&gt;Vistas Consolidadas'!$D$2, '&gt;&gt;Vistas Consolidadas'!$F$2),I757,0)</f>
        <v>0</v>
      </c>
      <c r="V757" s="18" t="b">
        <f ca="1">AND(C757&gt;='Interes Por Semana'!$C$4, C757&lt;='Interes Por Semana'!$E$4)</f>
        <v>0</v>
      </c>
      <c r="W757" s="18" t="str">
        <f t="shared" si="23"/>
        <v>miércoles</v>
      </c>
    </row>
    <row r="758" spans="2:23" hidden="1" x14ac:dyDescent="0.25">
      <c r="B758" s="337">
        <v>46163</v>
      </c>
      <c r="C758" s="337">
        <v>47918</v>
      </c>
      <c r="D758" s="374" t="s">
        <v>88</v>
      </c>
      <c r="E758" s="309" t="s">
        <v>47</v>
      </c>
      <c r="F758" s="310" t="s">
        <v>121</v>
      </c>
      <c r="G758" s="311">
        <v>9</v>
      </c>
      <c r="H758" s="311">
        <v>9.75</v>
      </c>
      <c r="I758" s="340">
        <v>34.14</v>
      </c>
      <c r="J758" s="340">
        <v>146.63</v>
      </c>
      <c r="K758" s="311"/>
      <c r="L758" s="340">
        <f t="shared" si="24"/>
        <v>34.14</v>
      </c>
      <c r="M758" s="311"/>
      <c r="N758" s="311"/>
      <c r="O758" s="311"/>
      <c r="P758" s="311"/>
      <c r="Q758" s="386"/>
      <c r="R758" s="392"/>
      <c r="S758" s="358">
        <f ca="1">IF(C758&lt;=EOMONTH('&gt;&gt;Vistas Consolidadas'!$D$2, '&gt;&gt;Vistas Consolidadas'!$F$2),J758+I758,J758)</f>
        <v>146.63</v>
      </c>
      <c r="T758" s="18" t="str">
        <f ca="1">IF(C758&gt;='&gt;&gt;Vistas Consolidadas'!$D$2,"SI","NO")</f>
        <v>SI</v>
      </c>
      <c r="U758" s="358">
        <f ca="1">IF(C758&lt;=EOMONTH('&gt;&gt;Vistas Consolidadas'!$D$2, '&gt;&gt;Vistas Consolidadas'!$F$2),I758,0)</f>
        <v>0</v>
      </c>
      <c r="V758" s="18" t="b">
        <f ca="1">AND(C758&gt;='Interes Por Semana'!$C$4, C758&lt;='Interes Por Semana'!$E$4)</f>
        <v>0</v>
      </c>
      <c r="W758" s="18" t="str">
        <f t="shared" si="23"/>
        <v>martes</v>
      </c>
    </row>
    <row r="759" spans="2:23" hidden="1" x14ac:dyDescent="0.25">
      <c r="B759" s="337">
        <v>46163</v>
      </c>
      <c r="C759" s="337">
        <v>48010</v>
      </c>
      <c r="D759" s="374" t="s">
        <v>88</v>
      </c>
      <c r="E759" s="309" t="s">
        <v>47</v>
      </c>
      <c r="F759" s="310" t="s">
        <v>121</v>
      </c>
      <c r="G759" s="311">
        <v>9</v>
      </c>
      <c r="H759" s="311">
        <v>9.75</v>
      </c>
      <c r="I759" s="340">
        <v>30.76</v>
      </c>
      <c r="J759" s="340">
        <v>146.63</v>
      </c>
      <c r="K759" s="311"/>
      <c r="L759" s="340">
        <f t="shared" si="24"/>
        <v>30.76</v>
      </c>
      <c r="M759" s="311"/>
      <c r="N759" s="311"/>
      <c r="O759" s="311"/>
      <c r="P759" s="311"/>
      <c r="Q759" s="386"/>
      <c r="R759" s="392"/>
      <c r="S759" s="358">
        <f ca="1">IF(C759&lt;=EOMONTH('&gt;&gt;Vistas Consolidadas'!$D$2, '&gt;&gt;Vistas Consolidadas'!$F$2),J759+I759,J759)</f>
        <v>146.63</v>
      </c>
      <c r="T759" s="18" t="str">
        <f ca="1">IF(C759&gt;='&gt;&gt;Vistas Consolidadas'!$D$2,"SI","NO")</f>
        <v>SI</v>
      </c>
      <c r="U759" s="358">
        <f ca="1">IF(C759&lt;=EOMONTH('&gt;&gt;Vistas Consolidadas'!$D$2, '&gt;&gt;Vistas Consolidadas'!$F$2),I759,0)</f>
        <v>0</v>
      </c>
      <c r="V759" s="18" t="b">
        <f ca="1">AND(C759&gt;='Interes Por Semana'!$C$4, C759&lt;='Interes Por Semana'!$E$4)</f>
        <v>0</v>
      </c>
      <c r="W759" s="18" t="str">
        <f t="shared" si="23"/>
        <v>miércoles</v>
      </c>
    </row>
    <row r="760" spans="2:23" hidden="1" x14ac:dyDescent="0.25">
      <c r="B760" s="337">
        <v>46163</v>
      </c>
      <c r="C760" s="337">
        <v>48102</v>
      </c>
      <c r="D760" s="374" t="s">
        <v>88</v>
      </c>
      <c r="E760" s="309" t="s">
        <v>47</v>
      </c>
      <c r="F760" s="310" t="s">
        <v>121</v>
      </c>
      <c r="G760" s="311">
        <v>9</v>
      </c>
      <c r="H760" s="311">
        <v>9.75</v>
      </c>
      <c r="I760" s="340">
        <v>27.38</v>
      </c>
      <c r="J760" s="340">
        <v>146.63</v>
      </c>
      <c r="K760" s="311"/>
      <c r="L760" s="340">
        <f t="shared" si="24"/>
        <v>27.38</v>
      </c>
      <c r="M760" s="311"/>
      <c r="N760" s="311"/>
      <c r="O760" s="311"/>
      <c r="P760" s="311"/>
      <c r="Q760" s="386"/>
      <c r="R760" s="392"/>
      <c r="S760" s="358">
        <f ca="1">IF(C760&lt;=EOMONTH('&gt;&gt;Vistas Consolidadas'!$D$2, '&gt;&gt;Vistas Consolidadas'!$F$2),J760+I760,J760)</f>
        <v>146.63</v>
      </c>
      <c r="T760" s="18" t="str">
        <f ca="1">IF(C760&gt;='&gt;&gt;Vistas Consolidadas'!$D$2,"SI","NO")</f>
        <v>SI</v>
      </c>
      <c r="U760" s="358">
        <f ca="1">IF(C760&lt;=EOMONTH('&gt;&gt;Vistas Consolidadas'!$D$2, '&gt;&gt;Vistas Consolidadas'!$F$2),I760,0)</f>
        <v>0</v>
      </c>
      <c r="V760" s="18" t="b">
        <f ca="1">AND(C760&gt;='Interes Por Semana'!$C$4, C760&lt;='Interes Por Semana'!$E$4)</f>
        <v>0</v>
      </c>
      <c r="W760" s="18" t="str">
        <f t="shared" si="23"/>
        <v>jueves</v>
      </c>
    </row>
    <row r="761" spans="2:23" hidden="1" x14ac:dyDescent="0.25">
      <c r="B761" s="337">
        <v>46163</v>
      </c>
      <c r="C761" s="337">
        <v>48193</v>
      </c>
      <c r="D761" s="374" t="s">
        <v>88</v>
      </c>
      <c r="E761" s="309" t="s">
        <v>47</v>
      </c>
      <c r="F761" s="310" t="s">
        <v>121</v>
      </c>
      <c r="G761" s="311">
        <v>9</v>
      </c>
      <c r="H761" s="311">
        <v>9.75</v>
      </c>
      <c r="I761" s="340">
        <v>24</v>
      </c>
      <c r="J761" s="340">
        <v>146.63</v>
      </c>
      <c r="K761" s="311"/>
      <c r="L761" s="340">
        <f t="shared" si="24"/>
        <v>24</v>
      </c>
      <c r="M761" s="311"/>
      <c r="N761" s="311"/>
      <c r="O761" s="311"/>
      <c r="P761" s="311"/>
      <c r="Q761" s="386"/>
      <c r="R761" s="392"/>
      <c r="S761" s="358">
        <f ca="1">IF(C761&lt;=EOMONTH('&gt;&gt;Vistas Consolidadas'!$D$2, '&gt;&gt;Vistas Consolidadas'!$F$2),J761+I761,J761)</f>
        <v>146.63</v>
      </c>
      <c r="T761" s="18" t="str">
        <f ca="1">IF(C761&gt;='&gt;&gt;Vistas Consolidadas'!$D$2,"SI","NO")</f>
        <v>SI</v>
      </c>
      <c r="U761" s="358">
        <f ca="1">IF(C761&lt;=EOMONTH('&gt;&gt;Vistas Consolidadas'!$D$2, '&gt;&gt;Vistas Consolidadas'!$F$2),I761,0)</f>
        <v>0</v>
      </c>
      <c r="V761" s="18" t="b">
        <f ca="1">AND(C761&gt;='Interes Por Semana'!$C$4, C761&lt;='Interes Por Semana'!$E$4)</f>
        <v>0</v>
      </c>
      <c r="W761" s="18" t="str">
        <f t="shared" si="23"/>
        <v>jueves</v>
      </c>
    </row>
    <row r="762" spans="2:23" hidden="1" x14ac:dyDescent="0.25">
      <c r="B762" s="337">
        <v>46163</v>
      </c>
      <c r="C762" s="337">
        <v>48284</v>
      </c>
      <c r="D762" s="374" t="s">
        <v>88</v>
      </c>
      <c r="E762" s="309" t="s">
        <v>47</v>
      </c>
      <c r="F762" s="310" t="s">
        <v>121</v>
      </c>
      <c r="G762" s="311">
        <v>9</v>
      </c>
      <c r="H762" s="311">
        <v>9.75</v>
      </c>
      <c r="I762" s="340">
        <v>20.61</v>
      </c>
      <c r="J762" s="340">
        <v>146.63</v>
      </c>
      <c r="K762" s="311"/>
      <c r="L762" s="340">
        <f t="shared" si="24"/>
        <v>20.61</v>
      </c>
      <c r="M762" s="311"/>
      <c r="N762" s="311"/>
      <c r="O762" s="311"/>
      <c r="P762" s="311"/>
      <c r="Q762" s="386"/>
      <c r="R762" s="392"/>
      <c r="S762" s="358">
        <f ca="1">IF(C762&lt;=EOMONTH('&gt;&gt;Vistas Consolidadas'!$D$2, '&gt;&gt;Vistas Consolidadas'!$F$2),J762+I762,J762)</f>
        <v>146.63</v>
      </c>
      <c r="T762" s="18" t="str">
        <f ca="1">IF(C762&gt;='&gt;&gt;Vistas Consolidadas'!$D$2,"SI","NO")</f>
        <v>SI</v>
      </c>
      <c r="U762" s="358">
        <f ca="1">IF(C762&lt;=EOMONTH('&gt;&gt;Vistas Consolidadas'!$D$2, '&gt;&gt;Vistas Consolidadas'!$F$2),I762,0)</f>
        <v>0</v>
      </c>
      <c r="V762" s="18" t="b">
        <f ca="1">AND(C762&gt;='Interes Por Semana'!$C$4, C762&lt;='Interes Por Semana'!$E$4)</f>
        <v>0</v>
      </c>
      <c r="W762" s="18" t="str">
        <f t="shared" si="23"/>
        <v>jueves</v>
      </c>
    </row>
    <row r="763" spans="2:23" hidden="1" x14ac:dyDescent="0.25">
      <c r="B763" s="337">
        <v>46163</v>
      </c>
      <c r="C763" s="337">
        <v>48376</v>
      </c>
      <c r="D763" s="374" t="s">
        <v>88</v>
      </c>
      <c r="E763" s="309" t="s">
        <v>47</v>
      </c>
      <c r="F763" s="310" t="s">
        <v>121</v>
      </c>
      <c r="G763" s="311">
        <v>9</v>
      </c>
      <c r="H763" s="311">
        <v>9.75</v>
      </c>
      <c r="I763" s="340">
        <v>17.23</v>
      </c>
      <c r="J763" s="340">
        <v>146.63</v>
      </c>
      <c r="K763" s="311"/>
      <c r="L763" s="340">
        <f t="shared" si="24"/>
        <v>17.23</v>
      </c>
      <c r="M763" s="311"/>
      <c r="N763" s="311"/>
      <c r="O763" s="311"/>
      <c r="P763" s="311"/>
      <c r="Q763" s="386"/>
      <c r="R763" s="392"/>
      <c r="S763" s="358">
        <f ca="1">IF(C763&lt;=EOMONTH('&gt;&gt;Vistas Consolidadas'!$D$2, '&gt;&gt;Vistas Consolidadas'!$F$2),J763+I763,J763)</f>
        <v>146.63</v>
      </c>
      <c r="T763" s="18" t="str">
        <f ca="1">IF(C763&gt;='&gt;&gt;Vistas Consolidadas'!$D$2,"SI","NO")</f>
        <v>SI</v>
      </c>
      <c r="U763" s="358">
        <f ca="1">IF(C763&lt;=EOMONTH('&gt;&gt;Vistas Consolidadas'!$D$2, '&gt;&gt;Vistas Consolidadas'!$F$2),I763,0)</f>
        <v>0</v>
      </c>
      <c r="V763" s="18" t="b">
        <f ca="1">AND(C763&gt;='Interes Por Semana'!$C$4, C763&lt;='Interes Por Semana'!$E$4)</f>
        <v>0</v>
      </c>
      <c r="W763" s="18" t="str">
        <f t="shared" si="23"/>
        <v>viernes</v>
      </c>
    </row>
    <row r="764" spans="2:23" hidden="1" x14ac:dyDescent="0.25">
      <c r="B764" s="337">
        <v>46163</v>
      </c>
      <c r="C764" s="337">
        <v>48468</v>
      </c>
      <c r="D764" s="374" t="s">
        <v>88</v>
      </c>
      <c r="E764" s="309" t="s">
        <v>47</v>
      </c>
      <c r="F764" s="310" t="s">
        <v>121</v>
      </c>
      <c r="G764" s="311">
        <v>9</v>
      </c>
      <c r="H764" s="311">
        <v>9.75</v>
      </c>
      <c r="I764" s="340">
        <v>13.85</v>
      </c>
      <c r="J764" s="340">
        <v>146.63</v>
      </c>
      <c r="K764" s="311"/>
      <c r="L764" s="340">
        <f t="shared" si="24"/>
        <v>13.85</v>
      </c>
      <c r="M764" s="311"/>
      <c r="N764" s="311"/>
      <c r="O764" s="311"/>
      <c r="P764" s="311"/>
      <c r="Q764" s="386"/>
      <c r="R764" s="392"/>
      <c r="S764" s="358">
        <f ca="1">IF(C764&lt;=EOMONTH('&gt;&gt;Vistas Consolidadas'!$D$2, '&gt;&gt;Vistas Consolidadas'!$F$2),J764+I764,J764)</f>
        <v>146.63</v>
      </c>
      <c r="T764" s="18" t="str">
        <f ca="1">IF(C764&gt;='&gt;&gt;Vistas Consolidadas'!$D$2,"SI","NO")</f>
        <v>SI</v>
      </c>
      <c r="U764" s="358">
        <f ca="1">IF(C764&lt;=EOMONTH('&gt;&gt;Vistas Consolidadas'!$D$2, '&gt;&gt;Vistas Consolidadas'!$F$2),I764,0)</f>
        <v>0</v>
      </c>
      <c r="V764" s="18" t="b">
        <f ca="1">AND(C764&gt;='Interes Por Semana'!$C$4, C764&lt;='Interes Por Semana'!$E$4)</f>
        <v>0</v>
      </c>
      <c r="W764" s="18" t="str">
        <f t="shared" si="23"/>
        <v>sábado</v>
      </c>
    </row>
    <row r="765" spans="2:23" hidden="1" x14ac:dyDescent="0.25">
      <c r="B765" s="337">
        <v>46163</v>
      </c>
      <c r="C765" s="337">
        <v>48559</v>
      </c>
      <c r="D765" s="374" t="s">
        <v>88</v>
      </c>
      <c r="E765" s="309" t="s">
        <v>47</v>
      </c>
      <c r="F765" s="310" t="s">
        <v>121</v>
      </c>
      <c r="G765" s="311">
        <v>9</v>
      </c>
      <c r="H765" s="311">
        <v>9.75</v>
      </c>
      <c r="I765" s="340">
        <v>10.47</v>
      </c>
      <c r="J765" s="340">
        <v>146.63</v>
      </c>
      <c r="K765" s="311"/>
      <c r="L765" s="340">
        <f t="shared" si="24"/>
        <v>10.47</v>
      </c>
      <c r="M765" s="311"/>
      <c r="N765" s="311"/>
      <c r="O765" s="311"/>
      <c r="P765" s="311"/>
      <c r="Q765" s="386"/>
      <c r="R765" s="392"/>
      <c r="S765" s="358">
        <f ca="1">IF(C765&lt;=EOMONTH('&gt;&gt;Vistas Consolidadas'!$D$2, '&gt;&gt;Vistas Consolidadas'!$F$2),J765+I765,J765)</f>
        <v>146.63</v>
      </c>
      <c r="T765" s="18" t="str">
        <f ca="1">IF(C765&gt;='&gt;&gt;Vistas Consolidadas'!$D$2,"SI","NO")</f>
        <v>SI</v>
      </c>
      <c r="U765" s="358">
        <f ca="1">IF(C765&lt;=EOMONTH('&gt;&gt;Vistas Consolidadas'!$D$2, '&gt;&gt;Vistas Consolidadas'!$F$2),I765,0)</f>
        <v>0</v>
      </c>
      <c r="V765" s="18" t="b">
        <f ca="1">AND(C765&gt;='Interes Por Semana'!$C$4, C765&lt;='Interes Por Semana'!$E$4)</f>
        <v>0</v>
      </c>
      <c r="W765" s="18" t="str">
        <f t="shared" si="23"/>
        <v>sábado</v>
      </c>
    </row>
    <row r="766" spans="2:23" hidden="1" x14ac:dyDescent="0.25">
      <c r="B766" s="337">
        <v>46163</v>
      </c>
      <c r="C766" s="337">
        <v>48649</v>
      </c>
      <c r="D766" s="374" t="s">
        <v>88</v>
      </c>
      <c r="E766" s="309" t="s">
        <v>47</v>
      </c>
      <c r="F766" s="310" t="s">
        <v>121</v>
      </c>
      <c r="G766" s="311">
        <v>9</v>
      </c>
      <c r="H766" s="311">
        <v>9.75</v>
      </c>
      <c r="I766" s="340">
        <v>8.69</v>
      </c>
      <c r="J766" s="340">
        <v>146.63</v>
      </c>
      <c r="K766" s="311"/>
      <c r="L766" s="340">
        <f t="shared" si="24"/>
        <v>8.69</v>
      </c>
      <c r="M766" s="311"/>
      <c r="N766" s="311"/>
      <c r="O766" s="311"/>
      <c r="P766" s="311"/>
      <c r="Q766" s="386"/>
      <c r="R766" s="392"/>
      <c r="S766" s="358">
        <f ca="1">IF(C766&lt;=EOMONTH('&gt;&gt;Vistas Consolidadas'!$D$2, '&gt;&gt;Vistas Consolidadas'!$F$2),J766+I766,J766)</f>
        <v>146.63</v>
      </c>
      <c r="T766" s="18" t="str">
        <f ca="1">IF(C766&gt;='&gt;&gt;Vistas Consolidadas'!$D$2,"SI","NO")</f>
        <v>SI</v>
      </c>
      <c r="U766" s="358">
        <f ca="1">IF(C766&lt;=EOMONTH('&gt;&gt;Vistas Consolidadas'!$D$2, '&gt;&gt;Vistas Consolidadas'!$F$2),I766,0)</f>
        <v>0</v>
      </c>
      <c r="V766" s="18" t="b">
        <f ca="1">AND(C766&gt;='Interes Por Semana'!$C$4, C766&lt;='Interes Por Semana'!$E$4)</f>
        <v>0</v>
      </c>
      <c r="W766" s="18" t="str">
        <f t="shared" si="23"/>
        <v>viernes</v>
      </c>
    </row>
    <row r="767" spans="2:23" hidden="1" x14ac:dyDescent="0.25">
      <c r="B767" s="337">
        <v>46163</v>
      </c>
      <c r="C767" s="337">
        <v>46184</v>
      </c>
      <c r="D767" s="374" t="s">
        <v>88</v>
      </c>
      <c r="E767" s="309" t="s">
        <v>47</v>
      </c>
      <c r="F767" s="310" t="s">
        <v>121</v>
      </c>
      <c r="G767" s="311">
        <v>9</v>
      </c>
      <c r="H767" s="311">
        <v>9.75</v>
      </c>
      <c r="I767" s="340">
        <v>91.18</v>
      </c>
      <c r="J767" s="340">
        <v>810.92</v>
      </c>
      <c r="K767" s="311"/>
      <c r="L767" s="340">
        <f t="shared" si="24"/>
        <v>91.18</v>
      </c>
      <c r="M767" s="311"/>
      <c r="N767" s="311"/>
      <c r="O767" s="311"/>
      <c r="P767" s="311"/>
      <c r="Q767" s="386"/>
      <c r="R767" s="392"/>
      <c r="S767" s="358">
        <f ca="1">IF(C767&lt;=EOMONTH('&gt;&gt;Vistas Consolidadas'!$D$2, '&gt;&gt;Vistas Consolidadas'!$F$2),J767+I767,J767)</f>
        <v>902.09999999999991</v>
      </c>
      <c r="T767" s="18" t="str">
        <f ca="1">IF(C767&gt;='&gt;&gt;Vistas Consolidadas'!$D$2,"SI","NO")</f>
        <v>NO</v>
      </c>
      <c r="U767" s="358">
        <f ca="1">IF(C767&lt;=EOMONTH('&gt;&gt;Vistas Consolidadas'!$D$2, '&gt;&gt;Vistas Consolidadas'!$F$2),I767,0)</f>
        <v>91.18</v>
      </c>
      <c r="V767" s="18" t="b">
        <f ca="1">AND(C767&gt;='Interes Por Semana'!$C$4, C767&lt;='Interes Por Semana'!$E$4)</f>
        <v>0</v>
      </c>
      <c r="W767" s="18" t="str">
        <f t="shared" si="23"/>
        <v>jueves</v>
      </c>
    </row>
    <row r="768" spans="2:23" hidden="1" x14ac:dyDescent="0.25">
      <c r="B768" s="337">
        <v>46163</v>
      </c>
      <c r="C768" s="337">
        <v>46276</v>
      </c>
      <c r="D768" s="374" t="s">
        <v>88</v>
      </c>
      <c r="E768" s="309" t="s">
        <v>47</v>
      </c>
      <c r="F768" s="310" t="s">
        <v>121</v>
      </c>
      <c r="G768" s="311">
        <v>9</v>
      </c>
      <c r="H768" s="311">
        <v>9.75</v>
      </c>
      <c r="I768" s="340">
        <v>349.98</v>
      </c>
      <c r="J768" s="340">
        <v>539.66999999999996</v>
      </c>
      <c r="K768" s="311"/>
      <c r="L768" s="340">
        <f t="shared" si="24"/>
        <v>349.98</v>
      </c>
      <c r="M768" s="311"/>
      <c r="N768" s="311"/>
      <c r="O768" s="311"/>
      <c r="P768" s="311"/>
      <c r="Q768" s="386"/>
      <c r="R768" s="392"/>
      <c r="S768" s="358">
        <f ca="1">IF(C768&lt;=EOMONTH('&gt;&gt;Vistas Consolidadas'!$D$2, '&gt;&gt;Vistas Consolidadas'!$F$2),J768+I768,J768)</f>
        <v>889.65</v>
      </c>
      <c r="T768" s="18" t="str">
        <f ca="1">IF(C768&gt;='&gt;&gt;Vistas Consolidadas'!$D$2,"SI","NO")</f>
        <v>NO</v>
      </c>
      <c r="U768" s="358">
        <f ca="1">IF(C768&lt;=EOMONTH('&gt;&gt;Vistas Consolidadas'!$D$2, '&gt;&gt;Vistas Consolidadas'!$F$2),I768,0)</f>
        <v>349.98</v>
      </c>
      <c r="V768" s="18" t="b">
        <f ca="1">AND(C768&gt;='Interes Por Semana'!$C$4, C768&lt;='Interes Por Semana'!$E$4)</f>
        <v>0</v>
      </c>
      <c r="W768" s="18" t="str">
        <f t="shared" si="23"/>
        <v>viernes</v>
      </c>
    </row>
    <row r="769" spans="2:23" hidden="1" x14ac:dyDescent="0.25">
      <c r="B769" s="337">
        <v>46163</v>
      </c>
      <c r="C769" s="337">
        <v>46367</v>
      </c>
      <c r="D769" s="374" t="s">
        <v>88</v>
      </c>
      <c r="E769" s="309" t="s">
        <v>47</v>
      </c>
      <c r="F769" s="310" t="s">
        <v>121</v>
      </c>
      <c r="G769" s="311">
        <v>9</v>
      </c>
      <c r="H769" s="311">
        <v>9.75</v>
      </c>
      <c r="I769" s="340">
        <v>337.53</v>
      </c>
      <c r="J769" s="340">
        <v>539.66999999999996</v>
      </c>
      <c r="K769" s="311"/>
      <c r="L769" s="340">
        <f t="shared" si="24"/>
        <v>337.53</v>
      </c>
      <c r="M769" s="311"/>
      <c r="N769" s="311"/>
      <c r="O769" s="311"/>
      <c r="P769" s="311"/>
      <c r="Q769" s="386"/>
      <c r="R769" s="392"/>
      <c r="S769" s="358">
        <f ca="1">IF(C769&lt;=EOMONTH('&gt;&gt;Vistas Consolidadas'!$D$2, '&gt;&gt;Vistas Consolidadas'!$F$2),J769+I769,J769)</f>
        <v>877.19999999999993</v>
      </c>
      <c r="T769" s="18" t="str">
        <f ca="1">IF(C769&gt;='&gt;&gt;Vistas Consolidadas'!$D$2,"SI","NO")</f>
        <v>SI</v>
      </c>
      <c r="U769" s="358">
        <f ca="1">IF(C769&lt;=EOMONTH('&gt;&gt;Vistas Consolidadas'!$D$2, '&gt;&gt;Vistas Consolidadas'!$F$2),I769,0)</f>
        <v>337.53</v>
      </c>
      <c r="V769" s="18" t="b">
        <f ca="1">AND(C769&gt;='Interes Por Semana'!$C$4, C769&lt;='Interes Por Semana'!$E$4)</f>
        <v>0</v>
      </c>
      <c r="W769" s="18" t="str">
        <f t="shared" si="23"/>
        <v>viernes</v>
      </c>
    </row>
    <row r="770" spans="2:23" hidden="1" x14ac:dyDescent="0.25">
      <c r="B770" s="337">
        <v>46163</v>
      </c>
      <c r="C770" s="337">
        <v>46457</v>
      </c>
      <c r="D770" s="374" t="s">
        <v>88</v>
      </c>
      <c r="E770" s="309" t="s">
        <v>47</v>
      </c>
      <c r="F770" s="310" t="s">
        <v>121</v>
      </c>
      <c r="G770" s="311">
        <v>9</v>
      </c>
      <c r="H770" s="311">
        <v>9.75</v>
      </c>
      <c r="I770" s="340">
        <v>325.08</v>
      </c>
      <c r="J770" s="340">
        <v>539.66999999999996</v>
      </c>
      <c r="K770" s="311"/>
      <c r="L770" s="340">
        <f t="shared" si="24"/>
        <v>325.08</v>
      </c>
      <c r="M770" s="311"/>
      <c r="N770" s="311"/>
      <c r="O770" s="311"/>
      <c r="P770" s="311"/>
      <c r="Q770" s="386"/>
      <c r="R770" s="392"/>
      <c r="S770" s="358">
        <f ca="1">IF(C770&lt;=EOMONTH('&gt;&gt;Vistas Consolidadas'!$D$2, '&gt;&gt;Vistas Consolidadas'!$F$2),J770+I770,J770)</f>
        <v>864.75</v>
      </c>
      <c r="T770" s="18" t="str">
        <f ca="1">IF(C770&gt;='&gt;&gt;Vistas Consolidadas'!$D$2,"SI","NO")</f>
        <v>SI</v>
      </c>
      <c r="U770" s="358">
        <f ca="1">IF(C770&lt;=EOMONTH('&gt;&gt;Vistas Consolidadas'!$D$2, '&gt;&gt;Vistas Consolidadas'!$F$2),I770,0)</f>
        <v>325.08</v>
      </c>
      <c r="V770" s="18" t="b">
        <f ca="1">AND(C770&gt;='Interes Por Semana'!$C$4, C770&lt;='Interes Por Semana'!$E$4)</f>
        <v>0</v>
      </c>
      <c r="W770" s="18" t="str">
        <f t="shared" si="23"/>
        <v>jueves</v>
      </c>
    </row>
    <row r="771" spans="2:23" hidden="1" x14ac:dyDescent="0.25">
      <c r="B771" s="337">
        <v>46163</v>
      </c>
      <c r="C771" s="337">
        <v>46549</v>
      </c>
      <c r="D771" s="374" t="s">
        <v>88</v>
      </c>
      <c r="E771" s="309" t="s">
        <v>47</v>
      </c>
      <c r="F771" s="310" t="s">
        <v>121</v>
      </c>
      <c r="G771" s="311">
        <v>9</v>
      </c>
      <c r="H771" s="311">
        <v>9.75</v>
      </c>
      <c r="I771" s="340">
        <v>312.63</v>
      </c>
      <c r="J771" s="340">
        <v>539.66999999999996</v>
      </c>
      <c r="K771" s="311"/>
      <c r="L771" s="340">
        <f t="shared" si="24"/>
        <v>312.63</v>
      </c>
      <c r="M771" s="311"/>
      <c r="N771" s="311"/>
      <c r="O771" s="311"/>
      <c r="P771" s="311"/>
      <c r="Q771" s="386"/>
      <c r="R771" s="392"/>
      <c r="S771" s="358">
        <f ca="1">IF(C771&lt;=EOMONTH('&gt;&gt;Vistas Consolidadas'!$D$2, '&gt;&gt;Vistas Consolidadas'!$F$2),J771+I771,J771)</f>
        <v>852.3</v>
      </c>
      <c r="T771" s="18" t="str">
        <f ca="1">IF(C771&gt;='&gt;&gt;Vistas Consolidadas'!$D$2,"SI","NO")</f>
        <v>SI</v>
      </c>
      <c r="U771" s="358">
        <f ca="1">IF(C771&lt;=EOMONTH('&gt;&gt;Vistas Consolidadas'!$D$2, '&gt;&gt;Vistas Consolidadas'!$F$2),I771,0)</f>
        <v>312.63</v>
      </c>
      <c r="V771" s="18" t="b">
        <f ca="1">AND(C771&gt;='Interes Por Semana'!$C$4, C771&lt;='Interes Por Semana'!$E$4)</f>
        <v>0</v>
      </c>
      <c r="W771" s="18" t="str">
        <f t="shared" ref="W771:W834" si="25">TEXT(C771, "dddd")</f>
        <v>viernes</v>
      </c>
    </row>
    <row r="772" spans="2:23" hidden="1" x14ac:dyDescent="0.25">
      <c r="B772" s="337">
        <v>46163</v>
      </c>
      <c r="C772" s="337">
        <v>46641</v>
      </c>
      <c r="D772" s="374" t="s">
        <v>88</v>
      </c>
      <c r="E772" s="309" t="s">
        <v>47</v>
      </c>
      <c r="F772" s="310" t="s">
        <v>121</v>
      </c>
      <c r="G772" s="311">
        <v>9</v>
      </c>
      <c r="H772" s="311">
        <v>9.75</v>
      </c>
      <c r="I772" s="340">
        <v>300.18</v>
      </c>
      <c r="J772" s="340">
        <v>539.66999999999996</v>
      </c>
      <c r="K772" s="311"/>
      <c r="L772" s="340">
        <f t="shared" si="24"/>
        <v>300.18</v>
      </c>
      <c r="M772" s="311"/>
      <c r="N772" s="311"/>
      <c r="O772" s="311"/>
      <c r="P772" s="311"/>
      <c r="Q772" s="386"/>
      <c r="R772" s="392"/>
      <c r="S772" s="358">
        <f ca="1">IF(C772&lt;=EOMONTH('&gt;&gt;Vistas Consolidadas'!$D$2, '&gt;&gt;Vistas Consolidadas'!$F$2),J772+I772,J772)</f>
        <v>839.84999999999991</v>
      </c>
      <c r="T772" s="18" t="str">
        <f ca="1">IF(C772&gt;='&gt;&gt;Vistas Consolidadas'!$D$2,"SI","NO")</f>
        <v>SI</v>
      </c>
      <c r="U772" s="358">
        <f ca="1">IF(C772&lt;=EOMONTH('&gt;&gt;Vistas Consolidadas'!$D$2, '&gt;&gt;Vistas Consolidadas'!$F$2),I772,0)</f>
        <v>300.18</v>
      </c>
      <c r="V772" s="18" t="b">
        <f ca="1">AND(C772&gt;='Interes Por Semana'!$C$4, C772&lt;='Interes Por Semana'!$E$4)</f>
        <v>0</v>
      </c>
      <c r="W772" s="18" t="str">
        <f t="shared" si="25"/>
        <v>sábado</v>
      </c>
    </row>
    <row r="773" spans="2:23" hidden="1" x14ac:dyDescent="0.25">
      <c r="B773" s="337">
        <v>46163</v>
      </c>
      <c r="C773" s="337">
        <v>46732</v>
      </c>
      <c r="D773" s="374" t="s">
        <v>88</v>
      </c>
      <c r="E773" s="309" t="s">
        <v>47</v>
      </c>
      <c r="F773" s="310" t="s">
        <v>121</v>
      </c>
      <c r="G773" s="311">
        <v>9</v>
      </c>
      <c r="H773" s="311">
        <v>9.75</v>
      </c>
      <c r="I773" s="340">
        <v>287.73</v>
      </c>
      <c r="J773" s="340">
        <v>539.66999999999996</v>
      </c>
      <c r="K773" s="311"/>
      <c r="L773" s="340">
        <f t="shared" si="24"/>
        <v>287.73</v>
      </c>
      <c r="M773" s="311"/>
      <c r="N773" s="311"/>
      <c r="O773" s="311"/>
      <c r="P773" s="311"/>
      <c r="Q773" s="386"/>
      <c r="R773" s="392"/>
      <c r="S773" s="358">
        <f ca="1">IF(C773&lt;=EOMONTH('&gt;&gt;Vistas Consolidadas'!$D$2, '&gt;&gt;Vistas Consolidadas'!$F$2),J773+I773,J773)</f>
        <v>539.66999999999996</v>
      </c>
      <c r="T773" s="18" t="str">
        <f ca="1">IF(C773&gt;='&gt;&gt;Vistas Consolidadas'!$D$2,"SI","NO")</f>
        <v>SI</v>
      </c>
      <c r="U773" s="358">
        <f ca="1">IF(C773&lt;=EOMONTH('&gt;&gt;Vistas Consolidadas'!$D$2, '&gt;&gt;Vistas Consolidadas'!$F$2),I773,0)</f>
        <v>0</v>
      </c>
      <c r="V773" s="18" t="b">
        <f ca="1">AND(C773&gt;='Interes Por Semana'!$C$4, C773&lt;='Interes Por Semana'!$E$4)</f>
        <v>0</v>
      </c>
      <c r="W773" s="18" t="str">
        <f t="shared" si="25"/>
        <v>sábado</v>
      </c>
    </row>
    <row r="774" spans="2:23" hidden="1" x14ac:dyDescent="0.25">
      <c r="B774" s="337">
        <v>46163</v>
      </c>
      <c r="C774" s="337">
        <v>46823</v>
      </c>
      <c r="D774" s="374" t="s">
        <v>88</v>
      </c>
      <c r="E774" s="309" t="s">
        <v>47</v>
      </c>
      <c r="F774" s="310" t="s">
        <v>121</v>
      </c>
      <c r="G774" s="311">
        <v>9</v>
      </c>
      <c r="H774" s="311">
        <v>9.75</v>
      </c>
      <c r="I774" s="340">
        <v>275.27999999999997</v>
      </c>
      <c r="J774" s="340">
        <v>539.66999999999996</v>
      </c>
      <c r="K774" s="311"/>
      <c r="L774" s="340">
        <f t="shared" si="24"/>
        <v>275.27999999999997</v>
      </c>
      <c r="M774" s="311"/>
      <c r="N774" s="311"/>
      <c r="O774" s="311"/>
      <c r="P774" s="311"/>
      <c r="Q774" s="386"/>
      <c r="R774" s="392"/>
      <c r="S774" s="358">
        <f ca="1">IF(C774&lt;=EOMONTH('&gt;&gt;Vistas Consolidadas'!$D$2, '&gt;&gt;Vistas Consolidadas'!$F$2),J774+I774,J774)</f>
        <v>539.66999999999996</v>
      </c>
      <c r="T774" s="18" t="str">
        <f ca="1">IF(C774&gt;='&gt;&gt;Vistas Consolidadas'!$D$2,"SI","NO")</f>
        <v>SI</v>
      </c>
      <c r="U774" s="358">
        <f ca="1">IF(C774&lt;=EOMONTH('&gt;&gt;Vistas Consolidadas'!$D$2, '&gt;&gt;Vistas Consolidadas'!$F$2),I774,0)</f>
        <v>0</v>
      </c>
      <c r="V774" s="18" t="b">
        <f ca="1">AND(C774&gt;='Interes Por Semana'!$C$4, C774&lt;='Interes Por Semana'!$E$4)</f>
        <v>0</v>
      </c>
      <c r="W774" s="18" t="str">
        <f t="shared" si="25"/>
        <v>sábado</v>
      </c>
    </row>
    <row r="775" spans="2:23" hidden="1" x14ac:dyDescent="0.25">
      <c r="B775" s="337">
        <v>46163</v>
      </c>
      <c r="C775" s="337">
        <v>46915</v>
      </c>
      <c r="D775" s="374" t="s">
        <v>88</v>
      </c>
      <c r="E775" s="309" t="s">
        <v>47</v>
      </c>
      <c r="F775" s="310" t="s">
        <v>121</v>
      </c>
      <c r="G775" s="311">
        <v>9</v>
      </c>
      <c r="H775" s="311">
        <v>9.75</v>
      </c>
      <c r="I775" s="340">
        <v>262.83</v>
      </c>
      <c r="J775" s="340">
        <v>539.66999999999996</v>
      </c>
      <c r="K775" s="311"/>
      <c r="L775" s="340">
        <f t="shared" si="24"/>
        <v>262.83</v>
      </c>
      <c r="M775" s="311"/>
      <c r="N775" s="311"/>
      <c r="O775" s="311"/>
      <c r="P775" s="311"/>
      <c r="Q775" s="386"/>
      <c r="R775" s="392"/>
      <c r="S775" s="358">
        <f ca="1">IF(C775&lt;=EOMONTH('&gt;&gt;Vistas Consolidadas'!$D$2, '&gt;&gt;Vistas Consolidadas'!$F$2),J775+I775,J775)</f>
        <v>539.66999999999996</v>
      </c>
      <c r="T775" s="18" t="str">
        <f ca="1">IF(C775&gt;='&gt;&gt;Vistas Consolidadas'!$D$2,"SI","NO")</f>
        <v>SI</v>
      </c>
      <c r="U775" s="358">
        <f ca="1">IF(C775&lt;=EOMONTH('&gt;&gt;Vistas Consolidadas'!$D$2, '&gt;&gt;Vistas Consolidadas'!$F$2),I775,0)</f>
        <v>0</v>
      </c>
      <c r="V775" s="18" t="b">
        <f ca="1">AND(C775&gt;='Interes Por Semana'!$C$4, C775&lt;='Interes Por Semana'!$E$4)</f>
        <v>0</v>
      </c>
      <c r="W775" s="18" t="str">
        <f t="shared" si="25"/>
        <v>domingo</v>
      </c>
    </row>
    <row r="776" spans="2:23" hidden="1" x14ac:dyDescent="0.25">
      <c r="B776" s="337">
        <v>46163</v>
      </c>
      <c r="C776" s="337">
        <v>47007</v>
      </c>
      <c r="D776" s="374" t="s">
        <v>88</v>
      </c>
      <c r="E776" s="309" t="s">
        <v>47</v>
      </c>
      <c r="F776" s="310" t="s">
        <v>121</v>
      </c>
      <c r="G776" s="311">
        <v>9</v>
      </c>
      <c r="H776" s="311">
        <v>9.75</v>
      </c>
      <c r="I776" s="340">
        <v>250.38</v>
      </c>
      <c r="J776" s="340">
        <v>539.66999999999996</v>
      </c>
      <c r="K776" s="311"/>
      <c r="L776" s="340">
        <f t="shared" si="24"/>
        <v>250.38</v>
      </c>
      <c r="M776" s="311"/>
      <c r="N776" s="311"/>
      <c r="O776" s="311"/>
      <c r="P776" s="311"/>
      <c r="Q776" s="386"/>
      <c r="R776" s="392"/>
      <c r="S776" s="358">
        <f ca="1">IF(C776&lt;=EOMONTH('&gt;&gt;Vistas Consolidadas'!$D$2, '&gt;&gt;Vistas Consolidadas'!$F$2),J776+I776,J776)</f>
        <v>539.66999999999996</v>
      </c>
      <c r="T776" s="18" t="str">
        <f ca="1">IF(C776&gt;='&gt;&gt;Vistas Consolidadas'!$D$2,"SI","NO")</f>
        <v>SI</v>
      </c>
      <c r="U776" s="358">
        <f ca="1">IF(C776&lt;=EOMONTH('&gt;&gt;Vistas Consolidadas'!$D$2, '&gt;&gt;Vistas Consolidadas'!$F$2),I776,0)</f>
        <v>0</v>
      </c>
      <c r="V776" s="18" t="b">
        <f ca="1">AND(C776&gt;='Interes Por Semana'!$C$4, C776&lt;='Interes Por Semana'!$E$4)</f>
        <v>0</v>
      </c>
      <c r="W776" s="18" t="str">
        <f t="shared" si="25"/>
        <v>lunes</v>
      </c>
    </row>
    <row r="777" spans="2:23" hidden="1" x14ac:dyDescent="0.25">
      <c r="B777" s="337">
        <v>46163</v>
      </c>
      <c r="C777" s="337">
        <v>47098</v>
      </c>
      <c r="D777" s="374" t="s">
        <v>88</v>
      </c>
      <c r="E777" s="309" t="s">
        <v>47</v>
      </c>
      <c r="F777" s="310" t="s">
        <v>121</v>
      </c>
      <c r="G777" s="311">
        <v>9</v>
      </c>
      <c r="H777" s="311">
        <v>9.75</v>
      </c>
      <c r="I777" s="340">
        <v>237.93</v>
      </c>
      <c r="J777" s="340">
        <v>539.66999999999996</v>
      </c>
      <c r="K777" s="311"/>
      <c r="L777" s="340">
        <f t="shared" si="24"/>
        <v>237.93</v>
      </c>
      <c r="M777" s="311"/>
      <c r="N777" s="311"/>
      <c r="O777" s="311"/>
      <c r="P777" s="311"/>
      <c r="Q777" s="386"/>
      <c r="R777" s="392"/>
      <c r="S777" s="358">
        <f ca="1">IF(C777&lt;=EOMONTH('&gt;&gt;Vistas Consolidadas'!$D$2, '&gt;&gt;Vistas Consolidadas'!$F$2),J777+I777,J777)</f>
        <v>539.66999999999996</v>
      </c>
      <c r="T777" s="18" t="str">
        <f ca="1">IF(C777&gt;='&gt;&gt;Vistas Consolidadas'!$D$2,"SI","NO")</f>
        <v>SI</v>
      </c>
      <c r="U777" s="358">
        <f ca="1">IF(C777&lt;=EOMONTH('&gt;&gt;Vistas Consolidadas'!$D$2, '&gt;&gt;Vistas Consolidadas'!$F$2),I777,0)</f>
        <v>0</v>
      </c>
      <c r="V777" s="18" t="b">
        <f ca="1">AND(C777&gt;='Interes Por Semana'!$C$4, C777&lt;='Interes Por Semana'!$E$4)</f>
        <v>0</v>
      </c>
      <c r="W777" s="18" t="str">
        <f t="shared" si="25"/>
        <v>lunes</v>
      </c>
    </row>
    <row r="778" spans="2:23" hidden="1" x14ac:dyDescent="0.25">
      <c r="B778" s="337">
        <v>46163</v>
      </c>
      <c r="C778" s="337">
        <v>47188</v>
      </c>
      <c r="D778" s="374" t="s">
        <v>88</v>
      </c>
      <c r="E778" s="309" t="s">
        <v>47</v>
      </c>
      <c r="F778" s="310" t="s">
        <v>121</v>
      </c>
      <c r="G778" s="311">
        <v>9</v>
      </c>
      <c r="H778" s="311">
        <v>9.75</v>
      </c>
      <c r="I778" s="340">
        <v>225.48</v>
      </c>
      <c r="J778" s="340">
        <v>539.66999999999996</v>
      </c>
      <c r="K778" s="311"/>
      <c r="L778" s="340">
        <f t="shared" si="24"/>
        <v>225.48</v>
      </c>
      <c r="M778" s="311"/>
      <c r="N778" s="311"/>
      <c r="O778" s="311"/>
      <c r="P778" s="311"/>
      <c r="Q778" s="386"/>
      <c r="R778" s="392"/>
      <c r="S778" s="358">
        <f ca="1">IF(C778&lt;=EOMONTH('&gt;&gt;Vistas Consolidadas'!$D$2, '&gt;&gt;Vistas Consolidadas'!$F$2),J778+I778,J778)</f>
        <v>539.66999999999996</v>
      </c>
      <c r="T778" s="18" t="str">
        <f ca="1">IF(C778&gt;='&gt;&gt;Vistas Consolidadas'!$D$2,"SI","NO")</f>
        <v>SI</v>
      </c>
      <c r="U778" s="358">
        <f ca="1">IF(C778&lt;=EOMONTH('&gt;&gt;Vistas Consolidadas'!$D$2, '&gt;&gt;Vistas Consolidadas'!$F$2),I778,0)</f>
        <v>0</v>
      </c>
      <c r="V778" s="18" t="b">
        <f ca="1">AND(C778&gt;='Interes Por Semana'!$C$4, C778&lt;='Interes Por Semana'!$E$4)</f>
        <v>0</v>
      </c>
      <c r="W778" s="18" t="str">
        <f t="shared" si="25"/>
        <v>domingo</v>
      </c>
    </row>
    <row r="779" spans="2:23" hidden="1" x14ac:dyDescent="0.25">
      <c r="B779" s="337">
        <v>46163</v>
      </c>
      <c r="C779" s="337">
        <v>47280</v>
      </c>
      <c r="D779" s="374" t="s">
        <v>88</v>
      </c>
      <c r="E779" s="309" t="s">
        <v>47</v>
      </c>
      <c r="F779" s="310" t="s">
        <v>121</v>
      </c>
      <c r="G779" s="311">
        <v>9</v>
      </c>
      <c r="H779" s="311">
        <v>9.75</v>
      </c>
      <c r="I779" s="340">
        <v>213.03</v>
      </c>
      <c r="J779" s="340">
        <v>539.66999999999996</v>
      </c>
      <c r="K779" s="311"/>
      <c r="L779" s="340">
        <f t="shared" si="24"/>
        <v>213.03</v>
      </c>
      <c r="M779" s="311"/>
      <c r="N779" s="311"/>
      <c r="O779" s="311"/>
      <c r="P779" s="311"/>
      <c r="Q779" s="386"/>
      <c r="R779" s="392"/>
      <c r="S779" s="358">
        <f ca="1">IF(C779&lt;=EOMONTH('&gt;&gt;Vistas Consolidadas'!$D$2, '&gt;&gt;Vistas Consolidadas'!$F$2),J779+I779,J779)</f>
        <v>539.66999999999996</v>
      </c>
      <c r="T779" s="18" t="str">
        <f ca="1">IF(C779&gt;='&gt;&gt;Vistas Consolidadas'!$D$2,"SI","NO")</f>
        <v>SI</v>
      </c>
      <c r="U779" s="358">
        <f ca="1">IF(C779&lt;=EOMONTH('&gt;&gt;Vistas Consolidadas'!$D$2, '&gt;&gt;Vistas Consolidadas'!$F$2),I779,0)</f>
        <v>0</v>
      </c>
      <c r="V779" s="18" t="b">
        <f ca="1">AND(C779&gt;='Interes Por Semana'!$C$4, C779&lt;='Interes Por Semana'!$E$4)</f>
        <v>0</v>
      </c>
      <c r="W779" s="18" t="str">
        <f t="shared" si="25"/>
        <v>lunes</v>
      </c>
    </row>
    <row r="780" spans="2:23" hidden="1" x14ac:dyDescent="0.25">
      <c r="B780" s="337">
        <v>46163</v>
      </c>
      <c r="C780" s="337">
        <v>47372</v>
      </c>
      <c r="D780" s="374" t="s">
        <v>88</v>
      </c>
      <c r="E780" s="309" t="s">
        <v>47</v>
      </c>
      <c r="F780" s="310" t="s">
        <v>121</v>
      </c>
      <c r="G780" s="311">
        <v>9</v>
      </c>
      <c r="H780" s="311">
        <v>9.75</v>
      </c>
      <c r="I780" s="340">
        <v>200.58</v>
      </c>
      <c r="J780" s="340">
        <v>539.66999999999996</v>
      </c>
      <c r="K780" s="311"/>
      <c r="L780" s="340">
        <f t="shared" si="24"/>
        <v>200.58</v>
      </c>
      <c r="M780" s="311"/>
      <c r="N780" s="311"/>
      <c r="O780" s="311"/>
      <c r="P780" s="311"/>
      <c r="Q780" s="386"/>
      <c r="R780" s="392"/>
      <c r="S780" s="358">
        <f ca="1">IF(C780&lt;=EOMONTH('&gt;&gt;Vistas Consolidadas'!$D$2, '&gt;&gt;Vistas Consolidadas'!$F$2),J780+I780,J780)</f>
        <v>539.66999999999996</v>
      </c>
      <c r="T780" s="18" t="str">
        <f ca="1">IF(C780&gt;='&gt;&gt;Vistas Consolidadas'!$D$2,"SI","NO")</f>
        <v>SI</v>
      </c>
      <c r="U780" s="358">
        <f ca="1">IF(C780&lt;=EOMONTH('&gt;&gt;Vistas Consolidadas'!$D$2, '&gt;&gt;Vistas Consolidadas'!$F$2),I780,0)</f>
        <v>0</v>
      </c>
      <c r="V780" s="18" t="b">
        <f ca="1">AND(C780&gt;='Interes Por Semana'!$C$4, C780&lt;='Interes Por Semana'!$E$4)</f>
        <v>0</v>
      </c>
      <c r="W780" s="18" t="str">
        <f t="shared" si="25"/>
        <v>martes</v>
      </c>
    </row>
    <row r="781" spans="2:23" hidden="1" x14ac:dyDescent="0.25">
      <c r="B781" s="337">
        <v>46163</v>
      </c>
      <c r="C781" s="337">
        <v>47463</v>
      </c>
      <c r="D781" s="374" t="s">
        <v>88</v>
      </c>
      <c r="E781" s="309" t="s">
        <v>47</v>
      </c>
      <c r="F781" s="310" t="s">
        <v>121</v>
      </c>
      <c r="G781" s="311">
        <v>9</v>
      </c>
      <c r="H781" s="311">
        <v>9.75</v>
      </c>
      <c r="I781" s="340">
        <v>188.12</v>
      </c>
      <c r="J781" s="340">
        <v>539.66999999999996</v>
      </c>
      <c r="K781" s="311"/>
      <c r="L781" s="340">
        <f t="shared" si="24"/>
        <v>188.12</v>
      </c>
      <c r="M781" s="311"/>
      <c r="N781" s="311"/>
      <c r="O781" s="311"/>
      <c r="P781" s="311"/>
      <c r="Q781" s="386"/>
      <c r="R781" s="392"/>
      <c r="S781" s="358">
        <f ca="1">IF(C781&lt;=EOMONTH('&gt;&gt;Vistas Consolidadas'!$D$2, '&gt;&gt;Vistas Consolidadas'!$F$2),J781+I781,J781)</f>
        <v>539.66999999999996</v>
      </c>
      <c r="T781" s="18" t="str">
        <f ca="1">IF(C781&gt;='&gt;&gt;Vistas Consolidadas'!$D$2,"SI","NO")</f>
        <v>SI</v>
      </c>
      <c r="U781" s="358">
        <f ca="1">IF(C781&lt;=EOMONTH('&gt;&gt;Vistas Consolidadas'!$D$2, '&gt;&gt;Vistas Consolidadas'!$F$2),I781,0)</f>
        <v>0</v>
      </c>
      <c r="V781" s="18" t="b">
        <f ca="1">AND(C781&gt;='Interes Por Semana'!$C$4, C781&lt;='Interes Por Semana'!$E$4)</f>
        <v>0</v>
      </c>
      <c r="W781" s="18" t="str">
        <f t="shared" si="25"/>
        <v>martes</v>
      </c>
    </row>
    <row r="782" spans="2:23" hidden="1" x14ac:dyDescent="0.25">
      <c r="B782" s="337">
        <v>46163</v>
      </c>
      <c r="C782" s="337">
        <v>47553</v>
      </c>
      <c r="D782" s="374" t="s">
        <v>88</v>
      </c>
      <c r="E782" s="309" t="s">
        <v>47</v>
      </c>
      <c r="F782" s="310" t="s">
        <v>121</v>
      </c>
      <c r="G782" s="311">
        <v>9</v>
      </c>
      <c r="H782" s="311">
        <v>9.75</v>
      </c>
      <c r="I782" s="340">
        <v>175.67</v>
      </c>
      <c r="J782" s="340">
        <v>539.66999999999996</v>
      </c>
      <c r="K782" s="311"/>
      <c r="L782" s="340">
        <f t="shared" si="24"/>
        <v>175.67</v>
      </c>
      <c r="M782" s="311"/>
      <c r="N782" s="311"/>
      <c r="O782" s="311"/>
      <c r="P782" s="311"/>
      <c r="Q782" s="386"/>
      <c r="R782" s="392"/>
      <c r="S782" s="358">
        <f ca="1">IF(C782&lt;=EOMONTH('&gt;&gt;Vistas Consolidadas'!$D$2, '&gt;&gt;Vistas Consolidadas'!$F$2),J782+I782,J782)</f>
        <v>539.66999999999996</v>
      </c>
      <c r="T782" s="18" t="str">
        <f ca="1">IF(C782&gt;='&gt;&gt;Vistas Consolidadas'!$D$2,"SI","NO")</f>
        <v>SI</v>
      </c>
      <c r="U782" s="358">
        <f ca="1">IF(C782&lt;=EOMONTH('&gt;&gt;Vistas Consolidadas'!$D$2, '&gt;&gt;Vistas Consolidadas'!$F$2),I782,0)</f>
        <v>0</v>
      </c>
      <c r="V782" s="18" t="b">
        <f ca="1">AND(C782&gt;='Interes Por Semana'!$C$4, C782&lt;='Interes Por Semana'!$E$4)</f>
        <v>0</v>
      </c>
      <c r="W782" s="18" t="str">
        <f t="shared" si="25"/>
        <v>lunes</v>
      </c>
    </row>
    <row r="783" spans="2:23" hidden="1" x14ac:dyDescent="0.25">
      <c r="B783" s="337">
        <v>46163</v>
      </c>
      <c r="C783" s="337">
        <v>47645</v>
      </c>
      <c r="D783" s="374" t="s">
        <v>88</v>
      </c>
      <c r="E783" s="309" t="s">
        <v>47</v>
      </c>
      <c r="F783" s="310" t="s">
        <v>121</v>
      </c>
      <c r="G783" s="311">
        <v>9</v>
      </c>
      <c r="H783" s="311">
        <v>9.75</v>
      </c>
      <c r="I783" s="340">
        <v>163.22</v>
      </c>
      <c r="J783" s="340">
        <v>539.66999999999996</v>
      </c>
      <c r="K783" s="311"/>
      <c r="L783" s="340">
        <f t="shared" si="24"/>
        <v>163.22</v>
      </c>
      <c r="M783" s="311"/>
      <c r="N783" s="311"/>
      <c r="O783" s="311"/>
      <c r="P783" s="311"/>
      <c r="Q783" s="386"/>
      <c r="R783" s="392"/>
      <c r="S783" s="358">
        <f ca="1">IF(C783&lt;=EOMONTH('&gt;&gt;Vistas Consolidadas'!$D$2, '&gt;&gt;Vistas Consolidadas'!$F$2),J783+I783,J783)</f>
        <v>539.66999999999996</v>
      </c>
      <c r="T783" s="18" t="str">
        <f ca="1">IF(C783&gt;='&gt;&gt;Vistas Consolidadas'!$D$2,"SI","NO")</f>
        <v>SI</v>
      </c>
      <c r="U783" s="358">
        <f ca="1">IF(C783&lt;=EOMONTH('&gt;&gt;Vistas Consolidadas'!$D$2, '&gt;&gt;Vistas Consolidadas'!$F$2),I783,0)</f>
        <v>0</v>
      </c>
      <c r="V783" s="18" t="b">
        <f ca="1">AND(C783&gt;='Interes Por Semana'!$C$4, C783&lt;='Interes Por Semana'!$E$4)</f>
        <v>0</v>
      </c>
      <c r="W783" s="18" t="str">
        <f t="shared" si="25"/>
        <v>martes</v>
      </c>
    </row>
    <row r="784" spans="2:23" hidden="1" x14ac:dyDescent="0.25">
      <c r="B784" s="337">
        <v>46163</v>
      </c>
      <c r="C784" s="337">
        <v>47737</v>
      </c>
      <c r="D784" s="374" t="s">
        <v>88</v>
      </c>
      <c r="E784" s="309" t="s">
        <v>47</v>
      </c>
      <c r="F784" s="310" t="s">
        <v>121</v>
      </c>
      <c r="G784" s="311">
        <v>9</v>
      </c>
      <c r="H784" s="311">
        <v>9.75</v>
      </c>
      <c r="I784" s="340">
        <v>150.77000000000001</v>
      </c>
      <c r="J784" s="340">
        <v>539.66999999999996</v>
      </c>
      <c r="K784" s="311"/>
      <c r="L784" s="340">
        <f t="shared" si="24"/>
        <v>150.77000000000001</v>
      </c>
      <c r="M784" s="311"/>
      <c r="N784" s="311"/>
      <c r="O784" s="311"/>
      <c r="P784" s="311"/>
      <c r="Q784" s="386"/>
      <c r="R784" s="392"/>
      <c r="S784" s="358">
        <f ca="1">IF(C784&lt;=EOMONTH('&gt;&gt;Vistas Consolidadas'!$D$2, '&gt;&gt;Vistas Consolidadas'!$F$2),J784+I784,J784)</f>
        <v>539.66999999999996</v>
      </c>
      <c r="T784" s="18" t="str">
        <f ca="1">IF(C784&gt;='&gt;&gt;Vistas Consolidadas'!$D$2,"SI","NO")</f>
        <v>SI</v>
      </c>
      <c r="U784" s="358">
        <f ca="1">IF(C784&lt;=EOMONTH('&gt;&gt;Vistas Consolidadas'!$D$2, '&gt;&gt;Vistas Consolidadas'!$F$2),I784,0)</f>
        <v>0</v>
      </c>
      <c r="V784" s="18" t="b">
        <f ca="1">AND(C784&gt;='Interes Por Semana'!$C$4, C784&lt;='Interes Por Semana'!$E$4)</f>
        <v>0</v>
      </c>
      <c r="W784" s="18" t="str">
        <f t="shared" si="25"/>
        <v>miércoles</v>
      </c>
    </row>
    <row r="785" spans="2:23" hidden="1" x14ac:dyDescent="0.25">
      <c r="B785" s="337">
        <v>46163</v>
      </c>
      <c r="C785" s="337">
        <v>47828</v>
      </c>
      <c r="D785" s="374" t="s">
        <v>88</v>
      </c>
      <c r="E785" s="309" t="s">
        <v>47</v>
      </c>
      <c r="F785" s="310" t="s">
        <v>121</v>
      </c>
      <c r="G785" s="311">
        <v>9</v>
      </c>
      <c r="H785" s="311">
        <v>9.75</v>
      </c>
      <c r="I785" s="340">
        <v>138.32</v>
      </c>
      <c r="J785" s="340">
        <v>539.66999999999996</v>
      </c>
      <c r="K785" s="311"/>
      <c r="L785" s="340">
        <f t="shared" si="24"/>
        <v>138.32</v>
      </c>
      <c r="M785" s="311"/>
      <c r="N785" s="311"/>
      <c r="O785" s="311"/>
      <c r="P785" s="311"/>
      <c r="Q785" s="386"/>
      <c r="R785" s="392"/>
      <c r="S785" s="358">
        <f ca="1">IF(C785&lt;=EOMONTH('&gt;&gt;Vistas Consolidadas'!$D$2, '&gt;&gt;Vistas Consolidadas'!$F$2),J785+I785,J785)</f>
        <v>539.66999999999996</v>
      </c>
      <c r="T785" s="18" t="str">
        <f ca="1">IF(C785&gt;='&gt;&gt;Vistas Consolidadas'!$D$2,"SI","NO")</f>
        <v>SI</v>
      </c>
      <c r="U785" s="358">
        <f ca="1">IF(C785&lt;=EOMONTH('&gt;&gt;Vistas Consolidadas'!$D$2, '&gt;&gt;Vistas Consolidadas'!$F$2),I785,0)</f>
        <v>0</v>
      </c>
      <c r="V785" s="18" t="b">
        <f ca="1">AND(C785&gt;='Interes Por Semana'!$C$4, C785&lt;='Interes Por Semana'!$E$4)</f>
        <v>0</v>
      </c>
      <c r="W785" s="18" t="str">
        <f t="shared" si="25"/>
        <v>miércoles</v>
      </c>
    </row>
    <row r="786" spans="2:23" hidden="1" x14ac:dyDescent="0.25">
      <c r="B786" s="337">
        <v>46163</v>
      </c>
      <c r="C786" s="337">
        <v>47918</v>
      </c>
      <c r="D786" s="374" t="s">
        <v>88</v>
      </c>
      <c r="E786" s="309" t="s">
        <v>47</v>
      </c>
      <c r="F786" s="310" t="s">
        <v>121</v>
      </c>
      <c r="G786" s="311">
        <v>9</v>
      </c>
      <c r="H786" s="311">
        <v>9.75</v>
      </c>
      <c r="I786" s="340">
        <v>125.87</v>
      </c>
      <c r="J786" s="340">
        <v>539.66999999999996</v>
      </c>
      <c r="K786" s="311"/>
      <c r="L786" s="340">
        <f t="shared" ref="L786:L796" si="26">I786</f>
        <v>125.87</v>
      </c>
      <c r="M786" s="311"/>
      <c r="N786" s="311"/>
      <c r="O786" s="311"/>
      <c r="P786" s="311"/>
      <c r="Q786" s="386"/>
      <c r="R786" s="392"/>
      <c r="S786" s="358">
        <f ca="1">IF(C786&lt;=EOMONTH('&gt;&gt;Vistas Consolidadas'!$D$2, '&gt;&gt;Vistas Consolidadas'!$F$2),J786+I786,J786)</f>
        <v>539.66999999999996</v>
      </c>
      <c r="T786" s="18" t="str">
        <f ca="1">IF(C786&gt;='&gt;&gt;Vistas Consolidadas'!$D$2,"SI","NO")</f>
        <v>SI</v>
      </c>
      <c r="U786" s="358">
        <f ca="1">IF(C786&lt;=EOMONTH('&gt;&gt;Vistas Consolidadas'!$D$2, '&gt;&gt;Vistas Consolidadas'!$F$2),I786,0)</f>
        <v>0</v>
      </c>
      <c r="V786" s="18" t="b">
        <f ca="1">AND(C786&gt;='Interes Por Semana'!$C$4, C786&lt;='Interes Por Semana'!$E$4)</f>
        <v>0</v>
      </c>
      <c r="W786" s="18" t="str">
        <f t="shared" si="25"/>
        <v>martes</v>
      </c>
    </row>
    <row r="787" spans="2:23" hidden="1" x14ac:dyDescent="0.25">
      <c r="B787" s="337">
        <v>46163</v>
      </c>
      <c r="C787" s="337">
        <v>48010</v>
      </c>
      <c r="D787" s="374" t="s">
        <v>88</v>
      </c>
      <c r="E787" s="309" t="s">
        <v>47</v>
      </c>
      <c r="F787" s="310" t="s">
        <v>121</v>
      </c>
      <c r="G787" s="311">
        <v>9</v>
      </c>
      <c r="H787" s="311">
        <v>9.75</v>
      </c>
      <c r="I787" s="340">
        <v>113.42</v>
      </c>
      <c r="J787" s="340">
        <v>539.66999999999996</v>
      </c>
      <c r="K787" s="311"/>
      <c r="L787" s="340">
        <f t="shared" si="26"/>
        <v>113.42</v>
      </c>
      <c r="M787" s="311"/>
      <c r="N787" s="311"/>
      <c r="O787" s="311"/>
      <c r="P787" s="311"/>
      <c r="Q787" s="386"/>
      <c r="R787" s="392"/>
      <c r="S787" s="358">
        <f ca="1">IF(C787&lt;=EOMONTH('&gt;&gt;Vistas Consolidadas'!$D$2, '&gt;&gt;Vistas Consolidadas'!$F$2),J787+I787,J787)</f>
        <v>539.66999999999996</v>
      </c>
      <c r="T787" s="18" t="str">
        <f ca="1">IF(C787&gt;='&gt;&gt;Vistas Consolidadas'!$D$2,"SI","NO")</f>
        <v>SI</v>
      </c>
      <c r="U787" s="358">
        <f ca="1">IF(C787&lt;=EOMONTH('&gt;&gt;Vistas Consolidadas'!$D$2, '&gt;&gt;Vistas Consolidadas'!$F$2),I787,0)</f>
        <v>0</v>
      </c>
      <c r="V787" s="18" t="b">
        <f ca="1">AND(C787&gt;='Interes Por Semana'!$C$4, C787&lt;='Interes Por Semana'!$E$4)</f>
        <v>0</v>
      </c>
      <c r="W787" s="18" t="str">
        <f t="shared" si="25"/>
        <v>miércoles</v>
      </c>
    </row>
    <row r="788" spans="2:23" hidden="1" x14ac:dyDescent="0.25">
      <c r="B788" s="337">
        <v>46163</v>
      </c>
      <c r="C788" s="337">
        <v>48102</v>
      </c>
      <c r="D788" s="374" t="s">
        <v>88</v>
      </c>
      <c r="E788" s="309" t="s">
        <v>47</v>
      </c>
      <c r="F788" s="310" t="s">
        <v>121</v>
      </c>
      <c r="G788" s="311">
        <v>9</v>
      </c>
      <c r="H788" s="311">
        <v>9.75</v>
      </c>
      <c r="I788" s="340">
        <v>100.97</v>
      </c>
      <c r="J788" s="340">
        <v>539.66999999999996</v>
      </c>
      <c r="K788" s="311"/>
      <c r="L788" s="340">
        <f t="shared" si="26"/>
        <v>100.97</v>
      </c>
      <c r="M788" s="311"/>
      <c r="N788" s="311"/>
      <c r="O788" s="311"/>
      <c r="P788" s="311"/>
      <c r="Q788" s="386"/>
      <c r="R788" s="392"/>
      <c r="S788" s="358">
        <f ca="1">IF(C788&lt;=EOMONTH('&gt;&gt;Vistas Consolidadas'!$D$2, '&gt;&gt;Vistas Consolidadas'!$F$2),J788+I788,J788)</f>
        <v>539.66999999999996</v>
      </c>
      <c r="T788" s="18" t="str">
        <f ca="1">IF(C788&gt;='&gt;&gt;Vistas Consolidadas'!$D$2,"SI","NO")</f>
        <v>SI</v>
      </c>
      <c r="U788" s="358">
        <f ca="1">IF(C788&lt;=EOMONTH('&gt;&gt;Vistas Consolidadas'!$D$2, '&gt;&gt;Vistas Consolidadas'!$F$2),I788,0)</f>
        <v>0</v>
      </c>
      <c r="V788" s="18" t="b">
        <f ca="1">AND(C788&gt;='Interes Por Semana'!$C$4, C788&lt;='Interes Por Semana'!$E$4)</f>
        <v>0</v>
      </c>
      <c r="W788" s="18" t="str">
        <f t="shared" si="25"/>
        <v>jueves</v>
      </c>
    </row>
    <row r="789" spans="2:23" hidden="1" x14ac:dyDescent="0.25">
      <c r="B789" s="337">
        <v>46163</v>
      </c>
      <c r="C789" s="337">
        <v>48193</v>
      </c>
      <c r="D789" s="374" t="s">
        <v>88</v>
      </c>
      <c r="E789" s="309" t="s">
        <v>47</v>
      </c>
      <c r="F789" s="310" t="s">
        <v>121</v>
      </c>
      <c r="G789" s="311">
        <v>9</v>
      </c>
      <c r="H789" s="311">
        <v>9.75</v>
      </c>
      <c r="I789" s="340">
        <v>88.52</v>
      </c>
      <c r="J789" s="340">
        <v>539.66999999999996</v>
      </c>
      <c r="K789" s="311"/>
      <c r="L789" s="340">
        <f t="shared" si="26"/>
        <v>88.52</v>
      </c>
      <c r="M789" s="311"/>
      <c r="N789" s="311"/>
      <c r="O789" s="311"/>
      <c r="P789" s="311"/>
      <c r="Q789" s="386"/>
      <c r="R789" s="392"/>
      <c r="S789" s="358">
        <f ca="1">IF(C789&lt;=EOMONTH('&gt;&gt;Vistas Consolidadas'!$D$2, '&gt;&gt;Vistas Consolidadas'!$F$2),J789+I789,J789)</f>
        <v>539.66999999999996</v>
      </c>
      <c r="T789" s="18" t="str">
        <f ca="1">IF(C789&gt;='&gt;&gt;Vistas Consolidadas'!$D$2,"SI","NO")</f>
        <v>SI</v>
      </c>
      <c r="U789" s="358">
        <f ca="1">IF(C789&lt;=EOMONTH('&gt;&gt;Vistas Consolidadas'!$D$2, '&gt;&gt;Vistas Consolidadas'!$F$2),I789,0)</f>
        <v>0</v>
      </c>
      <c r="V789" s="18" t="b">
        <f ca="1">AND(C789&gt;='Interes Por Semana'!$C$4, C789&lt;='Interes Por Semana'!$E$4)</f>
        <v>0</v>
      </c>
      <c r="W789" s="18" t="str">
        <f t="shared" si="25"/>
        <v>jueves</v>
      </c>
    </row>
    <row r="790" spans="2:23" hidden="1" x14ac:dyDescent="0.25">
      <c r="B790" s="337">
        <v>46163</v>
      </c>
      <c r="C790" s="337">
        <v>48284</v>
      </c>
      <c r="D790" s="374" t="s">
        <v>88</v>
      </c>
      <c r="E790" s="309" t="s">
        <v>47</v>
      </c>
      <c r="F790" s="310" t="s">
        <v>121</v>
      </c>
      <c r="G790" s="311">
        <v>9</v>
      </c>
      <c r="H790" s="311">
        <v>9.75</v>
      </c>
      <c r="I790" s="340">
        <v>76.069999999999993</v>
      </c>
      <c r="J790" s="340">
        <v>539.66999999999996</v>
      </c>
      <c r="K790" s="311"/>
      <c r="L790" s="340">
        <f t="shared" si="26"/>
        <v>76.069999999999993</v>
      </c>
      <c r="M790" s="311"/>
      <c r="N790" s="311"/>
      <c r="O790" s="311"/>
      <c r="P790" s="311"/>
      <c r="Q790" s="386"/>
      <c r="R790" s="392"/>
      <c r="S790" s="358">
        <f ca="1">IF(C790&lt;=EOMONTH('&gt;&gt;Vistas Consolidadas'!$D$2, '&gt;&gt;Vistas Consolidadas'!$F$2),J790+I790,J790)</f>
        <v>539.66999999999996</v>
      </c>
      <c r="T790" s="18" t="str">
        <f ca="1">IF(C790&gt;='&gt;&gt;Vistas Consolidadas'!$D$2,"SI","NO")</f>
        <v>SI</v>
      </c>
      <c r="U790" s="358">
        <f ca="1">IF(C790&lt;=EOMONTH('&gt;&gt;Vistas Consolidadas'!$D$2, '&gt;&gt;Vistas Consolidadas'!$F$2),I790,0)</f>
        <v>0</v>
      </c>
      <c r="V790" s="18" t="b">
        <f ca="1">AND(C790&gt;='Interes Por Semana'!$C$4, C790&lt;='Interes Por Semana'!$E$4)</f>
        <v>0</v>
      </c>
      <c r="W790" s="18" t="str">
        <f t="shared" si="25"/>
        <v>jueves</v>
      </c>
    </row>
    <row r="791" spans="2:23" hidden="1" x14ac:dyDescent="0.25">
      <c r="B791" s="337">
        <v>46163</v>
      </c>
      <c r="C791" s="337">
        <v>48376</v>
      </c>
      <c r="D791" s="374" t="s">
        <v>88</v>
      </c>
      <c r="E791" s="309" t="s">
        <v>47</v>
      </c>
      <c r="F791" s="310" t="s">
        <v>121</v>
      </c>
      <c r="G791" s="311">
        <v>9</v>
      </c>
      <c r="H791" s="311">
        <v>9.75</v>
      </c>
      <c r="I791" s="340">
        <v>63.62</v>
      </c>
      <c r="J791" s="340">
        <v>539.66999999999996</v>
      </c>
      <c r="K791" s="311"/>
      <c r="L791" s="340">
        <f t="shared" si="26"/>
        <v>63.62</v>
      </c>
      <c r="M791" s="311"/>
      <c r="N791" s="311"/>
      <c r="O791" s="311"/>
      <c r="P791" s="311"/>
      <c r="Q791" s="386"/>
      <c r="R791" s="392"/>
      <c r="S791" s="358">
        <f ca="1">IF(C791&lt;=EOMONTH('&gt;&gt;Vistas Consolidadas'!$D$2, '&gt;&gt;Vistas Consolidadas'!$F$2),J791+I791,J791)</f>
        <v>539.66999999999996</v>
      </c>
      <c r="T791" s="18" t="str">
        <f ca="1">IF(C791&gt;='&gt;&gt;Vistas Consolidadas'!$D$2,"SI","NO")</f>
        <v>SI</v>
      </c>
      <c r="U791" s="358">
        <f ca="1">IF(C791&lt;=EOMONTH('&gt;&gt;Vistas Consolidadas'!$D$2, '&gt;&gt;Vistas Consolidadas'!$F$2),I791,0)</f>
        <v>0</v>
      </c>
      <c r="V791" s="18" t="b">
        <f ca="1">AND(C791&gt;='Interes Por Semana'!$C$4, C791&lt;='Interes Por Semana'!$E$4)</f>
        <v>0</v>
      </c>
      <c r="W791" s="18" t="str">
        <f t="shared" si="25"/>
        <v>viernes</v>
      </c>
    </row>
    <row r="792" spans="2:23" hidden="1" x14ac:dyDescent="0.25">
      <c r="B792" s="337">
        <v>46163</v>
      </c>
      <c r="C792" s="337">
        <v>48468</v>
      </c>
      <c r="D792" s="374" t="s">
        <v>88</v>
      </c>
      <c r="E792" s="309" t="s">
        <v>47</v>
      </c>
      <c r="F792" s="310" t="s">
        <v>121</v>
      </c>
      <c r="G792" s="311">
        <v>9</v>
      </c>
      <c r="H792" s="311">
        <v>9.75</v>
      </c>
      <c r="I792" s="340">
        <v>51.17</v>
      </c>
      <c r="J792" s="340">
        <v>539.66999999999996</v>
      </c>
      <c r="K792" s="311"/>
      <c r="L792" s="340">
        <f t="shared" si="26"/>
        <v>51.17</v>
      </c>
      <c r="M792" s="311"/>
      <c r="N792" s="311"/>
      <c r="O792" s="311"/>
      <c r="P792" s="311"/>
      <c r="Q792" s="386"/>
      <c r="R792" s="392"/>
      <c r="S792" s="358">
        <f ca="1">IF(C792&lt;=EOMONTH('&gt;&gt;Vistas Consolidadas'!$D$2, '&gt;&gt;Vistas Consolidadas'!$F$2),J792+I792,J792)</f>
        <v>539.66999999999996</v>
      </c>
      <c r="T792" s="18" t="str">
        <f ca="1">IF(C792&gt;='&gt;&gt;Vistas Consolidadas'!$D$2,"SI","NO")</f>
        <v>SI</v>
      </c>
      <c r="U792" s="358">
        <f ca="1">IF(C792&lt;=EOMONTH('&gt;&gt;Vistas Consolidadas'!$D$2, '&gt;&gt;Vistas Consolidadas'!$F$2),I792,0)</f>
        <v>0</v>
      </c>
      <c r="V792" s="18" t="b">
        <f ca="1">AND(C792&gt;='Interes Por Semana'!$C$4, C792&lt;='Interes Por Semana'!$E$4)</f>
        <v>0</v>
      </c>
      <c r="W792" s="18" t="str">
        <f t="shared" si="25"/>
        <v>sábado</v>
      </c>
    </row>
    <row r="793" spans="2:23" hidden="1" x14ac:dyDescent="0.25">
      <c r="B793" s="337">
        <v>46163</v>
      </c>
      <c r="C793" s="337">
        <v>48559</v>
      </c>
      <c r="D793" s="374" t="s">
        <v>88</v>
      </c>
      <c r="E793" s="309" t="s">
        <v>47</v>
      </c>
      <c r="F793" s="310" t="s">
        <v>121</v>
      </c>
      <c r="G793" s="311">
        <v>9</v>
      </c>
      <c r="H793" s="311">
        <v>9.75</v>
      </c>
      <c r="I793" s="340">
        <v>38.72</v>
      </c>
      <c r="J793" s="340">
        <v>539.66999999999996</v>
      </c>
      <c r="K793" s="311"/>
      <c r="L793" s="340">
        <f t="shared" si="26"/>
        <v>38.72</v>
      </c>
      <c r="M793" s="311"/>
      <c r="N793" s="311"/>
      <c r="O793" s="311"/>
      <c r="P793" s="311"/>
      <c r="Q793" s="386"/>
      <c r="R793" s="392"/>
      <c r="S793" s="358">
        <f ca="1">IF(C793&lt;=EOMONTH('&gt;&gt;Vistas Consolidadas'!$D$2, '&gt;&gt;Vistas Consolidadas'!$F$2),J793+I793,J793)</f>
        <v>539.66999999999996</v>
      </c>
      <c r="T793" s="18" t="str">
        <f ca="1">IF(C793&gt;='&gt;&gt;Vistas Consolidadas'!$D$2,"SI","NO")</f>
        <v>SI</v>
      </c>
      <c r="U793" s="358">
        <f ca="1">IF(C793&lt;=EOMONTH('&gt;&gt;Vistas Consolidadas'!$D$2, '&gt;&gt;Vistas Consolidadas'!$F$2),I793,0)</f>
        <v>0</v>
      </c>
      <c r="V793" s="18" t="b">
        <f ca="1">AND(C793&gt;='Interes Por Semana'!$C$4, C793&lt;='Interes Por Semana'!$E$4)</f>
        <v>0</v>
      </c>
      <c r="W793" s="18" t="str">
        <f t="shared" si="25"/>
        <v>sábado</v>
      </c>
    </row>
    <row r="794" spans="2:23" hidden="1" x14ac:dyDescent="0.25">
      <c r="B794" s="337">
        <v>46163</v>
      </c>
      <c r="C794" s="337">
        <v>48649</v>
      </c>
      <c r="D794" s="374" t="s">
        <v>88</v>
      </c>
      <c r="E794" s="309" t="s">
        <v>47</v>
      </c>
      <c r="F794" s="310" t="s">
        <v>121</v>
      </c>
      <c r="G794" s="311">
        <v>9</v>
      </c>
      <c r="H794" s="311">
        <v>9.75</v>
      </c>
      <c r="I794" s="340">
        <v>32.47</v>
      </c>
      <c r="J794" s="340">
        <v>539.66999999999996</v>
      </c>
      <c r="K794" s="311"/>
      <c r="L794" s="340">
        <f t="shared" si="26"/>
        <v>32.47</v>
      </c>
      <c r="M794" s="311"/>
      <c r="N794" s="311"/>
      <c r="O794" s="311"/>
      <c r="P794" s="311"/>
      <c r="Q794" s="386"/>
      <c r="R794" s="392"/>
      <c r="S794" s="358">
        <f ca="1">IF(C794&lt;=EOMONTH('&gt;&gt;Vistas Consolidadas'!$D$2, '&gt;&gt;Vistas Consolidadas'!$F$2),J794+I794,J794)</f>
        <v>539.66999999999996</v>
      </c>
      <c r="T794" s="18" t="str">
        <f ca="1">IF(C794&gt;='&gt;&gt;Vistas Consolidadas'!$D$2,"SI","NO")</f>
        <v>SI</v>
      </c>
      <c r="U794" s="358">
        <f ca="1">IF(C794&lt;=EOMONTH('&gt;&gt;Vistas Consolidadas'!$D$2, '&gt;&gt;Vistas Consolidadas'!$F$2),I794,0)</f>
        <v>0</v>
      </c>
      <c r="V794" s="18" t="b">
        <f ca="1">AND(C794&gt;='Interes Por Semana'!$C$4, C794&lt;='Interes Por Semana'!$E$4)</f>
        <v>0</v>
      </c>
      <c r="W794" s="18" t="str">
        <f t="shared" si="25"/>
        <v>viernes</v>
      </c>
    </row>
    <row r="795" spans="2:23" hidden="1" x14ac:dyDescent="0.25">
      <c r="B795" s="337">
        <v>46169</v>
      </c>
      <c r="C795" s="337">
        <v>46181</v>
      </c>
      <c r="D795" s="374" t="s">
        <v>78</v>
      </c>
      <c r="E795" s="309" t="s">
        <v>47</v>
      </c>
      <c r="F795" s="310" t="s">
        <v>161</v>
      </c>
      <c r="G795" s="311">
        <v>8.5</v>
      </c>
      <c r="H795" s="311">
        <v>8.8803114631274749</v>
      </c>
      <c r="I795" s="340">
        <v>51.188750000000013</v>
      </c>
      <c r="J795" s="340">
        <v>88.42</v>
      </c>
      <c r="K795" s="311"/>
      <c r="L795" s="340">
        <f t="shared" si="26"/>
        <v>51.188750000000013</v>
      </c>
      <c r="M795" s="311"/>
      <c r="N795" s="311"/>
      <c r="O795" s="311"/>
      <c r="P795" s="311"/>
      <c r="Q795" s="386"/>
      <c r="R795" s="392"/>
      <c r="S795" s="358">
        <f ca="1">IF(C795&lt;=EOMONTH('&gt;&gt;Vistas Consolidadas'!$D$2, '&gt;&gt;Vistas Consolidadas'!$F$2),J795+I795,J795)</f>
        <v>139.60875000000001</v>
      </c>
      <c r="T795" s="18" t="str">
        <f ca="1">IF(C795&gt;='&gt;&gt;Vistas Consolidadas'!$D$2,"SI","NO")</f>
        <v>NO</v>
      </c>
      <c r="U795" s="358">
        <f ca="1">IF(C795&lt;=EOMONTH('&gt;&gt;Vistas Consolidadas'!$D$2, '&gt;&gt;Vistas Consolidadas'!$F$2),I795,0)</f>
        <v>51.188750000000013</v>
      </c>
      <c r="V795" s="18" t="b">
        <f ca="1">AND(C795&gt;='Interes Por Semana'!$C$4, C795&lt;='Interes Por Semana'!$E$4)</f>
        <v>0</v>
      </c>
      <c r="W795" s="18" t="str">
        <f t="shared" si="25"/>
        <v>lunes</v>
      </c>
    </row>
    <row r="796" spans="2:23" hidden="1" x14ac:dyDescent="0.25">
      <c r="B796" s="337">
        <v>46171</v>
      </c>
      <c r="C796" s="337">
        <v>49309</v>
      </c>
      <c r="D796" s="374" t="s">
        <v>96</v>
      </c>
      <c r="E796" s="309" t="s">
        <v>47</v>
      </c>
      <c r="F796" s="310" t="s">
        <v>134</v>
      </c>
      <c r="G796" s="311">
        <v>1</v>
      </c>
      <c r="H796" s="311">
        <v>1</v>
      </c>
      <c r="I796" s="341">
        <v>0</v>
      </c>
      <c r="J796" s="340">
        <v>525.04</v>
      </c>
      <c r="K796" s="311"/>
      <c r="L796" s="340">
        <f t="shared" si="26"/>
        <v>0</v>
      </c>
      <c r="M796" s="311"/>
      <c r="N796" s="311"/>
      <c r="O796" s="311"/>
      <c r="P796" s="311"/>
      <c r="Q796" s="386"/>
      <c r="R796" s="392" t="s">
        <v>162</v>
      </c>
      <c r="S796" s="358">
        <f ca="1">IF(C796&lt;=EOMONTH('&gt;&gt;Vistas Consolidadas'!$D$2, '&gt;&gt;Vistas Consolidadas'!$F$2),J796+I796,J796)</f>
        <v>525.04</v>
      </c>
      <c r="T796" s="18" t="str">
        <f ca="1">IF(C796&gt;='&gt;&gt;Vistas Consolidadas'!$D$2,"SI","NO")</f>
        <v>SI</v>
      </c>
      <c r="U796" s="358">
        <f ca="1">IF(C796&lt;=EOMONTH('&gt;&gt;Vistas Consolidadas'!$D$2, '&gt;&gt;Vistas Consolidadas'!$F$2),I796,0)</f>
        <v>0</v>
      </c>
      <c r="V796" s="18" t="b">
        <f ca="1">AND(C796&gt;='Interes Por Semana'!$C$4, C796&lt;='Interes Por Semana'!$E$4)</f>
        <v>0</v>
      </c>
      <c r="W796" s="18" t="str">
        <f t="shared" si="25"/>
        <v>domingo</v>
      </c>
    </row>
    <row r="797" spans="2:23" hidden="1" x14ac:dyDescent="0.25">
      <c r="B797" s="338">
        <v>46141</v>
      </c>
      <c r="C797" s="338">
        <v>46532</v>
      </c>
      <c r="D797" s="374" t="s">
        <v>78</v>
      </c>
      <c r="E797" s="314" t="s">
        <v>47</v>
      </c>
      <c r="F797" s="315" t="s">
        <v>152</v>
      </c>
      <c r="G797" s="313">
        <v>6.21</v>
      </c>
      <c r="H797" s="313">
        <v>8.9</v>
      </c>
      <c r="I797" s="341">
        <v>186.82</v>
      </c>
      <c r="J797" s="341">
        <v>0</v>
      </c>
      <c r="K797" s="313"/>
      <c r="L797" s="341">
        <v>186.82</v>
      </c>
      <c r="M797" s="313"/>
      <c r="N797" s="313"/>
      <c r="O797" s="313"/>
      <c r="P797" s="313"/>
      <c r="Q797" s="311"/>
      <c r="R797" s="392"/>
      <c r="S797" s="358">
        <f ca="1">IF(C797&lt;=EOMONTH('&gt;&gt;Vistas Consolidadas'!$D$2, '&gt;&gt;Vistas Consolidadas'!$F$2),J797+I797,J797)</f>
        <v>186.82</v>
      </c>
      <c r="T797" s="18" t="str">
        <f ca="1">IF(C797&gt;='&gt;&gt;Vistas Consolidadas'!$D$2,"SI","NO")</f>
        <v>SI</v>
      </c>
      <c r="U797" s="358">
        <f ca="1">IF(C797&lt;=EOMONTH('&gt;&gt;Vistas Consolidadas'!$D$2, '&gt;&gt;Vistas Consolidadas'!$F$2),I797,0)</f>
        <v>186.82</v>
      </c>
      <c r="V797" s="18" t="b">
        <f ca="1">AND(C797&gt;='Interes Por Semana'!$C$4, C797&lt;='Interes Por Semana'!$E$4)</f>
        <v>0</v>
      </c>
      <c r="W797" s="18" t="str">
        <f t="shared" si="25"/>
        <v>martes</v>
      </c>
    </row>
    <row r="798" spans="2:23" hidden="1" x14ac:dyDescent="0.25">
      <c r="B798" s="337">
        <v>45552</v>
      </c>
      <c r="C798" s="337">
        <v>46510</v>
      </c>
      <c r="D798" s="374" t="s">
        <v>78</v>
      </c>
      <c r="E798" s="309" t="s">
        <v>47</v>
      </c>
      <c r="F798" s="310" t="s">
        <v>79</v>
      </c>
      <c r="G798" s="311">
        <v>5.36</v>
      </c>
      <c r="H798" s="311">
        <v>13.5</v>
      </c>
      <c r="I798" s="340">
        <v>15.63</v>
      </c>
      <c r="J798" s="340"/>
      <c r="K798" s="311"/>
      <c r="L798" s="341">
        <v>15.63</v>
      </c>
      <c r="M798" s="313"/>
      <c r="N798" s="313"/>
      <c r="O798" s="313"/>
      <c r="P798" s="313"/>
      <c r="Q798" s="311"/>
      <c r="R798" s="392"/>
      <c r="S798" s="358">
        <f ca="1">IF(C798&lt;=EOMONTH('&gt;&gt;Vistas Consolidadas'!$D$2, '&gt;&gt;Vistas Consolidadas'!$F$2),J798+I798,J798)</f>
        <v>15.63</v>
      </c>
      <c r="T798" s="18" t="str">
        <f ca="1">IF(C798&gt;='&gt;&gt;Vistas Consolidadas'!$D$2,"SI","NO")</f>
        <v>SI</v>
      </c>
      <c r="U798" s="358">
        <f ca="1">IF(C798&lt;=EOMONTH('&gt;&gt;Vistas Consolidadas'!$D$2, '&gt;&gt;Vistas Consolidadas'!$F$2),I798,0)</f>
        <v>15.63</v>
      </c>
      <c r="V798" s="18" t="b">
        <f ca="1">AND(C798&gt;='Interes Por Semana'!$C$4, C798&lt;='Interes Por Semana'!$E$4)</f>
        <v>0</v>
      </c>
      <c r="W798" s="18" t="str">
        <f t="shared" si="25"/>
        <v>lunes</v>
      </c>
    </row>
    <row r="799" spans="2:23" hidden="1" x14ac:dyDescent="0.25">
      <c r="B799" s="337">
        <v>45560</v>
      </c>
      <c r="C799" s="337">
        <v>46510</v>
      </c>
      <c r="D799" s="374" t="s">
        <v>78</v>
      </c>
      <c r="E799" s="309" t="s">
        <v>47</v>
      </c>
      <c r="F799" s="310" t="s">
        <v>79</v>
      </c>
      <c r="G799" s="311">
        <v>5.36</v>
      </c>
      <c r="H799" s="311">
        <v>12.5</v>
      </c>
      <c r="I799" s="340">
        <v>12.51</v>
      </c>
      <c r="J799" s="340"/>
      <c r="K799" s="311"/>
      <c r="L799" s="341">
        <v>12.51</v>
      </c>
      <c r="M799" s="313"/>
      <c r="N799" s="313"/>
      <c r="O799" s="313"/>
      <c r="P799" s="313"/>
      <c r="Q799" s="311"/>
      <c r="R799" s="392"/>
      <c r="S799" s="358">
        <f ca="1">IF(C799&lt;=EOMONTH('&gt;&gt;Vistas Consolidadas'!$D$2, '&gt;&gt;Vistas Consolidadas'!$F$2),J799+I799,J799)</f>
        <v>12.51</v>
      </c>
      <c r="T799" s="18" t="str">
        <f ca="1">IF(C799&gt;='&gt;&gt;Vistas Consolidadas'!$D$2,"SI","NO")</f>
        <v>SI</v>
      </c>
      <c r="U799" s="358">
        <f ca="1">IF(C799&lt;=EOMONTH('&gt;&gt;Vistas Consolidadas'!$D$2, '&gt;&gt;Vistas Consolidadas'!$F$2),I799,0)</f>
        <v>12.51</v>
      </c>
      <c r="V799" s="18" t="b">
        <f ca="1">AND(C799&gt;='Interes Por Semana'!$C$4, C799&lt;='Interes Por Semana'!$E$4)</f>
        <v>0</v>
      </c>
      <c r="W799" s="18" t="str">
        <f t="shared" si="25"/>
        <v>lunes</v>
      </c>
    </row>
    <row r="800" spans="2:23" hidden="1" x14ac:dyDescent="0.25">
      <c r="B800" s="337">
        <v>45708</v>
      </c>
      <c r="C800" s="337">
        <v>46511</v>
      </c>
      <c r="D800" s="374" t="s">
        <v>78</v>
      </c>
      <c r="E800" s="309" t="s">
        <v>46</v>
      </c>
      <c r="F800" s="310" t="s">
        <v>81</v>
      </c>
      <c r="G800" s="311">
        <v>5.36</v>
      </c>
      <c r="H800" s="311">
        <v>11.35</v>
      </c>
      <c r="I800" s="340">
        <v>16.79</v>
      </c>
      <c r="J800" s="340">
        <v>0</v>
      </c>
      <c r="K800" s="311"/>
      <c r="L800" s="341">
        <v>16.79</v>
      </c>
      <c r="M800" s="313"/>
      <c r="N800" s="313"/>
      <c r="O800" s="313"/>
      <c r="P800" s="313"/>
      <c r="Q800" s="311"/>
      <c r="R800" s="392"/>
      <c r="S800" s="358">
        <f ca="1">IF(C800&lt;=EOMONTH('&gt;&gt;Vistas Consolidadas'!$D$2, '&gt;&gt;Vistas Consolidadas'!$F$2),J800+I800,J800)</f>
        <v>16.79</v>
      </c>
      <c r="T800" s="18" t="str">
        <f ca="1">IF(C800&gt;='&gt;&gt;Vistas Consolidadas'!$D$2,"SI","NO")</f>
        <v>SI</v>
      </c>
      <c r="U800" s="358">
        <f ca="1">IF(C800&lt;=EOMONTH('&gt;&gt;Vistas Consolidadas'!$D$2, '&gt;&gt;Vistas Consolidadas'!$F$2),I800,0)</f>
        <v>16.79</v>
      </c>
      <c r="V800" s="18" t="b">
        <f ca="1">AND(C800&gt;='Interes Por Semana'!$C$4, C800&lt;='Interes Por Semana'!$E$4)</f>
        <v>0</v>
      </c>
      <c r="W800" s="18" t="str">
        <f t="shared" si="25"/>
        <v>martes</v>
      </c>
    </row>
    <row r="801" spans="2:23" hidden="1" x14ac:dyDescent="0.25">
      <c r="B801" s="337">
        <v>46057</v>
      </c>
      <c r="C801" s="337">
        <v>46513</v>
      </c>
      <c r="D801" s="374" t="s">
        <v>78</v>
      </c>
      <c r="E801" s="309" t="s">
        <v>47</v>
      </c>
      <c r="F801" s="310" t="s">
        <v>85</v>
      </c>
      <c r="G801" s="311">
        <v>7.93</v>
      </c>
      <c r="H801" s="311">
        <v>11.25</v>
      </c>
      <c r="I801" s="340">
        <v>58.023180428134552</v>
      </c>
      <c r="J801" s="340"/>
      <c r="K801" s="311"/>
      <c r="L801" s="341">
        <v>58.023180428134552</v>
      </c>
      <c r="M801" s="313"/>
      <c r="N801" s="313"/>
      <c r="O801" s="313"/>
      <c r="P801" s="313"/>
      <c r="Q801" s="311"/>
      <c r="R801" s="392"/>
      <c r="S801" s="358">
        <f ca="1">IF(C801&lt;=EOMONTH('&gt;&gt;Vistas Consolidadas'!$D$2, '&gt;&gt;Vistas Consolidadas'!$F$2),J801+I801,J801)</f>
        <v>58.023180428134552</v>
      </c>
      <c r="T801" s="18" t="str">
        <f ca="1">IF(C801&gt;='&gt;&gt;Vistas Consolidadas'!$D$2,"SI","NO")</f>
        <v>SI</v>
      </c>
      <c r="U801" s="358">
        <f ca="1">IF(C801&lt;=EOMONTH('&gt;&gt;Vistas Consolidadas'!$D$2, '&gt;&gt;Vistas Consolidadas'!$F$2),I801,0)</f>
        <v>58.023180428134552</v>
      </c>
      <c r="V801" s="18" t="b">
        <f ca="1">AND(C801&gt;='Interes Por Semana'!$C$4, C801&lt;='Interes Por Semana'!$E$4)</f>
        <v>0</v>
      </c>
      <c r="W801" s="18" t="str">
        <f t="shared" si="25"/>
        <v>jueves</v>
      </c>
    </row>
    <row r="802" spans="2:23" hidden="1" x14ac:dyDescent="0.25">
      <c r="B802" s="337">
        <v>46057</v>
      </c>
      <c r="C802" s="337">
        <v>46513</v>
      </c>
      <c r="D802" s="374" t="s">
        <v>78</v>
      </c>
      <c r="E802" s="309" t="s">
        <v>47</v>
      </c>
      <c r="F802" s="310" t="s">
        <v>86</v>
      </c>
      <c r="G802" s="311">
        <v>7.35</v>
      </c>
      <c r="H802" s="311">
        <v>11</v>
      </c>
      <c r="I802" s="340">
        <v>20.79</v>
      </c>
      <c r="J802" s="340"/>
      <c r="K802" s="311"/>
      <c r="L802" s="341">
        <v>20.79</v>
      </c>
      <c r="M802" s="313"/>
      <c r="N802" s="313"/>
      <c r="O802" s="313"/>
      <c r="P802" s="313"/>
      <c r="Q802" s="311"/>
      <c r="R802" s="392"/>
      <c r="S802" s="358">
        <f ca="1">IF(C802&lt;=EOMONTH('&gt;&gt;Vistas Consolidadas'!$D$2, '&gt;&gt;Vistas Consolidadas'!$F$2),J802+I802,J802)</f>
        <v>20.79</v>
      </c>
      <c r="T802" s="18" t="str">
        <f ca="1">IF(C802&gt;='&gt;&gt;Vistas Consolidadas'!$D$2,"SI","NO")</f>
        <v>SI</v>
      </c>
      <c r="U802" s="358">
        <f ca="1">IF(C802&lt;=EOMONTH('&gt;&gt;Vistas Consolidadas'!$D$2, '&gt;&gt;Vistas Consolidadas'!$F$2),I802,0)</f>
        <v>20.79</v>
      </c>
      <c r="V802" s="18" t="b">
        <f ca="1">AND(C802&gt;='Interes Por Semana'!$C$4, C802&lt;='Interes Por Semana'!$E$4)</f>
        <v>0</v>
      </c>
      <c r="W802" s="18" t="str">
        <f t="shared" si="25"/>
        <v>jueves</v>
      </c>
    </row>
    <row r="803" spans="2:23" hidden="1" x14ac:dyDescent="0.25">
      <c r="B803" s="337">
        <v>46001</v>
      </c>
      <c r="C803" s="337">
        <v>46513</v>
      </c>
      <c r="D803" s="374" t="s">
        <v>78</v>
      </c>
      <c r="E803" s="309" t="s">
        <v>46</v>
      </c>
      <c r="F803" s="310" t="s">
        <v>87</v>
      </c>
      <c r="G803" s="311">
        <v>7.54</v>
      </c>
      <c r="H803" s="311">
        <v>11</v>
      </c>
      <c r="I803" s="340">
        <v>7.79</v>
      </c>
      <c r="J803" s="340"/>
      <c r="K803" s="311"/>
      <c r="L803" s="341">
        <v>7.79</v>
      </c>
      <c r="M803" s="313"/>
      <c r="N803" s="313"/>
      <c r="O803" s="313"/>
      <c r="P803" s="313"/>
      <c r="Q803" s="311"/>
      <c r="R803" s="392"/>
      <c r="S803" s="358">
        <f ca="1">IF(C803&lt;=EOMONTH('&gt;&gt;Vistas Consolidadas'!$D$2, '&gt;&gt;Vistas Consolidadas'!$F$2),J803+I803,J803)</f>
        <v>7.79</v>
      </c>
      <c r="T803" s="18" t="str">
        <f ca="1">IF(C803&gt;='&gt;&gt;Vistas Consolidadas'!$D$2,"SI","NO")</f>
        <v>SI</v>
      </c>
      <c r="U803" s="358">
        <f ca="1">IF(C803&lt;=EOMONTH('&gt;&gt;Vistas Consolidadas'!$D$2, '&gt;&gt;Vistas Consolidadas'!$F$2),I803,0)</f>
        <v>7.79</v>
      </c>
      <c r="V803" s="18" t="b">
        <f ca="1">AND(C803&gt;='Interes Por Semana'!$C$4, C803&lt;='Interes Por Semana'!$E$4)</f>
        <v>0</v>
      </c>
      <c r="W803" s="18" t="str">
        <f t="shared" si="25"/>
        <v>jueves</v>
      </c>
    </row>
    <row r="804" spans="2:23" hidden="1" x14ac:dyDescent="0.25">
      <c r="B804" s="337">
        <v>45943</v>
      </c>
      <c r="C804" s="337">
        <v>46517</v>
      </c>
      <c r="D804" s="374" t="s">
        <v>78</v>
      </c>
      <c r="E804" s="309" t="s">
        <v>47</v>
      </c>
      <c r="F804" s="310" t="s">
        <v>91</v>
      </c>
      <c r="G804" s="311">
        <v>7.54</v>
      </c>
      <c r="H804" s="311">
        <v>9.85</v>
      </c>
      <c r="I804" s="340">
        <v>35.25</v>
      </c>
      <c r="J804" s="340"/>
      <c r="K804" s="311"/>
      <c r="L804" s="341">
        <v>35.25</v>
      </c>
      <c r="M804" s="313"/>
      <c r="N804" s="313"/>
      <c r="O804" s="313"/>
      <c r="P804" s="313"/>
      <c r="Q804" s="311"/>
      <c r="R804" s="392"/>
      <c r="S804" s="358">
        <f ca="1">IF(C804&lt;=EOMONTH('&gt;&gt;Vistas Consolidadas'!$D$2, '&gt;&gt;Vistas Consolidadas'!$F$2),J804+I804,J804)</f>
        <v>35.25</v>
      </c>
      <c r="T804" s="18" t="str">
        <f ca="1">IF(C804&gt;='&gt;&gt;Vistas Consolidadas'!$D$2,"SI","NO")</f>
        <v>SI</v>
      </c>
      <c r="U804" s="358">
        <f ca="1">IF(C804&lt;=EOMONTH('&gt;&gt;Vistas Consolidadas'!$D$2, '&gt;&gt;Vistas Consolidadas'!$F$2),I804,0)</f>
        <v>35.25</v>
      </c>
      <c r="V804" s="18" t="b">
        <f ca="1">AND(C804&gt;='Interes Por Semana'!$C$4, C804&lt;='Interes Por Semana'!$E$4)</f>
        <v>0</v>
      </c>
      <c r="W804" s="18" t="str">
        <f t="shared" si="25"/>
        <v>lunes</v>
      </c>
    </row>
    <row r="805" spans="2:23" hidden="1" x14ac:dyDescent="0.25">
      <c r="B805" s="337">
        <v>46121</v>
      </c>
      <c r="C805" s="337">
        <v>46519</v>
      </c>
      <c r="D805" s="374" t="s">
        <v>78</v>
      </c>
      <c r="E805" s="309" t="s">
        <v>47</v>
      </c>
      <c r="F805" s="310" t="s">
        <v>93</v>
      </c>
      <c r="G805" s="311">
        <v>4.71</v>
      </c>
      <c r="H805" s="311">
        <v>9.5</v>
      </c>
      <c r="I805" s="340">
        <v>3.53</v>
      </c>
      <c r="J805" s="340">
        <v>0</v>
      </c>
      <c r="K805" s="311"/>
      <c r="L805" s="341">
        <v>3.53</v>
      </c>
      <c r="M805" s="313"/>
      <c r="N805" s="313"/>
      <c r="O805" s="313"/>
      <c r="P805" s="313"/>
      <c r="Q805" s="311"/>
      <c r="R805" s="392"/>
      <c r="S805" s="358">
        <f ca="1">IF(C805&lt;=EOMONTH('&gt;&gt;Vistas Consolidadas'!$D$2, '&gt;&gt;Vistas Consolidadas'!$F$2),J805+I805,J805)</f>
        <v>3.53</v>
      </c>
      <c r="T805" s="18" t="str">
        <f ca="1">IF(C805&gt;='&gt;&gt;Vistas Consolidadas'!$D$2,"SI","NO")</f>
        <v>SI</v>
      </c>
      <c r="U805" s="358">
        <f ca="1">IF(C805&lt;=EOMONTH('&gt;&gt;Vistas Consolidadas'!$D$2, '&gt;&gt;Vistas Consolidadas'!$F$2),I805,0)</f>
        <v>3.53</v>
      </c>
      <c r="V805" s="18" t="b">
        <f ca="1">AND(C805&gt;='Interes Por Semana'!$C$4, C805&lt;='Interes Por Semana'!$E$4)</f>
        <v>0</v>
      </c>
      <c r="W805" s="18" t="str">
        <f t="shared" si="25"/>
        <v>miércoles</v>
      </c>
    </row>
    <row r="806" spans="2:23" hidden="1" x14ac:dyDescent="0.25">
      <c r="B806" s="337">
        <v>44462</v>
      </c>
      <c r="C806" s="337">
        <v>46524</v>
      </c>
      <c r="D806" s="374" t="s">
        <v>78</v>
      </c>
      <c r="E806" s="309" t="s">
        <v>46</v>
      </c>
      <c r="F806" s="310" t="s">
        <v>98</v>
      </c>
      <c r="G806" s="311">
        <v>5.64</v>
      </c>
      <c r="H806" s="311">
        <v>8.1999999999999993</v>
      </c>
      <c r="I806" s="340">
        <v>5.05</v>
      </c>
      <c r="J806" s="340"/>
      <c r="K806" s="311"/>
      <c r="L806" s="341">
        <v>5.05</v>
      </c>
      <c r="M806" s="313"/>
      <c r="N806" s="313"/>
      <c r="O806" s="313"/>
      <c r="P806" s="313"/>
      <c r="Q806" s="311"/>
      <c r="R806" s="392"/>
      <c r="S806" s="358">
        <f ca="1">IF(C806&lt;=EOMONTH('&gt;&gt;Vistas Consolidadas'!$D$2, '&gt;&gt;Vistas Consolidadas'!$F$2),J806+I806,J806)</f>
        <v>5.05</v>
      </c>
      <c r="T806" s="18" t="str">
        <f ca="1">IF(C806&gt;='&gt;&gt;Vistas Consolidadas'!$D$2,"SI","NO")</f>
        <v>SI</v>
      </c>
      <c r="U806" s="358">
        <f ca="1">IF(C806&lt;=EOMONTH('&gt;&gt;Vistas Consolidadas'!$D$2, '&gt;&gt;Vistas Consolidadas'!$F$2),I806,0)</f>
        <v>5.05</v>
      </c>
      <c r="V806" s="18" t="b">
        <f ca="1">AND(C806&gt;='Interes Por Semana'!$C$4, C806&lt;='Interes Por Semana'!$E$4)</f>
        <v>0</v>
      </c>
      <c r="W806" s="18" t="str">
        <f t="shared" si="25"/>
        <v>lunes</v>
      </c>
    </row>
    <row r="807" spans="2:23" hidden="1" x14ac:dyDescent="0.25">
      <c r="B807" s="337">
        <v>45264</v>
      </c>
      <c r="C807" s="337">
        <v>46524</v>
      </c>
      <c r="D807" s="374" t="s">
        <v>78</v>
      </c>
      <c r="E807" s="309" t="s">
        <v>46</v>
      </c>
      <c r="F807" s="310" t="s">
        <v>99</v>
      </c>
      <c r="G807" s="311">
        <v>5.64</v>
      </c>
      <c r="H807" s="311">
        <v>13</v>
      </c>
      <c r="I807" s="340">
        <v>14.1</v>
      </c>
      <c r="J807" s="340"/>
      <c r="K807" s="311"/>
      <c r="L807" s="341">
        <v>14.1</v>
      </c>
      <c r="M807" s="313"/>
      <c r="N807" s="313"/>
      <c r="O807" s="313"/>
      <c r="P807" s="313"/>
      <c r="Q807" s="311"/>
      <c r="R807" s="392"/>
      <c r="S807" s="358">
        <f ca="1">IF(C807&lt;=EOMONTH('&gt;&gt;Vistas Consolidadas'!$D$2, '&gt;&gt;Vistas Consolidadas'!$F$2),J807+I807,J807)</f>
        <v>14.1</v>
      </c>
      <c r="T807" s="18" t="str">
        <f ca="1">IF(C807&gt;='&gt;&gt;Vistas Consolidadas'!$D$2,"SI","NO")</f>
        <v>SI</v>
      </c>
      <c r="U807" s="358">
        <f ca="1">IF(C807&lt;=EOMONTH('&gt;&gt;Vistas Consolidadas'!$D$2, '&gt;&gt;Vistas Consolidadas'!$F$2),I807,0)</f>
        <v>14.1</v>
      </c>
      <c r="V807" s="18" t="b">
        <f ca="1">AND(C807&gt;='Interes Por Semana'!$C$4, C807&lt;='Interes Por Semana'!$E$4)</f>
        <v>0</v>
      </c>
      <c r="W807" s="18" t="str">
        <f t="shared" si="25"/>
        <v>lunes</v>
      </c>
    </row>
    <row r="808" spans="2:23" hidden="1" x14ac:dyDescent="0.25">
      <c r="B808" s="337">
        <v>45302</v>
      </c>
      <c r="C808" s="337">
        <v>46524</v>
      </c>
      <c r="D808" s="374" t="s">
        <v>78</v>
      </c>
      <c r="E808" s="309" t="s">
        <v>46</v>
      </c>
      <c r="F808" s="310" t="s">
        <v>99</v>
      </c>
      <c r="G808" s="311">
        <v>5.64</v>
      </c>
      <c r="H808" s="311">
        <v>12.75</v>
      </c>
      <c r="I808" s="340">
        <v>7.28</v>
      </c>
      <c r="J808" s="340"/>
      <c r="K808" s="311"/>
      <c r="L808" s="341">
        <v>7.28</v>
      </c>
      <c r="M808" s="313"/>
      <c r="N808" s="313"/>
      <c r="O808" s="313"/>
      <c r="P808" s="313"/>
      <c r="Q808" s="311"/>
      <c r="R808" s="392"/>
      <c r="S808" s="358">
        <f ca="1">IF(C808&lt;=EOMONTH('&gt;&gt;Vistas Consolidadas'!$D$2, '&gt;&gt;Vistas Consolidadas'!$F$2),J808+I808,J808)</f>
        <v>7.28</v>
      </c>
      <c r="T808" s="18" t="str">
        <f ca="1">IF(C808&gt;='&gt;&gt;Vistas Consolidadas'!$D$2,"SI","NO")</f>
        <v>SI</v>
      </c>
      <c r="U808" s="358">
        <f ca="1">IF(C808&lt;=EOMONTH('&gt;&gt;Vistas Consolidadas'!$D$2, '&gt;&gt;Vistas Consolidadas'!$F$2),I808,0)</f>
        <v>7.28</v>
      </c>
      <c r="V808" s="18" t="b">
        <f ca="1">AND(C808&gt;='Interes Por Semana'!$C$4, C808&lt;='Interes Por Semana'!$E$4)</f>
        <v>0</v>
      </c>
      <c r="W808" s="18" t="str">
        <f t="shared" si="25"/>
        <v>lunes</v>
      </c>
    </row>
    <row r="809" spans="2:23" hidden="1" x14ac:dyDescent="0.25">
      <c r="B809" s="337">
        <v>46006</v>
      </c>
      <c r="C809" s="337">
        <v>46525</v>
      </c>
      <c r="D809" s="374" t="s">
        <v>78</v>
      </c>
      <c r="E809" s="309" t="s">
        <v>46</v>
      </c>
      <c r="F809" s="310" t="s">
        <v>100</v>
      </c>
      <c r="G809" s="311">
        <v>5.93</v>
      </c>
      <c r="H809" s="311">
        <v>8.5</v>
      </c>
      <c r="I809" s="340">
        <v>23.09</v>
      </c>
      <c r="J809" s="340"/>
      <c r="K809" s="311"/>
      <c r="L809" s="341">
        <v>23.09</v>
      </c>
      <c r="M809" s="313"/>
      <c r="N809" s="313"/>
      <c r="O809" s="313"/>
      <c r="P809" s="313"/>
      <c r="Q809" s="311"/>
      <c r="R809" s="392"/>
      <c r="S809" s="358">
        <f ca="1">IF(C809&lt;=EOMONTH('&gt;&gt;Vistas Consolidadas'!$D$2, '&gt;&gt;Vistas Consolidadas'!$F$2),J809+I809,J809)</f>
        <v>23.09</v>
      </c>
      <c r="T809" s="18" t="str">
        <f ca="1">IF(C809&gt;='&gt;&gt;Vistas Consolidadas'!$D$2,"SI","NO")</f>
        <v>SI</v>
      </c>
      <c r="U809" s="358">
        <f ca="1">IF(C809&lt;=EOMONTH('&gt;&gt;Vistas Consolidadas'!$D$2, '&gt;&gt;Vistas Consolidadas'!$F$2),I809,0)</f>
        <v>23.09</v>
      </c>
      <c r="V809" s="18" t="b">
        <f ca="1">AND(C809&gt;='Interes Por Semana'!$C$4, C809&lt;='Interes Por Semana'!$E$4)</f>
        <v>0</v>
      </c>
      <c r="W809" s="18" t="str">
        <f t="shared" si="25"/>
        <v>martes</v>
      </c>
    </row>
    <row r="810" spans="2:23" hidden="1" x14ac:dyDescent="0.25">
      <c r="B810" s="337">
        <v>45734</v>
      </c>
      <c r="C810" s="337">
        <v>46525</v>
      </c>
      <c r="D810" s="374" t="s">
        <v>78</v>
      </c>
      <c r="E810" s="309" t="s">
        <v>47</v>
      </c>
      <c r="F810" s="310" t="s">
        <v>101</v>
      </c>
      <c r="G810" s="311">
        <v>5.93</v>
      </c>
      <c r="H810" s="311">
        <v>12</v>
      </c>
      <c r="I810" s="340">
        <v>8.94</v>
      </c>
      <c r="J810" s="340"/>
      <c r="K810" s="311"/>
      <c r="L810" s="341">
        <v>8.94</v>
      </c>
      <c r="M810" s="313"/>
      <c r="N810" s="313"/>
      <c r="O810" s="313"/>
      <c r="P810" s="313"/>
      <c r="Q810" s="311"/>
      <c r="R810" s="392"/>
      <c r="S810" s="358">
        <f ca="1">IF(C810&lt;=EOMONTH('&gt;&gt;Vistas Consolidadas'!$D$2, '&gt;&gt;Vistas Consolidadas'!$F$2),J810+I810,J810)</f>
        <v>8.94</v>
      </c>
      <c r="T810" s="18" t="str">
        <f ca="1">IF(C810&gt;='&gt;&gt;Vistas Consolidadas'!$D$2,"SI","NO")</f>
        <v>SI</v>
      </c>
      <c r="U810" s="358">
        <f ca="1">IF(C810&lt;=EOMONTH('&gt;&gt;Vistas Consolidadas'!$D$2, '&gt;&gt;Vistas Consolidadas'!$F$2),I810,0)</f>
        <v>8.94</v>
      </c>
      <c r="V810" s="18" t="b">
        <f ca="1">AND(C810&gt;='Interes Por Semana'!$C$4, C810&lt;='Interes Por Semana'!$E$4)</f>
        <v>0</v>
      </c>
      <c r="W810" s="18" t="str">
        <f t="shared" si="25"/>
        <v>martes</v>
      </c>
    </row>
    <row r="811" spans="2:23" hidden="1" x14ac:dyDescent="0.25">
      <c r="B811" s="337">
        <v>45264</v>
      </c>
      <c r="C811" s="337">
        <v>46528</v>
      </c>
      <c r="D811" s="374" t="s">
        <v>78</v>
      </c>
      <c r="E811" s="309" t="s">
        <v>46</v>
      </c>
      <c r="F811" s="310" t="s">
        <v>103</v>
      </c>
      <c r="G811" s="311">
        <v>5.36</v>
      </c>
      <c r="H811" s="311">
        <v>13</v>
      </c>
      <c r="I811" s="340">
        <v>5.58</v>
      </c>
      <c r="J811" s="340"/>
      <c r="K811" s="311"/>
      <c r="L811" s="341">
        <v>5.58</v>
      </c>
      <c r="M811" s="313"/>
      <c r="N811" s="313"/>
      <c r="O811" s="313"/>
      <c r="P811" s="313"/>
      <c r="Q811" s="311"/>
      <c r="R811" s="392"/>
      <c r="S811" s="358">
        <f ca="1">IF(C811&lt;=EOMONTH('&gt;&gt;Vistas Consolidadas'!$D$2, '&gt;&gt;Vistas Consolidadas'!$F$2),J811+I811,J811)</f>
        <v>5.58</v>
      </c>
      <c r="T811" s="18" t="str">
        <f ca="1">IF(C811&gt;='&gt;&gt;Vistas Consolidadas'!$D$2,"SI","NO")</f>
        <v>SI</v>
      </c>
      <c r="U811" s="358">
        <f ca="1">IF(C811&lt;=EOMONTH('&gt;&gt;Vistas Consolidadas'!$D$2, '&gt;&gt;Vistas Consolidadas'!$F$2),I811,0)</f>
        <v>5.58</v>
      </c>
      <c r="V811" s="18" t="b">
        <f ca="1">AND(C811&gt;='Interes Por Semana'!$C$4, C811&lt;='Interes Por Semana'!$E$4)</f>
        <v>0</v>
      </c>
      <c r="W811" s="18" t="str">
        <f t="shared" si="25"/>
        <v>viernes</v>
      </c>
    </row>
    <row r="812" spans="2:23" hidden="1" x14ac:dyDescent="0.25">
      <c r="B812" s="337">
        <v>45279</v>
      </c>
      <c r="C812" s="337">
        <v>46528</v>
      </c>
      <c r="D812" s="374" t="s">
        <v>78</v>
      </c>
      <c r="E812" s="309" t="s">
        <v>46</v>
      </c>
      <c r="F812" s="310" t="s">
        <v>103</v>
      </c>
      <c r="G812" s="311">
        <v>5.36</v>
      </c>
      <c r="H812" s="311">
        <v>13</v>
      </c>
      <c r="I812" s="340">
        <v>3.13</v>
      </c>
      <c r="J812" s="340"/>
      <c r="K812" s="311"/>
      <c r="L812" s="341">
        <v>3.13</v>
      </c>
      <c r="M812" s="313"/>
      <c r="N812" s="313"/>
      <c r="O812" s="313"/>
      <c r="P812" s="313"/>
      <c r="Q812" s="311"/>
      <c r="R812" s="392"/>
      <c r="S812" s="358">
        <f ca="1">IF(C812&lt;=EOMONTH('&gt;&gt;Vistas Consolidadas'!$D$2, '&gt;&gt;Vistas Consolidadas'!$F$2),J812+I812,J812)</f>
        <v>3.13</v>
      </c>
      <c r="T812" s="18" t="str">
        <f ca="1">IF(C812&gt;='&gt;&gt;Vistas Consolidadas'!$D$2,"SI","NO")</f>
        <v>SI</v>
      </c>
      <c r="U812" s="358">
        <f ca="1">IF(C812&lt;=EOMONTH('&gt;&gt;Vistas Consolidadas'!$D$2, '&gt;&gt;Vistas Consolidadas'!$F$2),I812,0)</f>
        <v>3.13</v>
      </c>
      <c r="V812" s="18" t="b">
        <f ca="1">AND(C812&gt;='Interes Por Semana'!$C$4, C812&lt;='Interes Por Semana'!$E$4)</f>
        <v>0</v>
      </c>
      <c r="W812" s="18" t="str">
        <f t="shared" si="25"/>
        <v>viernes</v>
      </c>
    </row>
    <row r="813" spans="2:23" hidden="1" x14ac:dyDescent="0.25">
      <c r="B813" s="337">
        <v>45552</v>
      </c>
      <c r="C813" s="337">
        <v>46528</v>
      </c>
      <c r="D813" s="374" t="s">
        <v>78</v>
      </c>
      <c r="E813" s="309" t="s">
        <v>47</v>
      </c>
      <c r="F813" s="310" t="s">
        <v>103</v>
      </c>
      <c r="G813" s="311">
        <v>5.36</v>
      </c>
      <c r="H813" s="311">
        <v>13.75</v>
      </c>
      <c r="I813" s="340">
        <v>4.47</v>
      </c>
      <c r="J813" s="340"/>
      <c r="K813" s="311"/>
      <c r="L813" s="341">
        <v>4.47</v>
      </c>
      <c r="M813" s="313"/>
      <c r="N813" s="313"/>
      <c r="O813" s="313"/>
      <c r="P813" s="313"/>
      <c r="Q813" s="311"/>
      <c r="R813" s="392"/>
      <c r="S813" s="358">
        <f ca="1">IF(C813&lt;=EOMONTH('&gt;&gt;Vistas Consolidadas'!$D$2, '&gt;&gt;Vistas Consolidadas'!$F$2),J813+I813,J813)</f>
        <v>4.47</v>
      </c>
      <c r="T813" s="18" t="str">
        <f ca="1">IF(C813&gt;='&gt;&gt;Vistas Consolidadas'!$D$2,"SI","NO")</f>
        <v>SI</v>
      </c>
      <c r="U813" s="358">
        <f ca="1">IF(C813&lt;=EOMONTH('&gt;&gt;Vistas Consolidadas'!$D$2, '&gt;&gt;Vistas Consolidadas'!$F$2),I813,0)</f>
        <v>4.47</v>
      </c>
      <c r="V813" s="18" t="b">
        <f ca="1">AND(C813&gt;='Interes Por Semana'!$C$4, C813&lt;='Interes Por Semana'!$E$4)</f>
        <v>0</v>
      </c>
      <c r="W813" s="18" t="str">
        <f t="shared" si="25"/>
        <v>viernes</v>
      </c>
    </row>
    <row r="814" spans="2:23" hidden="1" x14ac:dyDescent="0.25">
      <c r="B814" s="337">
        <v>45447</v>
      </c>
      <c r="C814" s="337">
        <v>46531</v>
      </c>
      <c r="D814" s="374" t="s">
        <v>78</v>
      </c>
      <c r="E814" s="309" t="s">
        <v>47</v>
      </c>
      <c r="F814" s="310" t="s">
        <v>105</v>
      </c>
      <c r="G814" s="311">
        <v>5.93</v>
      </c>
      <c r="H814" s="311">
        <v>13.25</v>
      </c>
      <c r="I814" s="340">
        <v>29.65</v>
      </c>
      <c r="J814" s="340"/>
      <c r="K814" s="311"/>
      <c r="L814" s="341">
        <v>29.65</v>
      </c>
      <c r="M814" s="313"/>
      <c r="N814" s="313"/>
      <c r="O814" s="313"/>
      <c r="P814" s="313"/>
      <c r="Q814" s="311"/>
      <c r="R814" s="392"/>
      <c r="S814" s="358">
        <f ca="1">IF(C814&lt;=EOMONTH('&gt;&gt;Vistas Consolidadas'!$D$2, '&gt;&gt;Vistas Consolidadas'!$F$2),J814+I814,J814)</f>
        <v>29.65</v>
      </c>
      <c r="T814" s="18" t="str">
        <f ca="1">IF(C814&gt;='&gt;&gt;Vistas Consolidadas'!$D$2,"SI","NO")</f>
        <v>SI</v>
      </c>
      <c r="U814" s="358">
        <f ca="1">IF(C814&lt;=EOMONTH('&gt;&gt;Vistas Consolidadas'!$D$2, '&gt;&gt;Vistas Consolidadas'!$F$2),I814,0)</f>
        <v>29.65</v>
      </c>
      <c r="V814" s="18" t="b">
        <f ca="1">AND(C814&gt;='Interes Por Semana'!$C$4, C814&lt;='Interes Por Semana'!$E$4)</f>
        <v>0</v>
      </c>
      <c r="W814" s="18" t="str">
        <f t="shared" si="25"/>
        <v>lunes</v>
      </c>
    </row>
    <row r="815" spans="2:23" hidden="1" x14ac:dyDescent="0.25">
      <c r="B815" s="337">
        <v>45832</v>
      </c>
      <c r="C815" s="337">
        <v>46532</v>
      </c>
      <c r="D815" s="374" t="s">
        <v>78</v>
      </c>
      <c r="E815" s="309" t="s">
        <v>47</v>
      </c>
      <c r="F815" s="310" t="s">
        <v>106</v>
      </c>
      <c r="G815" s="311">
        <v>5.93</v>
      </c>
      <c r="H815" s="311">
        <v>11</v>
      </c>
      <c r="I815" s="340">
        <v>22.41</v>
      </c>
      <c r="J815" s="340"/>
      <c r="K815" s="311"/>
      <c r="L815" s="341">
        <v>22.41</v>
      </c>
      <c r="M815" s="313"/>
      <c r="N815" s="313"/>
      <c r="O815" s="313"/>
      <c r="P815" s="313"/>
      <c r="Q815" s="311"/>
      <c r="R815" s="392"/>
      <c r="S815" s="358">
        <f ca="1">IF(C815&lt;=EOMONTH('&gt;&gt;Vistas Consolidadas'!$D$2, '&gt;&gt;Vistas Consolidadas'!$F$2),J815+I815,J815)</f>
        <v>22.41</v>
      </c>
      <c r="T815" s="18" t="str">
        <f ca="1">IF(C815&gt;='&gt;&gt;Vistas Consolidadas'!$D$2,"SI","NO")</f>
        <v>SI</v>
      </c>
      <c r="U815" s="358">
        <f ca="1">IF(C815&lt;=EOMONTH('&gt;&gt;Vistas Consolidadas'!$D$2, '&gt;&gt;Vistas Consolidadas'!$F$2),I815,0)</f>
        <v>22.41</v>
      </c>
      <c r="V815" s="18" t="b">
        <f ca="1">AND(C815&gt;='Interes Por Semana'!$C$4, C815&lt;='Interes Por Semana'!$E$4)</f>
        <v>0</v>
      </c>
      <c r="W815" s="18" t="str">
        <f t="shared" si="25"/>
        <v>martes</v>
      </c>
    </row>
    <row r="816" spans="2:23" hidden="1" x14ac:dyDescent="0.25">
      <c r="B816" s="337">
        <v>45889</v>
      </c>
      <c r="C816" s="337">
        <v>46532</v>
      </c>
      <c r="D816" s="374" t="s">
        <v>78</v>
      </c>
      <c r="E816" s="309" t="s">
        <v>47</v>
      </c>
      <c r="F816" s="310" t="s">
        <v>106</v>
      </c>
      <c r="G816" s="311">
        <v>6.21</v>
      </c>
      <c r="H816" s="311">
        <v>9.75</v>
      </c>
      <c r="I816" s="340">
        <v>4.5</v>
      </c>
      <c r="J816" s="340"/>
      <c r="K816" s="311"/>
      <c r="L816" s="341">
        <v>4.5</v>
      </c>
      <c r="M816" s="313"/>
      <c r="N816" s="313"/>
      <c r="O816" s="313"/>
      <c r="P816" s="313"/>
      <c r="Q816" s="311"/>
      <c r="R816" s="392"/>
      <c r="S816" s="358">
        <f ca="1">IF(C816&lt;=EOMONTH('&gt;&gt;Vistas Consolidadas'!$D$2, '&gt;&gt;Vistas Consolidadas'!$F$2),J816+I816,J816)</f>
        <v>4.5</v>
      </c>
      <c r="T816" s="18" t="str">
        <f ca="1">IF(C816&gt;='&gt;&gt;Vistas Consolidadas'!$D$2,"SI","NO")</f>
        <v>SI</v>
      </c>
      <c r="U816" s="358">
        <f ca="1">IF(C816&lt;=EOMONTH('&gt;&gt;Vistas Consolidadas'!$D$2, '&gt;&gt;Vistas Consolidadas'!$F$2),I816,0)</f>
        <v>4.5</v>
      </c>
      <c r="V816" s="18" t="b">
        <f ca="1">AND(C816&gt;='Interes Por Semana'!$C$4, C816&lt;='Interes Por Semana'!$E$4)</f>
        <v>0</v>
      </c>
      <c r="W816" s="18" t="str">
        <f t="shared" si="25"/>
        <v>martes</v>
      </c>
    </row>
    <row r="817" spans="2:23" hidden="1" x14ac:dyDescent="0.25">
      <c r="B817" s="337">
        <v>45889</v>
      </c>
      <c r="C817" s="337">
        <v>46532</v>
      </c>
      <c r="D817" s="374" t="s">
        <v>78</v>
      </c>
      <c r="E817" s="309" t="s">
        <v>46</v>
      </c>
      <c r="F817" s="310" t="s">
        <v>106</v>
      </c>
      <c r="G817" s="311">
        <v>6.21</v>
      </c>
      <c r="H817" s="311">
        <v>10.75</v>
      </c>
      <c r="I817" s="340">
        <v>25.88</v>
      </c>
      <c r="J817" s="340"/>
      <c r="K817" s="311"/>
      <c r="L817" s="341">
        <v>25.88</v>
      </c>
      <c r="M817" s="313"/>
      <c r="N817" s="313"/>
      <c r="O817" s="313"/>
      <c r="P817" s="313"/>
      <c r="Q817" s="311"/>
      <c r="R817" s="392"/>
      <c r="S817" s="358">
        <f ca="1">IF(C817&lt;=EOMONTH('&gt;&gt;Vistas Consolidadas'!$D$2, '&gt;&gt;Vistas Consolidadas'!$F$2),J817+I817,J817)</f>
        <v>25.88</v>
      </c>
      <c r="T817" s="18" t="str">
        <f ca="1">IF(C817&gt;='&gt;&gt;Vistas Consolidadas'!$D$2,"SI","NO")</f>
        <v>SI</v>
      </c>
      <c r="U817" s="358">
        <f ca="1">IF(C817&lt;=EOMONTH('&gt;&gt;Vistas Consolidadas'!$D$2, '&gt;&gt;Vistas Consolidadas'!$F$2),I817,0)</f>
        <v>25.88</v>
      </c>
      <c r="V817" s="18" t="b">
        <f ca="1">AND(C817&gt;='Interes Por Semana'!$C$4, C817&lt;='Interes Por Semana'!$E$4)</f>
        <v>0</v>
      </c>
      <c r="W817" s="18" t="str">
        <f t="shared" si="25"/>
        <v>martes</v>
      </c>
    </row>
    <row r="818" spans="2:23" hidden="1" x14ac:dyDescent="0.25">
      <c r="B818" s="337">
        <v>45593</v>
      </c>
      <c r="C818" s="337">
        <v>46533</v>
      </c>
      <c r="D818" s="374" t="s">
        <v>78</v>
      </c>
      <c r="E818" s="309" t="s">
        <v>47</v>
      </c>
      <c r="F818" s="310" t="s">
        <v>107</v>
      </c>
      <c r="G818" s="311">
        <v>5.07</v>
      </c>
      <c r="H818" s="311">
        <v>13</v>
      </c>
      <c r="I818" s="340">
        <v>11.41</v>
      </c>
      <c r="J818" s="340"/>
      <c r="K818" s="311"/>
      <c r="L818" s="341">
        <v>11.41</v>
      </c>
      <c r="M818" s="313"/>
      <c r="N818" s="313"/>
      <c r="O818" s="313"/>
      <c r="P818" s="313"/>
      <c r="Q818" s="311"/>
      <c r="R818" s="392"/>
      <c r="S818" s="358">
        <f ca="1">IF(C818&lt;=EOMONTH('&gt;&gt;Vistas Consolidadas'!$D$2, '&gt;&gt;Vistas Consolidadas'!$F$2),J818+I818,J818)</f>
        <v>11.41</v>
      </c>
      <c r="T818" s="18" t="str">
        <f ca="1">IF(C818&gt;='&gt;&gt;Vistas Consolidadas'!$D$2,"SI","NO")</f>
        <v>SI</v>
      </c>
      <c r="U818" s="358">
        <f ca="1">IF(C818&lt;=EOMONTH('&gt;&gt;Vistas Consolidadas'!$D$2, '&gt;&gt;Vistas Consolidadas'!$F$2),I818,0)</f>
        <v>11.41</v>
      </c>
      <c r="V818" s="18" t="b">
        <f ca="1">AND(C818&gt;='Interes Por Semana'!$C$4, C818&lt;='Interes Por Semana'!$E$4)</f>
        <v>0</v>
      </c>
      <c r="W818" s="18" t="str">
        <f t="shared" si="25"/>
        <v>miércoles</v>
      </c>
    </row>
    <row r="819" spans="2:23" hidden="1" x14ac:dyDescent="0.25">
      <c r="B819" s="337">
        <v>44830</v>
      </c>
      <c r="C819" s="337">
        <v>46534</v>
      </c>
      <c r="D819" s="374" t="s">
        <v>78</v>
      </c>
      <c r="E819" s="309" t="s">
        <v>47</v>
      </c>
      <c r="F819" s="310" t="s">
        <v>108</v>
      </c>
      <c r="G819" s="311">
        <v>5.64</v>
      </c>
      <c r="H819" s="311">
        <v>10.199999999999999</v>
      </c>
      <c r="I819" s="340">
        <v>9.4</v>
      </c>
      <c r="J819" s="340"/>
      <c r="K819" s="311"/>
      <c r="L819" s="341">
        <v>9.4</v>
      </c>
      <c r="M819" s="313"/>
      <c r="N819" s="313"/>
      <c r="O819" s="313"/>
      <c r="P819" s="313"/>
      <c r="Q819" s="311"/>
      <c r="R819" s="392"/>
      <c r="S819" s="358">
        <f ca="1">IF(C819&lt;=EOMONTH('&gt;&gt;Vistas Consolidadas'!$D$2, '&gt;&gt;Vistas Consolidadas'!$F$2),J819+I819,J819)</f>
        <v>9.4</v>
      </c>
      <c r="T819" s="18" t="str">
        <f ca="1">IF(C819&gt;='&gt;&gt;Vistas Consolidadas'!$D$2,"SI","NO")</f>
        <v>SI</v>
      </c>
      <c r="U819" s="358">
        <f ca="1">IF(C819&lt;=EOMONTH('&gt;&gt;Vistas Consolidadas'!$D$2, '&gt;&gt;Vistas Consolidadas'!$F$2),I819,0)</f>
        <v>9.4</v>
      </c>
      <c r="V819" s="18" t="b">
        <f ca="1">AND(C819&gt;='Interes Por Semana'!$C$4, C819&lt;='Interes Por Semana'!$E$4)</f>
        <v>0</v>
      </c>
      <c r="W819" s="18" t="str">
        <f t="shared" si="25"/>
        <v>jueves</v>
      </c>
    </row>
    <row r="820" spans="2:23" hidden="1" x14ac:dyDescent="0.25">
      <c r="B820" s="337">
        <v>46057</v>
      </c>
      <c r="C820" s="337">
        <v>46534</v>
      </c>
      <c r="D820" s="374" t="s">
        <v>78</v>
      </c>
      <c r="E820" s="309" t="s">
        <v>47</v>
      </c>
      <c r="F820" s="310" t="s">
        <v>109</v>
      </c>
      <c r="G820" s="311">
        <v>6.21</v>
      </c>
      <c r="H820" s="311">
        <v>11</v>
      </c>
      <c r="I820" s="340">
        <v>15.61</v>
      </c>
      <c r="J820" s="340"/>
      <c r="K820" s="311"/>
      <c r="L820" s="341">
        <v>15.61</v>
      </c>
      <c r="M820" s="313"/>
      <c r="N820" s="313"/>
      <c r="O820" s="313"/>
      <c r="P820" s="313"/>
      <c r="Q820" s="311"/>
      <c r="R820" s="392"/>
      <c r="S820" s="358">
        <f ca="1">IF(C820&lt;=EOMONTH('&gt;&gt;Vistas Consolidadas'!$D$2, '&gt;&gt;Vistas Consolidadas'!$F$2),J820+I820,J820)</f>
        <v>15.61</v>
      </c>
      <c r="T820" s="18" t="str">
        <f ca="1">IF(C820&gt;='&gt;&gt;Vistas Consolidadas'!$D$2,"SI","NO")</f>
        <v>SI</v>
      </c>
      <c r="U820" s="358">
        <f ca="1">IF(C820&lt;=EOMONTH('&gt;&gt;Vistas Consolidadas'!$D$2, '&gt;&gt;Vistas Consolidadas'!$F$2),I820,0)</f>
        <v>15.61</v>
      </c>
      <c r="V820" s="18" t="b">
        <f ca="1">AND(C820&gt;='Interes Por Semana'!$C$4, C820&lt;='Interes Por Semana'!$E$4)</f>
        <v>0</v>
      </c>
      <c r="W820" s="18" t="str">
        <f t="shared" si="25"/>
        <v>jueves</v>
      </c>
    </row>
    <row r="821" spans="2:23" hidden="1" x14ac:dyDescent="0.25">
      <c r="B821" s="337">
        <v>46080</v>
      </c>
      <c r="C821" s="337">
        <v>46534</v>
      </c>
      <c r="D821" s="374" t="s">
        <v>78</v>
      </c>
      <c r="E821" s="309" t="s">
        <v>46</v>
      </c>
      <c r="F821" s="310" t="s">
        <v>110</v>
      </c>
      <c r="G821" s="311">
        <v>6.21</v>
      </c>
      <c r="H821" s="311">
        <v>10.6</v>
      </c>
      <c r="I821" s="340">
        <v>17.79</v>
      </c>
      <c r="J821" s="340"/>
      <c r="K821" s="311"/>
      <c r="L821" s="341">
        <v>17.79</v>
      </c>
      <c r="M821" s="313"/>
      <c r="N821" s="313"/>
      <c r="O821" s="313"/>
      <c r="P821" s="313"/>
      <c r="Q821" s="311"/>
      <c r="R821" s="392"/>
      <c r="S821" s="358">
        <f ca="1">IF(C821&lt;=EOMONTH('&gt;&gt;Vistas Consolidadas'!$D$2, '&gt;&gt;Vistas Consolidadas'!$F$2),J821+I821,J821)</f>
        <v>17.79</v>
      </c>
      <c r="T821" s="18" t="str">
        <f ca="1">IF(C821&gt;='&gt;&gt;Vistas Consolidadas'!$D$2,"SI","NO")</f>
        <v>SI</v>
      </c>
      <c r="U821" s="358">
        <f ca="1">IF(C821&lt;=EOMONTH('&gt;&gt;Vistas Consolidadas'!$D$2, '&gt;&gt;Vistas Consolidadas'!$F$2),I821,0)</f>
        <v>17.79</v>
      </c>
      <c r="V821" s="18" t="b">
        <f ca="1">AND(C821&gt;='Interes Por Semana'!$C$4, C821&lt;='Interes Por Semana'!$E$4)</f>
        <v>0</v>
      </c>
      <c r="W821" s="18" t="str">
        <f t="shared" si="25"/>
        <v>jueves</v>
      </c>
    </row>
    <row r="822" spans="2:23" hidden="1" x14ac:dyDescent="0.25">
      <c r="B822" s="337">
        <v>45987</v>
      </c>
      <c r="C822" s="337">
        <v>46535</v>
      </c>
      <c r="D822" s="374" t="s">
        <v>78</v>
      </c>
      <c r="E822" s="309" t="s">
        <v>46</v>
      </c>
      <c r="F822" s="310" t="s">
        <v>111</v>
      </c>
      <c r="G822" s="311">
        <v>6.82</v>
      </c>
      <c r="H822" s="311">
        <v>11</v>
      </c>
      <c r="I822" s="340">
        <v>6.82</v>
      </c>
      <c r="J822" s="340">
        <v>0</v>
      </c>
      <c r="K822" s="311"/>
      <c r="L822" s="341">
        <v>6.82</v>
      </c>
      <c r="M822" s="313"/>
      <c r="N822" s="313"/>
      <c r="O822" s="313"/>
      <c r="P822" s="313"/>
      <c r="Q822" s="311"/>
      <c r="R822" s="392"/>
      <c r="S822" s="358">
        <f ca="1">IF(C822&lt;=EOMONTH('&gt;&gt;Vistas Consolidadas'!$D$2, '&gt;&gt;Vistas Consolidadas'!$F$2),J822+I822,J822)</f>
        <v>6.82</v>
      </c>
      <c r="T822" s="18" t="str">
        <f ca="1">IF(C822&gt;='&gt;&gt;Vistas Consolidadas'!$D$2,"SI","NO")</f>
        <v>SI</v>
      </c>
      <c r="U822" s="358">
        <f ca="1">IF(C822&lt;=EOMONTH('&gt;&gt;Vistas Consolidadas'!$D$2, '&gt;&gt;Vistas Consolidadas'!$F$2),I822,0)</f>
        <v>6.82</v>
      </c>
      <c r="V822" s="18" t="b">
        <f ca="1">AND(C822&gt;='Interes Por Semana'!$C$4, C822&lt;='Interes Por Semana'!$E$4)</f>
        <v>0</v>
      </c>
      <c r="W822" s="18" t="str">
        <f t="shared" si="25"/>
        <v>viernes</v>
      </c>
    </row>
    <row r="823" spans="2:23" hidden="1" x14ac:dyDescent="0.25">
      <c r="B823" s="337">
        <v>46149</v>
      </c>
      <c r="C823" s="337">
        <v>46515</v>
      </c>
      <c r="D823" s="374" t="s">
        <v>78</v>
      </c>
      <c r="E823" s="309" t="s">
        <v>138</v>
      </c>
      <c r="F823" s="310" t="s">
        <v>153</v>
      </c>
      <c r="G823" s="311">
        <v>7.72</v>
      </c>
      <c r="H823" s="311">
        <v>9</v>
      </c>
      <c r="I823" s="340">
        <v>67.55</v>
      </c>
      <c r="J823" s="340"/>
      <c r="K823" s="311"/>
      <c r="L823" s="340">
        <v>67.55</v>
      </c>
      <c r="M823" s="311"/>
      <c r="N823" s="311"/>
      <c r="O823" s="311"/>
      <c r="P823" s="311"/>
      <c r="Q823" s="386"/>
      <c r="R823" s="392"/>
      <c r="S823" s="358">
        <f ca="1">IF(C823&lt;=EOMONTH('&gt;&gt;Vistas Consolidadas'!$D$2, '&gt;&gt;Vistas Consolidadas'!$F$2),J823+I823,J823)</f>
        <v>67.55</v>
      </c>
      <c r="T823" s="18" t="str">
        <f ca="1">IF(C823&gt;='&gt;&gt;Vistas Consolidadas'!$D$2,"SI","NO")</f>
        <v>SI</v>
      </c>
      <c r="U823" s="358">
        <f ca="1">IF(C823&lt;=EOMONTH('&gt;&gt;Vistas Consolidadas'!$D$2, '&gt;&gt;Vistas Consolidadas'!$F$2),I823,0)</f>
        <v>67.55</v>
      </c>
      <c r="V823" s="18" t="b">
        <f ca="1">AND(C823&gt;='Interes Por Semana'!$C$4, C823&lt;='Interes Por Semana'!$E$4)</f>
        <v>0</v>
      </c>
      <c r="W823" s="18" t="str">
        <f t="shared" si="25"/>
        <v>sábado</v>
      </c>
    </row>
    <row r="824" spans="2:23" hidden="1" x14ac:dyDescent="0.25">
      <c r="B824" s="337">
        <v>46149</v>
      </c>
      <c r="C824" s="337">
        <v>46515</v>
      </c>
      <c r="D824" s="374" t="s">
        <v>78</v>
      </c>
      <c r="E824" s="309" t="s">
        <v>47</v>
      </c>
      <c r="F824" s="310" t="s">
        <v>153</v>
      </c>
      <c r="G824" s="311">
        <v>7.72</v>
      </c>
      <c r="H824" s="311">
        <v>9</v>
      </c>
      <c r="I824" s="340">
        <v>122.46</v>
      </c>
      <c r="J824" s="340"/>
      <c r="K824" s="311"/>
      <c r="L824" s="340">
        <v>122.46</v>
      </c>
      <c r="M824" s="311"/>
      <c r="N824" s="311"/>
      <c r="O824" s="311"/>
      <c r="P824" s="311"/>
      <c r="Q824" s="386"/>
      <c r="R824" s="392"/>
      <c r="S824" s="358">
        <f ca="1">IF(C824&lt;=EOMONTH('&gt;&gt;Vistas Consolidadas'!$D$2, '&gt;&gt;Vistas Consolidadas'!$F$2),J824+I824,J824)</f>
        <v>122.46</v>
      </c>
      <c r="T824" s="18" t="str">
        <f ca="1">IF(C824&gt;='&gt;&gt;Vistas Consolidadas'!$D$2,"SI","NO")</f>
        <v>SI</v>
      </c>
      <c r="U824" s="358">
        <f ca="1">IF(C824&lt;=EOMONTH('&gt;&gt;Vistas Consolidadas'!$D$2, '&gt;&gt;Vistas Consolidadas'!$F$2),I824,0)</f>
        <v>122.46</v>
      </c>
      <c r="V824" s="18" t="b">
        <f ca="1">AND(C824&gt;='Interes Por Semana'!$C$4, C824&lt;='Interes Por Semana'!$E$4)</f>
        <v>0</v>
      </c>
      <c r="W824" s="18" t="str">
        <f t="shared" si="25"/>
        <v>sábado</v>
      </c>
    </row>
    <row r="825" spans="2:23" hidden="1" x14ac:dyDescent="0.25">
      <c r="B825" s="337">
        <v>46149</v>
      </c>
      <c r="C825" s="337">
        <v>46525</v>
      </c>
      <c r="D825" s="374" t="s">
        <v>78</v>
      </c>
      <c r="E825" s="309" t="s">
        <v>47</v>
      </c>
      <c r="F825" s="310" t="s">
        <v>154</v>
      </c>
      <c r="G825" s="311">
        <v>6.21</v>
      </c>
      <c r="H825" s="311">
        <v>9</v>
      </c>
      <c r="I825" s="387">
        <v>188.11</v>
      </c>
      <c r="J825" s="340"/>
      <c r="K825" s="311"/>
      <c r="L825" s="340">
        <v>188.11</v>
      </c>
      <c r="M825" s="311"/>
      <c r="N825" s="311"/>
      <c r="O825" s="311"/>
      <c r="P825" s="311"/>
      <c r="Q825" s="386"/>
      <c r="R825" s="392"/>
      <c r="S825" s="358">
        <f ca="1">IF(C825&lt;=EOMONTH('&gt;&gt;Vistas Consolidadas'!$D$2, '&gt;&gt;Vistas Consolidadas'!$F$2),J825+I825,J825)</f>
        <v>188.11</v>
      </c>
      <c r="T825" s="18" t="str">
        <f ca="1">IF(C825&gt;='&gt;&gt;Vistas Consolidadas'!$D$2,"SI","NO")</f>
        <v>SI</v>
      </c>
      <c r="U825" s="358">
        <f ca="1">IF(C825&lt;=EOMONTH('&gt;&gt;Vistas Consolidadas'!$D$2, '&gt;&gt;Vistas Consolidadas'!$F$2),I825,0)</f>
        <v>188.11</v>
      </c>
      <c r="V825" s="18" t="b">
        <f ca="1">AND(C825&gt;='Interes Por Semana'!$C$4, C825&lt;='Interes Por Semana'!$E$4)</f>
        <v>0</v>
      </c>
      <c r="W825" s="18" t="str">
        <f t="shared" si="25"/>
        <v>martes</v>
      </c>
    </row>
    <row r="826" spans="2:23" hidden="1" x14ac:dyDescent="0.25">
      <c r="B826" s="337">
        <v>46157</v>
      </c>
      <c r="C826" s="337">
        <v>46514</v>
      </c>
      <c r="D826" s="374" t="s">
        <v>78</v>
      </c>
      <c r="E826" s="309" t="s">
        <v>47</v>
      </c>
      <c r="F826" s="310" t="s">
        <v>156</v>
      </c>
      <c r="G826" s="311">
        <v>7.93</v>
      </c>
      <c r="H826" s="311">
        <v>9.9247584100000008</v>
      </c>
      <c r="I826" s="340">
        <v>131.09281250000001</v>
      </c>
      <c r="J826" s="340"/>
      <c r="K826" s="311"/>
      <c r="L826" s="340">
        <v>131.09281250000001</v>
      </c>
      <c r="M826" s="311"/>
      <c r="N826" s="311"/>
      <c r="O826" s="311"/>
      <c r="P826" s="311"/>
      <c r="Q826" s="386"/>
      <c r="R826" s="392"/>
      <c r="S826" s="358">
        <f ca="1">IF(C826&lt;=EOMONTH('&gt;&gt;Vistas Consolidadas'!$D$2, '&gt;&gt;Vistas Consolidadas'!$F$2),J826+I826,J826)</f>
        <v>131.09281250000001</v>
      </c>
      <c r="T826" s="18" t="str">
        <f ca="1">IF(C826&gt;='&gt;&gt;Vistas Consolidadas'!$D$2,"SI","NO")</f>
        <v>SI</v>
      </c>
      <c r="U826" s="358">
        <f ca="1">IF(C826&lt;=EOMONTH('&gt;&gt;Vistas Consolidadas'!$D$2, '&gt;&gt;Vistas Consolidadas'!$F$2),I826,0)</f>
        <v>131.09281250000001</v>
      </c>
      <c r="V826" s="18" t="b">
        <f ca="1">AND(C826&gt;='Interes Por Semana'!$C$4, C826&lt;='Interes Por Semana'!$E$4)</f>
        <v>0</v>
      </c>
      <c r="W826" s="18" t="str">
        <f t="shared" si="25"/>
        <v>viernes</v>
      </c>
    </row>
    <row r="827" spans="2:23" hidden="1" x14ac:dyDescent="0.25">
      <c r="B827" s="337">
        <v>46162</v>
      </c>
      <c r="C827" s="337">
        <v>46533</v>
      </c>
      <c r="D827" s="374" t="s">
        <v>78</v>
      </c>
      <c r="E827" s="309" t="s">
        <v>47</v>
      </c>
      <c r="F827" s="310" t="s">
        <v>158</v>
      </c>
      <c r="G827" s="311">
        <v>5.36</v>
      </c>
      <c r="H827" s="311">
        <v>9</v>
      </c>
      <c r="I827" s="340">
        <v>12.77</v>
      </c>
      <c r="J827" s="340"/>
      <c r="K827" s="311"/>
      <c r="L827" s="340">
        <v>12.77</v>
      </c>
      <c r="M827" s="311"/>
      <c r="N827" s="311"/>
      <c r="O827" s="311"/>
      <c r="P827" s="311"/>
      <c r="Q827" s="386"/>
      <c r="R827" s="392">
        <v>367706</v>
      </c>
      <c r="S827" s="358">
        <f ca="1">IF(C827&lt;=EOMONTH('&gt;&gt;Vistas Consolidadas'!$D$2, '&gt;&gt;Vistas Consolidadas'!$F$2),J827+I827,J827)</f>
        <v>12.77</v>
      </c>
      <c r="T827" s="18" t="str">
        <f ca="1">IF(C827&gt;='&gt;&gt;Vistas Consolidadas'!$D$2,"SI","NO")</f>
        <v>SI</v>
      </c>
      <c r="U827" s="358">
        <f ca="1">IF(C827&lt;=EOMONTH('&gt;&gt;Vistas Consolidadas'!$D$2, '&gt;&gt;Vistas Consolidadas'!$F$2),I827,0)</f>
        <v>12.77</v>
      </c>
      <c r="V827" s="18" t="b">
        <f ca="1">AND(C827&gt;='Interes Por Semana'!$C$4, C827&lt;='Interes Por Semana'!$E$4)</f>
        <v>0</v>
      </c>
      <c r="W827" s="18" t="str">
        <f t="shared" si="25"/>
        <v>miércoles</v>
      </c>
    </row>
    <row r="828" spans="2:23" hidden="1" x14ac:dyDescent="0.25">
      <c r="B828" s="337">
        <v>45323</v>
      </c>
      <c r="C828" s="337">
        <v>46522</v>
      </c>
      <c r="D828" s="374" t="s">
        <v>96</v>
      </c>
      <c r="E828" s="309" t="s">
        <v>47</v>
      </c>
      <c r="F828" s="310" t="s">
        <v>97</v>
      </c>
      <c r="G828" s="311">
        <v>6</v>
      </c>
      <c r="H828" s="311">
        <v>12</v>
      </c>
      <c r="I828" s="340">
        <v>16.670000000000002</v>
      </c>
      <c r="J828" s="340"/>
      <c r="K828" s="311"/>
      <c r="L828" s="341">
        <f t="shared" ref="L828:L891" si="27">I828</f>
        <v>16.670000000000002</v>
      </c>
      <c r="M828" s="313"/>
      <c r="N828" s="313"/>
      <c r="O828" s="313"/>
      <c r="P828" s="313"/>
      <c r="Q828" s="311"/>
      <c r="R828" s="392"/>
      <c r="S828" s="358">
        <f ca="1">IF(C828&lt;=EOMONTH('&gt;&gt;Vistas Consolidadas'!$D$2, '&gt;&gt;Vistas Consolidadas'!$F$2),J828+I828,J828)</f>
        <v>16.670000000000002</v>
      </c>
      <c r="T828" s="18" t="str">
        <f ca="1">IF(C828&gt;='&gt;&gt;Vistas Consolidadas'!$D$2,"SI","NO")</f>
        <v>SI</v>
      </c>
      <c r="U828" s="358">
        <f ca="1">IF(C828&lt;=EOMONTH('&gt;&gt;Vistas Consolidadas'!$D$2, '&gt;&gt;Vistas Consolidadas'!$F$2),I828,0)</f>
        <v>16.670000000000002</v>
      </c>
      <c r="V828" s="18" t="b">
        <f ca="1">AND(C828&gt;='Interes Por Semana'!$C$4, C828&lt;='Interes Por Semana'!$E$4)</f>
        <v>0</v>
      </c>
      <c r="W828" s="18" t="str">
        <f t="shared" si="25"/>
        <v>sábado</v>
      </c>
    </row>
    <row r="829" spans="2:23" hidden="1" x14ac:dyDescent="0.25">
      <c r="B829" s="337">
        <v>45356</v>
      </c>
      <c r="C829" s="337">
        <v>46522</v>
      </c>
      <c r="D829" s="374" t="s">
        <v>96</v>
      </c>
      <c r="E829" s="309" t="s">
        <v>47</v>
      </c>
      <c r="F829" s="310" t="s">
        <v>97</v>
      </c>
      <c r="G829" s="311">
        <v>6</v>
      </c>
      <c r="H829" s="311">
        <v>12</v>
      </c>
      <c r="I829" s="340">
        <v>108.33</v>
      </c>
      <c r="J829" s="340"/>
      <c r="K829" s="311"/>
      <c r="L829" s="341">
        <f t="shared" si="27"/>
        <v>108.33</v>
      </c>
      <c r="M829" s="313"/>
      <c r="N829" s="313"/>
      <c r="O829" s="313"/>
      <c r="P829" s="313"/>
      <c r="Q829" s="311"/>
      <c r="R829" s="392"/>
      <c r="S829" s="358">
        <f ca="1">IF(C829&lt;=EOMONTH('&gt;&gt;Vistas Consolidadas'!$D$2, '&gt;&gt;Vistas Consolidadas'!$F$2),J829+I829,J829)</f>
        <v>108.33</v>
      </c>
      <c r="T829" s="18" t="str">
        <f ca="1">IF(C829&gt;='&gt;&gt;Vistas Consolidadas'!$D$2,"SI","NO")</f>
        <v>SI</v>
      </c>
      <c r="U829" s="358">
        <f ca="1">IF(C829&lt;=EOMONTH('&gt;&gt;Vistas Consolidadas'!$D$2, '&gt;&gt;Vistas Consolidadas'!$F$2),I829,0)</f>
        <v>108.33</v>
      </c>
      <c r="V829" s="18" t="b">
        <f ca="1">AND(C829&gt;='Interes Por Semana'!$C$4, C829&lt;='Interes Por Semana'!$E$4)</f>
        <v>0</v>
      </c>
      <c r="W829" s="18" t="str">
        <f t="shared" si="25"/>
        <v>sábado</v>
      </c>
    </row>
    <row r="830" spans="2:23" hidden="1" x14ac:dyDescent="0.25">
      <c r="B830" s="337">
        <v>45006</v>
      </c>
      <c r="C830" s="337">
        <v>46522</v>
      </c>
      <c r="D830" s="374" t="s">
        <v>96</v>
      </c>
      <c r="E830" s="309" t="s">
        <v>46</v>
      </c>
      <c r="F830" s="310" t="s">
        <v>97</v>
      </c>
      <c r="G830" s="311">
        <v>6</v>
      </c>
      <c r="H830" s="311">
        <v>12</v>
      </c>
      <c r="I830" s="340">
        <v>62.5</v>
      </c>
      <c r="J830" s="340"/>
      <c r="K830" s="311"/>
      <c r="L830" s="341">
        <f t="shared" si="27"/>
        <v>62.5</v>
      </c>
      <c r="M830" s="313"/>
      <c r="N830" s="313"/>
      <c r="O830" s="313"/>
      <c r="P830" s="313"/>
      <c r="Q830" s="311"/>
      <c r="R830" s="392"/>
      <c r="S830" s="358">
        <f ca="1">IF(C830&lt;=EOMONTH('&gt;&gt;Vistas Consolidadas'!$D$2, '&gt;&gt;Vistas Consolidadas'!$F$2),J830+I830,J830)</f>
        <v>62.5</v>
      </c>
      <c r="T830" s="18" t="str">
        <f ca="1">IF(C830&gt;='&gt;&gt;Vistas Consolidadas'!$D$2,"SI","NO")</f>
        <v>SI</v>
      </c>
      <c r="U830" s="358">
        <f ca="1">IF(C830&lt;=EOMONTH('&gt;&gt;Vistas Consolidadas'!$D$2, '&gt;&gt;Vistas Consolidadas'!$F$2),I830,0)</f>
        <v>62.5</v>
      </c>
      <c r="V830" s="18" t="b">
        <f ca="1">AND(C830&gt;='Interes Por Semana'!$C$4, C830&lt;='Interes Por Semana'!$E$4)</f>
        <v>0</v>
      </c>
      <c r="W830" s="18" t="str">
        <f t="shared" si="25"/>
        <v>sábado</v>
      </c>
    </row>
    <row r="831" spans="2:23" hidden="1" x14ac:dyDescent="0.25">
      <c r="B831" s="337">
        <v>45397</v>
      </c>
      <c r="C831" s="337">
        <v>46522</v>
      </c>
      <c r="D831" s="374" t="s">
        <v>96</v>
      </c>
      <c r="E831" s="309" t="s">
        <v>47</v>
      </c>
      <c r="F831" s="310" t="s">
        <v>97</v>
      </c>
      <c r="G831" s="311">
        <v>6</v>
      </c>
      <c r="H831" s="311">
        <v>12</v>
      </c>
      <c r="I831" s="340">
        <v>54.16</v>
      </c>
      <c r="J831" s="340"/>
      <c r="K831" s="311"/>
      <c r="L831" s="341">
        <f t="shared" si="27"/>
        <v>54.16</v>
      </c>
      <c r="M831" s="313"/>
      <c r="N831" s="313"/>
      <c r="O831" s="313"/>
      <c r="P831" s="313"/>
      <c r="Q831" s="311"/>
      <c r="R831" s="392"/>
      <c r="S831" s="358">
        <f ca="1">IF(C831&lt;=EOMONTH('&gt;&gt;Vistas Consolidadas'!$D$2, '&gt;&gt;Vistas Consolidadas'!$F$2),J831+I831,J831)</f>
        <v>54.16</v>
      </c>
      <c r="T831" s="18" t="str">
        <f ca="1">IF(C831&gt;='&gt;&gt;Vistas Consolidadas'!$D$2,"SI","NO")</f>
        <v>SI</v>
      </c>
      <c r="U831" s="358">
        <f ca="1">IF(C831&lt;=EOMONTH('&gt;&gt;Vistas Consolidadas'!$D$2, '&gt;&gt;Vistas Consolidadas'!$F$2),I831,0)</f>
        <v>54.16</v>
      </c>
      <c r="V831" s="18" t="b">
        <f ca="1">AND(C831&gt;='Interes Por Semana'!$C$4, C831&lt;='Interes Por Semana'!$E$4)</f>
        <v>0</v>
      </c>
      <c r="W831" s="18" t="str">
        <f t="shared" si="25"/>
        <v>sábado</v>
      </c>
    </row>
    <row r="832" spans="2:23" hidden="1" x14ac:dyDescent="0.25">
      <c r="B832" s="337">
        <v>45397</v>
      </c>
      <c r="C832" s="337">
        <v>46522</v>
      </c>
      <c r="D832" s="374" t="s">
        <v>96</v>
      </c>
      <c r="E832" s="309" t="s">
        <v>46</v>
      </c>
      <c r="F832" s="310" t="s">
        <v>97</v>
      </c>
      <c r="G832" s="311">
        <v>6</v>
      </c>
      <c r="H832" s="311">
        <v>12</v>
      </c>
      <c r="I832" s="340">
        <v>62.5</v>
      </c>
      <c r="J832" s="340"/>
      <c r="K832" s="311"/>
      <c r="L832" s="341">
        <f t="shared" si="27"/>
        <v>62.5</v>
      </c>
      <c r="M832" s="313"/>
      <c r="N832" s="313"/>
      <c r="O832" s="313"/>
      <c r="P832" s="313"/>
      <c r="Q832" s="311"/>
      <c r="R832" s="392"/>
      <c r="S832" s="358">
        <f ca="1">IF(C832&lt;=EOMONTH('&gt;&gt;Vistas Consolidadas'!$D$2, '&gt;&gt;Vistas Consolidadas'!$F$2),J832+I832,J832)</f>
        <v>62.5</v>
      </c>
      <c r="T832" s="18" t="str">
        <f ca="1">IF(C832&gt;='&gt;&gt;Vistas Consolidadas'!$D$2,"SI","NO")</f>
        <v>SI</v>
      </c>
      <c r="U832" s="358">
        <f ca="1">IF(C832&lt;=EOMONTH('&gt;&gt;Vistas Consolidadas'!$D$2, '&gt;&gt;Vistas Consolidadas'!$F$2),I832,0)</f>
        <v>62.5</v>
      </c>
      <c r="V832" s="18" t="b">
        <f ca="1">AND(C832&gt;='Interes Por Semana'!$C$4, C832&lt;='Interes Por Semana'!$E$4)</f>
        <v>0</v>
      </c>
      <c r="W832" s="18" t="str">
        <f t="shared" si="25"/>
        <v>sábado</v>
      </c>
    </row>
    <row r="833" spans="2:23" hidden="1" x14ac:dyDescent="0.25">
      <c r="B833" s="337">
        <v>45398</v>
      </c>
      <c r="C833" s="337">
        <v>46522</v>
      </c>
      <c r="D833" s="374" t="s">
        <v>96</v>
      </c>
      <c r="E833" s="309" t="s">
        <v>47</v>
      </c>
      <c r="F833" s="310" t="s">
        <v>97</v>
      </c>
      <c r="G833" s="311">
        <v>6</v>
      </c>
      <c r="H833" s="311">
        <v>12</v>
      </c>
      <c r="I833" s="340">
        <v>16.670000000000002</v>
      </c>
      <c r="J833" s="340"/>
      <c r="K833" s="311"/>
      <c r="L833" s="341">
        <f t="shared" si="27"/>
        <v>16.670000000000002</v>
      </c>
      <c r="M833" s="313"/>
      <c r="N833" s="313"/>
      <c r="O833" s="313"/>
      <c r="P833" s="313"/>
      <c r="Q833" s="311"/>
      <c r="R833" s="392"/>
      <c r="S833" s="358">
        <f ca="1">IF(C833&lt;=EOMONTH('&gt;&gt;Vistas Consolidadas'!$D$2, '&gt;&gt;Vistas Consolidadas'!$F$2),J833+I833,J833)</f>
        <v>16.670000000000002</v>
      </c>
      <c r="T833" s="18" t="str">
        <f ca="1">IF(C833&gt;='&gt;&gt;Vistas Consolidadas'!$D$2,"SI","NO")</f>
        <v>SI</v>
      </c>
      <c r="U833" s="358">
        <f ca="1">IF(C833&lt;=EOMONTH('&gt;&gt;Vistas Consolidadas'!$D$2, '&gt;&gt;Vistas Consolidadas'!$F$2),I833,0)</f>
        <v>16.670000000000002</v>
      </c>
      <c r="V833" s="18" t="b">
        <f ca="1">AND(C833&gt;='Interes Por Semana'!$C$4, C833&lt;='Interes Por Semana'!$E$4)</f>
        <v>0</v>
      </c>
      <c r="W833" s="18" t="str">
        <f t="shared" si="25"/>
        <v>sábado</v>
      </c>
    </row>
    <row r="834" spans="2:23" hidden="1" x14ac:dyDescent="0.25">
      <c r="B834" s="337">
        <v>46105</v>
      </c>
      <c r="C834" s="337">
        <v>46522</v>
      </c>
      <c r="D834" s="374" t="s">
        <v>96</v>
      </c>
      <c r="E834" s="309" t="s">
        <v>47</v>
      </c>
      <c r="F834" s="310" t="s">
        <v>97</v>
      </c>
      <c r="G834" s="311">
        <v>6</v>
      </c>
      <c r="H834" s="311">
        <v>10</v>
      </c>
      <c r="I834" s="340">
        <v>16.670000000000002</v>
      </c>
      <c r="J834" s="340"/>
      <c r="K834" s="311"/>
      <c r="L834" s="341">
        <f t="shared" si="27"/>
        <v>16.670000000000002</v>
      </c>
      <c r="M834" s="313"/>
      <c r="N834" s="313"/>
      <c r="O834" s="313"/>
      <c r="P834" s="313"/>
      <c r="Q834" s="311"/>
      <c r="R834" s="392"/>
      <c r="S834" s="358">
        <f ca="1">IF(C834&lt;=EOMONTH('&gt;&gt;Vistas Consolidadas'!$D$2, '&gt;&gt;Vistas Consolidadas'!$F$2),J834+I834,J834)</f>
        <v>16.670000000000002</v>
      </c>
      <c r="T834" s="18" t="str">
        <f ca="1">IF(C834&gt;='&gt;&gt;Vistas Consolidadas'!$D$2,"SI","NO")</f>
        <v>SI</v>
      </c>
      <c r="U834" s="358">
        <f ca="1">IF(C834&lt;=EOMONTH('&gt;&gt;Vistas Consolidadas'!$D$2, '&gt;&gt;Vistas Consolidadas'!$F$2),I834,0)</f>
        <v>16.670000000000002</v>
      </c>
      <c r="V834" s="18" t="b">
        <f ca="1">AND(C834&gt;='Interes Por Semana'!$C$4, C834&lt;='Interes Por Semana'!$E$4)</f>
        <v>0</v>
      </c>
      <c r="W834" s="18" t="str">
        <f t="shared" si="25"/>
        <v>sábado</v>
      </c>
    </row>
    <row r="835" spans="2:23" hidden="1" x14ac:dyDescent="0.25">
      <c r="B835" s="337">
        <v>44462</v>
      </c>
      <c r="C835" s="337">
        <v>46524</v>
      </c>
      <c r="D835" s="374" t="s">
        <v>78</v>
      </c>
      <c r="E835" s="309" t="s">
        <v>46</v>
      </c>
      <c r="F835" s="310" t="s">
        <v>98</v>
      </c>
      <c r="G835" s="311">
        <v>5.64</v>
      </c>
      <c r="H835" s="311">
        <v>8.1999999999999993</v>
      </c>
      <c r="I835" s="340">
        <v>61.76</v>
      </c>
      <c r="J835" s="340">
        <v>475.81</v>
      </c>
      <c r="K835" s="311"/>
      <c r="L835" s="340">
        <f t="shared" si="27"/>
        <v>61.76</v>
      </c>
      <c r="M835" s="311"/>
      <c r="N835" s="311"/>
      <c r="O835" s="311"/>
      <c r="P835" s="311"/>
      <c r="Q835" s="386"/>
      <c r="R835" s="392"/>
      <c r="S835" s="358">
        <f ca="1">IF(C835&lt;=EOMONTH('&gt;&gt;Vistas Consolidadas'!$D$2, '&gt;&gt;Vistas Consolidadas'!$F$2),J835+I835,J835)</f>
        <v>537.57000000000005</v>
      </c>
      <c r="T835" s="18" t="str">
        <f ca="1">IF(C835&gt;='&gt;&gt;Vistas Consolidadas'!$D$2,"SI","NO")</f>
        <v>SI</v>
      </c>
      <c r="U835" s="358">
        <f ca="1">IF(C835&lt;=EOMONTH('&gt;&gt;Vistas Consolidadas'!$D$2, '&gt;&gt;Vistas Consolidadas'!$F$2),I835,0)</f>
        <v>61.76</v>
      </c>
      <c r="V835" s="18" t="b">
        <f ca="1">AND(C835&gt;='Interes Por Semana'!$C$4, C835&lt;='Interes Por Semana'!$E$4)</f>
        <v>0</v>
      </c>
      <c r="W835" s="18" t="str">
        <f t="shared" ref="W835:W898" si="28">TEXT(C835, "dddd")</f>
        <v>lunes</v>
      </c>
    </row>
    <row r="836" spans="2:23" hidden="1" x14ac:dyDescent="0.25">
      <c r="B836" s="337">
        <v>46154</v>
      </c>
      <c r="C836" s="337">
        <v>46531</v>
      </c>
      <c r="D836" s="374" t="s">
        <v>78</v>
      </c>
      <c r="E836" s="309" t="s">
        <v>46</v>
      </c>
      <c r="F836" s="310" t="s">
        <v>155</v>
      </c>
      <c r="G836" s="311">
        <v>9.25</v>
      </c>
      <c r="H836" s="311">
        <v>9.5</v>
      </c>
      <c r="I836" s="387">
        <v>1048.6400000000001</v>
      </c>
      <c r="J836" s="340"/>
      <c r="K836" s="311"/>
      <c r="L836" s="340">
        <f t="shared" si="27"/>
        <v>1048.6400000000001</v>
      </c>
      <c r="M836" s="311"/>
      <c r="N836" s="311"/>
      <c r="O836" s="311"/>
      <c r="P836" s="311"/>
      <c r="Q836" s="386"/>
      <c r="R836" s="392"/>
      <c r="S836" s="358">
        <f ca="1">IF(C836&lt;=EOMONTH('&gt;&gt;Vistas Consolidadas'!$D$2, '&gt;&gt;Vistas Consolidadas'!$F$2),J836+I836,J836)</f>
        <v>1048.6400000000001</v>
      </c>
      <c r="T836" s="18" t="str">
        <f ca="1">IF(C836&gt;='&gt;&gt;Vistas Consolidadas'!$D$2,"SI","NO")</f>
        <v>SI</v>
      </c>
      <c r="U836" s="358">
        <f ca="1">IF(C836&lt;=EOMONTH('&gt;&gt;Vistas Consolidadas'!$D$2, '&gt;&gt;Vistas Consolidadas'!$F$2),I836,0)</f>
        <v>1048.6400000000001</v>
      </c>
      <c r="V836" s="18" t="b">
        <f ca="1">AND(C836&gt;='Interes Por Semana'!$C$4, C836&lt;='Interes Por Semana'!$E$4)</f>
        <v>0</v>
      </c>
      <c r="W836" s="18" t="str">
        <f t="shared" si="28"/>
        <v>lunes</v>
      </c>
    </row>
    <row r="837" spans="2:23" hidden="1" x14ac:dyDescent="0.25">
      <c r="B837" s="337">
        <v>45559</v>
      </c>
      <c r="C837" s="337">
        <v>46213</v>
      </c>
      <c r="D837" s="374" t="s">
        <v>118</v>
      </c>
      <c r="E837" s="309" t="s">
        <v>47</v>
      </c>
      <c r="F837" s="310" t="s">
        <v>119</v>
      </c>
      <c r="G837" s="311">
        <v>8.5</v>
      </c>
      <c r="H837" s="311">
        <v>12</v>
      </c>
      <c r="I837" s="340">
        <v>0</v>
      </c>
      <c r="J837" s="340">
        <v>257.11</v>
      </c>
      <c r="K837" s="311"/>
      <c r="L837" s="340">
        <f t="shared" si="27"/>
        <v>0</v>
      </c>
      <c r="M837" s="311"/>
      <c r="N837" s="311"/>
      <c r="O837" s="311"/>
      <c r="P837" s="311"/>
      <c r="Q837" s="311"/>
      <c r="R837" s="392"/>
      <c r="S837" s="358">
        <f ca="1">IF(C837&lt;=EOMONTH('&gt;&gt;Vistas Consolidadas'!$D$2, '&gt;&gt;Vistas Consolidadas'!$F$2),J837+I837,J837)</f>
        <v>257.11</v>
      </c>
      <c r="T837" s="18" t="str">
        <f ca="1">IF(C837&gt;='&gt;&gt;Vistas Consolidadas'!$D$2,"SI","NO")</f>
        <v>NO</v>
      </c>
      <c r="U837" s="358">
        <f ca="1">IF(C837&lt;=EOMONTH('&gt;&gt;Vistas Consolidadas'!$D$2, '&gt;&gt;Vistas Consolidadas'!$F$2),I837,0)</f>
        <v>0</v>
      </c>
      <c r="V837" s="18" t="b">
        <f ca="1">AND(C837&gt;='Interes Por Semana'!$C$4, C837&lt;='Interes Por Semana'!$E$4)</f>
        <v>0</v>
      </c>
      <c r="W837" s="18" t="str">
        <f t="shared" si="28"/>
        <v>viernes</v>
      </c>
    </row>
    <row r="838" spans="2:23" hidden="1" x14ac:dyDescent="0.25">
      <c r="B838" s="337">
        <v>45559</v>
      </c>
      <c r="C838" s="337">
        <v>46213</v>
      </c>
      <c r="D838" s="374" t="s">
        <v>118</v>
      </c>
      <c r="E838" s="309" t="s">
        <v>46</v>
      </c>
      <c r="F838" s="310" t="s">
        <v>119</v>
      </c>
      <c r="G838" s="311">
        <v>8.5</v>
      </c>
      <c r="H838" s="311">
        <v>12</v>
      </c>
      <c r="I838" s="340">
        <v>0</v>
      </c>
      <c r="J838" s="340">
        <v>40.78</v>
      </c>
      <c r="K838" s="311"/>
      <c r="L838" s="340">
        <f t="shared" si="27"/>
        <v>0</v>
      </c>
      <c r="M838" s="311"/>
      <c r="N838" s="311"/>
      <c r="O838" s="311"/>
      <c r="P838" s="311"/>
      <c r="Q838" s="311"/>
      <c r="R838" s="392"/>
      <c r="S838" s="358">
        <f ca="1">IF(C838&lt;=EOMONTH('&gt;&gt;Vistas Consolidadas'!$D$2, '&gt;&gt;Vistas Consolidadas'!$F$2),J838+I838,J838)</f>
        <v>40.78</v>
      </c>
      <c r="T838" s="18" t="str">
        <f ca="1">IF(C838&gt;='&gt;&gt;Vistas Consolidadas'!$D$2,"SI","NO")</f>
        <v>NO</v>
      </c>
      <c r="U838" s="358">
        <f ca="1">IF(C838&lt;=EOMONTH('&gt;&gt;Vistas Consolidadas'!$D$2, '&gt;&gt;Vistas Consolidadas'!$F$2),I838,0)</f>
        <v>0</v>
      </c>
      <c r="V838" s="18" t="b">
        <f ca="1">AND(C838&gt;='Interes Por Semana'!$C$4, C838&lt;='Interes Por Semana'!$E$4)</f>
        <v>0</v>
      </c>
      <c r="W838" s="18" t="str">
        <f t="shared" si="28"/>
        <v>viernes</v>
      </c>
    </row>
    <row r="839" spans="2:23" hidden="1" x14ac:dyDescent="0.25">
      <c r="B839" s="337">
        <v>45559</v>
      </c>
      <c r="C839" s="337">
        <v>46213</v>
      </c>
      <c r="D839" s="374" t="s">
        <v>118</v>
      </c>
      <c r="E839" s="309" t="s">
        <v>48</v>
      </c>
      <c r="F839" s="310" t="s">
        <v>119</v>
      </c>
      <c r="G839" s="311">
        <v>8.5</v>
      </c>
      <c r="H839" s="311">
        <v>12</v>
      </c>
      <c r="I839" s="340">
        <v>0</v>
      </c>
      <c r="J839" s="340">
        <v>165.67</v>
      </c>
      <c r="K839" s="311"/>
      <c r="L839" s="340">
        <f t="shared" si="27"/>
        <v>0</v>
      </c>
      <c r="M839" s="311"/>
      <c r="N839" s="311"/>
      <c r="O839" s="311"/>
      <c r="P839" s="311"/>
      <c r="Q839" s="311"/>
      <c r="R839" s="392"/>
      <c r="S839" s="358">
        <f ca="1">IF(C839&lt;=EOMONTH('&gt;&gt;Vistas Consolidadas'!$D$2, '&gt;&gt;Vistas Consolidadas'!$F$2),J839+I839,J839)</f>
        <v>165.67</v>
      </c>
      <c r="T839" s="18" t="str">
        <f ca="1">IF(C839&gt;='&gt;&gt;Vistas Consolidadas'!$D$2,"SI","NO")</f>
        <v>NO</v>
      </c>
      <c r="U839" s="358">
        <f ca="1">IF(C839&lt;=EOMONTH('&gt;&gt;Vistas Consolidadas'!$D$2, '&gt;&gt;Vistas Consolidadas'!$F$2),I839,0)</f>
        <v>0</v>
      </c>
      <c r="V839" s="18" t="b">
        <f ca="1">AND(C839&gt;='Interes Por Semana'!$C$4, C839&lt;='Interes Por Semana'!$E$4)</f>
        <v>0</v>
      </c>
      <c r="W839" s="18" t="str">
        <f t="shared" si="28"/>
        <v>viernes</v>
      </c>
    </row>
    <row r="840" spans="2:23" hidden="1" x14ac:dyDescent="0.25">
      <c r="B840" s="337">
        <v>46162</v>
      </c>
      <c r="C840" s="337">
        <v>46199</v>
      </c>
      <c r="D840" s="374" t="s">
        <v>78</v>
      </c>
      <c r="E840" s="309" t="s">
        <v>138</v>
      </c>
      <c r="F840" s="310" t="s">
        <v>158</v>
      </c>
      <c r="G840" s="311">
        <v>5.36</v>
      </c>
      <c r="H840" s="311">
        <v>9</v>
      </c>
      <c r="I840" s="340">
        <v>17.420000000000002</v>
      </c>
      <c r="J840" s="340"/>
      <c r="K840" s="311"/>
      <c r="L840" s="340">
        <f t="shared" si="27"/>
        <v>17.420000000000002</v>
      </c>
      <c r="M840" s="311"/>
      <c r="N840" s="311"/>
      <c r="O840" s="311"/>
      <c r="P840" s="311"/>
      <c r="Q840" s="386"/>
      <c r="R840" s="392">
        <v>369184</v>
      </c>
      <c r="S840" s="358">
        <f ca="1">IF(C840&lt;=EOMONTH('&gt;&gt;Vistas Consolidadas'!$D$2, '&gt;&gt;Vistas Consolidadas'!$F$2),J840+I840,J840)</f>
        <v>17.420000000000002</v>
      </c>
      <c r="T840" s="18" t="str">
        <f ca="1">IF(C840&gt;='&gt;&gt;Vistas Consolidadas'!$D$2,"SI","NO")</f>
        <v>NO</v>
      </c>
      <c r="U840" s="358">
        <f ca="1">IF(C840&lt;=EOMONTH('&gt;&gt;Vistas Consolidadas'!$D$2, '&gt;&gt;Vistas Consolidadas'!$F$2),I840,0)</f>
        <v>17.420000000000002</v>
      </c>
      <c r="V840" s="18" t="b">
        <f ca="1">AND(C840&gt;='Interes Por Semana'!$C$4, C840&lt;='Interes Por Semana'!$E$4)</f>
        <v>0</v>
      </c>
      <c r="W840" s="18" t="str">
        <f t="shared" si="28"/>
        <v>viernes</v>
      </c>
    </row>
    <row r="841" spans="2:23" hidden="1" x14ac:dyDescent="0.25">
      <c r="B841" s="337">
        <v>46162</v>
      </c>
      <c r="C841" s="337">
        <v>46229</v>
      </c>
      <c r="D841" s="374" t="s">
        <v>78</v>
      </c>
      <c r="E841" s="309" t="s">
        <v>138</v>
      </c>
      <c r="F841" s="310" t="s">
        <v>158</v>
      </c>
      <c r="G841" s="311">
        <v>5.36</v>
      </c>
      <c r="H841" s="311">
        <v>9</v>
      </c>
      <c r="I841" s="340">
        <v>17.420000000000002</v>
      </c>
      <c r="J841" s="340"/>
      <c r="K841" s="311"/>
      <c r="L841" s="340">
        <f t="shared" si="27"/>
        <v>17.420000000000002</v>
      </c>
      <c r="M841" s="311"/>
      <c r="N841" s="311"/>
      <c r="O841" s="311"/>
      <c r="P841" s="311"/>
      <c r="Q841" s="386"/>
      <c r="R841" s="392">
        <v>369184</v>
      </c>
      <c r="S841" s="358">
        <f ca="1">IF(C841&lt;=EOMONTH('&gt;&gt;Vistas Consolidadas'!$D$2, '&gt;&gt;Vistas Consolidadas'!$F$2),J841+I841,J841)</f>
        <v>17.420000000000002</v>
      </c>
      <c r="T841" s="18" t="str">
        <f ca="1">IF(C841&gt;='&gt;&gt;Vistas Consolidadas'!$D$2,"SI","NO")</f>
        <v>NO</v>
      </c>
      <c r="U841" s="358">
        <f ca="1">IF(C841&lt;=EOMONTH('&gt;&gt;Vistas Consolidadas'!$D$2, '&gt;&gt;Vistas Consolidadas'!$F$2),I841,0)</f>
        <v>17.420000000000002</v>
      </c>
      <c r="V841" s="18" t="b">
        <f ca="1">AND(C841&gt;='Interes Por Semana'!$C$4, C841&lt;='Interes Por Semana'!$E$4)</f>
        <v>0</v>
      </c>
      <c r="W841" s="18" t="str">
        <f t="shared" si="28"/>
        <v>domingo</v>
      </c>
    </row>
    <row r="842" spans="2:23" hidden="1" x14ac:dyDescent="0.25">
      <c r="B842" s="337">
        <v>46162</v>
      </c>
      <c r="C842" s="337">
        <v>46260</v>
      </c>
      <c r="D842" s="374" t="s">
        <v>78</v>
      </c>
      <c r="E842" s="309" t="s">
        <v>138</v>
      </c>
      <c r="F842" s="310" t="s">
        <v>158</v>
      </c>
      <c r="G842" s="311">
        <v>5.36</v>
      </c>
      <c r="H842" s="311">
        <v>9</v>
      </c>
      <c r="I842" s="340">
        <v>17.420000000000002</v>
      </c>
      <c r="J842" s="340"/>
      <c r="K842" s="311"/>
      <c r="L842" s="340">
        <f t="shared" si="27"/>
        <v>17.420000000000002</v>
      </c>
      <c r="M842" s="311"/>
      <c r="N842" s="311"/>
      <c r="O842" s="311"/>
      <c r="P842" s="311"/>
      <c r="Q842" s="386"/>
      <c r="R842" s="392">
        <v>369184</v>
      </c>
      <c r="S842" s="358">
        <f ca="1">IF(C842&lt;=EOMONTH('&gt;&gt;Vistas Consolidadas'!$D$2, '&gt;&gt;Vistas Consolidadas'!$F$2),J842+I842,J842)</f>
        <v>17.420000000000002</v>
      </c>
      <c r="T842" s="18" t="str">
        <f ca="1">IF(C842&gt;='&gt;&gt;Vistas Consolidadas'!$D$2,"SI","NO")</f>
        <v>NO</v>
      </c>
      <c r="U842" s="358">
        <f ca="1">IF(C842&lt;=EOMONTH('&gt;&gt;Vistas Consolidadas'!$D$2, '&gt;&gt;Vistas Consolidadas'!$F$2),I842,0)</f>
        <v>17.420000000000002</v>
      </c>
      <c r="V842" s="18" t="b">
        <f ca="1">AND(C842&gt;='Interes Por Semana'!$C$4, C842&lt;='Interes Por Semana'!$E$4)</f>
        <v>0</v>
      </c>
      <c r="W842" s="18" t="str">
        <f t="shared" si="28"/>
        <v>miércoles</v>
      </c>
    </row>
    <row r="843" spans="2:23" hidden="1" x14ac:dyDescent="0.25">
      <c r="B843" s="337">
        <v>46162</v>
      </c>
      <c r="C843" s="337">
        <v>46291</v>
      </c>
      <c r="D843" s="374" t="s">
        <v>78</v>
      </c>
      <c r="E843" s="309" t="s">
        <v>138</v>
      </c>
      <c r="F843" s="310" t="s">
        <v>158</v>
      </c>
      <c r="G843" s="311">
        <v>5.36</v>
      </c>
      <c r="H843" s="311">
        <v>9</v>
      </c>
      <c r="I843" s="340">
        <v>17.420000000000002</v>
      </c>
      <c r="J843" s="340"/>
      <c r="K843" s="311"/>
      <c r="L843" s="340">
        <f t="shared" si="27"/>
        <v>17.420000000000002</v>
      </c>
      <c r="M843" s="311"/>
      <c r="N843" s="311"/>
      <c r="O843" s="311"/>
      <c r="P843" s="311"/>
      <c r="Q843" s="386"/>
      <c r="R843" s="392">
        <v>369184</v>
      </c>
      <c r="S843" s="358">
        <f ca="1">IF(C843&lt;=EOMONTH('&gt;&gt;Vistas Consolidadas'!$D$2, '&gt;&gt;Vistas Consolidadas'!$F$2),J843+I843,J843)</f>
        <v>17.420000000000002</v>
      </c>
      <c r="T843" s="18" t="str">
        <f ca="1">IF(C843&gt;='&gt;&gt;Vistas Consolidadas'!$D$2,"SI","NO")</f>
        <v>NO</v>
      </c>
      <c r="U843" s="358">
        <f ca="1">IF(C843&lt;=EOMONTH('&gt;&gt;Vistas Consolidadas'!$D$2, '&gt;&gt;Vistas Consolidadas'!$F$2),I843,0)</f>
        <v>17.420000000000002</v>
      </c>
      <c r="V843" s="18" t="b">
        <f ca="1">AND(C843&gt;='Interes Por Semana'!$C$4, C843&lt;='Interes Por Semana'!$E$4)</f>
        <v>0</v>
      </c>
      <c r="W843" s="18" t="str">
        <f t="shared" si="28"/>
        <v>sábado</v>
      </c>
    </row>
    <row r="844" spans="2:23" hidden="1" x14ac:dyDescent="0.25">
      <c r="B844" s="337">
        <v>46162</v>
      </c>
      <c r="C844" s="337">
        <v>46321</v>
      </c>
      <c r="D844" s="374" t="s">
        <v>78</v>
      </c>
      <c r="E844" s="309" t="s">
        <v>138</v>
      </c>
      <c r="F844" s="310" t="s">
        <v>158</v>
      </c>
      <c r="G844" s="311">
        <v>5.36</v>
      </c>
      <c r="H844" s="311">
        <v>9</v>
      </c>
      <c r="I844" s="340">
        <v>17.420000000000002</v>
      </c>
      <c r="J844" s="340"/>
      <c r="K844" s="311"/>
      <c r="L844" s="340">
        <f t="shared" si="27"/>
        <v>17.420000000000002</v>
      </c>
      <c r="M844" s="311"/>
      <c r="N844" s="311"/>
      <c r="O844" s="311"/>
      <c r="P844" s="311"/>
      <c r="Q844" s="386"/>
      <c r="R844" s="392">
        <v>369184</v>
      </c>
      <c r="S844" s="358">
        <f ca="1">IF(C844&lt;=EOMONTH('&gt;&gt;Vistas Consolidadas'!$D$2, '&gt;&gt;Vistas Consolidadas'!$F$2),J844+I844,J844)</f>
        <v>17.420000000000002</v>
      </c>
      <c r="T844" s="18" t="str">
        <f ca="1">IF(C844&gt;='&gt;&gt;Vistas Consolidadas'!$D$2,"SI","NO")</f>
        <v>SI</v>
      </c>
      <c r="U844" s="358">
        <f ca="1">IF(C844&lt;=EOMONTH('&gt;&gt;Vistas Consolidadas'!$D$2, '&gt;&gt;Vistas Consolidadas'!$F$2),I844,0)</f>
        <v>17.420000000000002</v>
      </c>
      <c r="V844" s="18" t="b">
        <f ca="1">AND(C844&gt;='Interes Por Semana'!$C$4, C844&lt;='Interes Por Semana'!$E$4)</f>
        <v>0</v>
      </c>
      <c r="W844" s="18" t="str">
        <f t="shared" si="28"/>
        <v>lunes</v>
      </c>
    </row>
    <row r="845" spans="2:23" hidden="1" x14ac:dyDescent="0.25">
      <c r="B845" s="337">
        <v>46162</v>
      </c>
      <c r="C845" s="337">
        <v>46352</v>
      </c>
      <c r="D845" s="374" t="s">
        <v>78</v>
      </c>
      <c r="E845" s="309" t="s">
        <v>138</v>
      </c>
      <c r="F845" s="310" t="s">
        <v>158</v>
      </c>
      <c r="G845" s="311">
        <v>5.36</v>
      </c>
      <c r="H845" s="311">
        <v>9</v>
      </c>
      <c r="I845" s="340">
        <v>17.420000000000002</v>
      </c>
      <c r="J845" s="340"/>
      <c r="K845" s="311"/>
      <c r="L845" s="340">
        <f t="shared" si="27"/>
        <v>17.420000000000002</v>
      </c>
      <c r="M845" s="311"/>
      <c r="N845" s="311"/>
      <c r="O845" s="311"/>
      <c r="P845" s="311"/>
      <c r="Q845" s="386"/>
      <c r="R845" s="392">
        <v>369184</v>
      </c>
      <c r="S845" s="358">
        <f ca="1">IF(C845&lt;=EOMONTH('&gt;&gt;Vistas Consolidadas'!$D$2, '&gt;&gt;Vistas Consolidadas'!$F$2),J845+I845,J845)</f>
        <v>17.420000000000002</v>
      </c>
      <c r="T845" s="18" t="str">
        <f ca="1">IF(C845&gt;='&gt;&gt;Vistas Consolidadas'!$D$2,"SI","NO")</f>
        <v>SI</v>
      </c>
      <c r="U845" s="358">
        <f ca="1">IF(C845&lt;=EOMONTH('&gt;&gt;Vistas Consolidadas'!$D$2, '&gt;&gt;Vistas Consolidadas'!$F$2),I845,0)</f>
        <v>17.420000000000002</v>
      </c>
      <c r="V845" s="18" t="b">
        <f ca="1">AND(C845&gt;='Interes Por Semana'!$C$4, C845&lt;='Interes Por Semana'!$E$4)</f>
        <v>0</v>
      </c>
      <c r="W845" s="18" t="str">
        <f t="shared" si="28"/>
        <v>jueves</v>
      </c>
    </row>
    <row r="846" spans="2:23" hidden="1" x14ac:dyDescent="0.25">
      <c r="B846" s="337">
        <v>46162</v>
      </c>
      <c r="C846" s="337">
        <v>46382</v>
      </c>
      <c r="D846" s="374" t="s">
        <v>78</v>
      </c>
      <c r="E846" s="309" t="s">
        <v>138</v>
      </c>
      <c r="F846" s="310" t="s">
        <v>158</v>
      </c>
      <c r="G846" s="311">
        <v>5.36</v>
      </c>
      <c r="H846" s="311">
        <v>9</v>
      </c>
      <c r="I846" s="340">
        <v>17.420000000000002</v>
      </c>
      <c r="J846" s="340"/>
      <c r="K846" s="311"/>
      <c r="L846" s="340">
        <f t="shared" si="27"/>
        <v>17.420000000000002</v>
      </c>
      <c r="M846" s="311"/>
      <c r="N846" s="311"/>
      <c r="O846" s="311"/>
      <c r="P846" s="311"/>
      <c r="Q846" s="386"/>
      <c r="R846" s="392">
        <v>369184</v>
      </c>
      <c r="S846" s="358">
        <f ca="1">IF(C846&lt;=EOMONTH('&gt;&gt;Vistas Consolidadas'!$D$2, '&gt;&gt;Vistas Consolidadas'!$F$2),J846+I846,J846)</f>
        <v>17.420000000000002</v>
      </c>
      <c r="T846" s="18" t="str">
        <f ca="1">IF(C846&gt;='&gt;&gt;Vistas Consolidadas'!$D$2,"SI","NO")</f>
        <v>SI</v>
      </c>
      <c r="U846" s="358">
        <f ca="1">IF(C846&lt;=EOMONTH('&gt;&gt;Vistas Consolidadas'!$D$2, '&gt;&gt;Vistas Consolidadas'!$F$2),I846,0)</f>
        <v>17.420000000000002</v>
      </c>
      <c r="V846" s="18" t="b">
        <f ca="1">AND(C846&gt;='Interes Por Semana'!$C$4, C846&lt;='Interes Por Semana'!$E$4)</f>
        <v>0</v>
      </c>
      <c r="W846" s="18" t="str">
        <f t="shared" si="28"/>
        <v>sábado</v>
      </c>
    </row>
    <row r="847" spans="2:23" hidden="1" x14ac:dyDescent="0.25">
      <c r="B847" s="337">
        <v>46162</v>
      </c>
      <c r="C847" s="337">
        <v>46413</v>
      </c>
      <c r="D847" s="374" t="s">
        <v>78</v>
      </c>
      <c r="E847" s="309" t="s">
        <v>138</v>
      </c>
      <c r="F847" s="310" t="s">
        <v>158</v>
      </c>
      <c r="G847" s="311">
        <v>5.36</v>
      </c>
      <c r="H847" s="311">
        <v>9</v>
      </c>
      <c r="I847" s="340">
        <v>17.420000000000002</v>
      </c>
      <c r="J847" s="340"/>
      <c r="K847" s="311"/>
      <c r="L847" s="340">
        <f t="shared" si="27"/>
        <v>17.420000000000002</v>
      </c>
      <c r="M847" s="311"/>
      <c r="N847" s="311"/>
      <c r="O847" s="311"/>
      <c r="P847" s="311"/>
      <c r="Q847" s="386"/>
      <c r="R847" s="392">
        <v>369184</v>
      </c>
      <c r="S847" s="358">
        <f ca="1">IF(C847&lt;=EOMONTH('&gt;&gt;Vistas Consolidadas'!$D$2, '&gt;&gt;Vistas Consolidadas'!$F$2),J847+I847,J847)</f>
        <v>17.420000000000002</v>
      </c>
      <c r="T847" s="18" t="str">
        <f ca="1">IF(C847&gt;='&gt;&gt;Vistas Consolidadas'!$D$2,"SI","NO")</f>
        <v>SI</v>
      </c>
      <c r="U847" s="358">
        <f ca="1">IF(C847&lt;=EOMONTH('&gt;&gt;Vistas Consolidadas'!$D$2, '&gt;&gt;Vistas Consolidadas'!$F$2),I847,0)</f>
        <v>17.420000000000002</v>
      </c>
      <c r="V847" s="18" t="b">
        <f ca="1">AND(C847&gt;='Interes Por Semana'!$C$4, C847&lt;='Interes Por Semana'!$E$4)</f>
        <v>0</v>
      </c>
      <c r="W847" s="18" t="str">
        <f t="shared" si="28"/>
        <v>martes</v>
      </c>
    </row>
    <row r="848" spans="2:23" hidden="1" x14ac:dyDescent="0.25">
      <c r="B848" s="337">
        <v>46162</v>
      </c>
      <c r="C848" s="337">
        <v>46444</v>
      </c>
      <c r="D848" s="374" t="s">
        <v>78</v>
      </c>
      <c r="E848" s="309" t="s">
        <v>138</v>
      </c>
      <c r="F848" s="310" t="s">
        <v>158</v>
      </c>
      <c r="G848" s="311">
        <v>5.36</v>
      </c>
      <c r="H848" s="311">
        <v>9</v>
      </c>
      <c r="I848" s="340">
        <v>17.420000000000002</v>
      </c>
      <c r="J848" s="340"/>
      <c r="K848" s="311"/>
      <c r="L848" s="340">
        <f t="shared" si="27"/>
        <v>17.420000000000002</v>
      </c>
      <c r="M848" s="311"/>
      <c r="N848" s="311"/>
      <c r="O848" s="311"/>
      <c r="P848" s="311"/>
      <c r="Q848" s="386"/>
      <c r="R848" s="392">
        <v>369184</v>
      </c>
      <c r="S848" s="358">
        <f ca="1">IF(C848&lt;=EOMONTH('&gt;&gt;Vistas Consolidadas'!$D$2, '&gt;&gt;Vistas Consolidadas'!$F$2),J848+I848,J848)</f>
        <v>17.420000000000002</v>
      </c>
      <c r="T848" s="18" t="str">
        <f ca="1">IF(C848&gt;='&gt;&gt;Vistas Consolidadas'!$D$2,"SI","NO")</f>
        <v>SI</v>
      </c>
      <c r="U848" s="358">
        <f ca="1">IF(C848&lt;=EOMONTH('&gt;&gt;Vistas Consolidadas'!$D$2, '&gt;&gt;Vistas Consolidadas'!$F$2),I848,0)</f>
        <v>17.420000000000002</v>
      </c>
      <c r="V848" s="18" t="b">
        <f ca="1">AND(C848&gt;='Interes Por Semana'!$C$4, C848&lt;='Interes Por Semana'!$E$4)</f>
        <v>0</v>
      </c>
      <c r="W848" s="18" t="str">
        <f t="shared" si="28"/>
        <v>viernes</v>
      </c>
    </row>
    <row r="849" spans="2:23" hidden="1" x14ac:dyDescent="0.25">
      <c r="B849" s="337">
        <v>46162</v>
      </c>
      <c r="C849" s="337">
        <v>46472</v>
      </c>
      <c r="D849" s="374" t="s">
        <v>78</v>
      </c>
      <c r="E849" s="309" t="s">
        <v>138</v>
      </c>
      <c r="F849" s="310" t="s">
        <v>158</v>
      </c>
      <c r="G849" s="311">
        <v>5.36</v>
      </c>
      <c r="H849" s="311">
        <v>9</v>
      </c>
      <c r="I849" s="340">
        <v>17.420000000000002</v>
      </c>
      <c r="J849" s="340"/>
      <c r="K849" s="311"/>
      <c r="L849" s="340">
        <f t="shared" si="27"/>
        <v>17.420000000000002</v>
      </c>
      <c r="M849" s="311"/>
      <c r="N849" s="311"/>
      <c r="O849" s="311"/>
      <c r="P849" s="311"/>
      <c r="Q849" s="386"/>
      <c r="R849" s="392">
        <v>369184</v>
      </c>
      <c r="S849" s="358">
        <f ca="1">IF(C849&lt;=EOMONTH('&gt;&gt;Vistas Consolidadas'!$D$2, '&gt;&gt;Vistas Consolidadas'!$F$2),J849+I849,J849)</f>
        <v>17.420000000000002</v>
      </c>
      <c r="T849" s="18" t="str">
        <f ca="1">IF(C849&gt;='&gt;&gt;Vistas Consolidadas'!$D$2,"SI","NO")</f>
        <v>SI</v>
      </c>
      <c r="U849" s="358">
        <f ca="1">IF(C849&lt;=EOMONTH('&gt;&gt;Vistas Consolidadas'!$D$2, '&gt;&gt;Vistas Consolidadas'!$F$2),I849,0)</f>
        <v>17.420000000000002</v>
      </c>
      <c r="V849" s="18" t="b">
        <f ca="1">AND(C849&gt;='Interes Por Semana'!$C$4, C849&lt;='Interes Por Semana'!$E$4)</f>
        <v>0</v>
      </c>
      <c r="W849" s="18" t="str">
        <f t="shared" si="28"/>
        <v>viernes</v>
      </c>
    </row>
    <row r="850" spans="2:23" hidden="1" x14ac:dyDescent="0.25">
      <c r="B850" s="337">
        <v>46162</v>
      </c>
      <c r="C850" s="337">
        <v>46503</v>
      </c>
      <c r="D850" s="374" t="s">
        <v>78</v>
      </c>
      <c r="E850" s="309" t="s">
        <v>138</v>
      </c>
      <c r="F850" s="310" t="s">
        <v>158</v>
      </c>
      <c r="G850" s="311">
        <v>5.36</v>
      </c>
      <c r="H850" s="311">
        <v>9</v>
      </c>
      <c r="I850" s="340">
        <v>17.420000000000002</v>
      </c>
      <c r="J850" s="340"/>
      <c r="K850" s="311"/>
      <c r="L850" s="340">
        <f t="shared" si="27"/>
        <v>17.420000000000002</v>
      </c>
      <c r="M850" s="311"/>
      <c r="N850" s="311"/>
      <c r="O850" s="311"/>
      <c r="P850" s="311"/>
      <c r="Q850" s="386"/>
      <c r="R850" s="392">
        <v>369184</v>
      </c>
      <c r="S850" s="358">
        <f ca="1">IF(C850&lt;=EOMONTH('&gt;&gt;Vistas Consolidadas'!$D$2, '&gt;&gt;Vistas Consolidadas'!$F$2),J850+I850,J850)</f>
        <v>17.420000000000002</v>
      </c>
      <c r="T850" s="18" t="str">
        <f ca="1">IF(C850&gt;='&gt;&gt;Vistas Consolidadas'!$D$2,"SI","NO")</f>
        <v>SI</v>
      </c>
      <c r="U850" s="358">
        <f ca="1">IF(C850&lt;=EOMONTH('&gt;&gt;Vistas Consolidadas'!$D$2, '&gt;&gt;Vistas Consolidadas'!$F$2),I850,0)</f>
        <v>17.420000000000002</v>
      </c>
      <c r="V850" s="18" t="b">
        <f ca="1">AND(C850&gt;='Interes Por Semana'!$C$4, C850&lt;='Interes Por Semana'!$E$4)</f>
        <v>0</v>
      </c>
      <c r="W850" s="18" t="str">
        <f t="shared" si="28"/>
        <v>lunes</v>
      </c>
    </row>
    <row r="851" spans="2:23" hidden="1" x14ac:dyDescent="0.25">
      <c r="B851" s="337">
        <v>46162</v>
      </c>
      <c r="C851" s="337">
        <v>46533</v>
      </c>
      <c r="D851" s="374" t="s">
        <v>78</v>
      </c>
      <c r="E851" s="309" t="s">
        <v>138</v>
      </c>
      <c r="F851" s="310" t="s">
        <v>158</v>
      </c>
      <c r="G851" s="311">
        <v>5.36</v>
      </c>
      <c r="H851" s="311">
        <v>9</v>
      </c>
      <c r="I851" s="340">
        <v>17.420000000000002</v>
      </c>
      <c r="J851" s="340"/>
      <c r="K851" s="311"/>
      <c r="L851" s="340">
        <f t="shared" si="27"/>
        <v>17.420000000000002</v>
      </c>
      <c r="M851" s="311"/>
      <c r="N851" s="311"/>
      <c r="O851" s="311"/>
      <c r="P851" s="311"/>
      <c r="Q851" s="386"/>
      <c r="R851" s="392">
        <v>369184</v>
      </c>
      <c r="S851" s="358">
        <f ca="1">IF(C851&lt;=EOMONTH('&gt;&gt;Vistas Consolidadas'!$D$2, '&gt;&gt;Vistas Consolidadas'!$F$2),J851+I851,J851)</f>
        <v>17.420000000000002</v>
      </c>
      <c r="T851" s="18" t="str">
        <f ca="1">IF(C851&gt;='&gt;&gt;Vistas Consolidadas'!$D$2,"SI","NO")</f>
        <v>SI</v>
      </c>
      <c r="U851" s="358">
        <f ca="1">IF(C851&lt;=EOMONTH('&gt;&gt;Vistas Consolidadas'!$D$2, '&gt;&gt;Vistas Consolidadas'!$F$2),I851,0)</f>
        <v>17.420000000000002</v>
      </c>
      <c r="V851" s="18" t="b">
        <f ca="1">AND(C851&gt;='Interes Por Semana'!$C$4, C851&lt;='Interes Por Semana'!$E$4)</f>
        <v>0</v>
      </c>
      <c r="W851" s="18" t="str">
        <f t="shared" si="28"/>
        <v>miércoles</v>
      </c>
    </row>
    <row r="852" spans="2:23" hidden="1" x14ac:dyDescent="0.25">
      <c r="B852" s="337">
        <v>46188</v>
      </c>
      <c r="C852" s="337">
        <v>46190</v>
      </c>
      <c r="D852" s="374" t="s">
        <v>78</v>
      </c>
      <c r="E852" s="309" t="s">
        <v>48</v>
      </c>
      <c r="F852" s="310" t="s">
        <v>168</v>
      </c>
      <c r="G852" s="311">
        <v>6.21</v>
      </c>
      <c r="H852" s="311">
        <v>9</v>
      </c>
      <c r="I852" s="340">
        <v>48.44</v>
      </c>
      <c r="J852" s="340">
        <v>3.47</v>
      </c>
      <c r="K852" s="311"/>
      <c r="L852" s="340">
        <f t="shared" si="27"/>
        <v>48.44</v>
      </c>
      <c r="M852" s="311"/>
      <c r="N852" s="311"/>
      <c r="O852" s="311"/>
      <c r="P852" s="311"/>
      <c r="Q852" s="386"/>
      <c r="R852" s="392"/>
      <c r="S852" s="358">
        <f ca="1">IF(C852&lt;=EOMONTH('&gt;&gt;Vistas Consolidadas'!$D$2, '&gt;&gt;Vistas Consolidadas'!$F$2),J852+I852,J852)</f>
        <v>51.91</v>
      </c>
      <c r="T852" s="18" t="str">
        <f ca="1">IF(C852&gt;='&gt;&gt;Vistas Consolidadas'!$D$2,"SI","NO")</f>
        <v>NO</v>
      </c>
      <c r="U852" s="358">
        <f ca="1">IF(C852&lt;=EOMONTH('&gt;&gt;Vistas Consolidadas'!$D$2, '&gt;&gt;Vistas Consolidadas'!$F$2),I852,0)</f>
        <v>48.44</v>
      </c>
      <c r="V852" s="18" t="b">
        <f ca="1">AND(C852&gt;='Interes Por Semana'!$C$4, C852&lt;='Interes Por Semana'!$E$4)</f>
        <v>0</v>
      </c>
      <c r="W852" s="18" t="str">
        <f t="shared" si="28"/>
        <v>miércoles</v>
      </c>
    </row>
    <row r="853" spans="2:23" hidden="1" x14ac:dyDescent="0.25">
      <c r="B853" s="337">
        <v>46188</v>
      </c>
      <c r="C853" s="337">
        <v>46220</v>
      </c>
      <c r="D853" s="374" t="s">
        <v>78</v>
      </c>
      <c r="E853" s="309" t="s">
        <v>48</v>
      </c>
      <c r="F853" s="310" t="s">
        <v>168</v>
      </c>
      <c r="G853" s="311">
        <v>6.21</v>
      </c>
      <c r="H853" s="311">
        <v>9</v>
      </c>
      <c r="I853" s="340">
        <v>51.91</v>
      </c>
      <c r="J853" s="340"/>
      <c r="K853" s="311"/>
      <c r="L853" s="340">
        <f t="shared" si="27"/>
        <v>51.91</v>
      </c>
      <c r="M853" s="311"/>
      <c r="N853" s="311"/>
      <c r="O853" s="311"/>
      <c r="P853" s="311"/>
      <c r="Q853" s="386"/>
      <c r="R853" s="392"/>
      <c r="S853" s="358">
        <f ca="1">IF(C853&lt;=EOMONTH('&gt;&gt;Vistas Consolidadas'!$D$2, '&gt;&gt;Vistas Consolidadas'!$F$2),J853+I853,J853)</f>
        <v>51.91</v>
      </c>
      <c r="T853" s="18" t="str">
        <f ca="1">IF(C853&gt;='&gt;&gt;Vistas Consolidadas'!$D$2,"SI","NO")</f>
        <v>NO</v>
      </c>
      <c r="U853" s="358">
        <f ca="1">IF(C853&lt;=EOMONTH('&gt;&gt;Vistas Consolidadas'!$D$2, '&gt;&gt;Vistas Consolidadas'!$F$2),I853,0)</f>
        <v>51.91</v>
      </c>
      <c r="V853" s="18" t="b">
        <f ca="1">AND(C853&gt;='Interes Por Semana'!$C$4, C853&lt;='Interes Por Semana'!$E$4)</f>
        <v>0</v>
      </c>
      <c r="W853" s="18" t="str">
        <f t="shared" si="28"/>
        <v>viernes</v>
      </c>
    </row>
    <row r="854" spans="2:23" hidden="1" x14ac:dyDescent="0.25">
      <c r="B854" s="337">
        <v>46188</v>
      </c>
      <c r="C854" s="337">
        <v>46251</v>
      </c>
      <c r="D854" s="374" t="s">
        <v>78</v>
      </c>
      <c r="E854" s="309" t="s">
        <v>48</v>
      </c>
      <c r="F854" s="310" t="s">
        <v>168</v>
      </c>
      <c r="G854" s="311">
        <v>6.21</v>
      </c>
      <c r="H854" s="311">
        <v>9</v>
      </c>
      <c r="I854" s="340">
        <v>51.91</v>
      </c>
      <c r="J854" s="340"/>
      <c r="K854" s="311"/>
      <c r="L854" s="340">
        <f t="shared" si="27"/>
        <v>51.91</v>
      </c>
      <c r="M854" s="311"/>
      <c r="N854" s="311"/>
      <c r="O854" s="311"/>
      <c r="P854" s="311"/>
      <c r="Q854" s="386"/>
      <c r="R854" s="392"/>
      <c r="S854" s="358">
        <f ca="1">IF(C854&lt;=EOMONTH('&gt;&gt;Vistas Consolidadas'!$D$2, '&gt;&gt;Vistas Consolidadas'!$F$2),J854+I854,J854)</f>
        <v>51.91</v>
      </c>
      <c r="T854" s="18" t="str">
        <f ca="1">IF(C854&gt;='&gt;&gt;Vistas Consolidadas'!$D$2,"SI","NO")</f>
        <v>NO</v>
      </c>
      <c r="U854" s="358">
        <f ca="1">IF(C854&lt;=EOMONTH('&gt;&gt;Vistas Consolidadas'!$D$2, '&gt;&gt;Vistas Consolidadas'!$F$2),I854,0)</f>
        <v>51.91</v>
      </c>
      <c r="V854" s="18" t="b">
        <f ca="1">AND(C854&gt;='Interes Por Semana'!$C$4, C854&lt;='Interes Por Semana'!$E$4)</f>
        <v>0</v>
      </c>
      <c r="W854" s="18" t="str">
        <f t="shared" si="28"/>
        <v>lunes</v>
      </c>
    </row>
    <row r="855" spans="2:23" hidden="1" x14ac:dyDescent="0.25">
      <c r="B855" s="337">
        <v>46188</v>
      </c>
      <c r="C855" s="337">
        <v>46282</v>
      </c>
      <c r="D855" s="374" t="s">
        <v>78</v>
      </c>
      <c r="E855" s="309" t="s">
        <v>48</v>
      </c>
      <c r="F855" s="310" t="s">
        <v>168</v>
      </c>
      <c r="G855" s="311">
        <v>6.21</v>
      </c>
      <c r="H855" s="311">
        <v>9</v>
      </c>
      <c r="I855" s="340">
        <v>51.91</v>
      </c>
      <c r="J855" s="340"/>
      <c r="K855" s="311"/>
      <c r="L855" s="340">
        <f t="shared" si="27"/>
        <v>51.91</v>
      </c>
      <c r="M855" s="311"/>
      <c r="N855" s="311"/>
      <c r="O855" s="311"/>
      <c r="P855" s="311"/>
      <c r="Q855" s="386"/>
      <c r="R855" s="392"/>
      <c r="S855" s="358">
        <f ca="1">IF(C855&lt;=EOMONTH('&gt;&gt;Vistas Consolidadas'!$D$2, '&gt;&gt;Vistas Consolidadas'!$F$2),J855+I855,J855)</f>
        <v>51.91</v>
      </c>
      <c r="T855" s="18" t="str">
        <f ca="1">IF(C855&gt;='&gt;&gt;Vistas Consolidadas'!$D$2,"SI","NO")</f>
        <v>NO</v>
      </c>
      <c r="U855" s="358">
        <f ca="1">IF(C855&lt;=EOMONTH('&gt;&gt;Vistas Consolidadas'!$D$2, '&gt;&gt;Vistas Consolidadas'!$F$2),I855,0)</f>
        <v>51.91</v>
      </c>
      <c r="V855" s="18" t="b">
        <f ca="1">AND(C855&gt;='Interes Por Semana'!$C$4, C855&lt;='Interes Por Semana'!$E$4)</f>
        <v>0</v>
      </c>
      <c r="W855" s="18" t="str">
        <f t="shared" si="28"/>
        <v>jueves</v>
      </c>
    </row>
    <row r="856" spans="2:23" hidden="1" x14ac:dyDescent="0.25">
      <c r="B856" s="337">
        <v>46188</v>
      </c>
      <c r="C856" s="337">
        <v>46312</v>
      </c>
      <c r="D856" s="374" t="s">
        <v>78</v>
      </c>
      <c r="E856" s="309" t="s">
        <v>48</v>
      </c>
      <c r="F856" s="310" t="s">
        <v>168</v>
      </c>
      <c r="G856" s="311">
        <v>6.21</v>
      </c>
      <c r="H856" s="311">
        <v>9</v>
      </c>
      <c r="I856" s="340">
        <v>51.91</v>
      </c>
      <c r="J856" s="340"/>
      <c r="K856" s="311"/>
      <c r="L856" s="340">
        <f t="shared" si="27"/>
        <v>51.91</v>
      </c>
      <c r="M856" s="311"/>
      <c r="N856" s="311"/>
      <c r="O856" s="311"/>
      <c r="P856" s="311"/>
      <c r="Q856" s="386"/>
      <c r="R856" s="392"/>
      <c r="S856" s="358">
        <f ca="1">IF(C856&lt;=EOMONTH('&gt;&gt;Vistas Consolidadas'!$D$2, '&gt;&gt;Vistas Consolidadas'!$F$2),J856+I856,J856)</f>
        <v>51.91</v>
      </c>
      <c r="T856" s="18" t="str">
        <f ca="1">IF(C856&gt;='&gt;&gt;Vistas Consolidadas'!$D$2,"SI","NO")</f>
        <v>SI</v>
      </c>
      <c r="U856" s="358">
        <f ca="1">IF(C856&lt;=EOMONTH('&gt;&gt;Vistas Consolidadas'!$D$2, '&gt;&gt;Vistas Consolidadas'!$F$2),I856,0)</f>
        <v>51.91</v>
      </c>
      <c r="V856" s="18" t="b">
        <f ca="1">AND(C856&gt;='Interes Por Semana'!$C$4, C856&lt;='Interes Por Semana'!$E$4)</f>
        <v>0</v>
      </c>
      <c r="W856" s="18" t="str">
        <f t="shared" si="28"/>
        <v>sábado</v>
      </c>
    </row>
    <row r="857" spans="2:23" hidden="1" x14ac:dyDescent="0.25">
      <c r="B857" s="337">
        <v>46188</v>
      </c>
      <c r="C857" s="337">
        <v>46343</v>
      </c>
      <c r="D857" s="374" t="s">
        <v>78</v>
      </c>
      <c r="E857" s="309" t="s">
        <v>48</v>
      </c>
      <c r="F857" s="310" t="s">
        <v>168</v>
      </c>
      <c r="G857" s="311">
        <v>6.21</v>
      </c>
      <c r="H857" s="311">
        <v>9</v>
      </c>
      <c r="I857" s="340">
        <v>51.91</v>
      </c>
      <c r="J857" s="340"/>
      <c r="K857" s="311"/>
      <c r="L857" s="340">
        <f t="shared" si="27"/>
        <v>51.91</v>
      </c>
      <c r="M857" s="311"/>
      <c r="N857" s="311"/>
      <c r="O857" s="311"/>
      <c r="P857" s="311"/>
      <c r="Q857" s="386"/>
      <c r="R857" s="392"/>
      <c r="S857" s="358">
        <f ca="1">IF(C857&lt;=EOMONTH('&gt;&gt;Vistas Consolidadas'!$D$2, '&gt;&gt;Vistas Consolidadas'!$F$2),J857+I857,J857)</f>
        <v>51.91</v>
      </c>
      <c r="T857" s="18" t="str">
        <f ca="1">IF(C857&gt;='&gt;&gt;Vistas Consolidadas'!$D$2,"SI","NO")</f>
        <v>SI</v>
      </c>
      <c r="U857" s="358">
        <f ca="1">IF(C857&lt;=EOMONTH('&gt;&gt;Vistas Consolidadas'!$D$2, '&gt;&gt;Vistas Consolidadas'!$F$2),I857,0)</f>
        <v>51.91</v>
      </c>
      <c r="V857" s="18" t="b">
        <f ca="1">AND(C857&gt;='Interes Por Semana'!$C$4, C857&lt;='Interes Por Semana'!$E$4)</f>
        <v>0</v>
      </c>
      <c r="W857" s="18" t="str">
        <f t="shared" si="28"/>
        <v>martes</v>
      </c>
    </row>
    <row r="858" spans="2:23" hidden="1" x14ac:dyDescent="0.25">
      <c r="B858" s="337">
        <v>46188</v>
      </c>
      <c r="C858" s="337">
        <v>46373</v>
      </c>
      <c r="D858" s="374" t="s">
        <v>78</v>
      </c>
      <c r="E858" s="309" t="s">
        <v>48</v>
      </c>
      <c r="F858" s="310" t="s">
        <v>168</v>
      </c>
      <c r="G858" s="311">
        <v>6.21</v>
      </c>
      <c r="H858" s="311">
        <v>9</v>
      </c>
      <c r="I858" s="340">
        <v>51.91</v>
      </c>
      <c r="J858" s="340"/>
      <c r="K858" s="311"/>
      <c r="L858" s="340">
        <f t="shared" si="27"/>
        <v>51.91</v>
      </c>
      <c r="M858" s="311"/>
      <c r="N858" s="311"/>
      <c r="O858" s="311"/>
      <c r="P858" s="311"/>
      <c r="Q858" s="386"/>
      <c r="R858" s="392"/>
      <c r="S858" s="358">
        <f ca="1">IF(C858&lt;=EOMONTH('&gt;&gt;Vistas Consolidadas'!$D$2, '&gt;&gt;Vistas Consolidadas'!$F$2),J858+I858,J858)</f>
        <v>51.91</v>
      </c>
      <c r="T858" s="18" t="str">
        <f ca="1">IF(C858&gt;='&gt;&gt;Vistas Consolidadas'!$D$2,"SI","NO")</f>
        <v>SI</v>
      </c>
      <c r="U858" s="358">
        <f ca="1">IF(C858&lt;=EOMONTH('&gt;&gt;Vistas Consolidadas'!$D$2, '&gt;&gt;Vistas Consolidadas'!$F$2),I858,0)</f>
        <v>51.91</v>
      </c>
      <c r="V858" s="18" t="b">
        <f ca="1">AND(C858&gt;='Interes Por Semana'!$C$4, C858&lt;='Interes Por Semana'!$E$4)</f>
        <v>0</v>
      </c>
      <c r="W858" s="18" t="str">
        <f t="shared" si="28"/>
        <v>jueves</v>
      </c>
    </row>
    <row r="859" spans="2:23" hidden="1" x14ac:dyDescent="0.25">
      <c r="B859" s="337">
        <v>46188</v>
      </c>
      <c r="C859" s="337">
        <v>46404</v>
      </c>
      <c r="D859" s="374" t="s">
        <v>78</v>
      </c>
      <c r="E859" s="309" t="s">
        <v>48</v>
      </c>
      <c r="F859" s="310" t="s">
        <v>168</v>
      </c>
      <c r="G859" s="311">
        <v>6.21</v>
      </c>
      <c r="H859" s="311">
        <v>9</v>
      </c>
      <c r="I859" s="340">
        <v>51.91</v>
      </c>
      <c r="J859" s="340"/>
      <c r="K859" s="311"/>
      <c r="L859" s="340">
        <f t="shared" si="27"/>
        <v>51.91</v>
      </c>
      <c r="M859" s="311"/>
      <c r="N859" s="311"/>
      <c r="O859" s="311"/>
      <c r="P859" s="311"/>
      <c r="Q859" s="386"/>
      <c r="R859" s="392"/>
      <c r="S859" s="358">
        <f ca="1">IF(C859&lt;=EOMONTH('&gt;&gt;Vistas Consolidadas'!$D$2, '&gt;&gt;Vistas Consolidadas'!$F$2),J859+I859,J859)</f>
        <v>51.91</v>
      </c>
      <c r="T859" s="18" t="str">
        <f ca="1">IF(C859&gt;='&gt;&gt;Vistas Consolidadas'!$D$2,"SI","NO")</f>
        <v>SI</v>
      </c>
      <c r="U859" s="358">
        <f ca="1">IF(C859&lt;=EOMONTH('&gt;&gt;Vistas Consolidadas'!$D$2, '&gt;&gt;Vistas Consolidadas'!$F$2),I859,0)</f>
        <v>51.91</v>
      </c>
      <c r="V859" s="18" t="b">
        <f ca="1">AND(C859&gt;='Interes Por Semana'!$C$4, C859&lt;='Interes Por Semana'!$E$4)</f>
        <v>0</v>
      </c>
      <c r="W859" s="18" t="str">
        <f t="shared" si="28"/>
        <v>domingo</v>
      </c>
    </row>
    <row r="860" spans="2:23" hidden="1" x14ac:dyDescent="0.25">
      <c r="B860" s="337">
        <v>46188</v>
      </c>
      <c r="C860" s="337">
        <v>46435</v>
      </c>
      <c r="D860" s="374" t="s">
        <v>78</v>
      </c>
      <c r="E860" s="309" t="s">
        <v>48</v>
      </c>
      <c r="F860" s="310" t="s">
        <v>168</v>
      </c>
      <c r="G860" s="311">
        <v>6.21</v>
      </c>
      <c r="H860" s="311">
        <v>9</v>
      </c>
      <c r="I860" s="340">
        <v>51.91</v>
      </c>
      <c r="J860" s="340"/>
      <c r="K860" s="311"/>
      <c r="L860" s="340">
        <f t="shared" si="27"/>
        <v>51.91</v>
      </c>
      <c r="M860" s="311"/>
      <c r="N860" s="311"/>
      <c r="O860" s="311"/>
      <c r="P860" s="311"/>
      <c r="Q860" s="386"/>
      <c r="R860" s="392"/>
      <c r="S860" s="358">
        <f ca="1">IF(C860&lt;=EOMONTH('&gt;&gt;Vistas Consolidadas'!$D$2, '&gt;&gt;Vistas Consolidadas'!$F$2),J860+I860,J860)</f>
        <v>51.91</v>
      </c>
      <c r="T860" s="18" t="str">
        <f ca="1">IF(C860&gt;='&gt;&gt;Vistas Consolidadas'!$D$2,"SI","NO")</f>
        <v>SI</v>
      </c>
      <c r="U860" s="358">
        <f ca="1">IF(C860&lt;=EOMONTH('&gt;&gt;Vistas Consolidadas'!$D$2, '&gt;&gt;Vistas Consolidadas'!$F$2),I860,0)</f>
        <v>51.91</v>
      </c>
      <c r="V860" s="18" t="b">
        <f ca="1">AND(C860&gt;='Interes Por Semana'!$C$4, C860&lt;='Interes Por Semana'!$E$4)</f>
        <v>0</v>
      </c>
      <c r="W860" s="18" t="str">
        <f t="shared" si="28"/>
        <v>miércoles</v>
      </c>
    </row>
    <row r="861" spans="2:23" hidden="1" x14ac:dyDescent="0.25">
      <c r="B861" s="337">
        <v>46188</v>
      </c>
      <c r="C861" s="337">
        <v>46463</v>
      </c>
      <c r="D861" s="374" t="s">
        <v>78</v>
      </c>
      <c r="E861" s="309" t="s">
        <v>48</v>
      </c>
      <c r="F861" s="310" t="s">
        <v>168</v>
      </c>
      <c r="G861" s="311">
        <v>6.21</v>
      </c>
      <c r="H861" s="311">
        <v>9</v>
      </c>
      <c r="I861" s="340">
        <v>51.91</v>
      </c>
      <c r="J861" s="340"/>
      <c r="K861" s="311"/>
      <c r="L861" s="340">
        <f t="shared" si="27"/>
        <v>51.91</v>
      </c>
      <c r="M861" s="311"/>
      <c r="N861" s="311"/>
      <c r="O861" s="311"/>
      <c r="P861" s="311"/>
      <c r="Q861" s="386"/>
      <c r="R861" s="392"/>
      <c r="S861" s="358">
        <f ca="1">IF(C861&lt;=EOMONTH('&gt;&gt;Vistas Consolidadas'!$D$2, '&gt;&gt;Vistas Consolidadas'!$F$2),J861+I861,J861)</f>
        <v>51.91</v>
      </c>
      <c r="T861" s="18" t="str">
        <f ca="1">IF(C861&gt;='&gt;&gt;Vistas Consolidadas'!$D$2,"SI","NO")</f>
        <v>SI</v>
      </c>
      <c r="U861" s="358">
        <f ca="1">IF(C861&lt;=EOMONTH('&gt;&gt;Vistas Consolidadas'!$D$2, '&gt;&gt;Vistas Consolidadas'!$F$2),I861,0)</f>
        <v>51.91</v>
      </c>
      <c r="V861" s="18" t="b">
        <f ca="1">AND(C861&gt;='Interes Por Semana'!$C$4, C861&lt;='Interes Por Semana'!$E$4)</f>
        <v>0</v>
      </c>
      <c r="W861" s="18" t="str">
        <f t="shared" si="28"/>
        <v>miércoles</v>
      </c>
    </row>
    <row r="862" spans="2:23" hidden="1" x14ac:dyDescent="0.25">
      <c r="B862" s="337">
        <v>46188</v>
      </c>
      <c r="C862" s="337">
        <v>46494</v>
      </c>
      <c r="D862" s="374" t="s">
        <v>78</v>
      </c>
      <c r="E862" s="309" t="s">
        <v>48</v>
      </c>
      <c r="F862" s="310" t="s">
        <v>168</v>
      </c>
      <c r="G862" s="311">
        <v>6.21</v>
      </c>
      <c r="H862" s="311">
        <v>9</v>
      </c>
      <c r="I862" s="340">
        <v>51.91</v>
      </c>
      <c r="J862" s="340"/>
      <c r="K862" s="311"/>
      <c r="L862" s="340">
        <f t="shared" si="27"/>
        <v>51.91</v>
      </c>
      <c r="M862" s="311"/>
      <c r="N862" s="311"/>
      <c r="O862" s="311"/>
      <c r="P862" s="311"/>
      <c r="Q862" s="386"/>
      <c r="R862" s="392"/>
      <c r="S862" s="358">
        <f ca="1">IF(C862&lt;=EOMONTH('&gt;&gt;Vistas Consolidadas'!$D$2, '&gt;&gt;Vistas Consolidadas'!$F$2),J862+I862,J862)</f>
        <v>51.91</v>
      </c>
      <c r="T862" s="18" t="str">
        <f ca="1">IF(C862&gt;='&gt;&gt;Vistas Consolidadas'!$D$2,"SI","NO")</f>
        <v>SI</v>
      </c>
      <c r="U862" s="358">
        <f ca="1">IF(C862&lt;=EOMONTH('&gt;&gt;Vistas Consolidadas'!$D$2, '&gt;&gt;Vistas Consolidadas'!$F$2),I862,0)</f>
        <v>51.91</v>
      </c>
      <c r="V862" s="18" t="b">
        <f ca="1">AND(C862&gt;='Interes Por Semana'!$C$4, C862&lt;='Interes Por Semana'!$E$4)</f>
        <v>0</v>
      </c>
      <c r="W862" s="18" t="str">
        <f t="shared" si="28"/>
        <v>sábado</v>
      </c>
    </row>
    <row r="863" spans="2:23" hidden="1" x14ac:dyDescent="0.25">
      <c r="B863" s="337">
        <v>46188</v>
      </c>
      <c r="C863" s="337">
        <v>46524</v>
      </c>
      <c r="D863" s="374" t="s">
        <v>78</v>
      </c>
      <c r="E863" s="309" t="s">
        <v>48</v>
      </c>
      <c r="F863" s="310" t="s">
        <v>168</v>
      </c>
      <c r="G863" s="311">
        <v>6.21</v>
      </c>
      <c r="H863" s="311">
        <v>9</v>
      </c>
      <c r="I863" s="340">
        <v>51.91</v>
      </c>
      <c r="J863" s="340"/>
      <c r="K863" s="311"/>
      <c r="L863" s="340">
        <f t="shared" si="27"/>
        <v>51.91</v>
      </c>
      <c r="M863" s="311"/>
      <c r="N863" s="311"/>
      <c r="O863" s="311"/>
      <c r="P863" s="311"/>
      <c r="Q863" s="386"/>
      <c r="R863" s="392"/>
      <c r="S863" s="358">
        <f ca="1">IF(C863&lt;=EOMONTH('&gt;&gt;Vistas Consolidadas'!$D$2, '&gt;&gt;Vistas Consolidadas'!$F$2),J863+I863,J863)</f>
        <v>51.91</v>
      </c>
      <c r="T863" s="18" t="str">
        <f ca="1">IF(C863&gt;='&gt;&gt;Vistas Consolidadas'!$D$2,"SI","NO")</f>
        <v>SI</v>
      </c>
      <c r="U863" s="358">
        <f ca="1">IF(C863&lt;=EOMONTH('&gt;&gt;Vistas Consolidadas'!$D$2, '&gt;&gt;Vistas Consolidadas'!$F$2),I863,0)</f>
        <v>51.91</v>
      </c>
      <c r="V863" s="18" t="b">
        <f ca="1">AND(C863&gt;='Interes Por Semana'!$C$4, C863&lt;='Interes Por Semana'!$E$4)</f>
        <v>0</v>
      </c>
      <c r="W863" s="18" t="str">
        <f t="shared" si="28"/>
        <v>lunes</v>
      </c>
    </row>
    <row r="864" spans="2:23" hidden="1" x14ac:dyDescent="0.25">
      <c r="B864" s="337">
        <v>46188</v>
      </c>
      <c r="C864" s="337">
        <v>46210</v>
      </c>
      <c r="D864" s="374" t="s">
        <v>78</v>
      </c>
      <c r="E864" s="309" t="s">
        <v>48</v>
      </c>
      <c r="F864" s="310" t="s">
        <v>169</v>
      </c>
      <c r="G864" s="311">
        <v>6.82</v>
      </c>
      <c r="H864" s="311">
        <v>8.5</v>
      </c>
      <c r="I864" s="340">
        <v>57.68</v>
      </c>
      <c r="J864" s="340">
        <v>20.98</v>
      </c>
      <c r="K864" s="311"/>
      <c r="L864" s="340">
        <f t="shared" si="27"/>
        <v>57.68</v>
      </c>
      <c r="M864" s="311"/>
      <c r="N864" s="311"/>
      <c r="O864" s="311"/>
      <c r="P864" s="311"/>
      <c r="Q864" s="386"/>
      <c r="R864" s="392"/>
      <c r="S864" s="358">
        <f ca="1">IF(C864&lt;=EOMONTH('&gt;&gt;Vistas Consolidadas'!$D$2, '&gt;&gt;Vistas Consolidadas'!$F$2),J864+I864,J864)</f>
        <v>78.66</v>
      </c>
      <c r="T864" s="18" t="str">
        <f ca="1">IF(C864&gt;='&gt;&gt;Vistas Consolidadas'!$D$2,"SI","NO")</f>
        <v>NO</v>
      </c>
      <c r="U864" s="358">
        <f ca="1">IF(C864&lt;=EOMONTH('&gt;&gt;Vistas Consolidadas'!$D$2, '&gt;&gt;Vistas Consolidadas'!$F$2),I864,0)</f>
        <v>57.68</v>
      </c>
      <c r="V864" s="18" t="b">
        <f ca="1">AND(C864&gt;='Interes Por Semana'!$C$4, C864&lt;='Interes Por Semana'!$E$4)</f>
        <v>0</v>
      </c>
      <c r="W864" s="18" t="str">
        <f t="shared" si="28"/>
        <v>martes</v>
      </c>
    </row>
    <row r="865" spans="1:23" hidden="1" x14ac:dyDescent="0.25">
      <c r="B865" s="337">
        <v>46188</v>
      </c>
      <c r="C865" s="337">
        <v>46241</v>
      </c>
      <c r="D865" s="374" t="s">
        <v>78</v>
      </c>
      <c r="E865" s="309" t="s">
        <v>48</v>
      </c>
      <c r="F865" s="310" t="s">
        <v>169</v>
      </c>
      <c r="G865" s="311">
        <v>6.82</v>
      </c>
      <c r="H865" s="311">
        <v>8.5</v>
      </c>
      <c r="I865" s="340">
        <v>78.66</v>
      </c>
      <c r="J865" s="340"/>
      <c r="K865" s="311"/>
      <c r="L865" s="340">
        <f t="shared" si="27"/>
        <v>78.66</v>
      </c>
      <c r="M865" s="311"/>
      <c r="N865" s="311"/>
      <c r="O865" s="311"/>
      <c r="P865" s="311"/>
      <c r="Q865" s="386"/>
      <c r="R865" s="392"/>
      <c r="S865" s="358">
        <f ca="1">IF(C865&lt;=EOMONTH('&gt;&gt;Vistas Consolidadas'!$D$2, '&gt;&gt;Vistas Consolidadas'!$F$2),J865+I865,J865)</f>
        <v>78.66</v>
      </c>
      <c r="T865" s="18" t="str">
        <f ca="1">IF(C865&gt;='&gt;&gt;Vistas Consolidadas'!$D$2,"SI","NO")</f>
        <v>NO</v>
      </c>
      <c r="U865" s="358">
        <f ca="1">IF(C865&lt;=EOMONTH('&gt;&gt;Vistas Consolidadas'!$D$2, '&gt;&gt;Vistas Consolidadas'!$F$2),I865,0)</f>
        <v>78.66</v>
      </c>
      <c r="V865" s="18" t="b">
        <f ca="1">AND(C865&gt;='Interes Por Semana'!$C$4, C865&lt;='Interes Por Semana'!$E$4)</f>
        <v>0</v>
      </c>
      <c r="W865" s="18" t="str">
        <f t="shared" si="28"/>
        <v>viernes</v>
      </c>
    </row>
    <row r="866" spans="1:23" hidden="1" x14ac:dyDescent="0.25">
      <c r="B866" s="337">
        <v>46188</v>
      </c>
      <c r="C866" s="337">
        <v>46272</v>
      </c>
      <c r="D866" s="374" t="s">
        <v>78</v>
      </c>
      <c r="E866" s="309" t="s">
        <v>48</v>
      </c>
      <c r="F866" s="310" t="s">
        <v>169</v>
      </c>
      <c r="G866" s="311">
        <v>6.82</v>
      </c>
      <c r="H866" s="311">
        <v>8.5</v>
      </c>
      <c r="I866" s="340">
        <v>78.66</v>
      </c>
      <c r="J866" s="340"/>
      <c r="K866" s="311"/>
      <c r="L866" s="340">
        <f t="shared" si="27"/>
        <v>78.66</v>
      </c>
      <c r="M866" s="311"/>
      <c r="N866" s="311"/>
      <c r="O866" s="311"/>
      <c r="P866" s="311"/>
      <c r="Q866" s="386"/>
      <c r="R866" s="392"/>
      <c r="S866" s="358">
        <f ca="1">IF(C866&lt;=EOMONTH('&gt;&gt;Vistas Consolidadas'!$D$2, '&gt;&gt;Vistas Consolidadas'!$F$2),J866+I866,J866)</f>
        <v>78.66</v>
      </c>
      <c r="T866" s="18" t="str">
        <f ca="1">IF(C866&gt;='&gt;&gt;Vistas Consolidadas'!$D$2,"SI","NO")</f>
        <v>NO</v>
      </c>
      <c r="U866" s="358">
        <f ca="1">IF(C866&lt;=EOMONTH('&gt;&gt;Vistas Consolidadas'!$D$2, '&gt;&gt;Vistas Consolidadas'!$F$2),I866,0)</f>
        <v>78.66</v>
      </c>
      <c r="V866" s="18" t="b">
        <f ca="1">AND(C866&gt;='Interes Por Semana'!$C$4, C866&lt;='Interes Por Semana'!$E$4)</f>
        <v>0</v>
      </c>
      <c r="W866" s="18" t="str">
        <f t="shared" si="28"/>
        <v>lunes</v>
      </c>
    </row>
    <row r="867" spans="1:23" hidden="1" x14ac:dyDescent="0.25">
      <c r="B867" s="337">
        <v>46188</v>
      </c>
      <c r="C867" s="337">
        <v>46302</v>
      </c>
      <c r="D867" s="374" t="s">
        <v>78</v>
      </c>
      <c r="E867" s="309" t="s">
        <v>48</v>
      </c>
      <c r="F867" s="310" t="s">
        <v>169</v>
      </c>
      <c r="G867" s="311">
        <v>6.82</v>
      </c>
      <c r="H867" s="311">
        <v>8.5</v>
      </c>
      <c r="I867" s="340">
        <v>78.66</v>
      </c>
      <c r="J867" s="340"/>
      <c r="K867" s="311"/>
      <c r="L867" s="340">
        <f t="shared" si="27"/>
        <v>78.66</v>
      </c>
      <c r="M867" s="311"/>
      <c r="N867" s="311"/>
      <c r="O867" s="311"/>
      <c r="P867" s="311"/>
      <c r="Q867" s="386"/>
      <c r="R867" s="392"/>
      <c r="S867" s="358">
        <f ca="1">IF(C867&lt;=EOMONTH('&gt;&gt;Vistas Consolidadas'!$D$2, '&gt;&gt;Vistas Consolidadas'!$F$2),J867+I867,J867)</f>
        <v>78.66</v>
      </c>
      <c r="T867" s="18" t="str">
        <f ca="1">IF(C867&gt;='&gt;&gt;Vistas Consolidadas'!$D$2,"SI","NO")</f>
        <v>NO</v>
      </c>
      <c r="U867" s="358">
        <f ca="1">IF(C867&lt;=EOMONTH('&gt;&gt;Vistas Consolidadas'!$D$2, '&gt;&gt;Vistas Consolidadas'!$F$2),I867,0)</f>
        <v>78.66</v>
      </c>
      <c r="V867" s="18" t="b">
        <f ca="1">AND(C867&gt;='Interes Por Semana'!$C$4, C867&lt;='Interes Por Semana'!$E$4)</f>
        <v>0</v>
      </c>
      <c r="W867" s="18" t="str">
        <f t="shared" si="28"/>
        <v>miércoles</v>
      </c>
    </row>
    <row r="868" spans="1:23" hidden="1" x14ac:dyDescent="0.25">
      <c r="B868" s="337">
        <v>46188</v>
      </c>
      <c r="C868" s="337">
        <v>46333</v>
      </c>
      <c r="D868" s="374" t="s">
        <v>78</v>
      </c>
      <c r="E868" s="309" t="s">
        <v>48</v>
      </c>
      <c r="F868" s="310" t="s">
        <v>169</v>
      </c>
      <c r="G868" s="311">
        <v>6.82</v>
      </c>
      <c r="H868" s="311">
        <v>8.5</v>
      </c>
      <c r="I868" s="340">
        <v>78.66</v>
      </c>
      <c r="J868" s="340"/>
      <c r="K868" s="311"/>
      <c r="L868" s="340">
        <f t="shared" si="27"/>
        <v>78.66</v>
      </c>
      <c r="M868" s="311"/>
      <c r="N868" s="311"/>
      <c r="O868" s="311"/>
      <c r="P868" s="311"/>
      <c r="Q868" s="386"/>
      <c r="R868" s="392"/>
      <c r="S868" s="358">
        <f ca="1">IF(C868&lt;=EOMONTH('&gt;&gt;Vistas Consolidadas'!$D$2, '&gt;&gt;Vistas Consolidadas'!$F$2),J868+I868,J868)</f>
        <v>78.66</v>
      </c>
      <c r="T868" s="18" t="str">
        <f ca="1">IF(C868&gt;='&gt;&gt;Vistas Consolidadas'!$D$2,"SI","NO")</f>
        <v>SI</v>
      </c>
      <c r="U868" s="358">
        <f ca="1">IF(C868&lt;=EOMONTH('&gt;&gt;Vistas Consolidadas'!$D$2, '&gt;&gt;Vistas Consolidadas'!$F$2),I868,0)</f>
        <v>78.66</v>
      </c>
      <c r="V868" s="18" t="b">
        <f ca="1">AND(C868&gt;='Interes Por Semana'!$C$4, C868&lt;='Interes Por Semana'!$E$4)</f>
        <v>0</v>
      </c>
      <c r="W868" s="18" t="str">
        <f t="shared" si="28"/>
        <v>sábado</v>
      </c>
    </row>
    <row r="869" spans="1:23" hidden="1" x14ac:dyDescent="0.25">
      <c r="B869" s="337">
        <v>46188</v>
      </c>
      <c r="C869" s="337">
        <v>46363</v>
      </c>
      <c r="D869" s="374" t="s">
        <v>78</v>
      </c>
      <c r="E869" s="309" t="s">
        <v>48</v>
      </c>
      <c r="F869" s="310" t="s">
        <v>169</v>
      </c>
      <c r="G869" s="311">
        <v>6.82</v>
      </c>
      <c r="H869" s="311">
        <v>8.5</v>
      </c>
      <c r="I869" s="340">
        <v>78.66</v>
      </c>
      <c r="J869" s="340"/>
      <c r="K869" s="311"/>
      <c r="L869" s="340">
        <f t="shared" si="27"/>
        <v>78.66</v>
      </c>
      <c r="M869" s="311"/>
      <c r="N869" s="311"/>
      <c r="O869" s="311"/>
      <c r="P869" s="311"/>
      <c r="Q869" s="386"/>
      <c r="R869" s="392"/>
      <c r="S869" s="358">
        <f ca="1">IF(C869&lt;=EOMONTH('&gt;&gt;Vistas Consolidadas'!$D$2, '&gt;&gt;Vistas Consolidadas'!$F$2),J869+I869,J869)</f>
        <v>78.66</v>
      </c>
      <c r="T869" s="18" t="str">
        <f ca="1">IF(C869&gt;='&gt;&gt;Vistas Consolidadas'!$D$2,"SI","NO")</f>
        <v>SI</v>
      </c>
      <c r="U869" s="358">
        <f ca="1">IF(C869&lt;=EOMONTH('&gt;&gt;Vistas Consolidadas'!$D$2, '&gt;&gt;Vistas Consolidadas'!$F$2),I869,0)</f>
        <v>78.66</v>
      </c>
      <c r="V869" s="18" t="b">
        <f ca="1">AND(C869&gt;='Interes Por Semana'!$C$4, C869&lt;='Interes Por Semana'!$E$4)</f>
        <v>0</v>
      </c>
      <c r="W869" s="18" t="str">
        <f t="shared" si="28"/>
        <v>lunes</v>
      </c>
    </row>
    <row r="870" spans="1:23" hidden="1" x14ac:dyDescent="0.25">
      <c r="B870" s="337">
        <v>46188</v>
      </c>
      <c r="C870" s="337">
        <v>46394</v>
      </c>
      <c r="D870" s="374" t="s">
        <v>78</v>
      </c>
      <c r="E870" s="309" t="s">
        <v>48</v>
      </c>
      <c r="F870" s="310" t="s">
        <v>169</v>
      </c>
      <c r="G870" s="311">
        <v>6.82</v>
      </c>
      <c r="H870" s="311">
        <v>8.5</v>
      </c>
      <c r="I870" s="340">
        <v>78.66</v>
      </c>
      <c r="J870" s="340"/>
      <c r="K870" s="311"/>
      <c r="L870" s="340">
        <f t="shared" si="27"/>
        <v>78.66</v>
      </c>
      <c r="M870" s="311"/>
      <c r="N870" s="311"/>
      <c r="O870" s="311"/>
      <c r="P870" s="311"/>
      <c r="Q870" s="386"/>
      <c r="R870" s="392"/>
      <c r="S870" s="358">
        <f ca="1">IF(C870&lt;=EOMONTH('&gt;&gt;Vistas Consolidadas'!$D$2, '&gt;&gt;Vistas Consolidadas'!$F$2),J870+I870,J870)</f>
        <v>78.66</v>
      </c>
      <c r="T870" s="18" t="str">
        <f ca="1">IF(C870&gt;='&gt;&gt;Vistas Consolidadas'!$D$2,"SI","NO")</f>
        <v>SI</v>
      </c>
      <c r="U870" s="358">
        <f ca="1">IF(C870&lt;=EOMONTH('&gt;&gt;Vistas Consolidadas'!$D$2, '&gt;&gt;Vistas Consolidadas'!$F$2),I870,0)</f>
        <v>78.66</v>
      </c>
      <c r="V870" s="18" t="b">
        <f ca="1">AND(C870&gt;='Interes Por Semana'!$C$4, C870&lt;='Interes Por Semana'!$E$4)</f>
        <v>0</v>
      </c>
      <c r="W870" s="18" t="str">
        <f t="shared" si="28"/>
        <v>jueves</v>
      </c>
    </row>
    <row r="871" spans="1:23" hidden="1" x14ac:dyDescent="0.25">
      <c r="B871" s="337">
        <v>46188</v>
      </c>
      <c r="C871" s="337">
        <v>46425</v>
      </c>
      <c r="D871" s="374" t="s">
        <v>78</v>
      </c>
      <c r="E871" s="309" t="s">
        <v>48</v>
      </c>
      <c r="F871" s="310" t="s">
        <v>169</v>
      </c>
      <c r="G871" s="311">
        <v>6.82</v>
      </c>
      <c r="H871" s="311">
        <v>8.5</v>
      </c>
      <c r="I871" s="340">
        <v>78.66</v>
      </c>
      <c r="J871" s="340"/>
      <c r="K871" s="311"/>
      <c r="L871" s="340">
        <f t="shared" si="27"/>
        <v>78.66</v>
      </c>
      <c r="M871" s="311"/>
      <c r="N871" s="311"/>
      <c r="O871" s="311"/>
      <c r="P871" s="311"/>
      <c r="Q871" s="386"/>
      <c r="R871" s="392"/>
      <c r="S871" s="358">
        <f ca="1">IF(C871&lt;=EOMONTH('&gt;&gt;Vistas Consolidadas'!$D$2, '&gt;&gt;Vistas Consolidadas'!$F$2),J871+I871,J871)</f>
        <v>78.66</v>
      </c>
      <c r="T871" s="18" t="str">
        <f ca="1">IF(C871&gt;='&gt;&gt;Vistas Consolidadas'!$D$2,"SI","NO")</f>
        <v>SI</v>
      </c>
      <c r="U871" s="358">
        <f ca="1">IF(C871&lt;=EOMONTH('&gt;&gt;Vistas Consolidadas'!$D$2, '&gt;&gt;Vistas Consolidadas'!$F$2),I871,0)</f>
        <v>78.66</v>
      </c>
      <c r="V871" s="18" t="b">
        <f ca="1">AND(C871&gt;='Interes Por Semana'!$C$4, C871&lt;='Interes Por Semana'!$E$4)</f>
        <v>0</v>
      </c>
      <c r="W871" s="18" t="str">
        <f t="shared" si="28"/>
        <v>domingo</v>
      </c>
    </row>
    <row r="872" spans="1:23" hidden="1" x14ac:dyDescent="0.25">
      <c r="B872" s="337">
        <v>46188</v>
      </c>
      <c r="C872" s="337">
        <v>46453</v>
      </c>
      <c r="D872" s="374" t="s">
        <v>78</v>
      </c>
      <c r="E872" s="309" t="s">
        <v>48</v>
      </c>
      <c r="F872" s="310" t="s">
        <v>169</v>
      </c>
      <c r="G872" s="311">
        <v>6.82</v>
      </c>
      <c r="H872" s="311">
        <v>8.5</v>
      </c>
      <c r="I872" s="340">
        <v>78.66</v>
      </c>
      <c r="J872" s="340"/>
      <c r="K872" s="311"/>
      <c r="L872" s="340">
        <f t="shared" si="27"/>
        <v>78.66</v>
      </c>
      <c r="M872" s="311"/>
      <c r="N872" s="311"/>
      <c r="O872" s="311"/>
      <c r="P872" s="311"/>
      <c r="Q872" s="386"/>
      <c r="R872" s="392"/>
      <c r="S872" s="358">
        <f ca="1">IF(C872&lt;=EOMONTH('&gt;&gt;Vistas Consolidadas'!$D$2, '&gt;&gt;Vistas Consolidadas'!$F$2),J872+I872,J872)</f>
        <v>78.66</v>
      </c>
      <c r="T872" s="18" t="str">
        <f ca="1">IF(C872&gt;='&gt;&gt;Vistas Consolidadas'!$D$2,"SI","NO")</f>
        <v>SI</v>
      </c>
      <c r="U872" s="358">
        <f ca="1">IF(C872&lt;=EOMONTH('&gt;&gt;Vistas Consolidadas'!$D$2, '&gt;&gt;Vistas Consolidadas'!$F$2),I872,0)</f>
        <v>78.66</v>
      </c>
      <c r="V872" s="18" t="b">
        <f ca="1">AND(C872&gt;='Interes Por Semana'!$C$4, C872&lt;='Interes Por Semana'!$E$4)</f>
        <v>0</v>
      </c>
      <c r="W872" s="18" t="str">
        <f t="shared" si="28"/>
        <v>domingo</v>
      </c>
    </row>
    <row r="873" spans="1:23" hidden="1" x14ac:dyDescent="0.25">
      <c r="B873" s="337">
        <v>46188</v>
      </c>
      <c r="C873" s="337">
        <v>46484</v>
      </c>
      <c r="D873" s="374" t="s">
        <v>78</v>
      </c>
      <c r="E873" s="309" t="s">
        <v>48</v>
      </c>
      <c r="F873" s="310" t="s">
        <v>169</v>
      </c>
      <c r="G873" s="311">
        <v>6.82</v>
      </c>
      <c r="H873" s="311">
        <v>8.5</v>
      </c>
      <c r="I873" s="340">
        <v>78.66</v>
      </c>
      <c r="J873" s="340"/>
      <c r="K873" s="311"/>
      <c r="L873" s="340">
        <f t="shared" si="27"/>
        <v>78.66</v>
      </c>
      <c r="M873" s="311"/>
      <c r="N873" s="311"/>
      <c r="O873" s="311"/>
      <c r="P873" s="311"/>
      <c r="Q873" s="386"/>
      <c r="R873" s="392"/>
      <c r="S873" s="358">
        <f ca="1">IF(C873&lt;=EOMONTH('&gt;&gt;Vistas Consolidadas'!$D$2, '&gt;&gt;Vistas Consolidadas'!$F$2),J873+I873,J873)</f>
        <v>78.66</v>
      </c>
      <c r="T873" s="18" t="str">
        <f ca="1">IF(C873&gt;='&gt;&gt;Vistas Consolidadas'!$D$2,"SI","NO")</f>
        <v>SI</v>
      </c>
      <c r="U873" s="358">
        <f ca="1">IF(C873&lt;=EOMONTH('&gt;&gt;Vistas Consolidadas'!$D$2, '&gt;&gt;Vistas Consolidadas'!$F$2),I873,0)</f>
        <v>78.66</v>
      </c>
      <c r="V873" s="18" t="b">
        <f ca="1">AND(C873&gt;='Interes Por Semana'!$C$4, C873&lt;='Interes Por Semana'!$E$4)</f>
        <v>0</v>
      </c>
      <c r="W873" s="18" t="str">
        <f t="shared" si="28"/>
        <v>miércoles</v>
      </c>
    </row>
    <row r="874" spans="1:23" hidden="1" x14ac:dyDescent="0.25">
      <c r="B874" s="337">
        <v>46188</v>
      </c>
      <c r="C874" s="337">
        <v>46514</v>
      </c>
      <c r="D874" s="374" t="s">
        <v>78</v>
      </c>
      <c r="E874" s="309" t="s">
        <v>48</v>
      </c>
      <c r="F874" s="310" t="s">
        <v>169</v>
      </c>
      <c r="G874" s="311">
        <v>6.82</v>
      </c>
      <c r="H874" s="311">
        <v>8.5</v>
      </c>
      <c r="I874" s="340">
        <v>78.66</v>
      </c>
      <c r="J874" s="340"/>
      <c r="K874" s="311"/>
      <c r="L874" s="340">
        <f t="shared" si="27"/>
        <v>78.66</v>
      </c>
      <c r="M874" s="311"/>
      <c r="N874" s="311"/>
      <c r="O874" s="311"/>
      <c r="P874" s="311"/>
      <c r="Q874" s="386"/>
      <c r="R874" s="392"/>
      <c r="S874" s="358">
        <f ca="1">IF(C874&lt;=EOMONTH('&gt;&gt;Vistas Consolidadas'!$D$2, '&gt;&gt;Vistas Consolidadas'!$F$2),J874+I874,J874)</f>
        <v>78.66</v>
      </c>
      <c r="T874" s="18" t="str">
        <f ca="1">IF(C874&gt;='&gt;&gt;Vistas Consolidadas'!$D$2,"SI","NO")</f>
        <v>SI</v>
      </c>
      <c r="U874" s="358">
        <f ca="1">IF(C874&lt;=EOMONTH('&gt;&gt;Vistas Consolidadas'!$D$2, '&gt;&gt;Vistas Consolidadas'!$F$2),I874,0)</f>
        <v>78.66</v>
      </c>
      <c r="V874" s="18" t="b">
        <f ca="1">AND(C874&gt;='Interes Por Semana'!$C$4, C874&lt;='Interes Por Semana'!$E$4)</f>
        <v>0</v>
      </c>
      <c r="W874" s="18" t="str">
        <f t="shared" si="28"/>
        <v>viernes</v>
      </c>
    </row>
    <row r="875" spans="1:23" hidden="1" x14ac:dyDescent="0.25">
      <c r="B875" s="337">
        <v>46188</v>
      </c>
      <c r="C875" s="337">
        <v>49309</v>
      </c>
      <c r="D875" s="374" t="s">
        <v>96</v>
      </c>
      <c r="E875" s="309" t="s">
        <v>47</v>
      </c>
      <c r="F875" s="310" t="s">
        <v>134</v>
      </c>
      <c r="G875" s="311">
        <v>1</v>
      </c>
      <c r="H875" s="311">
        <v>1</v>
      </c>
      <c r="I875" s="341">
        <v>0</v>
      </c>
      <c r="J875" s="340">
        <v>14472.99</v>
      </c>
      <c r="K875" s="311"/>
      <c r="L875" s="340">
        <f t="shared" si="27"/>
        <v>0</v>
      </c>
      <c r="M875" s="311"/>
      <c r="N875" s="311"/>
      <c r="O875" s="311"/>
      <c r="P875" s="311"/>
      <c r="Q875" s="386"/>
      <c r="R875" s="392" t="s">
        <v>170</v>
      </c>
      <c r="S875" s="358">
        <f ca="1">IF(C875&lt;=EOMONTH('&gt;&gt;Vistas Consolidadas'!$D$2, '&gt;&gt;Vistas Consolidadas'!$F$2),J875+I875,J875)</f>
        <v>14472.99</v>
      </c>
      <c r="T875" s="18" t="str">
        <f ca="1">IF(C875&gt;='&gt;&gt;Vistas Consolidadas'!$D$2,"SI","NO")</f>
        <v>SI</v>
      </c>
      <c r="U875" s="358">
        <f ca="1">IF(C875&lt;=EOMONTH('&gt;&gt;Vistas Consolidadas'!$D$2, '&gt;&gt;Vistas Consolidadas'!$F$2),I875,0)</f>
        <v>0</v>
      </c>
      <c r="V875" s="18" t="b">
        <f ca="1">AND(C875&gt;='Interes Por Semana'!$C$4, C875&lt;='Interes Por Semana'!$E$4)</f>
        <v>0</v>
      </c>
      <c r="W875" s="18" t="str">
        <f t="shared" si="28"/>
        <v>domingo</v>
      </c>
    </row>
    <row r="876" spans="1:23" x14ac:dyDescent="0.25">
      <c r="B876" s="337">
        <v>46189</v>
      </c>
      <c r="C876" s="337">
        <v>49309</v>
      </c>
      <c r="D876" s="374" t="s">
        <v>96</v>
      </c>
      <c r="E876" s="309" t="s">
        <v>47</v>
      </c>
      <c r="F876" s="310" t="s">
        <v>132</v>
      </c>
      <c r="G876" s="311">
        <v>1</v>
      </c>
      <c r="H876" s="311">
        <v>1</v>
      </c>
      <c r="I876" s="340"/>
      <c r="J876" s="341">
        <v>1586.91</v>
      </c>
      <c r="K876" s="311"/>
      <c r="L876" s="340">
        <f t="shared" si="27"/>
        <v>0</v>
      </c>
      <c r="M876" s="311"/>
      <c r="N876" s="311"/>
      <c r="O876" s="311"/>
      <c r="P876" s="311"/>
      <c r="Q876" s="386"/>
      <c r="R876" s="392">
        <v>3693062</v>
      </c>
      <c r="S876" s="358">
        <f ca="1">IF(C876&lt;=EOMONTH('&gt;&gt;Vistas Consolidadas'!$D$2, '&gt;&gt;Vistas Consolidadas'!$F$2),J876+I876,J876)</f>
        <v>1586.91</v>
      </c>
      <c r="T876" s="18" t="str">
        <f ca="1">IF(C876&gt;='&gt;&gt;Vistas Consolidadas'!$D$2,"SI","NO")</f>
        <v>SI</v>
      </c>
      <c r="U876" s="358">
        <f ca="1">IF(C876&lt;=EOMONTH('&gt;&gt;Vistas Consolidadas'!$D$2, '&gt;&gt;Vistas Consolidadas'!$F$2),I876,0)</f>
        <v>0</v>
      </c>
      <c r="V876" s="18" t="b">
        <f ca="1">AND(C876&gt;='Interes Por Semana'!$C$4, C876&lt;='Interes Por Semana'!$E$4)</f>
        <v>0</v>
      </c>
      <c r="W876" s="18" t="str">
        <f t="shared" si="28"/>
        <v>domingo</v>
      </c>
    </row>
    <row r="877" spans="1:23" hidden="1" x14ac:dyDescent="0.25">
      <c r="B877" s="338">
        <v>46204</v>
      </c>
      <c r="C877" s="338">
        <v>46493</v>
      </c>
      <c r="D877" s="374" t="s">
        <v>123</v>
      </c>
      <c r="E877" s="314" t="s">
        <v>47</v>
      </c>
      <c r="F877" s="315" t="s">
        <v>139</v>
      </c>
      <c r="G877" s="313">
        <v>1</v>
      </c>
      <c r="H877" s="313">
        <v>1</v>
      </c>
      <c r="I877" s="341">
        <v>196.98</v>
      </c>
      <c r="J877" s="341">
        <v>0</v>
      </c>
      <c r="K877" s="313"/>
      <c r="L877" s="340">
        <f t="shared" si="27"/>
        <v>196.98</v>
      </c>
      <c r="M877" s="313"/>
      <c r="N877" s="313"/>
      <c r="O877" s="313"/>
      <c r="P877" s="313"/>
      <c r="Q877" s="311"/>
      <c r="R877" s="392">
        <v>370100</v>
      </c>
      <c r="S877" s="358">
        <f ca="1">IF(C877&lt;=EOMONTH('&gt;&gt;Vistas Consolidadas'!$D$2, '&gt;&gt;Vistas Consolidadas'!$F$2),J877+I877,J877)</f>
        <v>196.98</v>
      </c>
      <c r="T877" s="18" t="str">
        <f ca="1">IF(C877&gt;='&gt;&gt;Vistas Consolidadas'!$D$2,"SI","NO")</f>
        <v>SI</v>
      </c>
      <c r="U877" s="358">
        <f ca="1">IF(C877&lt;=EOMONTH('&gt;&gt;Vistas Consolidadas'!$D$2, '&gt;&gt;Vistas Consolidadas'!$F$2),I877,0)</f>
        <v>196.98</v>
      </c>
      <c r="V877" s="18" t="b">
        <f ca="1">AND(C877&gt;='Interes Por Semana'!$C$4, C877&lt;='Interes Por Semana'!$E$4)</f>
        <v>0</v>
      </c>
      <c r="W877" s="18" t="str">
        <f t="shared" si="28"/>
        <v>viernes</v>
      </c>
    </row>
    <row r="878" spans="1:23" hidden="1" x14ac:dyDescent="0.25">
      <c r="A878" s="408"/>
      <c r="B878" s="338">
        <v>46141</v>
      </c>
      <c r="C878" s="338">
        <v>46563</v>
      </c>
      <c r="D878" s="374" t="s">
        <v>78</v>
      </c>
      <c r="E878" s="314" t="s">
        <v>47</v>
      </c>
      <c r="F878" s="315" t="s">
        <v>152</v>
      </c>
      <c r="G878" s="313">
        <v>6.21</v>
      </c>
      <c r="H878" s="313">
        <v>8.9</v>
      </c>
      <c r="I878" s="341">
        <v>186.82</v>
      </c>
      <c r="J878" s="341">
        <v>0</v>
      </c>
      <c r="K878" s="313"/>
      <c r="L878" s="340">
        <f t="shared" si="27"/>
        <v>186.82</v>
      </c>
      <c r="M878" s="313"/>
      <c r="N878" s="313"/>
      <c r="O878" s="313"/>
      <c r="P878" s="313"/>
      <c r="Q878" s="311"/>
      <c r="R878" s="392"/>
      <c r="S878" s="358">
        <f ca="1">IF(C878&lt;=EOMONTH('&gt;&gt;Vistas Consolidadas'!$D$2, '&gt;&gt;Vistas Consolidadas'!$F$2),J878+I878,J878)</f>
        <v>186.82</v>
      </c>
      <c r="T878" s="18" t="str">
        <f ca="1">IF(C878&gt;='&gt;&gt;Vistas Consolidadas'!$D$2,"SI","NO")</f>
        <v>SI</v>
      </c>
      <c r="U878" s="358">
        <f ca="1">IF(C878&lt;=EOMONTH('&gt;&gt;Vistas Consolidadas'!$D$2, '&gt;&gt;Vistas Consolidadas'!$F$2),I878,0)</f>
        <v>186.82</v>
      </c>
      <c r="V878" s="18" t="b">
        <f ca="1">AND(C878&gt;='Interes Por Semana'!$C$4, C878&lt;='Interes Por Semana'!$E$4)</f>
        <v>0</v>
      </c>
      <c r="W878" s="18" t="str">
        <f t="shared" si="28"/>
        <v>viernes</v>
      </c>
    </row>
    <row r="879" spans="1:23" hidden="1" x14ac:dyDescent="0.25">
      <c r="B879" s="337">
        <v>45552</v>
      </c>
      <c r="C879" s="337">
        <v>46541</v>
      </c>
      <c r="D879" s="374" t="s">
        <v>78</v>
      </c>
      <c r="E879" s="309" t="s">
        <v>47</v>
      </c>
      <c r="F879" s="310" t="s">
        <v>79</v>
      </c>
      <c r="G879" s="311">
        <v>5.36</v>
      </c>
      <c r="H879" s="311">
        <v>13.5</v>
      </c>
      <c r="I879" s="340">
        <v>15.63</v>
      </c>
      <c r="J879" s="340"/>
      <c r="K879" s="311"/>
      <c r="L879" s="340">
        <f t="shared" si="27"/>
        <v>15.63</v>
      </c>
      <c r="M879" s="313"/>
      <c r="N879" s="313"/>
      <c r="O879" s="313"/>
      <c r="P879" s="313"/>
      <c r="Q879" s="311"/>
      <c r="R879" s="392"/>
      <c r="S879" s="358">
        <f ca="1">IF(C879&lt;=EOMONTH('&gt;&gt;Vistas Consolidadas'!$D$2, '&gt;&gt;Vistas Consolidadas'!$F$2),J879+I879,J879)</f>
        <v>15.63</v>
      </c>
      <c r="T879" s="18" t="str">
        <f ca="1">IF(C879&gt;='&gt;&gt;Vistas Consolidadas'!$D$2,"SI","NO")</f>
        <v>SI</v>
      </c>
      <c r="U879" s="358">
        <f ca="1">IF(C879&lt;=EOMONTH('&gt;&gt;Vistas Consolidadas'!$D$2, '&gt;&gt;Vistas Consolidadas'!$F$2),I879,0)</f>
        <v>15.63</v>
      </c>
      <c r="V879" s="18" t="b">
        <f ca="1">AND(C879&gt;='Interes Por Semana'!$C$4, C879&lt;='Interes Por Semana'!$E$4)</f>
        <v>0</v>
      </c>
      <c r="W879" s="18" t="str">
        <f t="shared" si="28"/>
        <v>jueves</v>
      </c>
    </row>
    <row r="880" spans="1:23" hidden="1" x14ac:dyDescent="0.25">
      <c r="B880" s="337">
        <v>45560</v>
      </c>
      <c r="C880" s="337">
        <v>46541</v>
      </c>
      <c r="D880" s="374" t="s">
        <v>78</v>
      </c>
      <c r="E880" s="309" t="s">
        <v>47</v>
      </c>
      <c r="F880" s="310" t="s">
        <v>79</v>
      </c>
      <c r="G880" s="311">
        <v>5.36</v>
      </c>
      <c r="H880" s="311">
        <v>12.5</v>
      </c>
      <c r="I880" s="340">
        <v>12.51</v>
      </c>
      <c r="J880" s="340"/>
      <c r="K880" s="311"/>
      <c r="L880" s="340">
        <f t="shared" si="27"/>
        <v>12.51</v>
      </c>
      <c r="M880" s="313"/>
      <c r="N880" s="313"/>
      <c r="O880" s="313"/>
      <c r="P880" s="313"/>
      <c r="Q880" s="311"/>
      <c r="R880" s="392"/>
      <c r="S880" s="358">
        <f ca="1">IF(C880&lt;=EOMONTH('&gt;&gt;Vistas Consolidadas'!$D$2, '&gt;&gt;Vistas Consolidadas'!$F$2),J880+I880,J880)</f>
        <v>12.51</v>
      </c>
      <c r="T880" s="18" t="str">
        <f ca="1">IF(C880&gt;='&gt;&gt;Vistas Consolidadas'!$D$2,"SI","NO")</f>
        <v>SI</v>
      </c>
      <c r="U880" s="358">
        <f ca="1">IF(C880&lt;=EOMONTH('&gt;&gt;Vistas Consolidadas'!$D$2, '&gt;&gt;Vistas Consolidadas'!$F$2),I880,0)</f>
        <v>12.51</v>
      </c>
      <c r="V880" s="18" t="b">
        <f ca="1">AND(C880&gt;='Interes Por Semana'!$C$4, C880&lt;='Interes Por Semana'!$E$4)</f>
        <v>0</v>
      </c>
      <c r="W880" s="18" t="str">
        <f t="shared" si="28"/>
        <v>jueves</v>
      </c>
    </row>
    <row r="881" spans="2:23" hidden="1" x14ac:dyDescent="0.25">
      <c r="B881" s="337">
        <v>45708</v>
      </c>
      <c r="C881" s="337">
        <v>46542</v>
      </c>
      <c r="D881" s="374" t="s">
        <v>78</v>
      </c>
      <c r="E881" s="309" t="s">
        <v>46</v>
      </c>
      <c r="F881" s="310" t="s">
        <v>81</v>
      </c>
      <c r="G881" s="311">
        <v>5.36</v>
      </c>
      <c r="H881" s="311">
        <v>11.35</v>
      </c>
      <c r="I881" s="340">
        <v>16.79</v>
      </c>
      <c r="J881" s="340">
        <v>0</v>
      </c>
      <c r="K881" s="311"/>
      <c r="L881" s="340">
        <f t="shared" si="27"/>
        <v>16.79</v>
      </c>
      <c r="M881" s="313"/>
      <c r="N881" s="313"/>
      <c r="O881" s="313"/>
      <c r="P881" s="313"/>
      <c r="Q881" s="311"/>
      <c r="R881" s="392"/>
      <c r="S881" s="358">
        <f ca="1">IF(C881&lt;=EOMONTH('&gt;&gt;Vistas Consolidadas'!$D$2, '&gt;&gt;Vistas Consolidadas'!$F$2),J881+I881,J881)</f>
        <v>16.79</v>
      </c>
      <c r="T881" s="18" t="str">
        <f ca="1">IF(C881&gt;='&gt;&gt;Vistas Consolidadas'!$D$2,"SI","NO")</f>
        <v>SI</v>
      </c>
      <c r="U881" s="358">
        <f ca="1">IF(C881&lt;=EOMONTH('&gt;&gt;Vistas Consolidadas'!$D$2, '&gt;&gt;Vistas Consolidadas'!$F$2),I881,0)</f>
        <v>16.79</v>
      </c>
      <c r="V881" s="18" t="b">
        <f ca="1">AND(C881&gt;='Interes Por Semana'!$C$4, C881&lt;='Interes Por Semana'!$E$4)</f>
        <v>0</v>
      </c>
      <c r="W881" s="18" t="str">
        <f t="shared" si="28"/>
        <v>viernes</v>
      </c>
    </row>
    <row r="882" spans="2:23" hidden="1" x14ac:dyDescent="0.25">
      <c r="B882" s="337">
        <v>46057</v>
      </c>
      <c r="C882" s="337">
        <v>46544</v>
      </c>
      <c r="D882" s="374" t="s">
        <v>78</v>
      </c>
      <c r="E882" s="309" t="s">
        <v>47</v>
      </c>
      <c r="F882" s="310" t="s">
        <v>85</v>
      </c>
      <c r="G882" s="311">
        <v>7.93</v>
      </c>
      <c r="H882" s="311">
        <v>11.25</v>
      </c>
      <c r="I882" s="340">
        <v>58.023180428134552</v>
      </c>
      <c r="J882" s="340"/>
      <c r="K882" s="311"/>
      <c r="L882" s="340">
        <f t="shared" si="27"/>
        <v>58.023180428134552</v>
      </c>
      <c r="M882" s="313"/>
      <c r="N882" s="313"/>
      <c r="O882" s="313"/>
      <c r="P882" s="313"/>
      <c r="Q882" s="311"/>
      <c r="R882" s="392"/>
      <c r="S882" s="358">
        <f ca="1">IF(C882&lt;=EOMONTH('&gt;&gt;Vistas Consolidadas'!$D$2, '&gt;&gt;Vistas Consolidadas'!$F$2),J882+I882,J882)</f>
        <v>58.023180428134552</v>
      </c>
      <c r="T882" s="18" t="str">
        <f ca="1">IF(C882&gt;='&gt;&gt;Vistas Consolidadas'!$D$2,"SI","NO")</f>
        <v>SI</v>
      </c>
      <c r="U882" s="358">
        <f ca="1">IF(C882&lt;=EOMONTH('&gt;&gt;Vistas Consolidadas'!$D$2, '&gt;&gt;Vistas Consolidadas'!$F$2),I882,0)</f>
        <v>58.023180428134552</v>
      </c>
      <c r="V882" s="18" t="b">
        <f ca="1">AND(C882&gt;='Interes Por Semana'!$C$4, C882&lt;='Interes Por Semana'!$E$4)</f>
        <v>0</v>
      </c>
      <c r="W882" s="18" t="str">
        <f t="shared" si="28"/>
        <v>domingo</v>
      </c>
    </row>
    <row r="883" spans="2:23" hidden="1" x14ac:dyDescent="0.25">
      <c r="B883" s="337">
        <v>46057</v>
      </c>
      <c r="C883" s="337">
        <v>46544</v>
      </c>
      <c r="D883" s="374" t="s">
        <v>78</v>
      </c>
      <c r="E883" s="309" t="s">
        <v>47</v>
      </c>
      <c r="F883" s="310" t="s">
        <v>86</v>
      </c>
      <c r="G883" s="311">
        <v>7.35</v>
      </c>
      <c r="H883" s="311">
        <v>11</v>
      </c>
      <c r="I883" s="340">
        <v>20.79</v>
      </c>
      <c r="J883" s="340"/>
      <c r="K883" s="311"/>
      <c r="L883" s="340">
        <f t="shared" si="27"/>
        <v>20.79</v>
      </c>
      <c r="M883" s="313"/>
      <c r="N883" s="313"/>
      <c r="O883" s="313"/>
      <c r="P883" s="313"/>
      <c r="Q883" s="311"/>
      <c r="R883" s="392"/>
      <c r="S883" s="358">
        <f ca="1">IF(C883&lt;=EOMONTH('&gt;&gt;Vistas Consolidadas'!$D$2, '&gt;&gt;Vistas Consolidadas'!$F$2),J883+I883,J883)</f>
        <v>20.79</v>
      </c>
      <c r="T883" s="18" t="str">
        <f ca="1">IF(C883&gt;='&gt;&gt;Vistas Consolidadas'!$D$2,"SI","NO")</f>
        <v>SI</v>
      </c>
      <c r="U883" s="358">
        <f ca="1">IF(C883&lt;=EOMONTH('&gt;&gt;Vistas Consolidadas'!$D$2, '&gt;&gt;Vistas Consolidadas'!$F$2),I883,0)</f>
        <v>20.79</v>
      </c>
      <c r="V883" s="18" t="b">
        <f ca="1">AND(C883&gt;='Interes Por Semana'!$C$4, C883&lt;='Interes Por Semana'!$E$4)</f>
        <v>0</v>
      </c>
      <c r="W883" s="18" t="str">
        <f t="shared" si="28"/>
        <v>domingo</v>
      </c>
    </row>
    <row r="884" spans="2:23" hidden="1" x14ac:dyDescent="0.25">
      <c r="B884" s="337">
        <v>46001</v>
      </c>
      <c r="C884" s="337">
        <v>46544</v>
      </c>
      <c r="D884" s="374" t="s">
        <v>78</v>
      </c>
      <c r="E884" s="309" t="s">
        <v>46</v>
      </c>
      <c r="F884" s="310" t="s">
        <v>87</v>
      </c>
      <c r="G884" s="311">
        <v>7.54</v>
      </c>
      <c r="H884" s="311">
        <v>11</v>
      </c>
      <c r="I884" s="340">
        <v>7.79</v>
      </c>
      <c r="J884" s="340"/>
      <c r="K884" s="311"/>
      <c r="L884" s="340">
        <f t="shared" si="27"/>
        <v>7.79</v>
      </c>
      <c r="M884" s="313"/>
      <c r="N884" s="313"/>
      <c r="O884" s="313"/>
      <c r="P884" s="313"/>
      <c r="Q884" s="311"/>
      <c r="R884" s="392"/>
      <c r="S884" s="358">
        <f ca="1">IF(C884&lt;=EOMONTH('&gt;&gt;Vistas Consolidadas'!$D$2, '&gt;&gt;Vistas Consolidadas'!$F$2),J884+I884,J884)</f>
        <v>7.79</v>
      </c>
      <c r="T884" s="18" t="str">
        <f ca="1">IF(C884&gt;='&gt;&gt;Vistas Consolidadas'!$D$2,"SI","NO")</f>
        <v>SI</v>
      </c>
      <c r="U884" s="358">
        <f ca="1">IF(C884&lt;=EOMONTH('&gt;&gt;Vistas Consolidadas'!$D$2, '&gt;&gt;Vistas Consolidadas'!$F$2),I884,0)</f>
        <v>7.79</v>
      </c>
      <c r="V884" s="18" t="b">
        <f ca="1">AND(C884&gt;='Interes Por Semana'!$C$4, C884&lt;='Interes Por Semana'!$E$4)</f>
        <v>0</v>
      </c>
      <c r="W884" s="18" t="str">
        <f t="shared" si="28"/>
        <v>domingo</v>
      </c>
    </row>
    <row r="885" spans="2:23" hidden="1" x14ac:dyDescent="0.25">
      <c r="B885" s="337">
        <v>45943</v>
      </c>
      <c r="C885" s="337">
        <v>46548</v>
      </c>
      <c r="D885" s="374" t="s">
        <v>78</v>
      </c>
      <c r="E885" s="309" t="s">
        <v>47</v>
      </c>
      <c r="F885" s="310" t="s">
        <v>91</v>
      </c>
      <c r="G885" s="311">
        <v>7.54</v>
      </c>
      <c r="H885" s="311">
        <v>9.85</v>
      </c>
      <c r="I885" s="340">
        <v>35.25</v>
      </c>
      <c r="J885" s="340"/>
      <c r="K885" s="311"/>
      <c r="L885" s="340">
        <f t="shared" si="27"/>
        <v>35.25</v>
      </c>
      <c r="M885" s="313"/>
      <c r="N885" s="313"/>
      <c r="O885" s="313"/>
      <c r="P885" s="313"/>
      <c r="Q885" s="311"/>
      <c r="R885" s="392"/>
      <c r="S885" s="358">
        <f ca="1">IF(C885&lt;=EOMONTH('&gt;&gt;Vistas Consolidadas'!$D$2, '&gt;&gt;Vistas Consolidadas'!$F$2),J885+I885,J885)</f>
        <v>35.25</v>
      </c>
      <c r="T885" s="18" t="str">
        <f ca="1">IF(C885&gt;='&gt;&gt;Vistas Consolidadas'!$D$2,"SI","NO")</f>
        <v>SI</v>
      </c>
      <c r="U885" s="358">
        <f ca="1">IF(C885&lt;=EOMONTH('&gt;&gt;Vistas Consolidadas'!$D$2, '&gt;&gt;Vistas Consolidadas'!$F$2),I885,0)</f>
        <v>35.25</v>
      </c>
      <c r="V885" s="18" t="b">
        <f ca="1">AND(C885&gt;='Interes Por Semana'!$C$4, C885&lt;='Interes Por Semana'!$E$4)</f>
        <v>0</v>
      </c>
      <c r="W885" s="18" t="str">
        <f t="shared" si="28"/>
        <v>jueves</v>
      </c>
    </row>
    <row r="886" spans="2:23" hidden="1" x14ac:dyDescent="0.25">
      <c r="B886" s="337">
        <v>46121</v>
      </c>
      <c r="C886" s="337">
        <v>46550</v>
      </c>
      <c r="D886" s="374" t="s">
        <v>78</v>
      </c>
      <c r="E886" s="309" t="s">
        <v>47</v>
      </c>
      <c r="F886" s="310" t="s">
        <v>93</v>
      </c>
      <c r="G886" s="311">
        <v>4.71</v>
      </c>
      <c r="H886" s="311">
        <v>9.5</v>
      </c>
      <c r="I886" s="340">
        <v>3.53</v>
      </c>
      <c r="J886" s="340">
        <v>0</v>
      </c>
      <c r="K886" s="311"/>
      <c r="L886" s="340">
        <f t="shared" si="27"/>
        <v>3.53</v>
      </c>
      <c r="M886" s="313"/>
      <c r="N886" s="313"/>
      <c r="O886" s="313"/>
      <c r="P886" s="313"/>
      <c r="Q886" s="311"/>
      <c r="R886" s="392"/>
      <c r="S886" s="358">
        <f ca="1">IF(C886&lt;=EOMONTH('&gt;&gt;Vistas Consolidadas'!$D$2, '&gt;&gt;Vistas Consolidadas'!$F$2),J886+I886,J886)</f>
        <v>3.53</v>
      </c>
      <c r="T886" s="18" t="str">
        <f ca="1">IF(C886&gt;='&gt;&gt;Vistas Consolidadas'!$D$2,"SI","NO")</f>
        <v>SI</v>
      </c>
      <c r="U886" s="358">
        <f ca="1">IF(C886&lt;=EOMONTH('&gt;&gt;Vistas Consolidadas'!$D$2, '&gt;&gt;Vistas Consolidadas'!$F$2),I886,0)</f>
        <v>3.53</v>
      </c>
      <c r="V886" s="18" t="b">
        <f ca="1">AND(C886&gt;='Interes Por Semana'!$C$4, C886&lt;='Interes Por Semana'!$E$4)</f>
        <v>0</v>
      </c>
      <c r="W886" s="18" t="str">
        <f t="shared" si="28"/>
        <v>sábado</v>
      </c>
    </row>
    <row r="887" spans="2:23" hidden="1" x14ac:dyDescent="0.25">
      <c r="B887" s="337">
        <v>45264</v>
      </c>
      <c r="C887" s="337">
        <v>46555</v>
      </c>
      <c r="D887" s="374" t="s">
        <v>78</v>
      </c>
      <c r="E887" s="309" t="s">
        <v>46</v>
      </c>
      <c r="F887" s="310" t="s">
        <v>99</v>
      </c>
      <c r="G887" s="311">
        <v>5.64</v>
      </c>
      <c r="H887" s="311">
        <v>13</v>
      </c>
      <c r="I887" s="340">
        <v>14.1</v>
      </c>
      <c r="J887" s="340"/>
      <c r="K887" s="311"/>
      <c r="L887" s="340">
        <f t="shared" si="27"/>
        <v>14.1</v>
      </c>
      <c r="M887" s="313"/>
      <c r="N887" s="313"/>
      <c r="O887" s="313"/>
      <c r="P887" s="313"/>
      <c r="Q887" s="311"/>
      <c r="R887" s="392"/>
      <c r="S887" s="358">
        <f ca="1">IF(C887&lt;=EOMONTH('&gt;&gt;Vistas Consolidadas'!$D$2, '&gt;&gt;Vistas Consolidadas'!$F$2),J887+I887,J887)</f>
        <v>14.1</v>
      </c>
      <c r="T887" s="18" t="str">
        <f ca="1">IF(C887&gt;='&gt;&gt;Vistas Consolidadas'!$D$2,"SI","NO")</f>
        <v>SI</v>
      </c>
      <c r="U887" s="358">
        <f ca="1">IF(C887&lt;=EOMONTH('&gt;&gt;Vistas Consolidadas'!$D$2, '&gt;&gt;Vistas Consolidadas'!$F$2),I887,0)</f>
        <v>14.1</v>
      </c>
      <c r="V887" s="18" t="b">
        <f ca="1">AND(C887&gt;='Interes Por Semana'!$C$4, C887&lt;='Interes Por Semana'!$E$4)</f>
        <v>0</v>
      </c>
      <c r="W887" s="18" t="str">
        <f t="shared" si="28"/>
        <v>jueves</v>
      </c>
    </row>
    <row r="888" spans="2:23" hidden="1" x14ac:dyDescent="0.25">
      <c r="B888" s="337">
        <v>45302</v>
      </c>
      <c r="C888" s="337">
        <v>46555</v>
      </c>
      <c r="D888" s="374" t="s">
        <v>78</v>
      </c>
      <c r="E888" s="309" t="s">
        <v>46</v>
      </c>
      <c r="F888" s="310" t="s">
        <v>99</v>
      </c>
      <c r="G888" s="311">
        <v>5.64</v>
      </c>
      <c r="H888" s="311">
        <v>12.75</v>
      </c>
      <c r="I888" s="340">
        <v>7.28</v>
      </c>
      <c r="J888" s="340"/>
      <c r="K888" s="311"/>
      <c r="L888" s="340">
        <f t="shared" si="27"/>
        <v>7.28</v>
      </c>
      <c r="M888" s="313"/>
      <c r="N888" s="313"/>
      <c r="O888" s="313"/>
      <c r="P888" s="313"/>
      <c r="Q888" s="311"/>
      <c r="R888" s="392"/>
      <c r="S888" s="358">
        <f ca="1">IF(C888&lt;=EOMONTH('&gt;&gt;Vistas Consolidadas'!$D$2, '&gt;&gt;Vistas Consolidadas'!$F$2),J888+I888,J888)</f>
        <v>7.28</v>
      </c>
      <c r="T888" s="18" t="str">
        <f ca="1">IF(C888&gt;='&gt;&gt;Vistas Consolidadas'!$D$2,"SI","NO")</f>
        <v>SI</v>
      </c>
      <c r="U888" s="358">
        <f ca="1">IF(C888&lt;=EOMONTH('&gt;&gt;Vistas Consolidadas'!$D$2, '&gt;&gt;Vistas Consolidadas'!$F$2),I888,0)</f>
        <v>7.28</v>
      </c>
      <c r="V888" s="18" t="b">
        <f ca="1">AND(C888&gt;='Interes Por Semana'!$C$4, C888&lt;='Interes Por Semana'!$E$4)</f>
        <v>0</v>
      </c>
      <c r="W888" s="18" t="str">
        <f t="shared" si="28"/>
        <v>jueves</v>
      </c>
    </row>
    <row r="889" spans="2:23" hidden="1" x14ac:dyDescent="0.25">
      <c r="B889" s="337">
        <v>46006</v>
      </c>
      <c r="C889" s="337">
        <v>46556</v>
      </c>
      <c r="D889" s="374" t="s">
        <v>78</v>
      </c>
      <c r="E889" s="309" t="s">
        <v>46</v>
      </c>
      <c r="F889" s="310" t="s">
        <v>100</v>
      </c>
      <c r="G889" s="311">
        <v>5.93</v>
      </c>
      <c r="H889" s="311">
        <v>8.5</v>
      </c>
      <c r="I889" s="340">
        <v>23.09</v>
      </c>
      <c r="J889" s="340"/>
      <c r="K889" s="311"/>
      <c r="L889" s="340">
        <f t="shared" si="27"/>
        <v>23.09</v>
      </c>
      <c r="M889" s="313"/>
      <c r="N889" s="313"/>
      <c r="O889" s="313"/>
      <c r="P889" s="313"/>
      <c r="Q889" s="311"/>
      <c r="R889" s="392"/>
      <c r="S889" s="358">
        <f ca="1">IF(C889&lt;=EOMONTH('&gt;&gt;Vistas Consolidadas'!$D$2, '&gt;&gt;Vistas Consolidadas'!$F$2),J889+I889,J889)</f>
        <v>23.09</v>
      </c>
      <c r="T889" s="18" t="str">
        <f ca="1">IF(C889&gt;='&gt;&gt;Vistas Consolidadas'!$D$2,"SI","NO")</f>
        <v>SI</v>
      </c>
      <c r="U889" s="358">
        <f ca="1">IF(C889&lt;=EOMONTH('&gt;&gt;Vistas Consolidadas'!$D$2, '&gt;&gt;Vistas Consolidadas'!$F$2),I889,0)</f>
        <v>23.09</v>
      </c>
      <c r="V889" s="18" t="b">
        <f ca="1">AND(C889&gt;='Interes Por Semana'!$C$4, C889&lt;='Interes Por Semana'!$E$4)</f>
        <v>0</v>
      </c>
      <c r="W889" s="18" t="str">
        <f t="shared" si="28"/>
        <v>viernes</v>
      </c>
    </row>
    <row r="890" spans="2:23" hidden="1" x14ac:dyDescent="0.25">
      <c r="B890" s="337">
        <v>45734</v>
      </c>
      <c r="C890" s="337">
        <v>46556</v>
      </c>
      <c r="D890" s="374" t="s">
        <v>78</v>
      </c>
      <c r="E890" s="309" t="s">
        <v>47</v>
      </c>
      <c r="F890" s="310" t="s">
        <v>101</v>
      </c>
      <c r="G890" s="311">
        <v>5.93</v>
      </c>
      <c r="H890" s="311">
        <v>12</v>
      </c>
      <c r="I890" s="340">
        <v>8.94</v>
      </c>
      <c r="J890" s="340"/>
      <c r="K890" s="311"/>
      <c r="L890" s="340">
        <f t="shared" si="27"/>
        <v>8.94</v>
      </c>
      <c r="M890" s="313"/>
      <c r="N890" s="313"/>
      <c r="O890" s="313"/>
      <c r="P890" s="313"/>
      <c r="Q890" s="311"/>
      <c r="R890" s="392"/>
      <c r="S890" s="358">
        <f ca="1">IF(C890&lt;=EOMONTH('&gt;&gt;Vistas Consolidadas'!$D$2, '&gt;&gt;Vistas Consolidadas'!$F$2),J890+I890,J890)</f>
        <v>8.94</v>
      </c>
      <c r="T890" s="18" t="str">
        <f ca="1">IF(C890&gt;='&gt;&gt;Vistas Consolidadas'!$D$2,"SI","NO")</f>
        <v>SI</v>
      </c>
      <c r="U890" s="358">
        <f ca="1">IF(C890&lt;=EOMONTH('&gt;&gt;Vistas Consolidadas'!$D$2, '&gt;&gt;Vistas Consolidadas'!$F$2),I890,0)</f>
        <v>8.94</v>
      </c>
      <c r="V890" s="18" t="b">
        <f ca="1">AND(C890&gt;='Interes Por Semana'!$C$4, C890&lt;='Interes Por Semana'!$E$4)</f>
        <v>0</v>
      </c>
      <c r="W890" s="18" t="str">
        <f t="shared" si="28"/>
        <v>viernes</v>
      </c>
    </row>
    <row r="891" spans="2:23" hidden="1" x14ac:dyDescent="0.25">
      <c r="B891" s="337">
        <v>45264</v>
      </c>
      <c r="C891" s="337">
        <v>46559</v>
      </c>
      <c r="D891" s="374" t="s">
        <v>78</v>
      </c>
      <c r="E891" s="309" t="s">
        <v>46</v>
      </c>
      <c r="F891" s="310" t="s">
        <v>103</v>
      </c>
      <c r="G891" s="311">
        <v>5.36</v>
      </c>
      <c r="H891" s="311">
        <v>13</v>
      </c>
      <c r="I891" s="340">
        <v>5.58</v>
      </c>
      <c r="J891" s="340"/>
      <c r="K891" s="311"/>
      <c r="L891" s="340">
        <f t="shared" si="27"/>
        <v>5.58</v>
      </c>
      <c r="M891" s="313"/>
      <c r="N891" s="313"/>
      <c r="O891" s="313"/>
      <c r="P891" s="313"/>
      <c r="Q891" s="311"/>
      <c r="R891" s="392"/>
      <c r="S891" s="358">
        <f ca="1">IF(C891&lt;=EOMONTH('&gt;&gt;Vistas Consolidadas'!$D$2, '&gt;&gt;Vistas Consolidadas'!$F$2),J891+I891,J891)</f>
        <v>5.58</v>
      </c>
      <c r="T891" s="18" t="str">
        <f ca="1">IF(C891&gt;='&gt;&gt;Vistas Consolidadas'!$D$2,"SI","NO")</f>
        <v>SI</v>
      </c>
      <c r="U891" s="358">
        <f ca="1">IF(C891&lt;=EOMONTH('&gt;&gt;Vistas Consolidadas'!$D$2, '&gt;&gt;Vistas Consolidadas'!$F$2),I891,0)</f>
        <v>5.58</v>
      </c>
      <c r="V891" s="18" t="b">
        <f ca="1">AND(C891&gt;='Interes Por Semana'!$C$4, C891&lt;='Interes Por Semana'!$E$4)</f>
        <v>0</v>
      </c>
      <c r="W891" s="18" t="str">
        <f t="shared" si="28"/>
        <v>lunes</v>
      </c>
    </row>
    <row r="892" spans="2:23" hidden="1" x14ac:dyDescent="0.25">
      <c r="B892" s="337">
        <v>45279</v>
      </c>
      <c r="C892" s="337">
        <v>46559</v>
      </c>
      <c r="D892" s="374" t="s">
        <v>78</v>
      </c>
      <c r="E892" s="309" t="s">
        <v>46</v>
      </c>
      <c r="F892" s="310" t="s">
        <v>103</v>
      </c>
      <c r="G892" s="311">
        <v>5.36</v>
      </c>
      <c r="H892" s="311">
        <v>13</v>
      </c>
      <c r="I892" s="340">
        <v>3.13</v>
      </c>
      <c r="J892" s="340"/>
      <c r="K892" s="311"/>
      <c r="L892" s="340">
        <f t="shared" ref="L892:L955" si="29">I892</f>
        <v>3.13</v>
      </c>
      <c r="M892" s="313"/>
      <c r="N892" s="313"/>
      <c r="O892" s="313"/>
      <c r="P892" s="313"/>
      <c r="Q892" s="311"/>
      <c r="R892" s="392"/>
      <c r="S892" s="358">
        <f ca="1">IF(C892&lt;=EOMONTH('&gt;&gt;Vistas Consolidadas'!$D$2, '&gt;&gt;Vistas Consolidadas'!$F$2),J892+I892,J892)</f>
        <v>3.13</v>
      </c>
      <c r="T892" s="18" t="str">
        <f ca="1">IF(C892&gt;='&gt;&gt;Vistas Consolidadas'!$D$2,"SI","NO")</f>
        <v>SI</v>
      </c>
      <c r="U892" s="358">
        <f ca="1">IF(C892&lt;=EOMONTH('&gt;&gt;Vistas Consolidadas'!$D$2, '&gt;&gt;Vistas Consolidadas'!$F$2),I892,0)</f>
        <v>3.13</v>
      </c>
      <c r="V892" s="18" t="b">
        <f ca="1">AND(C892&gt;='Interes Por Semana'!$C$4, C892&lt;='Interes Por Semana'!$E$4)</f>
        <v>0</v>
      </c>
      <c r="W892" s="18" t="str">
        <f t="shared" si="28"/>
        <v>lunes</v>
      </c>
    </row>
    <row r="893" spans="2:23" hidden="1" x14ac:dyDescent="0.25">
      <c r="B893" s="337">
        <v>45552</v>
      </c>
      <c r="C893" s="337">
        <v>46559</v>
      </c>
      <c r="D893" s="374" t="s">
        <v>78</v>
      </c>
      <c r="E893" s="309" t="s">
        <v>47</v>
      </c>
      <c r="F893" s="310" t="s">
        <v>103</v>
      </c>
      <c r="G893" s="311">
        <v>5.36</v>
      </c>
      <c r="H893" s="311">
        <v>13.75</v>
      </c>
      <c r="I893" s="340">
        <v>4.47</v>
      </c>
      <c r="J893" s="340"/>
      <c r="K893" s="311"/>
      <c r="L893" s="340">
        <f t="shared" si="29"/>
        <v>4.47</v>
      </c>
      <c r="M893" s="313"/>
      <c r="N893" s="313"/>
      <c r="O893" s="313"/>
      <c r="P893" s="313"/>
      <c r="Q893" s="311"/>
      <c r="R893" s="392"/>
      <c r="S893" s="358">
        <f ca="1">IF(C893&lt;=EOMONTH('&gt;&gt;Vistas Consolidadas'!$D$2, '&gt;&gt;Vistas Consolidadas'!$F$2),J893+I893,J893)</f>
        <v>4.47</v>
      </c>
      <c r="T893" s="18" t="str">
        <f ca="1">IF(C893&gt;='&gt;&gt;Vistas Consolidadas'!$D$2,"SI","NO")</f>
        <v>SI</v>
      </c>
      <c r="U893" s="358">
        <f ca="1">IF(C893&lt;=EOMONTH('&gt;&gt;Vistas Consolidadas'!$D$2, '&gt;&gt;Vistas Consolidadas'!$F$2),I893,0)</f>
        <v>4.47</v>
      </c>
      <c r="V893" s="18" t="b">
        <f ca="1">AND(C893&gt;='Interes Por Semana'!$C$4, C893&lt;='Interes Por Semana'!$E$4)</f>
        <v>0</v>
      </c>
      <c r="W893" s="18" t="str">
        <f t="shared" si="28"/>
        <v>lunes</v>
      </c>
    </row>
    <row r="894" spans="2:23" hidden="1" x14ac:dyDescent="0.25">
      <c r="B894" s="337">
        <v>45447</v>
      </c>
      <c r="C894" s="337">
        <v>46562</v>
      </c>
      <c r="D894" s="374" t="s">
        <v>78</v>
      </c>
      <c r="E894" s="309" t="s">
        <v>47</v>
      </c>
      <c r="F894" s="310" t="s">
        <v>105</v>
      </c>
      <c r="G894" s="311">
        <v>5.93</v>
      </c>
      <c r="H894" s="311">
        <v>13.25</v>
      </c>
      <c r="I894" s="340">
        <v>29.65</v>
      </c>
      <c r="J894" s="340"/>
      <c r="K894" s="311"/>
      <c r="L894" s="340">
        <f t="shared" si="29"/>
        <v>29.65</v>
      </c>
      <c r="M894" s="313"/>
      <c r="N894" s="313"/>
      <c r="O894" s="313"/>
      <c r="P894" s="313"/>
      <c r="Q894" s="311"/>
      <c r="R894" s="392"/>
      <c r="S894" s="358">
        <f ca="1">IF(C894&lt;=EOMONTH('&gt;&gt;Vistas Consolidadas'!$D$2, '&gt;&gt;Vistas Consolidadas'!$F$2),J894+I894,J894)</f>
        <v>29.65</v>
      </c>
      <c r="T894" s="18" t="str">
        <f ca="1">IF(C894&gt;='&gt;&gt;Vistas Consolidadas'!$D$2,"SI","NO")</f>
        <v>SI</v>
      </c>
      <c r="U894" s="358">
        <f ca="1">IF(C894&lt;=EOMONTH('&gt;&gt;Vistas Consolidadas'!$D$2, '&gt;&gt;Vistas Consolidadas'!$F$2),I894,0)</f>
        <v>29.65</v>
      </c>
      <c r="V894" s="18" t="b">
        <f ca="1">AND(C894&gt;='Interes Por Semana'!$C$4, C894&lt;='Interes Por Semana'!$E$4)</f>
        <v>0</v>
      </c>
      <c r="W894" s="18" t="str">
        <f t="shared" si="28"/>
        <v>jueves</v>
      </c>
    </row>
    <row r="895" spans="2:23" hidden="1" x14ac:dyDescent="0.25">
      <c r="B895" s="337">
        <v>45832</v>
      </c>
      <c r="C895" s="337">
        <v>46563</v>
      </c>
      <c r="D895" s="374" t="s">
        <v>78</v>
      </c>
      <c r="E895" s="309" t="s">
        <v>47</v>
      </c>
      <c r="F895" s="310" t="s">
        <v>106</v>
      </c>
      <c r="G895" s="311">
        <v>5.93</v>
      </c>
      <c r="H895" s="311">
        <v>11</v>
      </c>
      <c r="I895" s="340">
        <v>22.41</v>
      </c>
      <c r="J895" s="340"/>
      <c r="K895" s="311"/>
      <c r="L895" s="340">
        <f t="shared" si="29"/>
        <v>22.41</v>
      </c>
      <c r="M895" s="313"/>
      <c r="N895" s="313"/>
      <c r="O895" s="313"/>
      <c r="P895" s="313"/>
      <c r="Q895" s="311"/>
      <c r="R895" s="392"/>
      <c r="S895" s="358">
        <f ca="1">IF(C895&lt;=EOMONTH('&gt;&gt;Vistas Consolidadas'!$D$2, '&gt;&gt;Vistas Consolidadas'!$F$2),J895+I895,J895)</f>
        <v>22.41</v>
      </c>
      <c r="T895" s="18" t="str">
        <f ca="1">IF(C895&gt;='&gt;&gt;Vistas Consolidadas'!$D$2,"SI","NO")</f>
        <v>SI</v>
      </c>
      <c r="U895" s="358">
        <f ca="1">IF(C895&lt;=EOMONTH('&gt;&gt;Vistas Consolidadas'!$D$2, '&gt;&gt;Vistas Consolidadas'!$F$2),I895,0)</f>
        <v>22.41</v>
      </c>
      <c r="V895" s="18" t="b">
        <f ca="1">AND(C895&gt;='Interes Por Semana'!$C$4, C895&lt;='Interes Por Semana'!$E$4)</f>
        <v>0</v>
      </c>
      <c r="W895" s="18" t="str">
        <f t="shared" si="28"/>
        <v>viernes</v>
      </c>
    </row>
    <row r="896" spans="2:23" hidden="1" x14ac:dyDescent="0.25">
      <c r="B896" s="337">
        <v>45889</v>
      </c>
      <c r="C896" s="337">
        <v>46563</v>
      </c>
      <c r="D896" s="374" t="s">
        <v>78</v>
      </c>
      <c r="E896" s="309" t="s">
        <v>47</v>
      </c>
      <c r="F896" s="310" t="s">
        <v>106</v>
      </c>
      <c r="G896" s="311">
        <v>6.21</v>
      </c>
      <c r="H896" s="311">
        <v>9.75</v>
      </c>
      <c r="I896" s="340">
        <v>4.5</v>
      </c>
      <c r="J896" s="340"/>
      <c r="K896" s="311"/>
      <c r="L896" s="340">
        <f t="shared" si="29"/>
        <v>4.5</v>
      </c>
      <c r="M896" s="313"/>
      <c r="N896" s="313"/>
      <c r="O896" s="313"/>
      <c r="P896" s="313"/>
      <c r="Q896" s="311"/>
      <c r="R896" s="392"/>
      <c r="S896" s="358">
        <f ca="1">IF(C896&lt;=EOMONTH('&gt;&gt;Vistas Consolidadas'!$D$2, '&gt;&gt;Vistas Consolidadas'!$F$2),J896+I896,J896)</f>
        <v>4.5</v>
      </c>
      <c r="T896" s="18" t="str">
        <f ca="1">IF(C896&gt;='&gt;&gt;Vistas Consolidadas'!$D$2,"SI","NO")</f>
        <v>SI</v>
      </c>
      <c r="U896" s="358">
        <f ca="1">IF(C896&lt;=EOMONTH('&gt;&gt;Vistas Consolidadas'!$D$2, '&gt;&gt;Vistas Consolidadas'!$F$2),I896,0)</f>
        <v>4.5</v>
      </c>
      <c r="V896" s="18" t="b">
        <f ca="1">AND(C896&gt;='Interes Por Semana'!$C$4, C896&lt;='Interes Por Semana'!$E$4)</f>
        <v>0</v>
      </c>
      <c r="W896" s="18" t="str">
        <f t="shared" si="28"/>
        <v>viernes</v>
      </c>
    </row>
    <row r="897" spans="2:23" hidden="1" x14ac:dyDescent="0.25">
      <c r="B897" s="337">
        <v>45889</v>
      </c>
      <c r="C897" s="337">
        <v>46563</v>
      </c>
      <c r="D897" s="374" t="s">
        <v>78</v>
      </c>
      <c r="E897" s="309" t="s">
        <v>46</v>
      </c>
      <c r="F897" s="310" t="s">
        <v>106</v>
      </c>
      <c r="G897" s="311">
        <v>6.21</v>
      </c>
      <c r="H897" s="311">
        <v>10.75</v>
      </c>
      <c r="I897" s="340">
        <v>25.88</v>
      </c>
      <c r="J897" s="340"/>
      <c r="K897" s="311"/>
      <c r="L897" s="340">
        <f t="shared" si="29"/>
        <v>25.88</v>
      </c>
      <c r="M897" s="313"/>
      <c r="N897" s="313"/>
      <c r="O897" s="313"/>
      <c r="P897" s="313"/>
      <c r="Q897" s="311"/>
      <c r="R897" s="392"/>
      <c r="S897" s="358">
        <f ca="1">IF(C897&lt;=EOMONTH('&gt;&gt;Vistas Consolidadas'!$D$2, '&gt;&gt;Vistas Consolidadas'!$F$2),J897+I897,J897)</f>
        <v>25.88</v>
      </c>
      <c r="T897" s="18" t="str">
        <f ca="1">IF(C897&gt;='&gt;&gt;Vistas Consolidadas'!$D$2,"SI","NO")</f>
        <v>SI</v>
      </c>
      <c r="U897" s="358">
        <f ca="1">IF(C897&lt;=EOMONTH('&gt;&gt;Vistas Consolidadas'!$D$2, '&gt;&gt;Vistas Consolidadas'!$F$2),I897,0)</f>
        <v>25.88</v>
      </c>
      <c r="V897" s="18" t="b">
        <f ca="1">AND(C897&gt;='Interes Por Semana'!$C$4, C897&lt;='Interes Por Semana'!$E$4)</f>
        <v>0</v>
      </c>
      <c r="W897" s="18" t="str">
        <f t="shared" si="28"/>
        <v>viernes</v>
      </c>
    </row>
    <row r="898" spans="2:23" hidden="1" x14ac:dyDescent="0.25">
      <c r="B898" s="337">
        <v>45593</v>
      </c>
      <c r="C898" s="337">
        <v>46564</v>
      </c>
      <c r="D898" s="374" t="s">
        <v>78</v>
      </c>
      <c r="E898" s="309" t="s">
        <v>47</v>
      </c>
      <c r="F898" s="310" t="s">
        <v>107</v>
      </c>
      <c r="G898" s="311">
        <v>5.07</v>
      </c>
      <c r="H898" s="311">
        <v>13</v>
      </c>
      <c r="I898" s="340">
        <v>11.41</v>
      </c>
      <c r="J898" s="340"/>
      <c r="K898" s="311"/>
      <c r="L898" s="340">
        <f t="shared" si="29"/>
        <v>11.41</v>
      </c>
      <c r="M898" s="313"/>
      <c r="N898" s="313"/>
      <c r="O898" s="313"/>
      <c r="P898" s="313"/>
      <c r="Q898" s="311"/>
      <c r="R898" s="392"/>
      <c r="S898" s="358">
        <f ca="1">IF(C898&lt;=EOMONTH('&gt;&gt;Vistas Consolidadas'!$D$2, '&gt;&gt;Vistas Consolidadas'!$F$2),J898+I898,J898)</f>
        <v>11.41</v>
      </c>
      <c r="T898" s="18" t="str">
        <f ca="1">IF(C898&gt;='&gt;&gt;Vistas Consolidadas'!$D$2,"SI","NO")</f>
        <v>SI</v>
      </c>
      <c r="U898" s="358">
        <f ca="1">IF(C898&lt;=EOMONTH('&gt;&gt;Vistas Consolidadas'!$D$2, '&gt;&gt;Vistas Consolidadas'!$F$2),I898,0)</f>
        <v>11.41</v>
      </c>
      <c r="V898" s="18" t="b">
        <f ca="1">AND(C898&gt;='Interes Por Semana'!$C$4, C898&lt;='Interes Por Semana'!$E$4)</f>
        <v>0</v>
      </c>
      <c r="W898" s="18" t="str">
        <f t="shared" si="28"/>
        <v>sábado</v>
      </c>
    </row>
    <row r="899" spans="2:23" hidden="1" x14ac:dyDescent="0.25">
      <c r="B899" s="337">
        <v>44830</v>
      </c>
      <c r="C899" s="337">
        <v>46565</v>
      </c>
      <c r="D899" s="374" t="s">
        <v>78</v>
      </c>
      <c r="E899" s="309" t="s">
        <v>47</v>
      </c>
      <c r="F899" s="310" t="s">
        <v>108</v>
      </c>
      <c r="G899" s="311">
        <v>5.64</v>
      </c>
      <c r="H899" s="311">
        <v>10.199999999999999</v>
      </c>
      <c r="I899" s="340">
        <v>9.4</v>
      </c>
      <c r="J899" s="340"/>
      <c r="K899" s="311"/>
      <c r="L899" s="340">
        <f t="shared" si="29"/>
        <v>9.4</v>
      </c>
      <c r="M899" s="313"/>
      <c r="N899" s="313"/>
      <c r="O899" s="313"/>
      <c r="P899" s="313"/>
      <c r="Q899" s="311"/>
      <c r="R899" s="392"/>
      <c r="S899" s="358">
        <f ca="1">IF(C899&lt;=EOMONTH('&gt;&gt;Vistas Consolidadas'!$D$2, '&gt;&gt;Vistas Consolidadas'!$F$2),J899+I899,J899)</f>
        <v>9.4</v>
      </c>
      <c r="T899" s="18" t="str">
        <f ca="1">IF(C899&gt;='&gt;&gt;Vistas Consolidadas'!$D$2,"SI","NO")</f>
        <v>SI</v>
      </c>
      <c r="U899" s="358">
        <f ca="1">IF(C899&lt;=EOMONTH('&gt;&gt;Vistas Consolidadas'!$D$2, '&gt;&gt;Vistas Consolidadas'!$F$2),I899,0)</f>
        <v>9.4</v>
      </c>
      <c r="V899" s="18" t="b">
        <f ca="1">AND(C899&gt;='Interes Por Semana'!$C$4, C899&lt;='Interes Por Semana'!$E$4)</f>
        <v>0</v>
      </c>
      <c r="W899" s="18" t="str">
        <f t="shared" ref="W899:W962" si="30">TEXT(C899, "dddd")</f>
        <v>domingo</v>
      </c>
    </row>
    <row r="900" spans="2:23" hidden="1" x14ac:dyDescent="0.25">
      <c r="B900" s="337">
        <v>46057</v>
      </c>
      <c r="C900" s="337">
        <v>46565</v>
      </c>
      <c r="D900" s="374" t="s">
        <v>78</v>
      </c>
      <c r="E900" s="309" t="s">
        <v>47</v>
      </c>
      <c r="F900" s="310" t="s">
        <v>109</v>
      </c>
      <c r="G900" s="311">
        <v>6.21</v>
      </c>
      <c r="H900" s="311">
        <v>11</v>
      </c>
      <c r="I900" s="340">
        <v>15.61</v>
      </c>
      <c r="J900" s="340"/>
      <c r="K900" s="311"/>
      <c r="L900" s="340">
        <f t="shared" si="29"/>
        <v>15.61</v>
      </c>
      <c r="M900" s="313"/>
      <c r="N900" s="313"/>
      <c r="O900" s="313"/>
      <c r="P900" s="313"/>
      <c r="Q900" s="311"/>
      <c r="R900" s="392"/>
      <c r="S900" s="358">
        <f ca="1">IF(C900&lt;=EOMONTH('&gt;&gt;Vistas Consolidadas'!$D$2, '&gt;&gt;Vistas Consolidadas'!$F$2),J900+I900,J900)</f>
        <v>15.61</v>
      </c>
      <c r="T900" s="18" t="str">
        <f ca="1">IF(C900&gt;='&gt;&gt;Vistas Consolidadas'!$D$2,"SI","NO")</f>
        <v>SI</v>
      </c>
      <c r="U900" s="358">
        <f ca="1">IF(C900&lt;=EOMONTH('&gt;&gt;Vistas Consolidadas'!$D$2, '&gt;&gt;Vistas Consolidadas'!$F$2),I900,0)</f>
        <v>15.61</v>
      </c>
      <c r="V900" s="18" t="b">
        <f ca="1">AND(C900&gt;='Interes Por Semana'!$C$4, C900&lt;='Interes Por Semana'!$E$4)</f>
        <v>0</v>
      </c>
      <c r="W900" s="18" t="str">
        <f t="shared" si="30"/>
        <v>domingo</v>
      </c>
    </row>
    <row r="901" spans="2:23" hidden="1" x14ac:dyDescent="0.25">
      <c r="B901" s="337">
        <v>46080</v>
      </c>
      <c r="C901" s="337">
        <v>46565</v>
      </c>
      <c r="D901" s="374" t="s">
        <v>78</v>
      </c>
      <c r="E901" s="309" t="s">
        <v>46</v>
      </c>
      <c r="F901" s="310" t="s">
        <v>110</v>
      </c>
      <c r="G901" s="311">
        <v>6.21</v>
      </c>
      <c r="H901" s="311">
        <v>10.6</v>
      </c>
      <c r="I901" s="340">
        <v>17.79</v>
      </c>
      <c r="J901" s="340"/>
      <c r="K901" s="311"/>
      <c r="L901" s="340">
        <f t="shared" si="29"/>
        <v>17.79</v>
      </c>
      <c r="M901" s="313"/>
      <c r="N901" s="313"/>
      <c r="O901" s="313"/>
      <c r="P901" s="313"/>
      <c r="Q901" s="311"/>
      <c r="R901" s="392"/>
      <c r="S901" s="358">
        <f ca="1">IF(C901&lt;=EOMONTH('&gt;&gt;Vistas Consolidadas'!$D$2, '&gt;&gt;Vistas Consolidadas'!$F$2),J901+I901,J901)</f>
        <v>17.79</v>
      </c>
      <c r="T901" s="18" t="str">
        <f ca="1">IF(C901&gt;='&gt;&gt;Vistas Consolidadas'!$D$2,"SI","NO")</f>
        <v>SI</v>
      </c>
      <c r="U901" s="358">
        <f ca="1">IF(C901&lt;=EOMONTH('&gt;&gt;Vistas Consolidadas'!$D$2, '&gt;&gt;Vistas Consolidadas'!$F$2),I901,0)</f>
        <v>17.79</v>
      </c>
      <c r="V901" s="18" t="b">
        <f ca="1">AND(C901&gt;='Interes Por Semana'!$C$4, C901&lt;='Interes Por Semana'!$E$4)</f>
        <v>0</v>
      </c>
      <c r="W901" s="18" t="str">
        <f t="shared" si="30"/>
        <v>domingo</v>
      </c>
    </row>
    <row r="902" spans="2:23" hidden="1" x14ac:dyDescent="0.25">
      <c r="B902" s="337">
        <v>45987</v>
      </c>
      <c r="C902" s="337">
        <v>46566</v>
      </c>
      <c r="D902" s="374" t="s">
        <v>78</v>
      </c>
      <c r="E902" s="309" t="s">
        <v>46</v>
      </c>
      <c r="F902" s="310" t="s">
        <v>111</v>
      </c>
      <c r="G902" s="311">
        <v>6.82</v>
      </c>
      <c r="H902" s="311">
        <v>11</v>
      </c>
      <c r="I902" s="340">
        <v>6.82</v>
      </c>
      <c r="J902" s="340">
        <v>0</v>
      </c>
      <c r="K902" s="311"/>
      <c r="L902" s="340">
        <f t="shared" si="29"/>
        <v>6.82</v>
      </c>
      <c r="M902" s="313"/>
      <c r="N902" s="313"/>
      <c r="O902" s="313"/>
      <c r="P902" s="313"/>
      <c r="Q902" s="311"/>
      <c r="R902" s="392"/>
      <c r="S902" s="358">
        <f ca="1">IF(C902&lt;=EOMONTH('&gt;&gt;Vistas Consolidadas'!$D$2, '&gt;&gt;Vistas Consolidadas'!$F$2),J902+I902,J902)</f>
        <v>6.82</v>
      </c>
      <c r="T902" s="18" t="str">
        <f ca="1">IF(C902&gt;='&gt;&gt;Vistas Consolidadas'!$D$2,"SI","NO")</f>
        <v>SI</v>
      </c>
      <c r="U902" s="358">
        <f ca="1">IF(C902&lt;=EOMONTH('&gt;&gt;Vistas Consolidadas'!$D$2, '&gt;&gt;Vistas Consolidadas'!$F$2),I902,0)</f>
        <v>6.82</v>
      </c>
      <c r="V902" s="18" t="b">
        <f ca="1">AND(C902&gt;='Interes Por Semana'!$C$4, C902&lt;='Interes Por Semana'!$E$4)</f>
        <v>0</v>
      </c>
      <c r="W902" s="18" t="str">
        <f t="shared" si="30"/>
        <v>lunes</v>
      </c>
    </row>
    <row r="903" spans="2:23" hidden="1" x14ac:dyDescent="0.25">
      <c r="B903" s="337">
        <v>46149</v>
      </c>
      <c r="C903" s="337">
        <v>46546</v>
      </c>
      <c r="D903" s="374" t="s">
        <v>78</v>
      </c>
      <c r="E903" s="309" t="s">
        <v>138</v>
      </c>
      <c r="F903" s="310" t="s">
        <v>153</v>
      </c>
      <c r="G903" s="311">
        <v>7.72</v>
      </c>
      <c r="H903" s="311">
        <v>9</v>
      </c>
      <c r="I903" s="340">
        <v>67.55</v>
      </c>
      <c r="J903" s="340"/>
      <c r="K903" s="311"/>
      <c r="L903" s="340">
        <f t="shared" si="29"/>
        <v>67.55</v>
      </c>
      <c r="M903" s="311"/>
      <c r="N903" s="311"/>
      <c r="O903" s="311"/>
      <c r="P903" s="311"/>
      <c r="Q903" s="386"/>
      <c r="R903" s="392"/>
      <c r="S903" s="358">
        <f ca="1">IF(C903&lt;=EOMONTH('&gt;&gt;Vistas Consolidadas'!$D$2, '&gt;&gt;Vistas Consolidadas'!$F$2),J903+I903,J903)</f>
        <v>67.55</v>
      </c>
      <c r="T903" s="18" t="str">
        <f ca="1">IF(C903&gt;='&gt;&gt;Vistas Consolidadas'!$D$2,"SI","NO")</f>
        <v>SI</v>
      </c>
      <c r="U903" s="358">
        <f ca="1">IF(C903&lt;=EOMONTH('&gt;&gt;Vistas Consolidadas'!$D$2, '&gt;&gt;Vistas Consolidadas'!$F$2),I903,0)</f>
        <v>67.55</v>
      </c>
      <c r="V903" s="18" t="b">
        <f ca="1">AND(C903&gt;='Interes Por Semana'!$C$4, C903&lt;='Interes Por Semana'!$E$4)</f>
        <v>0</v>
      </c>
      <c r="W903" s="18" t="str">
        <f t="shared" si="30"/>
        <v>martes</v>
      </c>
    </row>
    <row r="904" spans="2:23" hidden="1" x14ac:dyDescent="0.25">
      <c r="B904" s="337">
        <v>46149</v>
      </c>
      <c r="C904" s="337">
        <v>46546</v>
      </c>
      <c r="D904" s="374" t="s">
        <v>78</v>
      </c>
      <c r="E904" s="309" t="s">
        <v>47</v>
      </c>
      <c r="F904" s="310" t="s">
        <v>153</v>
      </c>
      <c r="G904" s="311">
        <v>7.72</v>
      </c>
      <c r="H904" s="311">
        <v>9</v>
      </c>
      <c r="I904" s="340">
        <v>122.46</v>
      </c>
      <c r="J904" s="340"/>
      <c r="K904" s="311"/>
      <c r="L904" s="340">
        <f t="shared" si="29"/>
        <v>122.46</v>
      </c>
      <c r="M904" s="311"/>
      <c r="N904" s="311"/>
      <c r="O904" s="311"/>
      <c r="P904" s="311"/>
      <c r="Q904" s="386"/>
      <c r="R904" s="392"/>
      <c r="S904" s="358">
        <f ca="1">IF(C904&lt;=EOMONTH('&gt;&gt;Vistas Consolidadas'!$D$2, '&gt;&gt;Vistas Consolidadas'!$F$2),J904+I904,J904)</f>
        <v>122.46</v>
      </c>
      <c r="T904" s="18" t="str">
        <f ca="1">IF(C904&gt;='&gt;&gt;Vistas Consolidadas'!$D$2,"SI","NO")</f>
        <v>SI</v>
      </c>
      <c r="U904" s="358">
        <f ca="1">IF(C904&lt;=EOMONTH('&gt;&gt;Vistas Consolidadas'!$D$2, '&gt;&gt;Vistas Consolidadas'!$F$2),I904,0)</f>
        <v>122.46</v>
      </c>
      <c r="V904" s="18" t="b">
        <f ca="1">AND(C904&gt;='Interes Por Semana'!$C$4, C904&lt;='Interes Por Semana'!$E$4)</f>
        <v>0</v>
      </c>
      <c r="W904" s="18" t="str">
        <f t="shared" si="30"/>
        <v>martes</v>
      </c>
    </row>
    <row r="905" spans="2:23" hidden="1" x14ac:dyDescent="0.25">
      <c r="B905" s="337">
        <v>46149</v>
      </c>
      <c r="C905" s="337">
        <v>46556</v>
      </c>
      <c r="D905" s="374" t="s">
        <v>78</v>
      </c>
      <c r="E905" s="309" t="s">
        <v>47</v>
      </c>
      <c r="F905" s="310" t="s">
        <v>154</v>
      </c>
      <c r="G905" s="311">
        <v>6.21</v>
      </c>
      <c r="H905" s="311">
        <v>9</v>
      </c>
      <c r="I905" s="387">
        <v>188.11</v>
      </c>
      <c r="J905" s="340"/>
      <c r="K905" s="311"/>
      <c r="L905" s="340">
        <f t="shared" si="29"/>
        <v>188.11</v>
      </c>
      <c r="M905" s="311"/>
      <c r="N905" s="311"/>
      <c r="O905" s="311"/>
      <c r="P905" s="311"/>
      <c r="Q905" s="386"/>
      <c r="R905" s="392"/>
      <c r="S905" s="358">
        <f ca="1">IF(C905&lt;=EOMONTH('&gt;&gt;Vistas Consolidadas'!$D$2, '&gt;&gt;Vistas Consolidadas'!$F$2),J905+I905,J905)</f>
        <v>188.11</v>
      </c>
      <c r="T905" s="18" t="str">
        <f ca="1">IF(C905&gt;='&gt;&gt;Vistas Consolidadas'!$D$2,"SI","NO")</f>
        <v>SI</v>
      </c>
      <c r="U905" s="358">
        <f ca="1">IF(C905&lt;=EOMONTH('&gt;&gt;Vistas Consolidadas'!$D$2, '&gt;&gt;Vistas Consolidadas'!$F$2),I905,0)</f>
        <v>188.11</v>
      </c>
      <c r="V905" s="18" t="b">
        <f ca="1">AND(C905&gt;='Interes Por Semana'!$C$4, C905&lt;='Interes Por Semana'!$E$4)</f>
        <v>0</v>
      </c>
      <c r="W905" s="18" t="str">
        <f t="shared" si="30"/>
        <v>viernes</v>
      </c>
    </row>
    <row r="906" spans="2:23" hidden="1" x14ac:dyDescent="0.25">
      <c r="B906" s="337">
        <v>46157</v>
      </c>
      <c r="C906" s="337">
        <v>46545</v>
      </c>
      <c r="D906" s="374" t="s">
        <v>78</v>
      </c>
      <c r="E906" s="309" t="s">
        <v>47</v>
      </c>
      <c r="F906" s="310" t="s">
        <v>156</v>
      </c>
      <c r="G906" s="311">
        <v>7.93</v>
      </c>
      <c r="H906" s="311">
        <v>9.9247584100000008</v>
      </c>
      <c r="I906" s="340">
        <v>131.09281250000001</v>
      </c>
      <c r="J906" s="340"/>
      <c r="K906" s="311"/>
      <c r="L906" s="340">
        <f t="shared" si="29"/>
        <v>131.09281250000001</v>
      </c>
      <c r="M906" s="311"/>
      <c r="N906" s="311"/>
      <c r="O906" s="311"/>
      <c r="P906" s="311"/>
      <c r="Q906" s="386"/>
      <c r="R906" s="392"/>
      <c r="S906" s="358">
        <f ca="1">IF(C906&lt;=EOMONTH('&gt;&gt;Vistas Consolidadas'!$D$2, '&gt;&gt;Vistas Consolidadas'!$F$2),J906+I906,J906)</f>
        <v>131.09281250000001</v>
      </c>
      <c r="T906" s="18" t="str">
        <f ca="1">IF(C906&gt;='&gt;&gt;Vistas Consolidadas'!$D$2,"SI","NO")</f>
        <v>SI</v>
      </c>
      <c r="U906" s="358">
        <f ca="1">IF(C906&lt;=EOMONTH('&gt;&gt;Vistas Consolidadas'!$D$2, '&gt;&gt;Vistas Consolidadas'!$F$2),I906,0)</f>
        <v>131.09281250000001</v>
      </c>
      <c r="V906" s="18" t="b">
        <f ca="1">AND(C906&gt;='Interes Por Semana'!$C$4, C906&lt;='Interes Por Semana'!$E$4)</f>
        <v>0</v>
      </c>
      <c r="W906" s="18" t="str">
        <f t="shared" si="30"/>
        <v>lunes</v>
      </c>
    </row>
    <row r="907" spans="2:23" hidden="1" x14ac:dyDescent="0.25">
      <c r="B907" s="337">
        <v>46162</v>
      </c>
      <c r="C907" s="337">
        <v>46564</v>
      </c>
      <c r="D907" s="374" t="s">
        <v>78</v>
      </c>
      <c r="E907" s="309" t="s">
        <v>47</v>
      </c>
      <c r="F907" s="310" t="s">
        <v>158</v>
      </c>
      <c r="G907" s="311">
        <v>5.36</v>
      </c>
      <c r="H907" s="311">
        <v>9</v>
      </c>
      <c r="I907" s="340">
        <v>12.77</v>
      </c>
      <c r="J907" s="340"/>
      <c r="K907" s="311"/>
      <c r="L907" s="340">
        <f t="shared" si="29"/>
        <v>12.77</v>
      </c>
      <c r="M907" s="311"/>
      <c r="N907" s="311"/>
      <c r="O907" s="311"/>
      <c r="P907" s="311"/>
      <c r="Q907" s="386"/>
      <c r="R907" s="392">
        <v>367706</v>
      </c>
      <c r="S907" s="358">
        <f ca="1">IF(C907&lt;=EOMONTH('&gt;&gt;Vistas Consolidadas'!$D$2, '&gt;&gt;Vistas Consolidadas'!$F$2),J907+I907,J907)</f>
        <v>12.77</v>
      </c>
      <c r="T907" s="18" t="str">
        <f ca="1">IF(C907&gt;='&gt;&gt;Vistas Consolidadas'!$D$2,"SI","NO")</f>
        <v>SI</v>
      </c>
      <c r="U907" s="358">
        <f ca="1">IF(C907&lt;=EOMONTH('&gt;&gt;Vistas Consolidadas'!$D$2, '&gt;&gt;Vistas Consolidadas'!$F$2),I907,0)</f>
        <v>12.77</v>
      </c>
      <c r="V907" s="18" t="b">
        <f ca="1">AND(C907&gt;='Interes Por Semana'!$C$4, C907&lt;='Interes Por Semana'!$E$4)</f>
        <v>0</v>
      </c>
      <c r="W907" s="18" t="str">
        <f t="shared" si="30"/>
        <v>sábado</v>
      </c>
    </row>
    <row r="908" spans="2:23" hidden="1" x14ac:dyDescent="0.25">
      <c r="B908" s="337">
        <v>45323</v>
      </c>
      <c r="C908" s="337">
        <v>46553</v>
      </c>
      <c r="D908" s="374" t="s">
        <v>96</v>
      </c>
      <c r="E908" s="309" t="s">
        <v>47</v>
      </c>
      <c r="F908" s="310" t="s">
        <v>97</v>
      </c>
      <c r="G908" s="311">
        <v>6</v>
      </c>
      <c r="H908" s="311">
        <v>12</v>
      </c>
      <c r="I908" s="340">
        <v>16.670000000000002</v>
      </c>
      <c r="J908" s="340"/>
      <c r="K908" s="311"/>
      <c r="L908" s="340">
        <f t="shared" si="29"/>
        <v>16.670000000000002</v>
      </c>
      <c r="M908" s="313"/>
      <c r="N908" s="313"/>
      <c r="O908" s="313"/>
      <c r="P908" s="313"/>
      <c r="Q908" s="311"/>
      <c r="R908" s="392"/>
      <c r="S908" s="358">
        <f ca="1">IF(C908&lt;=EOMONTH('&gt;&gt;Vistas Consolidadas'!$D$2, '&gt;&gt;Vistas Consolidadas'!$F$2),J908+I908,J908)</f>
        <v>16.670000000000002</v>
      </c>
      <c r="T908" s="18" t="str">
        <f ca="1">IF(C908&gt;='&gt;&gt;Vistas Consolidadas'!$D$2,"SI","NO")</f>
        <v>SI</v>
      </c>
      <c r="U908" s="358">
        <f ca="1">IF(C908&lt;=EOMONTH('&gt;&gt;Vistas Consolidadas'!$D$2, '&gt;&gt;Vistas Consolidadas'!$F$2),I908,0)</f>
        <v>16.670000000000002</v>
      </c>
      <c r="V908" s="18" t="b">
        <f ca="1">AND(C908&gt;='Interes Por Semana'!$C$4, C908&lt;='Interes Por Semana'!$E$4)</f>
        <v>0</v>
      </c>
      <c r="W908" s="18" t="str">
        <f t="shared" si="30"/>
        <v>martes</v>
      </c>
    </row>
    <row r="909" spans="2:23" hidden="1" x14ac:dyDescent="0.25">
      <c r="B909" s="337">
        <v>45356</v>
      </c>
      <c r="C909" s="337">
        <v>46553</v>
      </c>
      <c r="D909" s="374" t="s">
        <v>96</v>
      </c>
      <c r="E909" s="309" t="s">
        <v>47</v>
      </c>
      <c r="F909" s="310" t="s">
        <v>97</v>
      </c>
      <c r="G909" s="311">
        <v>6</v>
      </c>
      <c r="H909" s="311">
        <v>12</v>
      </c>
      <c r="I909" s="340">
        <v>108.33</v>
      </c>
      <c r="J909" s="340"/>
      <c r="K909" s="311"/>
      <c r="L909" s="340">
        <f t="shared" si="29"/>
        <v>108.33</v>
      </c>
      <c r="M909" s="313"/>
      <c r="N909" s="313"/>
      <c r="O909" s="313"/>
      <c r="P909" s="313"/>
      <c r="Q909" s="311"/>
      <c r="R909" s="392"/>
      <c r="S909" s="358">
        <f ca="1">IF(C909&lt;=EOMONTH('&gt;&gt;Vistas Consolidadas'!$D$2, '&gt;&gt;Vistas Consolidadas'!$F$2),J909+I909,J909)</f>
        <v>108.33</v>
      </c>
      <c r="T909" s="18" t="str">
        <f ca="1">IF(C909&gt;='&gt;&gt;Vistas Consolidadas'!$D$2,"SI","NO")</f>
        <v>SI</v>
      </c>
      <c r="U909" s="358">
        <f ca="1">IF(C909&lt;=EOMONTH('&gt;&gt;Vistas Consolidadas'!$D$2, '&gt;&gt;Vistas Consolidadas'!$F$2),I909,0)</f>
        <v>108.33</v>
      </c>
      <c r="V909" s="18" t="b">
        <f ca="1">AND(C909&gt;='Interes Por Semana'!$C$4, C909&lt;='Interes Por Semana'!$E$4)</f>
        <v>0</v>
      </c>
      <c r="W909" s="18" t="str">
        <f t="shared" si="30"/>
        <v>martes</v>
      </c>
    </row>
    <row r="910" spans="2:23" hidden="1" x14ac:dyDescent="0.25">
      <c r="B910" s="337">
        <v>45006</v>
      </c>
      <c r="C910" s="337">
        <v>46553</v>
      </c>
      <c r="D910" s="374" t="s">
        <v>96</v>
      </c>
      <c r="E910" s="309" t="s">
        <v>46</v>
      </c>
      <c r="F910" s="310" t="s">
        <v>97</v>
      </c>
      <c r="G910" s="311">
        <v>6</v>
      </c>
      <c r="H910" s="311">
        <v>12</v>
      </c>
      <c r="I910" s="340">
        <v>62.5</v>
      </c>
      <c r="J910" s="340"/>
      <c r="K910" s="311"/>
      <c r="L910" s="340">
        <f t="shared" si="29"/>
        <v>62.5</v>
      </c>
      <c r="M910" s="313"/>
      <c r="N910" s="313"/>
      <c r="O910" s="313"/>
      <c r="P910" s="313"/>
      <c r="Q910" s="311"/>
      <c r="R910" s="392"/>
      <c r="S910" s="358">
        <f ca="1">IF(C910&lt;=EOMONTH('&gt;&gt;Vistas Consolidadas'!$D$2, '&gt;&gt;Vistas Consolidadas'!$F$2),J910+I910,J910)</f>
        <v>62.5</v>
      </c>
      <c r="T910" s="18" t="str">
        <f ca="1">IF(C910&gt;='&gt;&gt;Vistas Consolidadas'!$D$2,"SI","NO")</f>
        <v>SI</v>
      </c>
      <c r="U910" s="358">
        <f ca="1">IF(C910&lt;=EOMONTH('&gt;&gt;Vistas Consolidadas'!$D$2, '&gt;&gt;Vistas Consolidadas'!$F$2),I910,0)</f>
        <v>62.5</v>
      </c>
      <c r="V910" s="18" t="b">
        <f ca="1">AND(C910&gt;='Interes Por Semana'!$C$4, C910&lt;='Interes Por Semana'!$E$4)</f>
        <v>0</v>
      </c>
      <c r="W910" s="18" t="str">
        <f t="shared" si="30"/>
        <v>martes</v>
      </c>
    </row>
    <row r="911" spans="2:23" hidden="1" x14ac:dyDescent="0.25">
      <c r="B911" s="337">
        <v>45397</v>
      </c>
      <c r="C911" s="337">
        <v>46553</v>
      </c>
      <c r="D911" s="374" t="s">
        <v>96</v>
      </c>
      <c r="E911" s="309" t="s">
        <v>47</v>
      </c>
      <c r="F911" s="310" t="s">
        <v>97</v>
      </c>
      <c r="G911" s="311">
        <v>6</v>
      </c>
      <c r="H911" s="311">
        <v>12</v>
      </c>
      <c r="I911" s="340">
        <v>54.16</v>
      </c>
      <c r="J911" s="340"/>
      <c r="K911" s="311"/>
      <c r="L911" s="340">
        <f t="shared" si="29"/>
        <v>54.16</v>
      </c>
      <c r="M911" s="313"/>
      <c r="N911" s="313"/>
      <c r="O911" s="313"/>
      <c r="P911" s="313"/>
      <c r="Q911" s="311"/>
      <c r="R911" s="392"/>
      <c r="S911" s="358">
        <f ca="1">IF(C911&lt;=EOMONTH('&gt;&gt;Vistas Consolidadas'!$D$2, '&gt;&gt;Vistas Consolidadas'!$F$2),J911+I911,J911)</f>
        <v>54.16</v>
      </c>
      <c r="T911" s="18" t="str">
        <f ca="1">IF(C911&gt;='&gt;&gt;Vistas Consolidadas'!$D$2,"SI","NO")</f>
        <v>SI</v>
      </c>
      <c r="U911" s="358">
        <f ca="1">IF(C911&lt;=EOMONTH('&gt;&gt;Vistas Consolidadas'!$D$2, '&gt;&gt;Vistas Consolidadas'!$F$2),I911,0)</f>
        <v>54.16</v>
      </c>
      <c r="V911" s="18" t="b">
        <f ca="1">AND(C911&gt;='Interes Por Semana'!$C$4, C911&lt;='Interes Por Semana'!$E$4)</f>
        <v>0</v>
      </c>
      <c r="W911" s="18" t="str">
        <f t="shared" si="30"/>
        <v>martes</v>
      </c>
    </row>
    <row r="912" spans="2:23" hidden="1" x14ac:dyDescent="0.25">
      <c r="B912" s="337">
        <v>45397</v>
      </c>
      <c r="C912" s="337">
        <v>46553</v>
      </c>
      <c r="D912" s="374" t="s">
        <v>96</v>
      </c>
      <c r="E912" s="309" t="s">
        <v>46</v>
      </c>
      <c r="F912" s="310" t="s">
        <v>97</v>
      </c>
      <c r="G912" s="311">
        <v>6</v>
      </c>
      <c r="H912" s="311">
        <v>12</v>
      </c>
      <c r="I912" s="340">
        <v>62.5</v>
      </c>
      <c r="J912" s="340"/>
      <c r="K912" s="311"/>
      <c r="L912" s="340">
        <f t="shared" si="29"/>
        <v>62.5</v>
      </c>
      <c r="M912" s="313"/>
      <c r="N912" s="313"/>
      <c r="O912" s="313"/>
      <c r="P912" s="313"/>
      <c r="Q912" s="311"/>
      <c r="R912" s="392"/>
      <c r="S912" s="358">
        <f ca="1">IF(C912&lt;=EOMONTH('&gt;&gt;Vistas Consolidadas'!$D$2, '&gt;&gt;Vistas Consolidadas'!$F$2),J912+I912,J912)</f>
        <v>62.5</v>
      </c>
      <c r="T912" s="18" t="str">
        <f ca="1">IF(C912&gt;='&gt;&gt;Vistas Consolidadas'!$D$2,"SI","NO")</f>
        <v>SI</v>
      </c>
      <c r="U912" s="358">
        <f ca="1">IF(C912&lt;=EOMONTH('&gt;&gt;Vistas Consolidadas'!$D$2, '&gt;&gt;Vistas Consolidadas'!$F$2),I912,0)</f>
        <v>62.5</v>
      </c>
      <c r="V912" s="18" t="b">
        <f ca="1">AND(C912&gt;='Interes Por Semana'!$C$4, C912&lt;='Interes Por Semana'!$E$4)</f>
        <v>0</v>
      </c>
      <c r="W912" s="18" t="str">
        <f t="shared" si="30"/>
        <v>martes</v>
      </c>
    </row>
    <row r="913" spans="2:23" hidden="1" x14ac:dyDescent="0.25">
      <c r="B913" s="337">
        <v>45398</v>
      </c>
      <c r="C913" s="337">
        <v>46553</v>
      </c>
      <c r="D913" s="374" t="s">
        <v>96</v>
      </c>
      <c r="E913" s="309" t="s">
        <v>47</v>
      </c>
      <c r="F913" s="310" t="s">
        <v>97</v>
      </c>
      <c r="G913" s="311">
        <v>6</v>
      </c>
      <c r="H913" s="311">
        <v>12</v>
      </c>
      <c r="I913" s="340">
        <v>16.670000000000002</v>
      </c>
      <c r="J913" s="340"/>
      <c r="K913" s="311"/>
      <c r="L913" s="340">
        <f t="shared" si="29"/>
        <v>16.670000000000002</v>
      </c>
      <c r="M913" s="313"/>
      <c r="N913" s="313"/>
      <c r="O913" s="313"/>
      <c r="P913" s="313"/>
      <c r="Q913" s="311"/>
      <c r="R913" s="392"/>
      <c r="S913" s="358">
        <f ca="1">IF(C913&lt;=EOMONTH('&gt;&gt;Vistas Consolidadas'!$D$2, '&gt;&gt;Vistas Consolidadas'!$F$2),J913+I913,J913)</f>
        <v>16.670000000000002</v>
      </c>
      <c r="T913" s="18" t="str">
        <f ca="1">IF(C913&gt;='&gt;&gt;Vistas Consolidadas'!$D$2,"SI","NO")</f>
        <v>SI</v>
      </c>
      <c r="U913" s="358">
        <f ca="1">IF(C913&lt;=EOMONTH('&gt;&gt;Vistas Consolidadas'!$D$2, '&gt;&gt;Vistas Consolidadas'!$F$2),I913,0)</f>
        <v>16.670000000000002</v>
      </c>
      <c r="V913" s="18" t="b">
        <f ca="1">AND(C913&gt;='Interes Por Semana'!$C$4, C913&lt;='Interes Por Semana'!$E$4)</f>
        <v>0</v>
      </c>
      <c r="W913" s="18" t="str">
        <f t="shared" si="30"/>
        <v>martes</v>
      </c>
    </row>
    <row r="914" spans="2:23" hidden="1" x14ac:dyDescent="0.25">
      <c r="B914" s="337">
        <v>46105</v>
      </c>
      <c r="C914" s="337">
        <v>46553</v>
      </c>
      <c r="D914" s="374" t="s">
        <v>96</v>
      </c>
      <c r="E914" s="309" t="s">
        <v>47</v>
      </c>
      <c r="F914" s="310" t="s">
        <v>97</v>
      </c>
      <c r="G914" s="311">
        <v>6</v>
      </c>
      <c r="H914" s="311">
        <v>10</v>
      </c>
      <c r="I914" s="340">
        <v>16.670000000000002</v>
      </c>
      <c r="J914" s="340"/>
      <c r="K914" s="311"/>
      <c r="L914" s="340">
        <f t="shared" si="29"/>
        <v>16.670000000000002</v>
      </c>
      <c r="M914" s="313"/>
      <c r="N914" s="313"/>
      <c r="O914" s="313"/>
      <c r="P914" s="313"/>
      <c r="Q914" s="311"/>
      <c r="R914" s="392"/>
      <c r="S914" s="358">
        <f ca="1">IF(C914&lt;=EOMONTH('&gt;&gt;Vistas Consolidadas'!$D$2, '&gt;&gt;Vistas Consolidadas'!$F$2),J914+I914,J914)</f>
        <v>16.670000000000002</v>
      </c>
      <c r="T914" s="18" t="str">
        <f ca="1">IF(C914&gt;='&gt;&gt;Vistas Consolidadas'!$D$2,"SI","NO")</f>
        <v>SI</v>
      </c>
      <c r="U914" s="358">
        <f ca="1">IF(C914&lt;=EOMONTH('&gt;&gt;Vistas Consolidadas'!$D$2, '&gt;&gt;Vistas Consolidadas'!$F$2),I914,0)</f>
        <v>16.670000000000002</v>
      </c>
      <c r="V914" s="18" t="b">
        <f ca="1">AND(C914&gt;='Interes Por Semana'!$C$4, C914&lt;='Interes Por Semana'!$E$4)</f>
        <v>0</v>
      </c>
      <c r="W914" s="18" t="str">
        <f t="shared" si="30"/>
        <v>martes</v>
      </c>
    </row>
    <row r="915" spans="2:23" hidden="1" x14ac:dyDescent="0.25">
      <c r="B915" s="337">
        <v>44462</v>
      </c>
      <c r="C915" s="337">
        <v>46555</v>
      </c>
      <c r="D915" s="374" t="s">
        <v>78</v>
      </c>
      <c r="E915" s="309" t="s">
        <v>46</v>
      </c>
      <c r="F915" s="310" t="s">
        <v>98</v>
      </c>
      <c r="G915" s="311">
        <v>5.64</v>
      </c>
      <c r="H915" s="311">
        <v>8.1999999999999993</v>
      </c>
      <c r="I915" s="340">
        <v>2.5299999999999998</v>
      </c>
      <c r="J915" s="340"/>
      <c r="K915" s="311"/>
      <c r="L915" s="340">
        <f t="shared" si="29"/>
        <v>2.5299999999999998</v>
      </c>
      <c r="M915" s="311"/>
      <c r="N915" s="311"/>
      <c r="O915" s="311"/>
      <c r="P915" s="311"/>
      <c r="Q915" s="386"/>
      <c r="R915" s="392"/>
      <c r="S915" s="358">
        <f ca="1">IF(C915&lt;=EOMONTH('&gt;&gt;Vistas Consolidadas'!$D$2, '&gt;&gt;Vistas Consolidadas'!$F$2),J915+I915,J915)</f>
        <v>2.5299999999999998</v>
      </c>
      <c r="T915" s="18" t="str">
        <f ca="1">IF(C915&gt;='&gt;&gt;Vistas Consolidadas'!$D$2,"SI","NO")</f>
        <v>SI</v>
      </c>
      <c r="U915" s="358">
        <f ca="1">IF(C915&lt;=EOMONTH('&gt;&gt;Vistas Consolidadas'!$D$2, '&gt;&gt;Vistas Consolidadas'!$F$2),I915,0)</f>
        <v>2.5299999999999998</v>
      </c>
      <c r="V915" s="18" t="b">
        <f ca="1">AND(C915&gt;='Interes Por Semana'!$C$4, C915&lt;='Interes Por Semana'!$E$4)</f>
        <v>0</v>
      </c>
      <c r="W915" s="18" t="str">
        <f t="shared" si="30"/>
        <v>jueves</v>
      </c>
    </row>
    <row r="916" spans="2:23" hidden="1" x14ac:dyDescent="0.25">
      <c r="B916" s="337">
        <v>46162</v>
      </c>
      <c r="C916" s="337">
        <v>46564</v>
      </c>
      <c r="D916" s="374" t="s">
        <v>78</v>
      </c>
      <c r="E916" s="309" t="s">
        <v>138</v>
      </c>
      <c r="F916" s="310" t="s">
        <v>158</v>
      </c>
      <c r="G916" s="311">
        <v>5.36</v>
      </c>
      <c r="H916" s="311">
        <v>9</v>
      </c>
      <c r="I916" s="340">
        <v>17.420000000000002</v>
      </c>
      <c r="J916" s="340"/>
      <c r="K916" s="311"/>
      <c r="L916" s="340">
        <f t="shared" si="29"/>
        <v>17.420000000000002</v>
      </c>
      <c r="M916" s="311"/>
      <c r="N916" s="311"/>
      <c r="O916" s="311"/>
      <c r="P916" s="311"/>
      <c r="Q916" s="386"/>
      <c r="R916" s="392">
        <v>369184</v>
      </c>
      <c r="S916" s="358">
        <f ca="1">IF(C916&lt;=EOMONTH('&gt;&gt;Vistas Consolidadas'!$D$2, '&gt;&gt;Vistas Consolidadas'!$F$2),J916+I916,J916)</f>
        <v>17.420000000000002</v>
      </c>
      <c r="T916" s="18" t="str">
        <f ca="1">IF(C916&gt;='&gt;&gt;Vistas Consolidadas'!$D$2,"SI","NO")</f>
        <v>SI</v>
      </c>
      <c r="U916" s="358">
        <f ca="1">IF(C916&lt;=EOMONTH('&gt;&gt;Vistas Consolidadas'!$D$2, '&gt;&gt;Vistas Consolidadas'!$F$2),I916,0)</f>
        <v>17.420000000000002</v>
      </c>
      <c r="V916" s="18" t="b">
        <f ca="1">AND(C916&gt;='Interes Por Semana'!$C$4, C916&lt;='Interes Por Semana'!$E$4)</f>
        <v>0</v>
      </c>
      <c r="W916" s="18" t="str">
        <f t="shared" si="30"/>
        <v>sábado</v>
      </c>
    </row>
    <row r="917" spans="2:23" hidden="1" x14ac:dyDescent="0.25">
      <c r="B917" s="337">
        <v>46188</v>
      </c>
      <c r="C917" s="337">
        <v>46555</v>
      </c>
      <c r="D917" s="374" t="s">
        <v>78</v>
      </c>
      <c r="E917" s="309" t="s">
        <v>48</v>
      </c>
      <c r="F917" s="310" t="s">
        <v>168</v>
      </c>
      <c r="G917" s="311">
        <v>6.21</v>
      </c>
      <c r="H917" s="311">
        <v>9</v>
      </c>
      <c r="I917" s="340">
        <v>51.91</v>
      </c>
      <c r="J917" s="340"/>
      <c r="K917" s="311"/>
      <c r="L917" s="340">
        <f t="shared" si="29"/>
        <v>51.91</v>
      </c>
      <c r="M917" s="311"/>
      <c r="N917" s="311"/>
      <c r="O917" s="311"/>
      <c r="P917" s="311"/>
      <c r="Q917" s="386"/>
      <c r="R917" s="392"/>
      <c r="S917" s="358">
        <f ca="1">IF(C917&lt;=EOMONTH('&gt;&gt;Vistas Consolidadas'!$D$2, '&gt;&gt;Vistas Consolidadas'!$F$2),J917+I917,J917)</f>
        <v>51.91</v>
      </c>
      <c r="T917" s="18" t="str">
        <f ca="1">IF(C917&gt;='&gt;&gt;Vistas Consolidadas'!$D$2,"SI","NO")</f>
        <v>SI</v>
      </c>
      <c r="U917" s="358">
        <f ca="1">IF(C917&lt;=EOMONTH('&gt;&gt;Vistas Consolidadas'!$D$2, '&gt;&gt;Vistas Consolidadas'!$F$2),I917,0)</f>
        <v>51.91</v>
      </c>
      <c r="V917" s="18" t="b">
        <f ca="1">AND(C917&gt;='Interes Por Semana'!$C$4, C917&lt;='Interes Por Semana'!$E$4)</f>
        <v>0</v>
      </c>
      <c r="W917" s="18" t="str">
        <f t="shared" si="30"/>
        <v>jueves</v>
      </c>
    </row>
    <row r="918" spans="2:23" hidden="1" x14ac:dyDescent="0.25">
      <c r="B918" s="337">
        <v>46188</v>
      </c>
      <c r="C918" s="337">
        <v>46545</v>
      </c>
      <c r="D918" s="374" t="s">
        <v>78</v>
      </c>
      <c r="E918" s="309" t="s">
        <v>48</v>
      </c>
      <c r="F918" s="310" t="s">
        <v>169</v>
      </c>
      <c r="G918" s="311">
        <v>6.82</v>
      </c>
      <c r="H918" s="311">
        <v>8.5</v>
      </c>
      <c r="I918" s="340">
        <v>78.66</v>
      </c>
      <c r="J918" s="340"/>
      <c r="K918" s="311"/>
      <c r="L918" s="340">
        <f t="shared" si="29"/>
        <v>78.66</v>
      </c>
      <c r="M918" s="311"/>
      <c r="N918" s="311"/>
      <c r="O918" s="311"/>
      <c r="P918" s="311"/>
      <c r="Q918" s="386"/>
      <c r="R918" s="392"/>
      <c r="S918" s="358">
        <f ca="1">IF(C918&lt;=EOMONTH('&gt;&gt;Vistas Consolidadas'!$D$2, '&gt;&gt;Vistas Consolidadas'!$F$2),J918+I918,J918)</f>
        <v>78.66</v>
      </c>
      <c r="T918" s="18" t="str">
        <f ca="1">IF(C918&gt;='&gt;&gt;Vistas Consolidadas'!$D$2,"SI","NO")</f>
        <v>SI</v>
      </c>
      <c r="U918" s="358">
        <f ca="1">IF(C918&lt;=EOMONTH('&gt;&gt;Vistas Consolidadas'!$D$2, '&gt;&gt;Vistas Consolidadas'!$F$2),I918,0)</f>
        <v>78.66</v>
      </c>
      <c r="V918" s="18" t="b">
        <f ca="1">AND(C918&gt;='Interes Por Semana'!$C$4, C918&lt;='Interes Por Semana'!$E$4)</f>
        <v>0</v>
      </c>
      <c r="W918" s="18" t="str">
        <f t="shared" si="30"/>
        <v>lunes</v>
      </c>
    </row>
    <row r="919" spans="2:23" hidden="1" x14ac:dyDescent="0.25">
      <c r="B919" s="337">
        <v>46211</v>
      </c>
      <c r="C919" s="337">
        <v>46236</v>
      </c>
      <c r="D919" s="374" t="s">
        <v>78</v>
      </c>
      <c r="E919" s="309" t="s">
        <v>47</v>
      </c>
      <c r="F919" s="310" t="s">
        <v>171</v>
      </c>
      <c r="G919" s="311">
        <v>7.93</v>
      </c>
      <c r="H919" s="311">
        <v>9.6999999999999993</v>
      </c>
      <c r="I919" s="340">
        <v>264.33999999999997</v>
      </c>
      <c r="J919" s="340">
        <v>66.08</v>
      </c>
      <c r="K919" s="311"/>
      <c r="L919" s="340">
        <f t="shared" si="29"/>
        <v>264.33999999999997</v>
      </c>
      <c r="M919" s="311"/>
      <c r="N919" s="311"/>
      <c r="O919" s="311"/>
      <c r="P919" s="311"/>
      <c r="Q919" s="311"/>
      <c r="R919" s="392"/>
      <c r="S919" s="358">
        <f ca="1">IF(C919&lt;=EOMONTH('&gt;&gt;Vistas Consolidadas'!$D$2, '&gt;&gt;Vistas Consolidadas'!$F$2),J919+I919,J919)</f>
        <v>330.41999999999996</v>
      </c>
      <c r="T919" s="18" t="str">
        <f ca="1">IF(C919&gt;='&gt;&gt;Vistas Consolidadas'!$D$2,"SI","NO")</f>
        <v>NO</v>
      </c>
      <c r="U919" s="358">
        <f ca="1">IF(C919&lt;=EOMONTH('&gt;&gt;Vistas Consolidadas'!$D$2, '&gt;&gt;Vistas Consolidadas'!$F$2),I919,0)</f>
        <v>264.33999999999997</v>
      </c>
      <c r="V919" s="18" t="b">
        <f ca="1">AND(C919&gt;='Interes Por Semana'!$C$4, C919&lt;='Interes Por Semana'!$E$4)</f>
        <v>0</v>
      </c>
      <c r="W919" s="18" t="str">
        <f t="shared" si="30"/>
        <v>domingo</v>
      </c>
    </row>
    <row r="920" spans="2:23" hidden="1" x14ac:dyDescent="0.25">
      <c r="B920" s="337">
        <v>46211</v>
      </c>
      <c r="C920" s="337">
        <v>46267</v>
      </c>
      <c r="D920" s="374" t="s">
        <v>78</v>
      </c>
      <c r="E920" s="309" t="s">
        <v>47</v>
      </c>
      <c r="F920" s="310" t="s">
        <v>171</v>
      </c>
      <c r="G920" s="311">
        <v>7.93</v>
      </c>
      <c r="H920" s="311">
        <v>9.6999999999999993</v>
      </c>
      <c r="I920" s="340">
        <v>330.42</v>
      </c>
      <c r="J920" s="340"/>
      <c r="K920" s="308"/>
      <c r="L920" s="340">
        <f t="shared" si="29"/>
        <v>330.42</v>
      </c>
      <c r="M920" s="311"/>
      <c r="N920" s="311"/>
      <c r="O920" s="311"/>
      <c r="P920" s="311"/>
      <c r="Q920" s="311"/>
      <c r="R920" s="392"/>
      <c r="S920" s="358">
        <f ca="1">IF(C920&lt;=EOMONTH('&gt;&gt;Vistas Consolidadas'!$D$2, '&gt;&gt;Vistas Consolidadas'!$F$2),J920+I920,J920)</f>
        <v>330.42</v>
      </c>
      <c r="T920" s="18" t="str">
        <f ca="1">IF(C920&gt;='&gt;&gt;Vistas Consolidadas'!$D$2,"SI","NO")</f>
        <v>NO</v>
      </c>
      <c r="U920" s="358">
        <f ca="1">IF(C920&lt;=EOMONTH('&gt;&gt;Vistas Consolidadas'!$D$2, '&gt;&gt;Vistas Consolidadas'!$F$2),I920,0)</f>
        <v>330.42</v>
      </c>
      <c r="V920" s="18" t="b">
        <f ca="1">AND(C920&gt;='Interes Por Semana'!$C$4, C920&lt;='Interes Por Semana'!$E$4)</f>
        <v>0</v>
      </c>
      <c r="W920" s="18" t="str">
        <f t="shared" si="30"/>
        <v>miércoles</v>
      </c>
    </row>
    <row r="921" spans="2:23" hidden="1" x14ac:dyDescent="0.25">
      <c r="B921" s="337">
        <v>46211</v>
      </c>
      <c r="C921" s="337">
        <v>46236</v>
      </c>
      <c r="D921" s="374" t="s">
        <v>78</v>
      </c>
      <c r="E921" s="309" t="s">
        <v>47</v>
      </c>
      <c r="F921" s="310" t="s">
        <v>172</v>
      </c>
      <c r="G921" s="311">
        <v>7.72</v>
      </c>
      <c r="H921" s="311">
        <v>9.25</v>
      </c>
      <c r="I921" s="340">
        <v>12.35</v>
      </c>
      <c r="J921" s="340">
        <v>3.09</v>
      </c>
      <c r="K921" s="311"/>
      <c r="L921" s="340">
        <f t="shared" si="29"/>
        <v>12.35</v>
      </c>
      <c r="M921" s="311"/>
      <c r="N921" s="311"/>
      <c r="O921" s="311"/>
      <c r="P921" s="311"/>
      <c r="Q921" s="311"/>
      <c r="R921" s="392"/>
      <c r="S921" s="358">
        <f ca="1">IF(C921&lt;=EOMONTH('&gt;&gt;Vistas Consolidadas'!$D$2, '&gt;&gt;Vistas Consolidadas'!$F$2),J921+I921,J921)</f>
        <v>15.44</v>
      </c>
      <c r="T921" s="18" t="str">
        <f ca="1">IF(C921&gt;='&gt;&gt;Vistas Consolidadas'!$D$2,"SI","NO")</f>
        <v>NO</v>
      </c>
      <c r="U921" s="358">
        <f ca="1">IF(C921&lt;=EOMONTH('&gt;&gt;Vistas Consolidadas'!$D$2, '&gt;&gt;Vistas Consolidadas'!$F$2),I921,0)</f>
        <v>12.35</v>
      </c>
      <c r="V921" s="18" t="b">
        <f ca="1">AND(C921&gt;='Interes Por Semana'!$C$4, C921&lt;='Interes Por Semana'!$E$4)</f>
        <v>0</v>
      </c>
      <c r="W921" s="18" t="str">
        <f t="shared" si="30"/>
        <v>domingo</v>
      </c>
    </row>
    <row r="922" spans="2:23" hidden="1" x14ac:dyDescent="0.25">
      <c r="B922" s="337">
        <v>46211</v>
      </c>
      <c r="C922" s="337">
        <v>46267</v>
      </c>
      <c r="D922" s="374" t="s">
        <v>78</v>
      </c>
      <c r="E922" s="309" t="s">
        <v>47</v>
      </c>
      <c r="F922" s="310" t="s">
        <v>172</v>
      </c>
      <c r="G922" s="311">
        <v>7.72</v>
      </c>
      <c r="H922" s="311">
        <v>9.25</v>
      </c>
      <c r="I922" s="340">
        <v>15.44</v>
      </c>
      <c r="J922" s="340"/>
      <c r="K922" s="311"/>
      <c r="L922" s="340">
        <f t="shared" si="29"/>
        <v>15.44</v>
      </c>
      <c r="M922" s="311"/>
      <c r="N922" s="311"/>
      <c r="O922" s="311"/>
      <c r="P922" s="311"/>
      <c r="Q922" s="311"/>
      <c r="R922" s="392"/>
      <c r="S922" s="358">
        <f ca="1">IF(C922&lt;=EOMONTH('&gt;&gt;Vistas Consolidadas'!$D$2, '&gt;&gt;Vistas Consolidadas'!$F$2),J922+I922,J922)</f>
        <v>15.44</v>
      </c>
      <c r="T922" s="18" t="str">
        <f ca="1">IF(C922&gt;='&gt;&gt;Vistas Consolidadas'!$D$2,"SI","NO")</f>
        <v>NO</v>
      </c>
      <c r="U922" s="358">
        <f ca="1">IF(C922&lt;=EOMONTH('&gt;&gt;Vistas Consolidadas'!$D$2, '&gt;&gt;Vistas Consolidadas'!$F$2),I922,0)</f>
        <v>15.44</v>
      </c>
      <c r="V922" s="18" t="b">
        <f ca="1">AND(C922&gt;='Interes Por Semana'!$C$4, C922&lt;='Interes Por Semana'!$E$4)</f>
        <v>0</v>
      </c>
      <c r="W922" s="18" t="str">
        <f t="shared" si="30"/>
        <v>miércoles</v>
      </c>
    </row>
    <row r="923" spans="2:23" hidden="1" x14ac:dyDescent="0.25">
      <c r="B923" s="337">
        <v>46211</v>
      </c>
      <c r="C923" s="337">
        <v>46297</v>
      </c>
      <c r="D923" s="374" t="s">
        <v>78</v>
      </c>
      <c r="E923" s="309" t="s">
        <v>47</v>
      </c>
      <c r="F923" s="310" t="s">
        <v>172</v>
      </c>
      <c r="G923" s="311">
        <v>7.72</v>
      </c>
      <c r="H923" s="311">
        <v>9.25</v>
      </c>
      <c r="I923" s="340">
        <v>15.44</v>
      </c>
      <c r="J923" s="340"/>
      <c r="K923" s="311"/>
      <c r="L923" s="340">
        <f t="shared" si="29"/>
        <v>15.44</v>
      </c>
      <c r="M923" s="311"/>
      <c r="N923" s="311"/>
      <c r="O923" s="311"/>
      <c r="P923" s="311"/>
      <c r="Q923" s="311"/>
      <c r="R923" s="392"/>
      <c r="S923" s="358">
        <f ca="1">IF(C923&lt;=EOMONTH('&gt;&gt;Vistas Consolidadas'!$D$2, '&gt;&gt;Vistas Consolidadas'!$F$2),J923+I923,J923)</f>
        <v>15.44</v>
      </c>
      <c r="T923" s="18" t="str">
        <f ca="1">IF(C923&gt;='&gt;&gt;Vistas Consolidadas'!$D$2,"SI","NO")</f>
        <v>NO</v>
      </c>
      <c r="U923" s="358">
        <f ca="1">IF(C923&lt;=EOMONTH('&gt;&gt;Vistas Consolidadas'!$D$2, '&gt;&gt;Vistas Consolidadas'!$F$2),I923,0)</f>
        <v>15.44</v>
      </c>
      <c r="V923" s="18" t="b">
        <f ca="1">AND(C923&gt;='Interes Por Semana'!$C$4, C923&lt;='Interes Por Semana'!$E$4)</f>
        <v>0</v>
      </c>
      <c r="W923" s="18" t="str">
        <f t="shared" si="30"/>
        <v>viernes</v>
      </c>
    </row>
    <row r="924" spans="2:23" hidden="1" x14ac:dyDescent="0.25">
      <c r="B924" s="337">
        <v>46211</v>
      </c>
      <c r="C924" s="337">
        <v>46328</v>
      </c>
      <c r="D924" s="374" t="s">
        <v>78</v>
      </c>
      <c r="E924" s="309" t="s">
        <v>47</v>
      </c>
      <c r="F924" s="310" t="s">
        <v>172</v>
      </c>
      <c r="G924" s="311">
        <v>7.72</v>
      </c>
      <c r="H924" s="311">
        <v>9.25</v>
      </c>
      <c r="I924" s="340">
        <v>15.44</v>
      </c>
      <c r="J924" s="340"/>
      <c r="K924" s="311"/>
      <c r="L924" s="340">
        <f t="shared" si="29"/>
        <v>15.44</v>
      </c>
      <c r="M924" s="311"/>
      <c r="N924" s="311"/>
      <c r="O924" s="311"/>
      <c r="P924" s="311"/>
      <c r="Q924" s="311"/>
      <c r="R924" s="392"/>
      <c r="S924" s="358">
        <f ca="1">IF(C924&lt;=EOMONTH('&gt;&gt;Vistas Consolidadas'!$D$2, '&gt;&gt;Vistas Consolidadas'!$F$2),J924+I924,J924)</f>
        <v>15.44</v>
      </c>
      <c r="T924" s="18" t="str">
        <f ca="1">IF(C924&gt;='&gt;&gt;Vistas Consolidadas'!$D$2,"SI","NO")</f>
        <v>SI</v>
      </c>
      <c r="U924" s="358">
        <f ca="1">IF(C924&lt;=EOMONTH('&gt;&gt;Vistas Consolidadas'!$D$2, '&gt;&gt;Vistas Consolidadas'!$F$2),I924,0)</f>
        <v>15.44</v>
      </c>
      <c r="V924" s="18" t="b">
        <f ca="1">AND(C924&gt;='Interes Por Semana'!$C$4, C924&lt;='Interes Por Semana'!$E$4)</f>
        <v>0</v>
      </c>
      <c r="W924" s="18" t="str">
        <f t="shared" si="30"/>
        <v>lunes</v>
      </c>
    </row>
    <row r="925" spans="2:23" hidden="1" x14ac:dyDescent="0.25">
      <c r="B925" s="337">
        <v>46211</v>
      </c>
      <c r="C925" s="337">
        <v>46358</v>
      </c>
      <c r="D925" s="374" t="s">
        <v>78</v>
      </c>
      <c r="E925" s="309" t="s">
        <v>47</v>
      </c>
      <c r="F925" s="310" t="s">
        <v>172</v>
      </c>
      <c r="G925" s="311">
        <v>7.72</v>
      </c>
      <c r="H925" s="311">
        <v>9.25</v>
      </c>
      <c r="I925" s="340">
        <v>15.44</v>
      </c>
      <c r="J925" s="340"/>
      <c r="K925" s="311"/>
      <c r="L925" s="340">
        <f t="shared" si="29"/>
        <v>15.44</v>
      </c>
      <c r="M925" s="311"/>
      <c r="N925" s="311"/>
      <c r="O925" s="311"/>
      <c r="P925" s="311"/>
      <c r="Q925" s="311"/>
      <c r="R925" s="392"/>
      <c r="S925" s="358">
        <f ca="1">IF(C925&lt;=EOMONTH('&gt;&gt;Vistas Consolidadas'!$D$2, '&gt;&gt;Vistas Consolidadas'!$F$2),J925+I925,J925)</f>
        <v>15.44</v>
      </c>
      <c r="T925" s="18" t="str">
        <f ca="1">IF(C925&gt;='&gt;&gt;Vistas Consolidadas'!$D$2,"SI","NO")</f>
        <v>SI</v>
      </c>
      <c r="U925" s="358">
        <f ca="1">IF(C925&lt;=EOMONTH('&gt;&gt;Vistas Consolidadas'!$D$2, '&gt;&gt;Vistas Consolidadas'!$F$2),I925,0)</f>
        <v>15.44</v>
      </c>
      <c r="V925" s="18" t="b">
        <f ca="1">AND(C925&gt;='Interes Por Semana'!$C$4, C925&lt;='Interes Por Semana'!$E$4)</f>
        <v>0</v>
      </c>
      <c r="W925" s="18" t="str">
        <f t="shared" si="30"/>
        <v>miércoles</v>
      </c>
    </row>
    <row r="926" spans="2:23" hidden="1" x14ac:dyDescent="0.25">
      <c r="B926" s="337">
        <v>46211</v>
      </c>
      <c r="C926" s="337">
        <v>46389</v>
      </c>
      <c r="D926" s="374" t="s">
        <v>78</v>
      </c>
      <c r="E926" s="309" t="s">
        <v>47</v>
      </c>
      <c r="F926" s="310" t="s">
        <v>172</v>
      </c>
      <c r="G926" s="311">
        <v>7.72</v>
      </c>
      <c r="H926" s="311">
        <v>9.25</v>
      </c>
      <c r="I926" s="340">
        <v>15.44</v>
      </c>
      <c r="J926" s="340"/>
      <c r="K926" s="311"/>
      <c r="L926" s="340">
        <f t="shared" si="29"/>
        <v>15.44</v>
      </c>
      <c r="M926" s="311"/>
      <c r="N926" s="311"/>
      <c r="O926" s="311"/>
      <c r="P926" s="311"/>
      <c r="Q926" s="311"/>
      <c r="R926" s="392"/>
      <c r="S926" s="358">
        <f ca="1">IF(C926&lt;=EOMONTH('&gt;&gt;Vistas Consolidadas'!$D$2, '&gt;&gt;Vistas Consolidadas'!$F$2),J926+I926,J926)</f>
        <v>15.44</v>
      </c>
      <c r="T926" s="18" t="str">
        <f ca="1">IF(C926&gt;='&gt;&gt;Vistas Consolidadas'!$D$2,"SI","NO")</f>
        <v>SI</v>
      </c>
      <c r="U926" s="358">
        <f ca="1">IF(C926&lt;=EOMONTH('&gt;&gt;Vistas Consolidadas'!$D$2, '&gt;&gt;Vistas Consolidadas'!$F$2),I926,0)</f>
        <v>15.44</v>
      </c>
      <c r="V926" s="18" t="b">
        <f ca="1">AND(C926&gt;='Interes Por Semana'!$C$4, C926&lt;='Interes Por Semana'!$E$4)</f>
        <v>0</v>
      </c>
      <c r="W926" s="18" t="str">
        <f t="shared" si="30"/>
        <v>sábado</v>
      </c>
    </row>
    <row r="927" spans="2:23" hidden="1" x14ac:dyDescent="0.25">
      <c r="B927" s="337">
        <v>46211</v>
      </c>
      <c r="C927" s="337">
        <v>46420</v>
      </c>
      <c r="D927" s="374" t="s">
        <v>78</v>
      </c>
      <c r="E927" s="309" t="s">
        <v>47</v>
      </c>
      <c r="F927" s="310" t="s">
        <v>172</v>
      </c>
      <c r="G927" s="311">
        <v>7.72</v>
      </c>
      <c r="H927" s="311">
        <v>9.25</v>
      </c>
      <c r="I927" s="340">
        <v>15.44</v>
      </c>
      <c r="J927" s="340"/>
      <c r="K927" s="311"/>
      <c r="L927" s="340">
        <f t="shared" si="29"/>
        <v>15.44</v>
      </c>
      <c r="M927" s="311"/>
      <c r="N927" s="311"/>
      <c r="O927" s="311"/>
      <c r="P927" s="311"/>
      <c r="Q927" s="311"/>
      <c r="R927" s="392"/>
      <c r="S927" s="358">
        <f ca="1">IF(C927&lt;=EOMONTH('&gt;&gt;Vistas Consolidadas'!$D$2, '&gt;&gt;Vistas Consolidadas'!$F$2),J927+I927,J927)</f>
        <v>15.44</v>
      </c>
      <c r="T927" s="18" t="str">
        <f ca="1">IF(C927&gt;='&gt;&gt;Vistas Consolidadas'!$D$2,"SI","NO")</f>
        <v>SI</v>
      </c>
      <c r="U927" s="358">
        <f ca="1">IF(C927&lt;=EOMONTH('&gt;&gt;Vistas Consolidadas'!$D$2, '&gt;&gt;Vistas Consolidadas'!$F$2),I927,0)</f>
        <v>15.44</v>
      </c>
      <c r="V927" s="18" t="b">
        <f ca="1">AND(C927&gt;='Interes Por Semana'!$C$4, C927&lt;='Interes Por Semana'!$E$4)</f>
        <v>0</v>
      </c>
      <c r="W927" s="18" t="str">
        <f t="shared" si="30"/>
        <v>martes</v>
      </c>
    </row>
    <row r="928" spans="2:23" hidden="1" x14ac:dyDescent="0.25">
      <c r="B928" s="337">
        <v>46211</v>
      </c>
      <c r="C928" s="337">
        <v>46448</v>
      </c>
      <c r="D928" s="374" t="s">
        <v>78</v>
      </c>
      <c r="E928" s="309" t="s">
        <v>47</v>
      </c>
      <c r="F928" s="310" t="s">
        <v>172</v>
      </c>
      <c r="G928" s="311">
        <v>7.72</v>
      </c>
      <c r="H928" s="311">
        <v>9.25</v>
      </c>
      <c r="I928" s="340">
        <v>15.44</v>
      </c>
      <c r="J928" s="340"/>
      <c r="K928" s="311"/>
      <c r="L928" s="340">
        <f t="shared" si="29"/>
        <v>15.44</v>
      </c>
      <c r="M928" s="311"/>
      <c r="N928" s="311"/>
      <c r="O928" s="311"/>
      <c r="P928" s="311"/>
      <c r="Q928" s="311"/>
      <c r="R928" s="392"/>
      <c r="S928" s="358">
        <f ca="1">IF(C928&lt;=EOMONTH('&gt;&gt;Vistas Consolidadas'!$D$2, '&gt;&gt;Vistas Consolidadas'!$F$2),J928+I928,J928)</f>
        <v>15.44</v>
      </c>
      <c r="T928" s="18" t="str">
        <f ca="1">IF(C928&gt;='&gt;&gt;Vistas Consolidadas'!$D$2,"SI","NO")</f>
        <v>SI</v>
      </c>
      <c r="U928" s="358">
        <f ca="1">IF(C928&lt;=EOMONTH('&gt;&gt;Vistas Consolidadas'!$D$2, '&gt;&gt;Vistas Consolidadas'!$F$2),I928,0)</f>
        <v>15.44</v>
      </c>
      <c r="V928" s="18" t="b">
        <f ca="1">AND(C928&gt;='Interes Por Semana'!$C$4, C928&lt;='Interes Por Semana'!$E$4)</f>
        <v>0</v>
      </c>
      <c r="W928" s="18" t="str">
        <f t="shared" si="30"/>
        <v>martes</v>
      </c>
    </row>
    <row r="929" spans="2:23" hidden="1" x14ac:dyDescent="0.25">
      <c r="B929" s="337">
        <v>46211</v>
      </c>
      <c r="C929" s="337">
        <v>46479</v>
      </c>
      <c r="D929" s="374" t="s">
        <v>78</v>
      </c>
      <c r="E929" s="309" t="s">
        <v>47</v>
      </c>
      <c r="F929" s="310" t="s">
        <v>172</v>
      </c>
      <c r="G929" s="311">
        <v>7.72</v>
      </c>
      <c r="H929" s="311">
        <v>9.25</v>
      </c>
      <c r="I929" s="340">
        <v>15.44</v>
      </c>
      <c r="J929" s="340"/>
      <c r="K929" s="311"/>
      <c r="L929" s="340">
        <f t="shared" si="29"/>
        <v>15.44</v>
      </c>
      <c r="M929" s="313"/>
      <c r="N929" s="313"/>
      <c r="O929" s="313"/>
      <c r="P929" s="313"/>
      <c r="Q929" s="311"/>
      <c r="R929" s="392"/>
      <c r="S929" s="358">
        <f ca="1">IF(C929&lt;=EOMONTH('&gt;&gt;Vistas Consolidadas'!$D$2, '&gt;&gt;Vistas Consolidadas'!$F$2),J929+I929,J929)</f>
        <v>15.44</v>
      </c>
      <c r="T929" s="18" t="str">
        <f ca="1">IF(C929&gt;='&gt;&gt;Vistas Consolidadas'!$D$2,"SI","NO")</f>
        <v>SI</v>
      </c>
      <c r="U929" s="358">
        <f ca="1">IF(C929&lt;=EOMONTH('&gt;&gt;Vistas Consolidadas'!$D$2, '&gt;&gt;Vistas Consolidadas'!$F$2),I929,0)</f>
        <v>15.44</v>
      </c>
      <c r="V929" s="18" t="b">
        <f ca="1">AND(C929&gt;='Interes Por Semana'!$C$4, C929&lt;='Interes Por Semana'!$E$4)</f>
        <v>0</v>
      </c>
      <c r="W929" s="18" t="str">
        <f t="shared" si="30"/>
        <v>viernes</v>
      </c>
    </row>
    <row r="930" spans="2:23" hidden="1" x14ac:dyDescent="0.25">
      <c r="B930" s="337">
        <v>46211</v>
      </c>
      <c r="C930" s="337">
        <v>46509</v>
      </c>
      <c r="D930" s="374" t="s">
        <v>78</v>
      </c>
      <c r="E930" s="309" t="s">
        <v>47</v>
      </c>
      <c r="F930" s="310" t="s">
        <v>172</v>
      </c>
      <c r="G930" s="311">
        <v>7.72</v>
      </c>
      <c r="H930" s="311">
        <v>9.25</v>
      </c>
      <c r="I930" s="340">
        <v>15.44</v>
      </c>
      <c r="J930" s="340"/>
      <c r="K930" s="311"/>
      <c r="L930" s="340">
        <f t="shared" si="29"/>
        <v>15.44</v>
      </c>
      <c r="M930" s="313"/>
      <c r="N930" s="313"/>
      <c r="O930" s="313"/>
      <c r="P930" s="313"/>
      <c r="Q930" s="311"/>
      <c r="R930" s="392"/>
      <c r="S930" s="358">
        <f ca="1">IF(C930&lt;=EOMONTH('&gt;&gt;Vistas Consolidadas'!$D$2, '&gt;&gt;Vistas Consolidadas'!$F$2),J930+I930,J930)</f>
        <v>15.44</v>
      </c>
      <c r="T930" s="18" t="str">
        <f ca="1">IF(C930&gt;='&gt;&gt;Vistas Consolidadas'!$D$2,"SI","NO")</f>
        <v>SI</v>
      </c>
      <c r="U930" s="358">
        <f ca="1">IF(C930&lt;=EOMONTH('&gt;&gt;Vistas Consolidadas'!$D$2, '&gt;&gt;Vistas Consolidadas'!$F$2),I930,0)</f>
        <v>15.44</v>
      </c>
      <c r="V930" s="18" t="b">
        <f ca="1">AND(C930&gt;='Interes Por Semana'!$C$4, C930&lt;='Interes Por Semana'!$E$4)</f>
        <v>0</v>
      </c>
      <c r="W930" s="18" t="str">
        <f t="shared" si="30"/>
        <v>domingo</v>
      </c>
    </row>
    <row r="931" spans="2:23" hidden="1" x14ac:dyDescent="0.25">
      <c r="B931" s="337">
        <v>46211</v>
      </c>
      <c r="C931" s="337">
        <v>46540</v>
      </c>
      <c r="D931" s="374" t="s">
        <v>78</v>
      </c>
      <c r="E931" s="309" t="s">
        <v>47</v>
      </c>
      <c r="F931" s="310" t="s">
        <v>172</v>
      </c>
      <c r="G931" s="311">
        <v>7.72</v>
      </c>
      <c r="H931" s="311">
        <v>9.25</v>
      </c>
      <c r="I931" s="340">
        <v>15.44</v>
      </c>
      <c r="J931" s="340"/>
      <c r="K931" s="311"/>
      <c r="L931" s="340">
        <f t="shared" si="29"/>
        <v>15.44</v>
      </c>
      <c r="M931" s="313"/>
      <c r="N931" s="313"/>
      <c r="O931" s="313"/>
      <c r="P931" s="313"/>
      <c r="Q931" s="311"/>
      <c r="R931" s="392"/>
      <c r="S931" s="358">
        <f ca="1">IF(C931&lt;=EOMONTH('&gt;&gt;Vistas Consolidadas'!$D$2, '&gt;&gt;Vistas Consolidadas'!$F$2),J931+I931,J931)</f>
        <v>15.44</v>
      </c>
      <c r="T931" s="18" t="str">
        <f ca="1">IF(C931&gt;='&gt;&gt;Vistas Consolidadas'!$D$2,"SI","NO")</f>
        <v>SI</v>
      </c>
      <c r="U931" s="358">
        <f ca="1">IF(C931&lt;=EOMONTH('&gt;&gt;Vistas Consolidadas'!$D$2, '&gt;&gt;Vistas Consolidadas'!$F$2),I931,0)</f>
        <v>15.44</v>
      </c>
      <c r="V931" s="18" t="b">
        <f ca="1">AND(C931&gt;='Interes Por Semana'!$C$4, C931&lt;='Interes Por Semana'!$E$4)</f>
        <v>0</v>
      </c>
      <c r="W931" s="18" t="str">
        <f t="shared" si="30"/>
        <v>miércoles</v>
      </c>
    </row>
    <row r="932" spans="2:23" x14ac:dyDescent="0.25">
      <c r="B932" s="337">
        <v>46211</v>
      </c>
      <c r="C932" s="338">
        <v>49309</v>
      </c>
      <c r="D932" s="374" t="s">
        <v>96</v>
      </c>
      <c r="E932" s="309" t="s">
        <v>47</v>
      </c>
      <c r="F932" s="315" t="s">
        <v>132</v>
      </c>
      <c r="G932" s="311">
        <v>1</v>
      </c>
      <c r="H932" s="311">
        <v>1</v>
      </c>
      <c r="I932" s="340">
        <v>0</v>
      </c>
      <c r="J932" s="341">
        <v>1754.1</v>
      </c>
      <c r="K932" s="311"/>
      <c r="L932" s="340">
        <f t="shared" si="29"/>
        <v>0</v>
      </c>
      <c r="M932" s="311"/>
      <c r="N932" s="311"/>
      <c r="O932" s="311"/>
      <c r="P932" s="311"/>
      <c r="Q932" s="386"/>
      <c r="R932" s="392">
        <v>3705034</v>
      </c>
      <c r="S932" s="358">
        <f ca="1">IF(C932&lt;=EOMONTH('&gt;&gt;Vistas Consolidadas'!$D$2, '&gt;&gt;Vistas Consolidadas'!$F$2),J932+I932,J932)</f>
        <v>1754.1</v>
      </c>
      <c r="T932" s="18" t="str">
        <f ca="1">IF(C932&gt;='&gt;&gt;Vistas Consolidadas'!$D$2,"SI","NO")</f>
        <v>SI</v>
      </c>
      <c r="U932" s="358">
        <f ca="1">IF(C932&lt;=EOMONTH('&gt;&gt;Vistas Consolidadas'!$D$2, '&gt;&gt;Vistas Consolidadas'!$F$2),I932,0)</f>
        <v>0</v>
      </c>
      <c r="V932" s="18" t="b">
        <f ca="1">AND(C932&gt;='Interes Por Semana'!$C$4, C932&lt;='Interes Por Semana'!$E$4)</f>
        <v>0</v>
      </c>
      <c r="W932" s="18" t="str">
        <f t="shared" si="30"/>
        <v>domingo</v>
      </c>
    </row>
    <row r="933" spans="2:23" hidden="1" x14ac:dyDescent="0.25">
      <c r="B933" s="337">
        <v>45559</v>
      </c>
      <c r="C933" s="337">
        <v>46226</v>
      </c>
      <c r="D933" s="374" t="s">
        <v>118</v>
      </c>
      <c r="E933" s="309" t="s">
        <v>47</v>
      </c>
      <c r="F933" s="310" t="s">
        <v>119</v>
      </c>
      <c r="G933" s="311">
        <v>8.5</v>
      </c>
      <c r="H933" s="311">
        <v>12</v>
      </c>
      <c r="I933" s="340">
        <v>0</v>
      </c>
      <c r="J933" s="340">
        <v>117.29</v>
      </c>
      <c r="K933" s="311"/>
      <c r="L933" s="340">
        <f t="shared" si="29"/>
        <v>0</v>
      </c>
      <c r="M933" s="311"/>
      <c r="N933" s="311"/>
      <c r="O933" s="311"/>
      <c r="P933" s="311"/>
      <c r="Q933" s="311"/>
      <c r="R933" s="392"/>
      <c r="S933" s="358">
        <f ca="1">IF(C933&lt;=EOMONTH('&gt;&gt;Vistas Consolidadas'!$D$2, '&gt;&gt;Vistas Consolidadas'!$F$2),J933+I933,J933)</f>
        <v>117.29</v>
      </c>
      <c r="T933" s="18" t="str">
        <f ca="1">IF(C933&gt;='&gt;&gt;Vistas Consolidadas'!$D$2,"SI","NO")</f>
        <v>NO</v>
      </c>
      <c r="U933" s="358">
        <f ca="1">IF(C933&lt;=EOMONTH('&gt;&gt;Vistas Consolidadas'!$D$2, '&gt;&gt;Vistas Consolidadas'!$F$2),I933,0)</f>
        <v>0</v>
      </c>
      <c r="V933" s="18" t="b">
        <f ca="1">AND(C933&gt;='Interes Por Semana'!$C$4, C933&lt;='Interes Por Semana'!$E$4)</f>
        <v>0</v>
      </c>
      <c r="W933" s="18" t="str">
        <f t="shared" si="30"/>
        <v>jueves</v>
      </c>
    </row>
    <row r="934" spans="2:23" hidden="1" x14ac:dyDescent="0.25">
      <c r="B934" s="337">
        <v>45559</v>
      </c>
      <c r="C934" s="337">
        <v>46226</v>
      </c>
      <c r="D934" s="374" t="s">
        <v>118</v>
      </c>
      <c r="E934" s="309" t="s">
        <v>46</v>
      </c>
      <c r="F934" s="310" t="s">
        <v>119</v>
      </c>
      <c r="G934" s="311">
        <v>8.5</v>
      </c>
      <c r="H934" s="311">
        <v>12</v>
      </c>
      <c r="I934" s="340">
        <v>0</v>
      </c>
      <c r="J934" s="340">
        <v>18.600000000000001</v>
      </c>
      <c r="K934" s="311"/>
      <c r="L934" s="340">
        <f t="shared" si="29"/>
        <v>0</v>
      </c>
      <c r="M934" s="311"/>
      <c r="N934" s="311"/>
      <c r="O934" s="311"/>
      <c r="P934" s="311"/>
      <c r="Q934" s="311"/>
      <c r="R934" s="392"/>
      <c r="S934" s="358">
        <f ca="1">IF(C934&lt;=EOMONTH('&gt;&gt;Vistas Consolidadas'!$D$2, '&gt;&gt;Vistas Consolidadas'!$F$2),J934+I934,J934)</f>
        <v>18.600000000000001</v>
      </c>
      <c r="T934" s="18" t="str">
        <f ca="1">IF(C934&gt;='&gt;&gt;Vistas Consolidadas'!$D$2,"SI","NO")</f>
        <v>NO</v>
      </c>
      <c r="U934" s="358">
        <f ca="1">IF(C934&lt;=EOMONTH('&gt;&gt;Vistas Consolidadas'!$D$2, '&gt;&gt;Vistas Consolidadas'!$F$2),I934,0)</f>
        <v>0</v>
      </c>
      <c r="V934" s="18" t="b">
        <f ca="1">AND(C934&gt;='Interes Por Semana'!$C$4, C934&lt;='Interes Por Semana'!$E$4)</f>
        <v>0</v>
      </c>
      <c r="W934" s="18" t="str">
        <f t="shared" si="30"/>
        <v>jueves</v>
      </c>
    </row>
    <row r="935" spans="2:23" hidden="1" x14ac:dyDescent="0.25">
      <c r="B935" s="337">
        <v>45559</v>
      </c>
      <c r="C935" s="337">
        <v>46226</v>
      </c>
      <c r="D935" s="374" t="s">
        <v>118</v>
      </c>
      <c r="E935" s="309" t="s">
        <v>48</v>
      </c>
      <c r="F935" s="310" t="s">
        <v>119</v>
      </c>
      <c r="G935" s="311">
        <v>8.5</v>
      </c>
      <c r="H935" s="311">
        <v>12</v>
      </c>
      <c r="I935" s="340">
        <v>0</v>
      </c>
      <c r="J935" s="340">
        <v>75.58</v>
      </c>
      <c r="K935" s="311"/>
      <c r="L935" s="340">
        <f t="shared" si="29"/>
        <v>0</v>
      </c>
      <c r="M935" s="311"/>
      <c r="N935" s="311"/>
      <c r="O935" s="311"/>
      <c r="P935" s="311"/>
      <c r="Q935" s="311"/>
      <c r="R935" s="392"/>
      <c r="S935" s="358">
        <f ca="1">IF(C935&lt;=EOMONTH('&gt;&gt;Vistas Consolidadas'!$D$2, '&gt;&gt;Vistas Consolidadas'!$F$2),J935+I935,J935)</f>
        <v>75.58</v>
      </c>
      <c r="T935" s="18" t="str">
        <f ca="1">IF(C935&gt;='&gt;&gt;Vistas Consolidadas'!$D$2,"SI","NO")</f>
        <v>NO</v>
      </c>
      <c r="U935" s="358">
        <f ca="1">IF(C935&lt;=EOMONTH('&gt;&gt;Vistas Consolidadas'!$D$2, '&gt;&gt;Vistas Consolidadas'!$F$2),I935,0)</f>
        <v>0</v>
      </c>
      <c r="V935" s="18" t="b">
        <f ca="1">AND(C935&gt;='Interes Por Semana'!$C$4, C935&lt;='Interes Por Semana'!$E$4)</f>
        <v>0</v>
      </c>
      <c r="W935" s="18" t="str">
        <f t="shared" si="30"/>
        <v>jueves</v>
      </c>
    </row>
    <row r="936" spans="2:23" hidden="1" x14ac:dyDescent="0.25">
      <c r="B936" s="337">
        <v>46211</v>
      </c>
      <c r="C936" s="337">
        <v>46236</v>
      </c>
      <c r="D936" s="374" t="s">
        <v>78</v>
      </c>
      <c r="E936" s="309" t="s">
        <v>47</v>
      </c>
      <c r="F936" s="310" t="s">
        <v>173</v>
      </c>
      <c r="G936" s="311">
        <v>7.54</v>
      </c>
      <c r="H936" s="311">
        <v>9.25</v>
      </c>
      <c r="I936" s="340">
        <v>10.55</v>
      </c>
      <c r="J936" s="340">
        <v>9.24</v>
      </c>
      <c r="K936" s="311"/>
      <c r="L936" s="340">
        <f t="shared" si="29"/>
        <v>10.55</v>
      </c>
      <c r="M936" s="311"/>
      <c r="N936" s="311"/>
      <c r="O936" s="311"/>
      <c r="P936" s="311"/>
      <c r="Q936" s="311"/>
      <c r="R936" s="392"/>
      <c r="S936" s="358">
        <f ca="1">IF(C936&lt;=EOMONTH('&gt;&gt;Vistas Consolidadas'!$D$2, '&gt;&gt;Vistas Consolidadas'!$F$2),J936+I936,J936)</f>
        <v>19.79</v>
      </c>
      <c r="T936" s="18" t="str">
        <f ca="1">IF(C936&gt;='&gt;&gt;Vistas Consolidadas'!$D$2,"SI","NO")</f>
        <v>NO</v>
      </c>
      <c r="U936" s="358">
        <f ca="1">IF(C936&lt;=EOMONTH('&gt;&gt;Vistas Consolidadas'!$D$2, '&gt;&gt;Vistas Consolidadas'!$F$2),I936,0)</f>
        <v>10.55</v>
      </c>
      <c r="V936" s="18" t="b">
        <f ca="1">AND(C936&gt;='Interes Por Semana'!$C$4, C936&lt;='Interes Por Semana'!$E$4)</f>
        <v>0</v>
      </c>
      <c r="W936" s="18" t="str">
        <f t="shared" si="30"/>
        <v>domingo</v>
      </c>
    </row>
    <row r="937" spans="2:23" hidden="1" x14ac:dyDescent="0.25">
      <c r="B937" s="337">
        <v>46211</v>
      </c>
      <c r="C937" s="337">
        <v>46267</v>
      </c>
      <c r="D937" s="374" t="s">
        <v>78</v>
      </c>
      <c r="E937" s="309" t="s">
        <v>47</v>
      </c>
      <c r="F937" s="310" t="s">
        <v>173</v>
      </c>
      <c r="G937" s="311">
        <v>7.54</v>
      </c>
      <c r="H937" s="311">
        <v>9.25</v>
      </c>
      <c r="I937" s="340">
        <v>19.79</v>
      </c>
      <c r="J937" s="340"/>
      <c r="K937" s="311"/>
      <c r="L937" s="340">
        <f t="shared" si="29"/>
        <v>19.79</v>
      </c>
      <c r="M937" s="311"/>
      <c r="N937" s="311"/>
      <c r="O937" s="311"/>
      <c r="P937" s="311"/>
      <c r="Q937" s="311"/>
      <c r="R937" s="392"/>
      <c r="S937" s="358">
        <f ca="1">IF(C937&lt;=EOMONTH('&gt;&gt;Vistas Consolidadas'!$D$2, '&gt;&gt;Vistas Consolidadas'!$F$2),J937+I937,J937)</f>
        <v>19.79</v>
      </c>
      <c r="T937" s="18" t="str">
        <f ca="1">IF(C937&gt;='&gt;&gt;Vistas Consolidadas'!$D$2,"SI","NO")</f>
        <v>NO</v>
      </c>
      <c r="U937" s="358">
        <f ca="1">IF(C937&lt;=EOMONTH('&gt;&gt;Vistas Consolidadas'!$D$2, '&gt;&gt;Vistas Consolidadas'!$F$2),I937,0)</f>
        <v>19.79</v>
      </c>
      <c r="V937" s="18" t="b">
        <f ca="1">AND(C937&gt;='Interes Por Semana'!$C$4, C937&lt;='Interes Por Semana'!$E$4)</f>
        <v>0</v>
      </c>
      <c r="W937" s="18" t="str">
        <f t="shared" si="30"/>
        <v>miércoles</v>
      </c>
    </row>
    <row r="938" spans="2:23" hidden="1" x14ac:dyDescent="0.25">
      <c r="B938" s="337">
        <v>46211</v>
      </c>
      <c r="C938" s="337">
        <v>46297</v>
      </c>
      <c r="D938" s="374" t="s">
        <v>78</v>
      </c>
      <c r="E938" s="309" t="s">
        <v>47</v>
      </c>
      <c r="F938" s="310" t="s">
        <v>173</v>
      </c>
      <c r="G938" s="311">
        <v>7.54</v>
      </c>
      <c r="H938" s="311">
        <v>9.25</v>
      </c>
      <c r="I938" s="340">
        <v>19.79</v>
      </c>
      <c r="J938" s="340"/>
      <c r="K938" s="311"/>
      <c r="L938" s="340">
        <f t="shared" si="29"/>
        <v>19.79</v>
      </c>
      <c r="M938" s="311"/>
      <c r="N938" s="311"/>
      <c r="O938" s="311"/>
      <c r="P938" s="311"/>
      <c r="Q938" s="311"/>
      <c r="R938" s="392"/>
      <c r="S938" s="358">
        <f ca="1">IF(C938&lt;=EOMONTH('&gt;&gt;Vistas Consolidadas'!$D$2, '&gt;&gt;Vistas Consolidadas'!$F$2),J938+I938,J938)</f>
        <v>19.79</v>
      </c>
      <c r="T938" s="18" t="str">
        <f ca="1">IF(C938&gt;='&gt;&gt;Vistas Consolidadas'!$D$2,"SI","NO")</f>
        <v>NO</v>
      </c>
      <c r="U938" s="358">
        <f ca="1">IF(C938&lt;=EOMONTH('&gt;&gt;Vistas Consolidadas'!$D$2, '&gt;&gt;Vistas Consolidadas'!$F$2),I938,0)</f>
        <v>19.79</v>
      </c>
      <c r="V938" s="18" t="b">
        <f ca="1">AND(C938&gt;='Interes Por Semana'!$C$4, C938&lt;='Interes Por Semana'!$E$4)</f>
        <v>0</v>
      </c>
      <c r="W938" s="18" t="str">
        <f t="shared" si="30"/>
        <v>viernes</v>
      </c>
    </row>
    <row r="939" spans="2:23" hidden="1" x14ac:dyDescent="0.25">
      <c r="B939" s="337">
        <v>46211</v>
      </c>
      <c r="C939" s="337">
        <v>46328</v>
      </c>
      <c r="D939" s="374" t="s">
        <v>78</v>
      </c>
      <c r="E939" s="309" t="s">
        <v>47</v>
      </c>
      <c r="F939" s="310" t="s">
        <v>173</v>
      </c>
      <c r="G939" s="311">
        <v>7.54</v>
      </c>
      <c r="H939" s="311">
        <v>9.25</v>
      </c>
      <c r="I939" s="340">
        <v>19.79</v>
      </c>
      <c r="J939" s="340"/>
      <c r="K939" s="311"/>
      <c r="L939" s="340">
        <f t="shared" si="29"/>
        <v>19.79</v>
      </c>
      <c r="M939" s="311"/>
      <c r="N939" s="311"/>
      <c r="O939" s="311"/>
      <c r="P939" s="311"/>
      <c r="Q939" s="311"/>
      <c r="R939" s="392"/>
      <c r="S939" s="358">
        <f ca="1">IF(C939&lt;=EOMONTH('&gt;&gt;Vistas Consolidadas'!$D$2, '&gt;&gt;Vistas Consolidadas'!$F$2),J939+I939,J939)</f>
        <v>19.79</v>
      </c>
      <c r="T939" s="18" t="str">
        <f ca="1">IF(C939&gt;='&gt;&gt;Vistas Consolidadas'!$D$2,"SI","NO")</f>
        <v>SI</v>
      </c>
      <c r="U939" s="358">
        <f ca="1">IF(C939&lt;=EOMONTH('&gt;&gt;Vistas Consolidadas'!$D$2, '&gt;&gt;Vistas Consolidadas'!$F$2),I939,0)</f>
        <v>19.79</v>
      </c>
      <c r="V939" s="18" t="b">
        <f ca="1">AND(C939&gt;='Interes Por Semana'!$C$4, C939&lt;='Interes Por Semana'!$E$4)</f>
        <v>0</v>
      </c>
      <c r="W939" s="18" t="str">
        <f t="shared" si="30"/>
        <v>lunes</v>
      </c>
    </row>
    <row r="940" spans="2:23" hidden="1" x14ac:dyDescent="0.25">
      <c r="B940" s="337">
        <v>46211</v>
      </c>
      <c r="C940" s="337">
        <v>46358</v>
      </c>
      <c r="D940" s="374" t="s">
        <v>78</v>
      </c>
      <c r="E940" s="309" t="s">
        <v>47</v>
      </c>
      <c r="F940" s="310" t="s">
        <v>173</v>
      </c>
      <c r="G940" s="311">
        <v>7.54</v>
      </c>
      <c r="H940" s="311">
        <v>9.25</v>
      </c>
      <c r="I940" s="340">
        <v>19.79</v>
      </c>
      <c r="J940" s="340"/>
      <c r="K940" s="311"/>
      <c r="L940" s="340">
        <f t="shared" si="29"/>
        <v>19.79</v>
      </c>
      <c r="M940" s="311"/>
      <c r="N940" s="311"/>
      <c r="O940" s="311"/>
      <c r="P940" s="311"/>
      <c r="Q940" s="311"/>
      <c r="R940" s="392"/>
      <c r="S940" s="358">
        <f ca="1">IF(C940&lt;=EOMONTH('&gt;&gt;Vistas Consolidadas'!$D$2, '&gt;&gt;Vistas Consolidadas'!$F$2),J940+I940,J940)</f>
        <v>19.79</v>
      </c>
      <c r="T940" s="18" t="str">
        <f ca="1">IF(C940&gt;='&gt;&gt;Vistas Consolidadas'!$D$2,"SI","NO")</f>
        <v>SI</v>
      </c>
      <c r="U940" s="358">
        <f ca="1">IF(C940&lt;=EOMONTH('&gt;&gt;Vistas Consolidadas'!$D$2, '&gt;&gt;Vistas Consolidadas'!$F$2),I940,0)</f>
        <v>19.79</v>
      </c>
      <c r="V940" s="18" t="b">
        <f ca="1">AND(C940&gt;='Interes Por Semana'!$C$4, C940&lt;='Interes Por Semana'!$E$4)</f>
        <v>0</v>
      </c>
      <c r="W940" s="18" t="str">
        <f t="shared" si="30"/>
        <v>miércoles</v>
      </c>
    </row>
    <row r="941" spans="2:23" hidden="1" x14ac:dyDescent="0.25">
      <c r="B941" s="337">
        <v>46211</v>
      </c>
      <c r="C941" s="337">
        <v>46389</v>
      </c>
      <c r="D941" s="374" t="s">
        <v>78</v>
      </c>
      <c r="E941" s="309" t="s">
        <v>47</v>
      </c>
      <c r="F941" s="310" t="s">
        <v>173</v>
      </c>
      <c r="G941" s="311">
        <v>7.54</v>
      </c>
      <c r="H941" s="311">
        <v>9.25</v>
      </c>
      <c r="I941" s="340">
        <v>19.79</v>
      </c>
      <c r="J941" s="340"/>
      <c r="K941" s="311"/>
      <c r="L941" s="340">
        <f t="shared" si="29"/>
        <v>19.79</v>
      </c>
      <c r="M941" s="311"/>
      <c r="N941" s="311"/>
      <c r="O941" s="311"/>
      <c r="P941" s="311"/>
      <c r="Q941" s="311"/>
      <c r="R941" s="392"/>
      <c r="S941" s="358">
        <f ca="1">IF(C941&lt;=EOMONTH('&gt;&gt;Vistas Consolidadas'!$D$2, '&gt;&gt;Vistas Consolidadas'!$F$2),J941+I941,J941)</f>
        <v>19.79</v>
      </c>
      <c r="T941" s="18" t="str">
        <f ca="1">IF(C941&gt;='&gt;&gt;Vistas Consolidadas'!$D$2,"SI","NO")</f>
        <v>SI</v>
      </c>
      <c r="U941" s="358">
        <f ca="1">IF(C941&lt;=EOMONTH('&gt;&gt;Vistas Consolidadas'!$D$2, '&gt;&gt;Vistas Consolidadas'!$F$2),I941,0)</f>
        <v>19.79</v>
      </c>
      <c r="V941" s="18" t="b">
        <f ca="1">AND(C941&gt;='Interes Por Semana'!$C$4, C941&lt;='Interes Por Semana'!$E$4)</f>
        <v>0</v>
      </c>
      <c r="W941" s="18" t="str">
        <f t="shared" si="30"/>
        <v>sábado</v>
      </c>
    </row>
    <row r="942" spans="2:23" hidden="1" x14ac:dyDescent="0.25">
      <c r="B942" s="337">
        <v>46211</v>
      </c>
      <c r="C942" s="337">
        <v>46420</v>
      </c>
      <c r="D942" s="374" t="s">
        <v>78</v>
      </c>
      <c r="E942" s="309" t="s">
        <v>47</v>
      </c>
      <c r="F942" s="310" t="s">
        <v>173</v>
      </c>
      <c r="G942" s="311">
        <v>7.54</v>
      </c>
      <c r="H942" s="311">
        <v>9.25</v>
      </c>
      <c r="I942" s="340">
        <v>19.79</v>
      </c>
      <c r="J942" s="340"/>
      <c r="K942" s="311"/>
      <c r="L942" s="340">
        <f t="shared" si="29"/>
        <v>19.79</v>
      </c>
      <c r="M942" s="311"/>
      <c r="N942" s="311"/>
      <c r="O942" s="311"/>
      <c r="P942" s="311"/>
      <c r="Q942" s="311"/>
      <c r="R942" s="392"/>
      <c r="S942" s="358">
        <f ca="1">IF(C942&lt;=EOMONTH('&gt;&gt;Vistas Consolidadas'!$D$2, '&gt;&gt;Vistas Consolidadas'!$F$2),J942+I942,J942)</f>
        <v>19.79</v>
      </c>
      <c r="T942" s="18" t="str">
        <f ca="1">IF(C942&gt;='&gt;&gt;Vistas Consolidadas'!$D$2,"SI","NO")</f>
        <v>SI</v>
      </c>
      <c r="U942" s="358">
        <f ca="1">IF(C942&lt;=EOMONTH('&gt;&gt;Vistas Consolidadas'!$D$2, '&gt;&gt;Vistas Consolidadas'!$F$2),I942,0)</f>
        <v>19.79</v>
      </c>
      <c r="V942" s="18" t="b">
        <f ca="1">AND(C942&gt;='Interes Por Semana'!$C$4, C942&lt;='Interes Por Semana'!$E$4)</f>
        <v>0</v>
      </c>
      <c r="W942" s="18" t="str">
        <f t="shared" si="30"/>
        <v>martes</v>
      </c>
    </row>
    <row r="943" spans="2:23" hidden="1" x14ac:dyDescent="0.25">
      <c r="B943" s="337">
        <v>46211</v>
      </c>
      <c r="C943" s="337">
        <v>46448</v>
      </c>
      <c r="D943" s="374" t="s">
        <v>78</v>
      </c>
      <c r="E943" s="309" t="s">
        <v>47</v>
      </c>
      <c r="F943" s="310" t="s">
        <v>173</v>
      </c>
      <c r="G943" s="311">
        <v>7.54</v>
      </c>
      <c r="H943" s="311">
        <v>9.25</v>
      </c>
      <c r="I943" s="340">
        <v>19.79</v>
      </c>
      <c r="J943" s="340"/>
      <c r="K943" s="311"/>
      <c r="L943" s="340">
        <f t="shared" si="29"/>
        <v>19.79</v>
      </c>
      <c r="M943" s="311"/>
      <c r="N943" s="311"/>
      <c r="O943" s="311"/>
      <c r="P943" s="311"/>
      <c r="Q943" s="311"/>
      <c r="R943" s="392"/>
      <c r="S943" s="358">
        <f ca="1">IF(C943&lt;=EOMONTH('&gt;&gt;Vistas Consolidadas'!$D$2, '&gt;&gt;Vistas Consolidadas'!$F$2),J943+I943,J943)</f>
        <v>19.79</v>
      </c>
      <c r="T943" s="18" t="str">
        <f ca="1">IF(C943&gt;='&gt;&gt;Vistas Consolidadas'!$D$2,"SI","NO")</f>
        <v>SI</v>
      </c>
      <c r="U943" s="358">
        <f ca="1">IF(C943&lt;=EOMONTH('&gt;&gt;Vistas Consolidadas'!$D$2, '&gt;&gt;Vistas Consolidadas'!$F$2),I943,0)</f>
        <v>19.79</v>
      </c>
      <c r="V943" s="18" t="b">
        <f ca="1">AND(C943&gt;='Interes Por Semana'!$C$4, C943&lt;='Interes Por Semana'!$E$4)</f>
        <v>0</v>
      </c>
      <c r="W943" s="18" t="str">
        <f t="shared" si="30"/>
        <v>martes</v>
      </c>
    </row>
    <row r="944" spans="2:23" hidden="1" x14ac:dyDescent="0.25">
      <c r="B944" s="337">
        <v>46211</v>
      </c>
      <c r="C944" s="337">
        <v>46479</v>
      </c>
      <c r="D944" s="374" t="s">
        <v>78</v>
      </c>
      <c r="E944" s="309" t="s">
        <v>47</v>
      </c>
      <c r="F944" s="310" t="s">
        <v>173</v>
      </c>
      <c r="G944" s="311">
        <v>7.54</v>
      </c>
      <c r="H944" s="311">
        <v>9.25</v>
      </c>
      <c r="I944" s="340">
        <v>19.79</v>
      </c>
      <c r="J944" s="340"/>
      <c r="K944" s="311"/>
      <c r="L944" s="340">
        <f t="shared" si="29"/>
        <v>19.79</v>
      </c>
      <c r="M944" s="313"/>
      <c r="N944" s="313"/>
      <c r="O944" s="313"/>
      <c r="P944" s="313"/>
      <c r="Q944" s="311"/>
      <c r="R944" s="392"/>
      <c r="S944" s="358">
        <f ca="1">IF(C944&lt;=EOMONTH('&gt;&gt;Vistas Consolidadas'!$D$2, '&gt;&gt;Vistas Consolidadas'!$F$2),J944+I944,J944)</f>
        <v>19.79</v>
      </c>
      <c r="T944" s="18" t="str">
        <f ca="1">IF(C944&gt;='&gt;&gt;Vistas Consolidadas'!$D$2,"SI","NO")</f>
        <v>SI</v>
      </c>
      <c r="U944" s="358">
        <f ca="1">IF(C944&lt;=EOMONTH('&gt;&gt;Vistas Consolidadas'!$D$2, '&gt;&gt;Vistas Consolidadas'!$F$2),I944,0)</f>
        <v>19.79</v>
      </c>
      <c r="V944" s="18" t="b">
        <f ca="1">AND(C944&gt;='Interes Por Semana'!$C$4, C944&lt;='Interes Por Semana'!$E$4)</f>
        <v>0</v>
      </c>
      <c r="W944" s="18" t="str">
        <f t="shared" si="30"/>
        <v>viernes</v>
      </c>
    </row>
    <row r="945" spans="2:23" hidden="1" x14ac:dyDescent="0.25">
      <c r="B945" s="337">
        <v>46211</v>
      </c>
      <c r="C945" s="337">
        <v>46509</v>
      </c>
      <c r="D945" s="374" t="s">
        <v>78</v>
      </c>
      <c r="E945" s="309" t="s">
        <v>47</v>
      </c>
      <c r="F945" s="310" t="s">
        <v>173</v>
      </c>
      <c r="G945" s="311">
        <v>7.54</v>
      </c>
      <c r="H945" s="311">
        <v>9.25</v>
      </c>
      <c r="I945" s="340">
        <v>19.79</v>
      </c>
      <c r="J945" s="340"/>
      <c r="K945" s="311"/>
      <c r="L945" s="340">
        <f t="shared" si="29"/>
        <v>19.79</v>
      </c>
      <c r="M945" s="313"/>
      <c r="N945" s="313"/>
      <c r="O945" s="313"/>
      <c r="P945" s="313"/>
      <c r="Q945" s="311"/>
      <c r="R945" s="392"/>
      <c r="S945" s="358">
        <f ca="1">IF(C945&lt;=EOMONTH('&gt;&gt;Vistas Consolidadas'!$D$2, '&gt;&gt;Vistas Consolidadas'!$F$2),J945+I945,J945)</f>
        <v>19.79</v>
      </c>
      <c r="T945" s="18" t="str">
        <f ca="1">IF(C945&gt;='&gt;&gt;Vistas Consolidadas'!$D$2,"SI","NO")</f>
        <v>SI</v>
      </c>
      <c r="U945" s="358">
        <f ca="1">IF(C945&lt;=EOMONTH('&gt;&gt;Vistas Consolidadas'!$D$2, '&gt;&gt;Vistas Consolidadas'!$F$2),I945,0)</f>
        <v>19.79</v>
      </c>
      <c r="V945" s="18" t="b">
        <f ca="1">AND(C945&gt;='Interes Por Semana'!$C$4, C945&lt;='Interes Por Semana'!$E$4)</f>
        <v>0</v>
      </c>
      <c r="W945" s="18" t="str">
        <f t="shared" si="30"/>
        <v>domingo</v>
      </c>
    </row>
    <row r="946" spans="2:23" hidden="1" x14ac:dyDescent="0.25">
      <c r="B946" s="337">
        <v>46211</v>
      </c>
      <c r="C946" s="337">
        <v>46540</v>
      </c>
      <c r="D946" s="374" t="s">
        <v>78</v>
      </c>
      <c r="E946" s="309" t="s">
        <v>47</v>
      </c>
      <c r="F946" s="310" t="s">
        <v>173</v>
      </c>
      <c r="G946" s="311">
        <v>7.54</v>
      </c>
      <c r="H946" s="311">
        <v>9.25</v>
      </c>
      <c r="I946" s="340">
        <v>19.79</v>
      </c>
      <c r="J946" s="340"/>
      <c r="K946" s="311"/>
      <c r="L946" s="340">
        <f t="shared" si="29"/>
        <v>19.79</v>
      </c>
      <c r="M946" s="313"/>
      <c r="N946" s="313"/>
      <c r="O946" s="313"/>
      <c r="P946" s="313"/>
      <c r="Q946" s="311"/>
      <c r="R946" s="392"/>
      <c r="S946" s="358">
        <f ca="1">IF(C946&lt;=EOMONTH('&gt;&gt;Vistas Consolidadas'!$D$2, '&gt;&gt;Vistas Consolidadas'!$F$2),J946+I946,J946)</f>
        <v>19.79</v>
      </c>
      <c r="T946" s="18" t="str">
        <f ca="1">IF(C946&gt;='&gt;&gt;Vistas Consolidadas'!$D$2,"SI","NO")</f>
        <v>SI</v>
      </c>
      <c r="U946" s="358">
        <f ca="1">IF(C946&lt;=EOMONTH('&gt;&gt;Vistas Consolidadas'!$D$2, '&gt;&gt;Vistas Consolidadas'!$F$2),I946,0)</f>
        <v>19.79</v>
      </c>
      <c r="V946" s="18" t="b">
        <f ca="1">AND(C946&gt;='Interes Por Semana'!$C$4, C946&lt;='Interes Por Semana'!$E$4)</f>
        <v>0</v>
      </c>
      <c r="W946" s="18" t="str">
        <f t="shared" si="30"/>
        <v>miércoles</v>
      </c>
    </row>
    <row r="947" spans="2:23" hidden="1" x14ac:dyDescent="0.25">
      <c r="B947" s="337">
        <v>45559</v>
      </c>
      <c r="C947" s="337">
        <v>46269</v>
      </c>
      <c r="D947" s="374" t="s">
        <v>118</v>
      </c>
      <c r="E947" s="309" t="s">
        <v>47</v>
      </c>
      <c r="F947" s="310" t="s">
        <v>119</v>
      </c>
      <c r="G947" s="311">
        <v>8.5</v>
      </c>
      <c r="H947" s="311">
        <v>12</v>
      </c>
      <c r="I947" s="340">
        <v>0</v>
      </c>
      <c r="J947" s="340">
        <v>364.39</v>
      </c>
      <c r="K947" s="311"/>
      <c r="L947" s="340">
        <f t="shared" si="29"/>
        <v>0</v>
      </c>
      <c r="M947" s="311"/>
      <c r="N947" s="311"/>
      <c r="O947" s="311"/>
      <c r="P947" s="311"/>
      <c r="Q947" s="386"/>
      <c r="R947" s="392"/>
      <c r="S947" s="358">
        <f ca="1">IF(C947&lt;=EOMONTH('&gt;&gt;Vistas Consolidadas'!$D$2, '&gt;&gt;Vistas Consolidadas'!$F$2),J947+I947,J947)</f>
        <v>364.39</v>
      </c>
      <c r="T947" s="18" t="str">
        <f ca="1">IF(C947&gt;='&gt;&gt;Vistas Consolidadas'!$D$2,"SI","NO")</f>
        <v>NO</v>
      </c>
      <c r="U947" s="358">
        <f ca="1">IF(C947&lt;=EOMONTH('&gt;&gt;Vistas Consolidadas'!$D$2, '&gt;&gt;Vistas Consolidadas'!$F$2),I947,0)</f>
        <v>0</v>
      </c>
      <c r="V947" s="18" t="b">
        <f ca="1">AND(C947&gt;='Interes Por Semana'!$C$4, C947&lt;='Interes Por Semana'!$E$4)</f>
        <v>0</v>
      </c>
      <c r="W947" s="18" t="str">
        <f t="shared" si="30"/>
        <v>viernes</v>
      </c>
    </row>
    <row r="948" spans="2:23" hidden="1" x14ac:dyDescent="0.25">
      <c r="B948" s="337">
        <v>45559</v>
      </c>
      <c r="C948" s="337">
        <v>46269</v>
      </c>
      <c r="D948" s="374" t="s">
        <v>118</v>
      </c>
      <c r="E948" s="309" t="s">
        <v>46</v>
      </c>
      <c r="F948" s="310" t="s">
        <v>119</v>
      </c>
      <c r="G948" s="311">
        <v>8.5</v>
      </c>
      <c r="H948" s="311">
        <v>12</v>
      </c>
      <c r="I948" s="340">
        <v>0</v>
      </c>
      <c r="J948" s="340">
        <v>57.79</v>
      </c>
      <c r="K948" s="311"/>
      <c r="L948" s="340">
        <f t="shared" si="29"/>
        <v>0</v>
      </c>
      <c r="M948" s="311"/>
      <c r="N948" s="311"/>
      <c r="O948" s="311"/>
      <c r="P948" s="311"/>
      <c r="Q948" s="386"/>
      <c r="R948" s="392"/>
      <c r="S948" s="358">
        <f ca="1">IF(C948&lt;=EOMONTH('&gt;&gt;Vistas Consolidadas'!$D$2, '&gt;&gt;Vistas Consolidadas'!$F$2),J948+I948,J948)</f>
        <v>57.79</v>
      </c>
      <c r="T948" s="18" t="str">
        <f ca="1">IF(C948&gt;='&gt;&gt;Vistas Consolidadas'!$D$2,"SI","NO")</f>
        <v>NO</v>
      </c>
      <c r="U948" s="358">
        <f ca="1">IF(C948&lt;=EOMONTH('&gt;&gt;Vistas Consolidadas'!$D$2, '&gt;&gt;Vistas Consolidadas'!$F$2),I948,0)</f>
        <v>0</v>
      </c>
      <c r="V948" s="18" t="b">
        <f ca="1">AND(C948&gt;='Interes Por Semana'!$C$4, C948&lt;='Interes Por Semana'!$E$4)</f>
        <v>0</v>
      </c>
      <c r="W948" s="18" t="str">
        <f t="shared" si="30"/>
        <v>viernes</v>
      </c>
    </row>
    <row r="949" spans="2:23" hidden="1" x14ac:dyDescent="0.25">
      <c r="B949" s="337">
        <v>45559</v>
      </c>
      <c r="C949" s="337">
        <v>46269</v>
      </c>
      <c r="D949" s="374" t="s">
        <v>118</v>
      </c>
      <c r="E949" s="309" t="s">
        <v>48</v>
      </c>
      <c r="F949" s="310" t="s">
        <v>119</v>
      </c>
      <c r="G949" s="311">
        <v>8.5</v>
      </c>
      <c r="H949" s="311">
        <v>12</v>
      </c>
      <c r="I949" s="340">
        <v>0</v>
      </c>
      <c r="J949" s="340">
        <v>234.8</v>
      </c>
      <c r="K949" s="311"/>
      <c r="L949" s="340">
        <f t="shared" si="29"/>
        <v>0</v>
      </c>
      <c r="M949" s="311"/>
      <c r="N949" s="311"/>
      <c r="O949" s="311"/>
      <c r="P949" s="311"/>
      <c r="Q949" s="386"/>
      <c r="R949" s="392"/>
      <c r="S949" s="358">
        <f ca="1">IF(C949&lt;=EOMONTH('&gt;&gt;Vistas Consolidadas'!$D$2, '&gt;&gt;Vistas Consolidadas'!$F$2),J949+I949,J949)</f>
        <v>234.8</v>
      </c>
      <c r="T949" s="18" t="str">
        <f ca="1">IF(C949&gt;='&gt;&gt;Vistas Consolidadas'!$D$2,"SI","NO")</f>
        <v>NO</v>
      </c>
      <c r="U949" s="358">
        <f ca="1">IF(C949&lt;=EOMONTH('&gt;&gt;Vistas Consolidadas'!$D$2, '&gt;&gt;Vistas Consolidadas'!$F$2),I949,0)</f>
        <v>0</v>
      </c>
      <c r="V949" s="18" t="b">
        <f ca="1">AND(C949&gt;='Interes Por Semana'!$C$4, C949&lt;='Interes Por Semana'!$E$4)</f>
        <v>0</v>
      </c>
      <c r="W949" s="18" t="str">
        <f t="shared" si="30"/>
        <v>viernes</v>
      </c>
    </row>
    <row r="950" spans="2:23" hidden="1" x14ac:dyDescent="0.25">
      <c r="B950" s="337">
        <v>46231</v>
      </c>
      <c r="C950" s="337">
        <v>49309</v>
      </c>
      <c r="D950" s="374" t="s">
        <v>96</v>
      </c>
      <c r="E950" s="309" t="s">
        <v>47</v>
      </c>
      <c r="F950" s="310" t="s">
        <v>134</v>
      </c>
      <c r="G950" s="311">
        <v>1</v>
      </c>
      <c r="H950" s="311">
        <v>1</v>
      </c>
      <c r="I950" s="341">
        <v>0</v>
      </c>
      <c r="J950" s="340">
        <v>6500</v>
      </c>
      <c r="K950" s="311"/>
      <c r="L950" s="340">
        <f t="shared" si="29"/>
        <v>0</v>
      </c>
      <c r="M950" s="311"/>
      <c r="N950" s="311"/>
      <c r="O950" s="311"/>
      <c r="P950" s="311"/>
      <c r="Q950" s="386"/>
      <c r="R950" s="392" t="s">
        <v>174</v>
      </c>
      <c r="S950" s="358">
        <f ca="1">IF(C950&lt;=EOMONTH('&gt;&gt;Vistas Consolidadas'!$D$2, '&gt;&gt;Vistas Consolidadas'!$F$2),J950+I950,J950)</f>
        <v>6500</v>
      </c>
      <c r="T950" s="18" t="str">
        <f ca="1">IF(C950&gt;='&gt;&gt;Vistas Consolidadas'!$D$2,"SI","NO")</f>
        <v>SI</v>
      </c>
      <c r="U950" s="358">
        <f ca="1">IF(C950&lt;=EOMONTH('&gt;&gt;Vistas Consolidadas'!$D$2, '&gt;&gt;Vistas Consolidadas'!$F$2),I950,0)</f>
        <v>0</v>
      </c>
      <c r="V950" s="18" t="b">
        <f ca="1">AND(C950&gt;='Interes Por Semana'!$C$4, C950&lt;='Interes Por Semana'!$E$4)</f>
        <v>0</v>
      </c>
      <c r="W950" s="18" t="str">
        <f t="shared" si="30"/>
        <v>domingo</v>
      </c>
    </row>
    <row r="951" spans="2:23" x14ac:dyDescent="0.25">
      <c r="B951" s="337">
        <v>46232</v>
      </c>
      <c r="C951" s="338">
        <v>49309</v>
      </c>
      <c r="D951" s="374" t="s">
        <v>96</v>
      </c>
      <c r="E951" s="309" t="s">
        <v>47</v>
      </c>
      <c r="F951" s="315" t="s">
        <v>132</v>
      </c>
      <c r="G951" s="311">
        <v>1</v>
      </c>
      <c r="H951" s="311">
        <v>1</v>
      </c>
      <c r="I951" s="340">
        <v>0</v>
      </c>
      <c r="J951" s="341">
        <v>1972.53</v>
      </c>
      <c r="K951" s="311"/>
      <c r="L951" s="340">
        <f t="shared" si="29"/>
        <v>0</v>
      </c>
      <c r="M951" s="311"/>
      <c r="N951" s="311"/>
      <c r="O951" s="311"/>
      <c r="P951" s="311"/>
      <c r="Q951" s="386"/>
      <c r="R951" s="392">
        <v>3718852</v>
      </c>
      <c r="S951" s="358">
        <f ca="1">IF(C951&lt;=EOMONTH('&gt;&gt;Vistas Consolidadas'!$D$2, '&gt;&gt;Vistas Consolidadas'!$F$2),J951+I951,J951)</f>
        <v>1972.53</v>
      </c>
      <c r="T951" s="18" t="str">
        <f ca="1">IF(C951&gt;='&gt;&gt;Vistas Consolidadas'!$D$2,"SI","NO")</f>
        <v>SI</v>
      </c>
      <c r="U951" s="358">
        <f ca="1">IF(C951&lt;=EOMONTH('&gt;&gt;Vistas Consolidadas'!$D$2, '&gt;&gt;Vistas Consolidadas'!$F$2),I951,0)</f>
        <v>0</v>
      </c>
      <c r="V951" s="18" t="b">
        <f ca="1">AND(C951&gt;='Interes Por Semana'!$C$4, C951&lt;='Interes Por Semana'!$E$4)</f>
        <v>0</v>
      </c>
      <c r="W951" s="18" t="str">
        <f t="shared" si="30"/>
        <v>domingo</v>
      </c>
    </row>
    <row r="952" spans="2:23" x14ac:dyDescent="0.25">
      <c r="B952" s="337">
        <v>46232</v>
      </c>
      <c r="C952" s="338">
        <v>49309</v>
      </c>
      <c r="D952" s="374" t="s">
        <v>96</v>
      </c>
      <c r="E952" s="309" t="s">
        <v>47</v>
      </c>
      <c r="F952" s="315" t="s">
        <v>132</v>
      </c>
      <c r="G952" s="311">
        <v>1</v>
      </c>
      <c r="H952" s="311">
        <v>1</v>
      </c>
      <c r="I952" s="340">
        <v>0</v>
      </c>
      <c r="J952" s="341">
        <v>3922.92</v>
      </c>
      <c r="K952" s="311"/>
      <c r="L952" s="340">
        <f t="shared" si="29"/>
        <v>0</v>
      </c>
      <c r="M952" s="311"/>
      <c r="N952" s="311"/>
      <c r="O952" s="311"/>
      <c r="P952" s="311"/>
      <c r="Q952" s="386"/>
      <c r="R952" s="392" t="s">
        <v>175</v>
      </c>
      <c r="S952" s="358">
        <f ca="1">IF(C952&lt;=EOMONTH('&gt;&gt;Vistas Consolidadas'!$D$2, '&gt;&gt;Vistas Consolidadas'!$F$2),J952+I952,J952)</f>
        <v>3922.92</v>
      </c>
      <c r="T952" s="18" t="str">
        <f ca="1">IF(C952&gt;='&gt;&gt;Vistas Consolidadas'!$D$2,"SI","NO")</f>
        <v>SI</v>
      </c>
      <c r="U952" s="358">
        <f ca="1">IF(C952&lt;=EOMONTH('&gt;&gt;Vistas Consolidadas'!$D$2, '&gt;&gt;Vistas Consolidadas'!$F$2),I952,0)</f>
        <v>0</v>
      </c>
      <c r="V952" s="18" t="b">
        <f ca="1">AND(C952&gt;='Interes Por Semana'!$C$4, C952&lt;='Interes Por Semana'!$E$4)</f>
        <v>0</v>
      </c>
      <c r="W952" s="18" t="str">
        <f t="shared" si="30"/>
        <v>domingo</v>
      </c>
    </row>
    <row r="953" spans="2:23" hidden="1" x14ac:dyDescent="0.25">
      <c r="B953" s="337">
        <v>46232</v>
      </c>
      <c r="C953" s="337">
        <v>49309</v>
      </c>
      <c r="D953" s="374" t="s">
        <v>96</v>
      </c>
      <c r="E953" s="309" t="s">
        <v>47</v>
      </c>
      <c r="F953" s="310" t="s">
        <v>134</v>
      </c>
      <c r="G953" s="311">
        <v>1</v>
      </c>
      <c r="H953" s="311">
        <v>1</v>
      </c>
      <c r="I953" s="341">
        <v>0</v>
      </c>
      <c r="J953" s="340">
        <v>1157.1500000000001</v>
      </c>
      <c r="K953" s="311"/>
      <c r="L953" s="340">
        <f t="shared" si="29"/>
        <v>0</v>
      </c>
      <c r="M953" s="311"/>
      <c r="N953" s="311"/>
      <c r="O953" s="311"/>
      <c r="P953" s="311"/>
      <c r="Q953" s="386"/>
      <c r="R953" s="392">
        <v>371902</v>
      </c>
      <c r="S953" s="358">
        <f ca="1">IF(C953&lt;=EOMONTH('&gt;&gt;Vistas Consolidadas'!$D$2, '&gt;&gt;Vistas Consolidadas'!$F$2),J953+I953,J953)</f>
        <v>1157.1500000000001</v>
      </c>
      <c r="T953" s="18" t="str">
        <f ca="1">IF(C953&gt;='&gt;&gt;Vistas Consolidadas'!$D$2,"SI","NO")</f>
        <v>SI</v>
      </c>
      <c r="U953" s="358">
        <f ca="1">IF(C953&lt;=EOMONTH('&gt;&gt;Vistas Consolidadas'!$D$2, '&gt;&gt;Vistas Consolidadas'!$F$2),I953,0)</f>
        <v>0</v>
      </c>
      <c r="V953" s="18" t="b">
        <f ca="1">AND(C953&gt;='Interes Por Semana'!$C$4, C953&lt;='Interes Por Semana'!$E$4)</f>
        <v>0</v>
      </c>
      <c r="W953" s="18" t="str">
        <f t="shared" si="30"/>
        <v>domingo</v>
      </c>
    </row>
    <row r="954" spans="2:23" hidden="1" x14ac:dyDescent="0.25">
      <c r="B954" s="337">
        <v>46233</v>
      </c>
      <c r="C954" s="337">
        <v>49309</v>
      </c>
      <c r="D954" s="374" t="s">
        <v>96</v>
      </c>
      <c r="E954" s="309" t="s">
        <v>47</v>
      </c>
      <c r="F954" s="310" t="s">
        <v>134</v>
      </c>
      <c r="G954" s="311">
        <v>1</v>
      </c>
      <c r="H954" s="311">
        <v>1</v>
      </c>
      <c r="I954" s="341">
        <v>0</v>
      </c>
      <c r="J954" s="340">
        <v>5529.99</v>
      </c>
      <c r="K954" s="311"/>
      <c r="L954" s="340">
        <f t="shared" si="29"/>
        <v>0</v>
      </c>
      <c r="M954" s="311"/>
      <c r="N954" s="311"/>
      <c r="O954" s="311"/>
      <c r="P954" s="311"/>
      <c r="Q954" s="386"/>
      <c r="R954" s="392">
        <v>371996</v>
      </c>
      <c r="S954" s="358">
        <f ca="1">IF(C954&lt;=EOMONTH('&gt;&gt;Vistas Consolidadas'!$D$2, '&gt;&gt;Vistas Consolidadas'!$F$2),J954+I954,J954)</f>
        <v>5529.99</v>
      </c>
      <c r="T954" s="18" t="str">
        <f ca="1">IF(C954&gt;='&gt;&gt;Vistas Consolidadas'!$D$2,"SI","NO")</f>
        <v>SI</v>
      </c>
      <c r="U954" s="358">
        <f ca="1">IF(C954&lt;=EOMONTH('&gt;&gt;Vistas Consolidadas'!$D$2, '&gt;&gt;Vistas Consolidadas'!$F$2),I954,0)</f>
        <v>0</v>
      </c>
      <c r="V954" s="18" t="b">
        <f ca="1">AND(C954&gt;='Interes Por Semana'!$C$4, C954&lt;='Interes Por Semana'!$E$4)</f>
        <v>0</v>
      </c>
      <c r="W954" s="18" t="str">
        <f t="shared" si="30"/>
        <v>domingo</v>
      </c>
    </row>
    <row r="955" spans="2:23" hidden="1" x14ac:dyDescent="0.25">
      <c r="B955" s="338">
        <v>46233</v>
      </c>
      <c r="C955" s="338">
        <v>49309</v>
      </c>
      <c r="D955" s="374" t="s">
        <v>96</v>
      </c>
      <c r="E955" s="314" t="s">
        <v>47</v>
      </c>
      <c r="F955" s="315" t="s">
        <v>131</v>
      </c>
      <c r="G955" s="313">
        <v>1</v>
      </c>
      <c r="H955" s="313">
        <v>1</v>
      </c>
      <c r="I955" s="341">
        <v>0</v>
      </c>
      <c r="J955" s="341">
        <v>7751.75</v>
      </c>
      <c r="K955" s="313"/>
      <c r="L955" s="340">
        <f t="shared" si="29"/>
        <v>0</v>
      </c>
      <c r="M955" s="313"/>
      <c r="N955" s="313"/>
      <c r="O955" s="313"/>
      <c r="P955" s="313"/>
      <c r="Q955" s="311"/>
      <c r="R955" s="392" t="s">
        <v>176</v>
      </c>
      <c r="S955" s="358">
        <f ca="1">IF(C955&lt;=EOMONTH('&gt;&gt;Vistas Consolidadas'!$D$2, '&gt;&gt;Vistas Consolidadas'!$F$2),J955+I955,J955)</f>
        <v>7751.75</v>
      </c>
      <c r="T955" s="18" t="str">
        <f ca="1">IF(C955&gt;='&gt;&gt;Vistas Consolidadas'!$D$2,"SI","NO")</f>
        <v>SI</v>
      </c>
      <c r="U955" s="358">
        <f ca="1">IF(C955&lt;=EOMONTH('&gt;&gt;Vistas Consolidadas'!$D$2, '&gt;&gt;Vistas Consolidadas'!$F$2),I955,0)</f>
        <v>0</v>
      </c>
      <c r="V955" s="18" t="b">
        <f ca="1">AND(C955&gt;='Interes Por Semana'!$C$4, C955&lt;='Interes Por Semana'!$E$4)</f>
        <v>0</v>
      </c>
      <c r="W955" s="18" t="str">
        <f t="shared" si="30"/>
        <v>domingo</v>
      </c>
    </row>
    <row r="956" spans="2:23" hidden="1" x14ac:dyDescent="0.25">
      <c r="B956" s="338">
        <v>46141</v>
      </c>
      <c r="C956" s="338">
        <v>46593</v>
      </c>
      <c r="D956" s="374" t="s">
        <v>78</v>
      </c>
      <c r="E956" s="314" t="s">
        <v>47</v>
      </c>
      <c r="F956" s="315" t="s">
        <v>152</v>
      </c>
      <c r="G956" s="313">
        <v>6.21</v>
      </c>
      <c r="H956" s="313">
        <v>8.9</v>
      </c>
      <c r="I956" s="341">
        <v>186.82</v>
      </c>
      <c r="J956" s="341">
        <v>0</v>
      </c>
      <c r="K956" s="313"/>
      <c r="L956" s="340">
        <f t="shared" ref="L956:L1019" si="31">I956</f>
        <v>186.82</v>
      </c>
      <c r="M956" s="313"/>
      <c r="N956" s="313"/>
      <c r="O956" s="313"/>
      <c r="P956" s="313"/>
      <c r="Q956" s="311"/>
      <c r="R956" s="392"/>
      <c r="S956" s="358">
        <f ca="1">IF(C956&lt;=EOMONTH('&gt;&gt;Vistas Consolidadas'!$D$2, '&gt;&gt;Vistas Consolidadas'!$F$2),J956+I956,J956)</f>
        <v>186.82</v>
      </c>
      <c r="T956" s="18" t="str">
        <f ca="1">IF(C956&gt;='&gt;&gt;Vistas Consolidadas'!$D$2,"SI","NO")</f>
        <v>SI</v>
      </c>
      <c r="U956" s="358">
        <f ca="1">IF(C956&lt;=EOMONTH('&gt;&gt;Vistas Consolidadas'!$D$2, '&gt;&gt;Vistas Consolidadas'!$F$2),I956,0)</f>
        <v>186.82</v>
      </c>
      <c r="V956" s="18" t="b">
        <f ca="1">AND(C956&gt;='Interes Por Semana'!$C$4, C956&lt;='Interes Por Semana'!$E$4)</f>
        <v>0</v>
      </c>
      <c r="W956" s="18" t="str">
        <f t="shared" si="30"/>
        <v>domingo</v>
      </c>
    </row>
    <row r="957" spans="2:23" hidden="1" x14ac:dyDescent="0.25">
      <c r="B957" s="337">
        <v>45552</v>
      </c>
      <c r="C957" s="337">
        <v>46571</v>
      </c>
      <c r="D957" s="374" t="s">
        <v>78</v>
      </c>
      <c r="E957" s="309" t="s">
        <v>47</v>
      </c>
      <c r="F957" s="310" t="s">
        <v>79</v>
      </c>
      <c r="G957" s="311">
        <v>5.36</v>
      </c>
      <c r="H957" s="311">
        <v>13.5</v>
      </c>
      <c r="I957" s="340">
        <v>15.63</v>
      </c>
      <c r="J957" s="340"/>
      <c r="K957" s="311"/>
      <c r="L957" s="340">
        <f t="shared" si="31"/>
        <v>15.63</v>
      </c>
      <c r="M957" s="313"/>
      <c r="N957" s="313"/>
      <c r="O957" s="313"/>
      <c r="P957" s="313"/>
      <c r="Q957" s="311"/>
      <c r="R957" s="392"/>
      <c r="S957" s="358">
        <f ca="1">IF(C957&lt;=EOMONTH('&gt;&gt;Vistas Consolidadas'!$D$2, '&gt;&gt;Vistas Consolidadas'!$F$2),J957+I957,J957)</f>
        <v>15.63</v>
      </c>
      <c r="T957" s="18" t="str">
        <f ca="1">IF(C957&gt;='&gt;&gt;Vistas Consolidadas'!$D$2,"SI","NO")</f>
        <v>SI</v>
      </c>
      <c r="U957" s="358">
        <f ca="1">IF(C957&lt;=EOMONTH('&gt;&gt;Vistas Consolidadas'!$D$2, '&gt;&gt;Vistas Consolidadas'!$F$2),I957,0)</f>
        <v>15.63</v>
      </c>
      <c r="V957" s="18" t="b">
        <f ca="1">AND(C957&gt;='Interes Por Semana'!$C$4, C957&lt;='Interes Por Semana'!$E$4)</f>
        <v>0</v>
      </c>
      <c r="W957" s="18" t="str">
        <f t="shared" si="30"/>
        <v>sábado</v>
      </c>
    </row>
    <row r="958" spans="2:23" hidden="1" x14ac:dyDescent="0.25">
      <c r="B958" s="337">
        <v>45560</v>
      </c>
      <c r="C958" s="337">
        <v>46571</v>
      </c>
      <c r="D958" s="374" t="s">
        <v>78</v>
      </c>
      <c r="E958" s="309" t="s">
        <v>47</v>
      </c>
      <c r="F958" s="310" t="s">
        <v>79</v>
      </c>
      <c r="G958" s="311">
        <v>5.36</v>
      </c>
      <c r="H958" s="311">
        <v>12.5</v>
      </c>
      <c r="I958" s="340">
        <v>12.51</v>
      </c>
      <c r="J958" s="340"/>
      <c r="K958" s="311"/>
      <c r="L958" s="340">
        <f t="shared" si="31"/>
        <v>12.51</v>
      </c>
      <c r="M958" s="313"/>
      <c r="N958" s="313"/>
      <c r="O958" s="313"/>
      <c r="P958" s="313"/>
      <c r="Q958" s="311"/>
      <c r="R958" s="392"/>
      <c r="S958" s="358">
        <f ca="1">IF(C958&lt;=EOMONTH('&gt;&gt;Vistas Consolidadas'!$D$2, '&gt;&gt;Vistas Consolidadas'!$F$2),J958+I958,J958)</f>
        <v>12.51</v>
      </c>
      <c r="T958" s="18" t="str">
        <f ca="1">IF(C958&gt;='&gt;&gt;Vistas Consolidadas'!$D$2,"SI","NO")</f>
        <v>SI</v>
      </c>
      <c r="U958" s="358">
        <f ca="1">IF(C958&lt;=EOMONTH('&gt;&gt;Vistas Consolidadas'!$D$2, '&gt;&gt;Vistas Consolidadas'!$F$2),I958,0)</f>
        <v>12.51</v>
      </c>
      <c r="V958" s="18" t="b">
        <f ca="1">AND(C958&gt;='Interes Por Semana'!$C$4, C958&lt;='Interes Por Semana'!$E$4)</f>
        <v>0</v>
      </c>
      <c r="W958" s="18" t="str">
        <f t="shared" si="30"/>
        <v>sábado</v>
      </c>
    </row>
    <row r="959" spans="2:23" hidden="1" x14ac:dyDescent="0.25">
      <c r="B959" s="337">
        <v>45708</v>
      </c>
      <c r="C959" s="337">
        <v>46572</v>
      </c>
      <c r="D959" s="374" t="s">
        <v>78</v>
      </c>
      <c r="E959" s="309" t="s">
        <v>46</v>
      </c>
      <c r="F959" s="310" t="s">
        <v>81</v>
      </c>
      <c r="G959" s="311">
        <v>5.36</v>
      </c>
      <c r="H959" s="311">
        <v>11.35</v>
      </c>
      <c r="I959" s="340">
        <v>16.79</v>
      </c>
      <c r="J959" s="340">
        <v>0</v>
      </c>
      <c r="K959" s="311"/>
      <c r="L959" s="340">
        <f t="shared" si="31"/>
        <v>16.79</v>
      </c>
      <c r="M959" s="313"/>
      <c r="N959" s="313"/>
      <c r="O959" s="313"/>
      <c r="P959" s="313"/>
      <c r="Q959" s="311"/>
      <c r="R959" s="392"/>
      <c r="S959" s="358">
        <f ca="1">IF(C959&lt;=EOMONTH('&gt;&gt;Vistas Consolidadas'!$D$2, '&gt;&gt;Vistas Consolidadas'!$F$2),J959+I959,J959)</f>
        <v>16.79</v>
      </c>
      <c r="T959" s="18" t="str">
        <f ca="1">IF(C959&gt;='&gt;&gt;Vistas Consolidadas'!$D$2,"SI","NO")</f>
        <v>SI</v>
      </c>
      <c r="U959" s="358">
        <f ca="1">IF(C959&lt;=EOMONTH('&gt;&gt;Vistas Consolidadas'!$D$2, '&gt;&gt;Vistas Consolidadas'!$F$2),I959,0)</f>
        <v>16.79</v>
      </c>
      <c r="V959" s="18" t="b">
        <f ca="1">AND(C959&gt;='Interes Por Semana'!$C$4, C959&lt;='Interes Por Semana'!$E$4)</f>
        <v>0</v>
      </c>
      <c r="W959" s="18" t="str">
        <f t="shared" si="30"/>
        <v>domingo</v>
      </c>
    </row>
    <row r="960" spans="2:23" hidden="1" x14ac:dyDescent="0.25">
      <c r="B960" s="337">
        <v>46057</v>
      </c>
      <c r="C960" s="337">
        <v>46574</v>
      </c>
      <c r="D960" s="374" t="s">
        <v>78</v>
      </c>
      <c r="E960" s="309" t="s">
        <v>47</v>
      </c>
      <c r="F960" s="310" t="s">
        <v>85</v>
      </c>
      <c r="G960" s="311">
        <v>7.93</v>
      </c>
      <c r="H960" s="311">
        <v>11.25</v>
      </c>
      <c r="I960" s="340">
        <v>58.023180428134552</v>
      </c>
      <c r="J960" s="340"/>
      <c r="K960" s="311"/>
      <c r="L960" s="340">
        <f t="shared" si="31"/>
        <v>58.023180428134552</v>
      </c>
      <c r="M960" s="313"/>
      <c r="N960" s="313"/>
      <c r="O960" s="313"/>
      <c r="P960" s="313"/>
      <c r="Q960" s="311"/>
      <c r="R960" s="392"/>
      <c r="S960" s="358">
        <f ca="1">IF(C960&lt;=EOMONTH('&gt;&gt;Vistas Consolidadas'!$D$2, '&gt;&gt;Vistas Consolidadas'!$F$2),J960+I960,J960)</f>
        <v>58.023180428134552</v>
      </c>
      <c r="T960" s="18" t="str">
        <f ca="1">IF(C960&gt;='&gt;&gt;Vistas Consolidadas'!$D$2,"SI","NO")</f>
        <v>SI</v>
      </c>
      <c r="U960" s="358">
        <f ca="1">IF(C960&lt;=EOMONTH('&gt;&gt;Vistas Consolidadas'!$D$2, '&gt;&gt;Vistas Consolidadas'!$F$2),I960,0)</f>
        <v>58.023180428134552</v>
      </c>
      <c r="V960" s="18" t="b">
        <f ca="1">AND(C960&gt;='Interes Por Semana'!$C$4, C960&lt;='Interes Por Semana'!$E$4)</f>
        <v>0</v>
      </c>
      <c r="W960" s="18" t="str">
        <f t="shared" si="30"/>
        <v>martes</v>
      </c>
    </row>
    <row r="961" spans="2:23" hidden="1" x14ac:dyDescent="0.25">
      <c r="B961" s="337">
        <v>46057</v>
      </c>
      <c r="C961" s="337">
        <v>46574</v>
      </c>
      <c r="D961" s="374" t="s">
        <v>78</v>
      </c>
      <c r="E961" s="309" t="s">
        <v>47</v>
      </c>
      <c r="F961" s="310" t="s">
        <v>86</v>
      </c>
      <c r="G961" s="311">
        <v>7.35</v>
      </c>
      <c r="H961" s="311">
        <v>11</v>
      </c>
      <c r="I961" s="340">
        <v>20.79</v>
      </c>
      <c r="J961" s="340"/>
      <c r="K961" s="311"/>
      <c r="L961" s="340">
        <f t="shared" si="31"/>
        <v>20.79</v>
      </c>
      <c r="M961" s="313"/>
      <c r="N961" s="313"/>
      <c r="O961" s="313"/>
      <c r="P961" s="313"/>
      <c r="Q961" s="311"/>
      <c r="R961" s="392"/>
      <c r="S961" s="358">
        <f ca="1">IF(C961&lt;=EOMONTH('&gt;&gt;Vistas Consolidadas'!$D$2, '&gt;&gt;Vistas Consolidadas'!$F$2),J961+I961,J961)</f>
        <v>20.79</v>
      </c>
      <c r="T961" s="18" t="str">
        <f ca="1">IF(C961&gt;='&gt;&gt;Vistas Consolidadas'!$D$2,"SI","NO")</f>
        <v>SI</v>
      </c>
      <c r="U961" s="358">
        <f ca="1">IF(C961&lt;=EOMONTH('&gt;&gt;Vistas Consolidadas'!$D$2, '&gt;&gt;Vistas Consolidadas'!$F$2),I961,0)</f>
        <v>20.79</v>
      </c>
      <c r="V961" s="18" t="b">
        <f ca="1">AND(C961&gt;='Interes Por Semana'!$C$4, C961&lt;='Interes Por Semana'!$E$4)</f>
        <v>0</v>
      </c>
      <c r="W961" s="18" t="str">
        <f t="shared" si="30"/>
        <v>martes</v>
      </c>
    </row>
    <row r="962" spans="2:23" hidden="1" x14ac:dyDescent="0.25">
      <c r="B962" s="337">
        <v>46001</v>
      </c>
      <c r="C962" s="337">
        <v>46574</v>
      </c>
      <c r="D962" s="374" t="s">
        <v>78</v>
      </c>
      <c r="E962" s="309" t="s">
        <v>46</v>
      </c>
      <c r="F962" s="310" t="s">
        <v>87</v>
      </c>
      <c r="G962" s="311">
        <v>7.54</v>
      </c>
      <c r="H962" s="311">
        <v>11</v>
      </c>
      <c r="I962" s="340">
        <v>7.79</v>
      </c>
      <c r="J962" s="340"/>
      <c r="K962" s="311"/>
      <c r="L962" s="340">
        <f t="shared" si="31"/>
        <v>7.79</v>
      </c>
      <c r="M962" s="313"/>
      <c r="N962" s="313"/>
      <c r="O962" s="313"/>
      <c r="P962" s="313"/>
      <c r="Q962" s="311"/>
      <c r="R962" s="392"/>
      <c r="S962" s="358">
        <f ca="1">IF(C962&lt;=EOMONTH('&gt;&gt;Vistas Consolidadas'!$D$2, '&gt;&gt;Vistas Consolidadas'!$F$2),J962+I962,J962)</f>
        <v>7.79</v>
      </c>
      <c r="T962" s="18" t="str">
        <f ca="1">IF(C962&gt;='&gt;&gt;Vistas Consolidadas'!$D$2,"SI","NO")</f>
        <v>SI</v>
      </c>
      <c r="U962" s="358">
        <f ca="1">IF(C962&lt;=EOMONTH('&gt;&gt;Vistas Consolidadas'!$D$2, '&gt;&gt;Vistas Consolidadas'!$F$2),I962,0)</f>
        <v>7.79</v>
      </c>
      <c r="V962" s="18" t="b">
        <f ca="1">AND(C962&gt;='Interes Por Semana'!$C$4, C962&lt;='Interes Por Semana'!$E$4)</f>
        <v>0</v>
      </c>
      <c r="W962" s="18" t="str">
        <f t="shared" si="30"/>
        <v>martes</v>
      </c>
    </row>
    <row r="963" spans="2:23" hidden="1" x14ac:dyDescent="0.25">
      <c r="B963" s="337">
        <v>45943</v>
      </c>
      <c r="C963" s="337">
        <v>46578</v>
      </c>
      <c r="D963" s="374" t="s">
        <v>78</v>
      </c>
      <c r="E963" s="309" t="s">
        <v>47</v>
      </c>
      <c r="F963" s="310" t="s">
        <v>91</v>
      </c>
      <c r="G963" s="311">
        <v>7.54</v>
      </c>
      <c r="H963" s="311">
        <v>9.85</v>
      </c>
      <c r="I963" s="340">
        <v>35.25</v>
      </c>
      <c r="J963" s="340"/>
      <c r="K963" s="311"/>
      <c r="L963" s="340">
        <f t="shared" si="31"/>
        <v>35.25</v>
      </c>
      <c r="M963" s="313"/>
      <c r="N963" s="313"/>
      <c r="O963" s="313"/>
      <c r="P963" s="313"/>
      <c r="Q963" s="311"/>
      <c r="R963" s="392"/>
      <c r="S963" s="358">
        <f ca="1">IF(C963&lt;=EOMONTH('&gt;&gt;Vistas Consolidadas'!$D$2, '&gt;&gt;Vistas Consolidadas'!$F$2),J963+I963,J963)</f>
        <v>35.25</v>
      </c>
      <c r="T963" s="18" t="str">
        <f ca="1">IF(C963&gt;='&gt;&gt;Vistas Consolidadas'!$D$2,"SI","NO")</f>
        <v>SI</v>
      </c>
      <c r="U963" s="358">
        <f ca="1">IF(C963&lt;=EOMONTH('&gt;&gt;Vistas Consolidadas'!$D$2, '&gt;&gt;Vistas Consolidadas'!$F$2),I963,0)</f>
        <v>35.25</v>
      </c>
      <c r="V963" s="18" t="b">
        <f ca="1">AND(C963&gt;='Interes Por Semana'!$C$4, C963&lt;='Interes Por Semana'!$E$4)</f>
        <v>0</v>
      </c>
      <c r="W963" s="18" t="str">
        <f t="shared" ref="W963:W1026" si="32">TEXT(C963, "dddd")</f>
        <v>sábado</v>
      </c>
    </row>
    <row r="964" spans="2:23" hidden="1" x14ac:dyDescent="0.25">
      <c r="B964" s="337">
        <v>46121</v>
      </c>
      <c r="C964" s="337">
        <v>46580</v>
      </c>
      <c r="D964" s="374" t="s">
        <v>78</v>
      </c>
      <c r="E964" s="309" t="s">
        <v>47</v>
      </c>
      <c r="F964" s="310" t="s">
        <v>93</v>
      </c>
      <c r="G964" s="311">
        <v>4.71</v>
      </c>
      <c r="H964" s="311">
        <v>9.5</v>
      </c>
      <c r="I964" s="340">
        <v>3.53</v>
      </c>
      <c r="J964" s="340">
        <v>0</v>
      </c>
      <c r="K964" s="311"/>
      <c r="L964" s="340">
        <f t="shared" si="31"/>
        <v>3.53</v>
      </c>
      <c r="M964" s="313"/>
      <c r="N964" s="313"/>
      <c r="O964" s="313"/>
      <c r="P964" s="313"/>
      <c r="Q964" s="311"/>
      <c r="R964" s="392"/>
      <c r="S964" s="358">
        <f ca="1">IF(C964&lt;=EOMONTH('&gt;&gt;Vistas Consolidadas'!$D$2, '&gt;&gt;Vistas Consolidadas'!$F$2),J964+I964,J964)</f>
        <v>3.53</v>
      </c>
      <c r="T964" s="18" t="str">
        <f ca="1">IF(C964&gt;='&gt;&gt;Vistas Consolidadas'!$D$2,"SI","NO")</f>
        <v>SI</v>
      </c>
      <c r="U964" s="358">
        <f ca="1">IF(C964&lt;=EOMONTH('&gt;&gt;Vistas Consolidadas'!$D$2, '&gt;&gt;Vistas Consolidadas'!$F$2),I964,0)</f>
        <v>3.53</v>
      </c>
      <c r="V964" s="18" t="b">
        <f ca="1">AND(C964&gt;='Interes Por Semana'!$C$4, C964&lt;='Interes Por Semana'!$E$4)</f>
        <v>0</v>
      </c>
      <c r="W964" s="18" t="str">
        <f t="shared" si="32"/>
        <v>lunes</v>
      </c>
    </row>
    <row r="965" spans="2:23" hidden="1" x14ac:dyDescent="0.25">
      <c r="B965" s="337">
        <v>45264</v>
      </c>
      <c r="C965" s="337">
        <v>46585</v>
      </c>
      <c r="D965" s="374" t="s">
        <v>78</v>
      </c>
      <c r="E965" s="309" t="s">
        <v>46</v>
      </c>
      <c r="F965" s="310" t="s">
        <v>99</v>
      </c>
      <c r="G965" s="311">
        <v>5.64</v>
      </c>
      <c r="H965" s="311">
        <v>13</v>
      </c>
      <c r="I965" s="340">
        <v>14.1</v>
      </c>
      <c r="J965" s="340"/>
      <c r="K965" s="311"/>
      <c r="L965" s="340">
        <f t="shared" si="31"/>
        <v>14.1</v>
      </c>
      <c r="M965" s="313"/>
      <c r="N965" s="313"/>
      <c r="O965" s="313"/>
      <c r="P965" s="313"/>
      <c r="Q965" s="311"/>
      <c r="R965" s="392"/>
      <c r="S965" s="358">
        <f ca="1">IF(C965&lt;=EOMONTH('&gt;&gt;Vistas Consolidadas'!$D$2, '&gt;&gt;Vistas Consolidadas'!$F$2),J965+I965,J965)</f>
        <v>14.1</v>
      </c>
      <c r="T965" s="18" t="str">
        <f ca="1">IF(C965&gt;='&gt;&gt;Vistas Consolidadas'!$D$2,"SI","NO")</f>
        <v>SI</v>
      </c>
      <c r="U965" s="358">
        <f ca="1">IF(C965&lt;=EOMONTH('&gt;&gt;Vistas Consolidadas'!$D$2, '&gt;&gt;Vistas Consolidadas'!$F$2),I965,0)</f>
        <v>14.1</v>
      </c>
      <c r="V965" s="18" t="b">
        <f ca="1">AND(C965&gt;='Interes Por Semana'!$C$4, C965&lt;='Interes Por Semana'!$E$4)</f>
        <v>0</v>
      </c>
      <c r="W965" s="18" t="str">
        <f t="shared" si="32"/>
        <v>sábado</v>
      </c>
    </row>
    <row r="966" spans="2:23" hidden="1" x14ac:dyDescent="0.25">
      <c r="B966" s="337">
        <v>45302</v>
      </c>
      <c r="C966" s="337">
        <v>46585</v>
      </c>
      <c r="D966" s="374" t="s">
        <v>78</v>
      </c>
      <c r="E966" s="309" t="s">
        <v>46</v>
      </c>
      <c r="F966" s="310" t="s">
        <v>99</v>
      </c>
      <c r="G966" s="311">
        <v>5.64</v>
      </c>
      <c r="H966" s="311">
        <v>12.75</v>
      </c>
      <c r="I966" s="340">
        <v>7.28</v>
      </c>
      <c r="J966" s="340"/>
      <c r="K966" s="311"/>
      <c r="L966" s="340">
        <f t="shared" si="31"/>
        <v>7.28</v>
      </c>
      <c r="M966" s="313"/>
      <c r="N966" s="313"/>
      <c r="O966" s="313"/>
      <c r="P966" s="313"/>
      <c r="Q966" s="311"/>
      <c r="R966" s="392"/>
      <c r="S966" s="358">
        <f ca="1">IF(C966&lt;=EOMONTH('&gt;&gt;Vistas Consolidadas'!$D$2, '&gt;&gt;Vistas Consolidadas'!$F$2),J966+I966,J966)</f>
        <v>7.28</v>
      </c>
      <c r="T966" s="18" t="str">
        <f ca="1">IF(C966&gt;='&gt;&gt;Vistas Consolidadas'!$D$2,"SI","NO")</f>
        <v>SI</v>
      </c>
      <c r="U966" s="358">
        <f ca="1">IF(C966&lt;=EOMONTH('&gt;&gt;Vistas Consolidadas'!$D$2, '&gt;&gt;Vistas Consolidadas'!$F$2),I966,0)</f>
        <v>7.28</v>
      </c>
      <c r="V966" s="18" t="b">
        <f ca="1">AND(C966&gt;='Interes Por Semana'!$C$4, C966&lt;='Interes Por Semana'!$E$4)</f>
        <v>0</v>
      </c>
      <c r="W966" s="18" t="str">
        <f t="shared" si="32"/>
        <v>sábado</v>
      </c>
    </row>
    <row r="967" spans="2:23" hidden="1" x14ac:dyDescent="0.25">
      <c r="B967" s="337">
        <v>46006</v>
      </c>
      <c r="C967" s="337">
        <v>46586</v>
      </c>
      <c r="D967" s="374" t="s">
        <v>78</v>
      </c>
      <c r="E967" s="309" t="s">
        <v>46</v>
      </c>
      <c r="F967" s="310" t="s">
        <v>100</v>
      </c>
      <c r="G967" s="311">
        <v>5.93</v>
      </c>
      <c r="H967" s="311">
        <v>8.5</v>
      </c>
      <c r="I967" s="340">
        <v>23.09</v>
      </c>
      <c r="J967" s="340"/>
      <c r="K967" s="311"/>
      <c r="L967" s="340">
        <f t="shared" si="31"/>
        <v>23.09</v>
      </c>
      <c r="M967" s="313"/>
      <c r="N967" s="313"/>
      <c r="O967" s="313"/>
      <c r="P967" s="313"/>
      <c r="Q967" s="311"/>
      <c r="R967" s="392"/>
      <c r="S967" s="358">
        <f ca="1">IF(C967&lt;=EOMONTH('&gt;&gt;Vistas Consolidadas'!$D$2, '&gt;&gt;Vistas Consolidadas'!$F$2),J967+I967,J967)</f>
        <v>23.09</v>
      </c>
      <c r="T967" s="18" t="str">
        <f ca="1">IF(C967&gt;='&gt;&gt;Vistas Consolidadas'!$D$2,"SI","NO")</f>
        <v>SI</v>
      </c>
      <c r="U967" s="358">
        <f ca="1">IF(C967&lt;=EOMONTH('&gt;&gt;Vistas Consolidadas'!$D$2, '&gt;&gt;Vistas Consolidadas'!$F$2),I967,0)</f>
        <v>23.09</v>
      </c>
      <c r="V967" s="18" t="b">
        <f ca="1">AND(C967&gt;='Interes Por Semana'!$C$4, C967&lt;='Interes Por Semana'!$E$4)</f>
        <v>0</v>
      </c>
      <c r="W967" s="18" t="str">
        <f t="shared" si="32"/>
        <v>domingo</v>
      </c>
    </row>
    <row r="968" spans="2:23" hidden="1" x14ac:dyDescent="0.25">
      <c r="B968" s="337">
        <v>45734</v>
      </c>
      <c r="C968" s="337">
        <v>46586</v>
      </c>
      <c r="D968" s="374" t="s">
        <v>78</v>
      </c>
      <c r="E968" s="309" t="s">
        <v>47</v>
      </c>
      <c r="F968" s="310" t="s">
        <v>101</v>
      </c>
      <c r="G968" s="311">
        <v>5.93</v>
      </c>
      <c r="H968" s="311">
        <v>12</v>
      </c>
      <c r="I968" s="340">
        <v>8.94</v>
      </c>
      <c r="J968" s="340"/>
      <c r="K968" s="311"/>
      <c r="L968" s="340">
        <f t="shared" si="31"/>
        <v>8.94</v>
      </c>
      <c r="M968" s="313"/>
      <c r="N968" s="313"/>
      <c r="O968" s="313"/>
      <c r="P968" s="313"/>
      <c r="Q968" s="311"/>
      <c r="R968" s="392"/>
      <c r="S968" s="358">
        <f ca="1">IF(C968&lt;=EOMONTH('&gt;&gt;Vistas Consolidadas'!$D$2, '&gt;&gt;Vistas Consolidadas'!$F$2),J968+I968,J968)</f>
        <v>8.94</v>
      </c>
      <c r="T968" s="18" t="str">
        <f ca="1">IF(C968&gt;='&gt;&gt;Vistas Consolidadas'!$D$2,"SI","NO")</f>
        <v>SI</v>
      </c>
      <c r="U968" s="358">
        <f ca="1">IF(C968&lt;=EOMONTH('&gt;&gt;Vistas Consolidadas'!$D$2, '&gt;&gt;Vistas Consolidadas'!$F$2),I968,0)</f>
        <v>8.94</v>
      </c>
      <c r="V968" s="18" t="b">
        <f ca="1">AND(C968&gt;='Interes Por Semana'!$C$4, C968&lt;='Interes Por Semana'!$E$4)</f>
        <v>0</v>
      </c>
      <c r="W968" s="18" t="str">
        <f t="shared" si="32"/>
        <v>domingo</v>
      </c>
    </row>
    <row r="969" spans="2:23" hidden="1" x14ac:dyDescent="0.25">
      <c r="B969" s="337">
        <v>45264</v>
      </c>
      <c r="C969" s="337">
        <v>46589</v>
      </c>
      <c r="D969" s="374" t="s">
        <v>78</v>
      </c>
      <c r="E969" s="309" t="s">
        <v>46</v>
      </c>
      <c r="F969" s="310" t="s">
        <v>103</v>
      </c>
      <c r="G969" s="311">
        <v>5.36</v>
      </c>
      <c r="H969" s="311">
        <v>13</v>
      </c>
      <c r="I969" s="340">
        <v>5.58</v>
      </c>
      <c r="J969" s="340"/>
      <c r="K969" s="311"/>
      <c r="L969" s="340">
        <f t="shared" si="31"/>
        <v>5.58</v>
      </c>
      <c r="M969" s="313"/>
      <c r="N969" s="313"/>
      <c r="O969" s="313"/>
      <c r="P969" s="313"/>
      <c r="Q969" s="311"/>
      <c r="R969" s="392"/>
      <c r="S969" s="358">
        <f ca="1">IF(C969&lt;=EOMONTH('&gt;&gt;Vistas Consolidadas'!$D$2, '&gt;&gt;Vistas Consolidadas'!$F$2),J969+I969,J969)</f>
        <v>5.58</v>
      </c>
      <c r="T969" s="18" t="str">
        <f ca="1">IF(C969&gt;='&gt;&gt;Vistas Consolidadas'!$D$2,"SI","NO")</f>
        <v>SI</v>
      </c>
      <c r="U969" s="358">
        <f ca="1">IF(C969&lt;=EOMONTH('&gt;&gt;Vistas Consolidadas'!$D$2, '&gt;&gt;Vistas Consolidadas'!$F$2),I969,0)</f>
        <v>5.58</v>
      </c>
      <c r="V969" s="18" t="b">
        <f ca="1">AND(C969&gt;='Interes Por Semana'!$C$4, C969&lt;='Interes Por Semana'!$E$4)</f>
        <v>0</v>
      </c>
      <c r="W969" s="18" t="str">
        <f t="shared" si="32"/>
        <v>miércoles</v>
      </c>
    </row>
    <row r="970" spans="2:23" hidden="1" x14ac:dyDescent="0.25">
      <c r="B970" s="337">
        <v>45279</v>
      </c>
      <c r="C970" s="337">
        <v>46589</v>
      </c>
      <c r="D970" s="374" t="s">
        <v>78</v>
      </c>
      <c r="E970" s="309" t="s">
        <v>46</v>
      </c>
      <c r="F970" s="310" t="s">
        <v>103</v>
      </c>
      <c r="G970" s="311">
        <v>5.36</v>
      </c>
      <c r="H970" s="311">
        <v>13</v>
      </c>
      <c r="I970" s="340">
        <v>3.13</v>
      </c>
      <c r="J970" s="340"/>
      <c r="K970" s="311"/>
      <c r="L970" s="340">
        <f t="shared" si="31"/>
        <v>3.13</v>
      </c>
      <c r="M970" s="313"/>
      <c r="N970" s="313"/>
      <c r="O970" s="313"/>
      <c r="P970" s="313"/>
      <c r="Q970" s="311"/>
      <c r="R970" s="392"/>
      <c r="S970" s="358">
        <f ca="1">IF(C970&lt;=EOMONTH('&gt;&gt;Vistas Consolidadas'!$D$2, '&gt;&gt;Vistas Consolidadas'!$F$2),J970+I970,J970)</f>
        <v>3.13</v>
      </c>
      <c r="T970" s="18" t="str">
        <f ca="1">IF(C970&gt;='&gt;&gt;Vistas Consolidadas'!$D$2,"SI","NO")</f>
        <v>SI</v>
      </c>
      <c r="U970" s="358">
        <f ca="1">IF(C970&lt;=EOMONTH('&gt;&gt;Vistas Consolidadas'!$D$2, '&gt;&gt;Vistas Consolidadas'!$F$2),I970,0)</f>
        <v>3.13</v>
      </c>
      <c r="V970" s="18" t="b">
        <f ca="1">AND(C970&gt;='Interes Por Semana'!$C$4, C970&lt;='Interes Por Semana'!$E$4)</f>
        <v>0</v>
      </c>
      <c r="W970" s="18" t="str">
        <f t="shared" si="32"/>
        <v>miércoles</v>
      </c>
    </row>
    <row r="971" spans="2:23" hidden="1" x14ac:dyDescent="0.25">
      <c r="B971" s="337">
        <v>45552</v>
      </c>
      <c r="C971" s="337">
        <v>46589</v>
      </c>
      <c r="D971" s="374" t="s">
        <v>78</v>
      </c>
      <c r="E971" s="309" t="s">
        <v>47</v>
      </c>
      <c r="F971" s="310" t="s">
        <v>103</v>
      </c>
      <c r="G971" s="311">
        <v>5.36</v>
      </c>
      <c r="H971" s="311">
        <v>13.75</v>
      </c>
      <c r="I971" s="340">
        <v>4.47</v>
      </c>
      <c r="J971" s="340"/>
      <c r="K971" s="311"/>
      <c r="L971" s="340">
        <f t="shared" si="31"/>
        <v>4.47</v>
      </c>
      <c r="M971" s="313"/>
      <c r="N971" s="313"/>
      <c r="O971" s="313"/>
      <c r="P971" s="313"/>
      <c r="Q971" s="311"/>
      <c r="R971" s="392"/>
      <c r="S971" s="358">
        <f ca="1">IF(C971&lt;=EOMONTH('&gt;&gt;Vistas Consolidadas'!$D$2, '&gt;&gt;Vistas Consolidadas'!$F$2),J971+I971,J971)</f>
        <v>4.47</v>
      </c>
      <c r="T971" s="18" t="str">
        <f ca="1">IF(C971&gt;='&gt;&gt;Vistas Consolidadas'!$D$2,"SI","NO")</f>
        <v>SI</v>
      </c>
      <c r="U971" s="358">
        <f ca="1">IF(C971&lt;=EOMONTH('&gt;&gt;Vistas Consolidadas'!$D$2, '&gt;&gt;Vistas Consolidadas'!$F$2),I971,0)</f>
        <v>4.47</v>
      </c>
      <c r="V971" s="18" t="b">
        <f ca="1">AND(C971&gt;='Interes Por Semana'!$C$4, C971&lt;='Interes Por Semana'!$E$4)</f>
        <v>0</v>
      </c>
      <c r="W971" s="18" t="str">
        <f t="shared" si="32"/>
        <v>miércoles</v>
      </c>
    </row>
    <row r="972" spans="2:23" hidden="1" x14ac:dyDescent="0.25">
      <c r="B972" s="337">
        <v>45447</v>
      </c>
      <c r="C972" s="337">
        <v>46592</v>
      </c>
      <c r="D972" s="374" t="s">
        <v>78</v>
      </c>
      <c r="E972" s="309" t="s">
        <v>47</v>
      </c>
      <c r="F972" s="310" t="s">
        <v>105</v>
      </c>
      <c r="G972" s="311">
        <v>5.93</v>
      </c>
      <c r="H972" s="311">
        <v>13.25</v>
      </c>
      <c r="I972" s="340">
        <v>29.65</v>
      </c>
      <c r="J972" s="340"/>
      <c r="K972" s="311"/>
      <c r="L972" s="340">
        <f t="shared" si="31"/>
        <v>29.65</v>
      </c>
      <c r="M972" s="313"/>
      <c r="N972" s="313"/>
      <c r="O972" s="313"/>
      <c r="P972" s="313"/>
      <c r="Q972" s="311"/>
      <c r="R972" s="392"/>
      <c r="S972" s="358">
        <f ca="1">IF(C972&lt;=EOMONTH('&gt;&gt;Vistas Consolidadas'!$D$2, '&gt;&gt;Vistas Consolidadas'!$F$2),J972+I972,J972)</f>
        <v>29.65</v>
      </c>
      <c r="T972" s="18" t="str">
        <f ca="1">IF(C972&gt;='&gt;&gt;Vistas Consolidadas'!$D$2,"SI","NO")</f>
        <v>SI</v>
      </c>
      <c r="U972" s="358">
        <f ca="1">IF(C972&lt;=EOMONTH('&gt;&gt;Vistas Consolidadas'!$D$2, '&gt;&gt;Vistas Consolidadas'!$F$2),I972,0)</f>
        <v>29.65</v>
      </c>
      <c r="V972" s="18" t="b">
        <f ca="1">AND(C972&gt;='Interes Por Semana'!$C$4, C972&lt;='Interes Por Semana'!$E$4)</f>
        <v>0</v>
      </c>
      <c r="W972" s="18" t="str">
        <f t="shared" si="32"/>
        <v>sábado</v>
      </c>
    </row>
    <row r="973" spans="2:23" hidden="1" x14ac:dyDescent="0.25">
      <c r="B973" s="337">
        <v>45832</v>
      </c>
      <c r="C973" s="337">
        <v>46593</v>
      </c>
      <c r="D973" s="374" t="s">
        <v>78</v>
      </c>
      <c r="E973" s="309" t="s">
        <v>47</v>
      </c>
      <c r="F973" s="310" t="s">
        <v>106</v>
      </c>
      <c r="G973" s="311">
        <v>5.93</v>
      </c>
      <c r="H973" s="311">
        <v>11</v>
      </c>
      <c r="I973" s="340">
        <v>22.41</v>
      </c>
      <c r="J973" s="340"/>
      <c r="K973" s="311"/>
      <c r="L973" s="340">
        <f t="shared" si="31"/>
        <v>22.41</v>
      </c>
      <c r="M973" s="313"/>
      <c r="N973" s="313"/>
      <c r="O973" s="313"/>
      <c r="P973" s="313"/>
      <c r="Q973" s="311"/>
      <c r="R973" s="392"/>
      <c r="S973" s="358">
        <f ca="1">IF(C973&lt;=EOMONTH('&gt;&gt;Vistas Consolidadas'!$D$2, '&gt;&gt;Vistas Consolidadas'!$F$2),J973+I973,J973)</f>
        <v>22.41</v>
      </c>
      <c r="T973" s="18" t="str">
        <f ca="1">IF(C973&gt;='&gt;&gt;Vistas Consolidadas'!$D$2,"SI","NO")</f>
        <v>SI</v>
      </c>
      <c r="U973" s="358">
        <f ca="1">IF(C973&lt;=EOMONTH('&gt;&gt;Vistas Consolidadas'!$D$2, '&gt;&gt;Vistas Consolidadas'!$F$2),I973,0)</f>
        <v>22.41</v>
      </c>
      <c r="V973" s="18" t="b">
        <f ca="1">AND(C973&gt;='Interes Por Semana'!$C$4, C973&lt;='Interes Por Semana'!$E$4)</f>
        <v>0</v>
      </c>
      <c r="W973" s="18" t="str">
        <f t="shared" si="32"/>
        <v>domingo</v>
      </c>
    </row>
    <row r="974" spans="2:23" hidden="1" x14ac:dyDescent="0.25">
      <c r="B974" s="337">
        <v>45889</v>
      </c>
      <c r="C974" s="337">
        <v>46593</v>
      </c>
      <c r="D974" s="374" t="s">
        <v>78</v>
      </c>
      <c r="E974" s="309" t="s">
        <v>47</v>
      </c>
      <c r="F974" s="310" t="s">
        <v>106</v>
      </c>
      <c r="G974" s="311">
        <v>6.21</v>
      </c>
      <c r="H974" s="311">
        <v>9.75</v>
      </c>
      <c r="I974" s="340">
        <v>4.5</v>
      </c>
      <c r="J974" s="340"/>
      <c r="K974" s="311"/>
      <c r="L974" s="340">
        <f t="shared" si="31"/>
        <v>4.5</v>
      </c>
      <c r="M974" s="313"/>
      <c r="N974" s="313"/>
      <c r="O974" s="313"/>
      <c r="P974" s="313"/>
      <c r="Q974" s="311"/>
      <c r="R974" s="392"/>
      <c r="S974" s="358">
        <f ca="1">IF(C974&lt;=EOMONTH('&gt;&gt;Vistas Consolidadas'!$D$2, '&gt;&gt;Vistas Consolidadas'!$F$2),J974+I974,J974)</f>
        <v>4.5</v>
      </c>
      <c r="T974" s="18" t="str">
        <f ca="1">IF(C974&gt;='&gt;&gt;Vistas Consolidadas'!$D$2,"SI","NO")</f>
        <v>SI</v>
      </c>
      <c r="U974" s="358">
        <f ca="1">IF(C974&lt;=EOMONTH('&gt;&gt;Vistas Consolidadas'!$D$2, '&gt;&gt;Vistas Consolidadas'!$F$2),I974,0)</f>
        <v>4.5</v>
      </c>
      <c r="V974" s="18" t="b">
        <f ca="1">AND(C974&gt;='Interes Por Semana'!$C$4, C974&lt;='Interes Por Semana'!$E$4)</f>
        <v>0</v>
      </c>
      <c r="W974" s="18" t="str">
        <f t="shared" si="32"/>
        <v>domingo</v>
      </c>
    </row>
    <row r="975" spans="2:23" hidden="1" x14ac:dyDescent="0.25">
      <c r="B975" s="337">
        <v>45889</v>
      </c>
      <c r="C975" s="337">
        <v>46593</v>
      </c>
      <c r="D975" s="374" t="s">
        <v>78</v>
      </c>
      <c r="E975" s="309" t="s">
        <v>46</v>
      </c>
      <c r="F975" s="310" t="s">
        <v>106</v>
      </c>
      <c r="G975" s="311">
        <v>6.21</v>
      </c>
      <c r="H975" s="311">
        <v>10.75</v>
      </c>
      <c r="I975" s="340">
        <v>25.88</v>
      </c>
      <c r="J975" s="340"/>
      <c r="K975" s="311"/>
      <c r="L975" s="340">
        <f t="shared" si="31"/>
        <v>25.88</v>
      </c>
      <c r="M975" s="313"/>
      <c r="N975" s="313"/>
      <c r="O975" s="313"/>
      <c r="P975" s="313"/>
      <c r="Q975" s="311"/>
      <c r="R975" s="392"/>
      <c r="S975" s="358">
        <f ca="1">IF(C975&lt;=EOMONTH('&gt;&gt;Vistas Consolidadas'!$D$2, '&gt;&gt;Vistas Consolidadas'!$F$2),J975+I975,J975)</f>
        <v>25.88</v>
      </c>
      <c r="T975" s="18" t="str">
        <f ca="1">IF(C975&gt;='&gt;&gt;Vistas Consolidadas'!$D$2,"SI","NO")</f>
        <v>SI</v>
      </c>
      <c r="U975" s="358">
        <f ca="1">IF(C975&lt;=EOMONTH('&gt;&gt;Vistas Consolidadas'!$D$2, '&gt;&gt;Vistas Consolidadas'!$F$2),I975,0)</f>
        <v>25.88</v>
      </c>
      <c r="V975" s="18" t="b">
        <f ca="1">AND(C975&gt;='Interes Por Semana'!$C$4, C975&lt;='Interes Por Semana'!$E$4)</f>
        <v>0</v>
      </c>
      <c r="W975" s="18" t="str">
        <f t="shared" si="32"/>
        <v>domingo</v>
      </c>
    </row>
    <row r="976" spans="2:23" hidden="1" x14ac:dyDescent="0.25">
      <c r="B976" s="337">
        <v>45593</v>
      </c>
      <c r="C976" s="337">
        <v>46594</v>
      </c>
      <c r="D976" s="374" t="s">
        <v>78</v>
      </c>
      <c r="E976" s="309" t="s">
        <v>47</v>
      </c>
      <c r="F976" s="310" t="s">
        <v>107</v>
      </c>
      <c r="G976" s="311">
        <v>5.07</v>
      </c>
      <c r="H976" s="311">
        <v>13</v>
      </c>
      <c r="I976" s="340">
        <v>11.41</v>
      </c>
      <c r="J976" s="340"/>
      <c r="K976" s="311"/>
      <c r="L976" s="340">
        <f t="shared" si="31"/>
        <v>11.41</v>
      </c>
      <c r="M976" s="313"/>
      <c r="N976" s="313"/>
      <c r="O976" s="313"/>
      <c r="P976" s="313"/>
      <c r="Q976" s="311"/>
      <c r="R976" s="392"/>
      <c r="S976" s="358">
        <f ca="1">IF(C976&lt;=EOMONTH('&gt;&gt;Vistas Consolidadas'!$D$2, '&gt;&gt;Vistas Consolidadas'!$F$2),J976+I976,J976)</f>
        <v>11.41</v>
      </c>
      <c r="T976" s="18" t="str">
        <f ca="1">IF(C976&gt;='&gt;&gt;Vistas Consolidadas'!$D$2,"SI","NO")</f>
        <v>SI</v>
      </c>
      <c r="U976" s="358">
        <f ca="1">IF(C976&lt;=EOMONTH('&gt;&gt;Vistas Consolidadas'!$D$2, '&gt;&gt;Vistas Consolidadas'!$F$2),I976,0)</f>
        <v>11.41</v>
      </c>
      <c r="V976" s="18" t="b">
        <f ca="1">AND(C976&gt;='Interes Por Semana'!$C$4, C976&lt;='Interes Por Semana'!$E$4)</f>
        <v>0</v>
      </c>
      <c r="W976" s="18" t="str">
        <f t="shared" si="32"/>
        <v>lunes</v>
      </c>
    </row>
    <row r="977" spans="2:23" hidden="1" x14ac:dyDescent="0.25">
      <c r="B977" s="337">
        <v>44830</v>
      </c>
      <c r="C977" s="337">
        <v>46595</v>
      </c>
      <c r="D977" s="374" t="s">
        <v>78</v>
      </c>
      <c r="E977" s="309" t="s">
        <v>47</v>
      </c>
      <c r="F977" s="310" t="s">
        <v>108</v>
      </c>
      <c r="G977" s="311">
        <v>5.64</v>
      </c>
      <c r="H977" s="311">
        <v>10.199999999999999</v>
      </c>
      <c r="I977" s="340">
        <v>9.4</v>
      </c>
      <c r="J977" s="340"/>
      <c r="K977" s="311"/>
      <c r="L977" s="340">
        <f t="shared" si="31"/>
        <v>9.4</v>
      </c>
      <c r="M977" s="313"/>
      <c r="N977" s="313"/>
      <c r="O977" s="313"/>
      <c r="P977" s="313"/>
      <c r="Q977" s="311"/>
      <c r="R977" s="392"/>
      <c r="S977" s="358">
        <f ca="1">IF(C977&lt;=EOMONTH('&gt;&gt;Vistas Consolidadas'!$D$2, '&gt;&gt;Vistas Consolidadas'!$F$2),J977+I977,J977)</f>
        <v>9.4</v>
      </c>
      <c r="T977" s="18" t="str">
        <f ca="1">IF(C977&gt;='&gt;&gt;Vistas Consolidadas'!$D$2,"SI","NO")</f>
        <v>SI</v>
      </c>
      <c r="U977" s="358">
        <f ca="1">IF(C977&lt;=EOMONTH('&gt;&gt;Vistas Consolidadas'!$D$2, '&gt;&gt;Vistas Consolidadas'!$F$2),I977,0)</f>
        <v>9.4</v>
      </c>
      <c r="V977" s="18" t="b">
        <f ca="1">AND(C977&gt;='Interes Por Semana'!$C$4, C977&lt;='Interes Por Semana'!$E$4)</f>
        <v>0</v>
      </c>
      <c r="W977" s="18" t="str">
        <f t="shared" si="32"/>
        <v>martes</v>
      </c>
    </row>
    <row r="978" spans="2:23" hidden="1" x14ac:dyDescent="0.25">
      <c r="B978" s="337">
        <v>46057</v>
      </c>
      <c r="C978" s="337">
        <v>46595</v>
      </c>
      <c r="D978" s="374" t="s">
        <v>78</v>
      </c>
      <c r="E978" s="309" t="s">
        <v>47</v>
      </c>
      <c r="F978" s="310" t="s">
        <v>109</v>
      </c>
      <c r="G978" s="311">
        <v>6.21</v>
      </c>
      <c r="H978" s="311">
        <v>11</v>
      </c>
      <c r="I978" s="340">
        <v>15.61</v>
      </c>
      <c r="J978" s="340"/>
      <c r="K978" s="311"/>
      <c r="L978" s="340">
        <f t="shared" si="31"/>
        <v>15.61</v>
      </c>
      <c r="M978" s="313"/>
      <c r="N978" s="313"/>
      <c r="O978" s="313"/>
      <c r="P978" s="313"/>
      <c r="Q978" s="311"/>
      <c r="R978" s="392"/>
      <c r="S978" s="358">
        <f ca="1">IF(C978&lt;=EOMONTH('&gt;&gt;Vistas Consolidadas'!$D$2, '&gt;&gt;Vistas Consolidadas'!$F$2),J978+I978,J978)</f>
        <v>15.61</v>
      </c>
      <c r="T978" s="18" t="str">
        <f ca="1">IF(C978&gt;='&gt;&gt;Vistas Consolidadas'!$D$2,"SI","NO")</f>
        <v>SI</v>
      </c>
      <c r="U978" s="358">
        <f ca="1">IF(C978&lt;=EOMONTH('&gt;&gt;Vistas Consolidadas'!$D$2, '&gt;&gt;Vistas Consolidadas'!$F$2),I978,0)</f>
        <v>15.61</v>
      </c>
      <c r="V978" s="18" t="b">
        <f ca="1">AND(C978&gt;='Interes Por Semana'!$C$4, C978&lt;='Interes Por Semana'!$E$4)</f>
        <v>0</v>
      </c>
      <c r="W978" s="18" t="str">
        <f t="shared" si="32"/>
        <v>martes</v>
      </c>
    </row>
    <row r="979" spans="2:23" hidden="1" x14ac:dyDescent="0.25">
      <c r="B979" s="337">
        <v>46080</v>
      </c>
      <c r="C979" s="337">
        <v>46595</v>
      </c>
      <c r="D979" s="374" t="s">
        <v>78</v>
      </c>
      <c r="E979" s="309" t="s">
        <v>46</v>
      </c>
      <c r="F979" s="310" t="s">
        <v>110</v>
      </c>
      <c r="G979" s="311">
        <v>6.21</v>
      </c>
      <c r="H979" s="311">
        <v>10.6</v>
      </c>
      <c r="I979" s="340">
        <v>17.79</v>
      </c>
      <c r="J979" s="340"/>
      <c r="K979" s="311"/>
      <c r="L979" s="340">
        <f t="shared" si="31"/>
        <v>17.79</v>
      </c>
      <c r="M979" s="313"/>
      <c r="N979" s="313"/>
      <c r="O979" s="313"/>
      <c r="P979" s="313"/>
      <c r="Q979" s="311"/>
      <c r="R979" s="392"/>
      <c r="S979" s="358">
        <f ca="1">IF(C979&lt;=EOMONTH('&gt;&gt;Vistas Consolidadas'!$D$2, '&gt;&gt;Vistas Consolidadas'!$F$2),J979+I979,J979)</f>
        <v>17.79</v>
      </c>
      <c r="T979" s="18" t="str">
        <f ca="1">IF(C979&gt;='&gt;&gt;Vistas Consolidadas'!$D$2,"SI","NO")</f>
        <v>SI</v>
      </c>
      <c r="U979" s="358">
        <f ca="1">IF(C979&lt;=EOMONTH('&gt;&gt;Vistas Consolidadas'!$D$2, '&gt;&gt;Vistas Consolidadas'!$F$2),I979,0)</f>
        <v>17.79</v>
      </c>
      <c r="V979" s="18" t="b">
        <f ca="1">AND(C979&gt;='Interes Por Semana'!$C$4, C979&lt;='Interes Por Semana'!$E$4)</f>
        <v>0</v>
      </c>
      <c r="W979" s="18" t="str">
        <f t="shared" si="32"/>
        <v>martes</v>
      </c>
    </row>
    <row r="980" spans="2:23" hidden="1" x14ac:dyDescent="0.25">
      <c r="B980" s="337">
        <v>45987</v>
      </c>
      <c r="C980" s="337">
        <v>46596</v>
      </c>
      <c r="D980" s="374" t="s">
        <v>78</v>
      </c>
      <c r="E980" s="309" t="s">
        <v>46</v>
      </c>
      <c r="F980" s="310" t="s">
        <v>111</v>
      </c>
      <c r="G980" s="311">
        <v>6.82</v>
      </c>
      <c r="H980" s="311">
        <v>11</v>
      </c>
      <c r="I980" s="340">
        <v>6.82</v>
      </c>
      <c r="J980" s="340">
        <v>0</v>
      </c>
      <c r="K980" s="311"/>
      <c r="L980" s="340">
        <f t="shared" si="31"/>
        <v>6.82</v>
      </c>
      <c r="M980" s="313"/>
      <c r="N980" s="313"/>
      <c r="O980" s="313"/>
      <c r="P980" s="313"/>
      <c r="Q980" s="311"/>
      <c r="R980" s="392"/>
      <c r="S980" s="358">
        <f ca="1">IF(C980&lt;=EOMONTH('&gt;&gt;Vistas Consolidadas'!$D$2, '&gt;&gt;Vistas Consolidadas'!$F$2),J980+I980,J980)</f>
        <v>6.82</v>
      </c>
      <c r="T980" s="18" t="str">
        <f ca="1">IF(C980&gt;='&gt;&gt;Vistas Consolidadas'!$D$2,"SI","NO")</f>
        <v>SI</v>
      </c>
      <c r="U980" s="358">
        <f ca="1">IF(C980&lt;=EOMONTH('&gt;&gt;Vistas Consolidadas'!$D$2, '&gt;&gt;Vistas Consolidadas'!$F$2),I980,0)</f>
        <v>6.82</v>
      </c>
      <c r="V980" s="18" t="b">
        <f ca="1">AND(C980&gt;='Interes Por Semana'!$C$4, C980&lt;='Interes Por Semana'!$E$4)</f>
        <v>0</v>
      </c>
      <c r="W980" s="18" t="str">
        <f t="shared" si="32"/>
        <v>miércoles</v>
      </c>
    </row>
    <row r="981" spans="2:23" hidden="1" x14ac:dyDescent="0.25">
      <c r="B981" s="337">
        <v>46149</v>
      </c>
      <c r="C981" s="337">
        <v>46576</v>
      </c>
      <c r="D981" s="374" t="s">
        <v>78</v>
      </c>
      <c r="E981" s="309" t="s">
        <v>138</v>
      </c>
      <c r="F981" s="310" t="s">
        <v>153</v>
      </c>
      <c r="G981" s="311">
        <v>7.72</v>
      </c>
      <c r="H981" s="311">
        <v>9</v>
      </c>
      <c r="I981" s="340">
        <v>67.55</v>
      </c>
      <c r="J981" s="340"/>
      <c r="K981" s="311"/>
      <c r="L981" s="340">
        <f t="shared" si="31"/>
        <v>67.55</v>
      </c>
      <c r="M981" s="311"/>
      <c r="N981" s="311"/>
      <c r="O981" s="311"/>
      <c r="P981" s="311"/>
      <c r="Q981" s="386"/>
      <c r="R981" s="392"/>
      <c r="S981" s="358">
        <f ca="1">IF(C981&lt;=EOMONTH('&gt;&gt;Vistas Consolidadas'!$D$2, '&gt;&gt;Vistas Consolidadas'!$F$2),J981+I981,J981)</f>
        <v>67.55</v>
      </c>
      <c r="T981" s="18" t="str">
        <f ca="1">IF(C981&gt;='&gt;&gt;Vistas Consolidadas'!$D$2,"SI","NO")</f>
        <v>SI</v>
      </c>
      <c r="U981" s="358">
        <f ca="1">IF(C981&lt;=EOMONTH('&gt;&gt;Vistas Consolidadas'!$D$2, '&gt;&gt;Vistas Consolidadas'!$F$2),I981,0)</f>
        <v>67.55</v>
      </c>
      <c r="V981" s="18" t="b">
        <f ca="1">AND(C981&gt;='Interes Por Semana'!$C$4, C981&lt;='Interes Por Semana'!$E$4)</f>
        <v>0</v>
      </c>
      <c r="W981" s="18" t="str">
        <f t="shared" si="32"/>
        <v>jueves</v>
      </c>
    </row>
    <row r="982" spans="2:23" hidden="1" x14ac:dyDescent="0.25">
      <c r="B982" s="337">
        <v>46149</v>
      </c>
      <c r="C982" s="337">
        <v>46576</v>
      </c>
      <c r="D982" s="374" t="s">
        <v>78</v>
      </c>
      <c r="E982" s="309" t="s">
        <v>47</v>
      </c>
      <c r="F982" s="310" t="s">
        <v>153</v>
      </c>
      <c r="G982" s="311">
        <v>7.72</v>
      </c>
      <c r="H982" s="311">
        <v>9</v>
      </c>
      <c r="I982" s="340">
        <v>122.46</v>
      </c>
      <c r="J982" s="340"/>
      <c r="K982" s="311"/>
      <c r="L982" s="340">
        <f t="shared" si="31"/>
        <v>122.46</v>
      </c>
      <c r="M982" s="311"/>
      <c r="N982" s="311"/>
      <c r="O982" s="311"/>
      <c r="P982" s="311"/>
      <c r="Q982" s="386"/>
      <c r="R982" s="392"/>
      <c r="S982" s="358">
        <f ca="1">IF(C982&lt;=EOMONTH('&gt;&gt;Vistas Consolidadas'!$D$2, '&gt;&gt;Vistas Consolidadas'!$F$2),J982+I982,J982)</f>
        <v>122.46</v>
      </c>
      <c r="T982" s="18" t="str">
        <f ca="1">IF(C982&gt;='&gt;&gt;Vistas Consolidadas'!$D$2,"SI","NO")</f>
        <v>SI</v>
      </c>
      <c r="U982" s="358">
        <f ca="1">IF(C982&lt;=EOMONTH('&gt;&gt;Vistas Consolidadas'!$D$2, '&gt;&gt;Vistas Consolidadas'!$F$2),I982,0)</f>
        <v>122.46</v>
      </c>
      <c r="V982" s="18" t="b">
        <f ca="1">AND(C982&gt;='Interes Por Semana'!$C$4, C982&lt;='Interes Por Semana'!$E$4)</f>
        <v>0</v>
      </c>
      <c r="W982" s="18" t="str">
        <f t="shared" si="32"/>
        <v>jueves</v>
      </c>
    </row>
    <row r="983" spans="2:23" hidden="1" x14ac:dyDescent="0.25">
      <c r="B983" s="337">
        <v>46149</v>
      </c>
      <c r="C983" s="337">
        <v>46586</v>
      </c>
      <c r="D983" s="374" t="s">
        <v>78</v>
      </c>
      <c r="E983" s="309" t="s">
        <v>47</v>
      </c>
      <c r="F983" s="310" t="s">
        <v>154</v>
      </c>
      <c r="G983" s="311">
        <v>6.21</v>
      </c>
      <c r="H983" s="311">
        <v>9</v>
      </c>
      <c r="I983" s="387">
        <v>188.11</v>
      </c>
      <c r="J983" s="340"/>
      <c r="K983" s="311"/>
      <c r="L983" s="340">
        <f t="shared" si="31"/>
        <v>188.11</v>
      </c>
      <c r="M983" s="311"/>
      <c r="N983" s="311"/>
      <c r="O983" s="311"/>
      <c r="P983" s="311"/>
      <c r="Q983" s="386"/>
      <c r="R983" s="392"/>
      <c r="S983" s="358">
        <f ca="1">IF(C983&lt;=EOMONTH('&gt;&gt;Vistas Consolidadas'!$D$2, '&gt;&gt;Vistas Consolidadas'!$F$2),J983+I983,J983)</f>
        <v>188.11</v>
      </c>
      <c r="T983" s="18" t="str">
        <f ca="1">IF(C983&gt;='&gt;&gt;Vistas Consolidadas'!$D$2,"SI","NO")</f>
        <v>SI</v>
      </c>
      <c r="U983" s="358">
        <f ca="1">IF(C983&lt;=EOMONTH('&gt;&gt;Vistas Consolidadas'!$D$2, '&gt;&gt;Vistas Consolidadas'!$F$2),I983,0)</f>
        <v>188.11</v>
      </c>
      <c r="V983" s="18" t="b">
        <f ca="1">AND(C983&gt;='Interes Por Semana'!$C$4, C983&lt;='Interes Por Semana'!$E$4)</f>
        <v>0</v>
      </c>
      <c r="W983" s="18" t="str">
        <f t="shared" si="32"/>
        <v>domingo</v>
      </c>
    </row>
    <row r="984" spans="2:23" hidden="1" x14ac:dyDescent="0.25">
      <c r="B984" s="337">
        <v>46157</v>
      </c>
      <c r="C984" s="337">
        <v>46575</v>
      </c>
      <c r="D984" s="374" t="s">
        <v>78</v>
      </c>
      <c r="E984" s="309" t="s">
        <v>47</v>
      </c>
      <c r="F984" s="310" t="s">
        <v>156</v>
      </c>
      <c r="G984" s="311">
        <v>7.93</v>
      </c>
      <c r="H984" s="311">
        <v>9.9247584100000008</v>
      </c>
      <c r="I984" s="340">
        <v>131.09281250000001</v>
      </c>
      <c r="J984" s="340"/>
      <c r="K984" s="311"/>
      <c r="L984" s="340">
        <f t="shared" si="31"/>
        <v>131.09281250000001</v>
      </c>
      <c r="M984" s="311"/>
      <c r="N984" s="311"/>
      <c r="O984" s="311"/>
      <c r="P984" s="311"/>
      <c r="Q984" s="386"/>
      <c r="R984" s="392"/>
      <c r="S984" s="358">
        <f ca="1">IF(C984&lt;=EOMONTH('&gt;&gt;Vistas Consolidadas'!$D$2, '&gt;&gt;Vistas Consolidadas'!$F$2),J984+I984,J984)</f>
        <v>131.09281250000001</v>
      </c>
      <c r="T984" s="18" t="str">
        <f ca="1">IF(C984&gt;='&gt;&gt;Vistas Consolidadas'!$D$2,"SI","NO")</f>
        <v>SI</v>
      </c>
      <c r="U984" s="358">
        <f ca="1">IF(C984&lt;=EOMONTH('&gt;&gt;Vistas Consolidadas'!$D$2, '&gt;&gt;Vistas Consolidadas'!$F$2),I984,0)</f>
        <v>131.09281250000001</v>
      </c>
      <c r="V984" s="18" t="b">
        <f ca="1">AND(C984&gt;='Interes Por Semana'!$C$4, C984&lt;='Interes Por Semana'!$E$4)</f>
        <v>0</v>
      </c>
      <c r="W984" s="18" t="str">
        <f t="shared" si="32"/>
        <v>miércoles</v>
      </c>
    </row>
    <row r="985" spans="2:23" hidden="1" x14ac:dyDescent="0.25">
      <c r="B985" s="337">
        <v>46162</v>
      </c>
      <c r="C985" s="337">
        <v>46594</v>
      </c>
      <c r="D985" s="374" t="s">
        <v>78</v>
      </c>
      <c r="E985" s="309" t="s">
        <v>47</v>
      </c>
      <c r="F985" s="310" t="s">
        <v>158</v>
      </c>
      <c r="G985" s="311">
        <v>5.36</v>
      </c>
      <c r="H985" s="311">
        <v>9</v>
      </c>
      <c r="I985" s="340">
        <v>12.77</v>
      </c>
      <c r="J985" s="340"/>
      <c r="K985" s="311"/>
      <c r="L985" s="340">
        <f t="shared" si="31"/>
        <v>12.77</v>
      </c>
      <c r="M985" s="311"/>
      <c r="N985" s="311"/>
      <c r="O985" s="311"/>
      <c r="P985" s="311"/>
      <c r="Q985" s="386"/>
      <c r="R985" s="392">
        <v>367706</v>
      </c>
      <c r="S985" s="358">
        <f ca="1">IF(C985&lt;=EOMONTH('&gt;&gt;Vistas Consolidadas'!$D$2, '&gt;&gt;Vistas Consolidadas'!$F$2),J985+I985,J985)</f>
        <v>12.77</v>
      </c>
      <c r="T985" s="18" t="str">
        <f ca="1">IF(C985&gt;='&gt;&gt;Vistas Consolidadas'!$D$2,"SI","NO")</f>
        <v>SI</v>
      </c>
      <c r="U985" s="358">
        <f ca="1">IF(C985&lt;=EOMONTH('&gt;&gt;Vistas Consolidadas'!$D$2, '&gt;&gt;Vistas Consolidadas'!$F$2),I985,0)</f>
        <v>12.77</v>
      </c>
      <c r="V985" s="18" t="b">
        <f ca="1">AND(C985&gt;='Interes Por Semana'!$C$4, C985&lt;='Interes Por Semana'!$E$4)</f>
        <v>0</v>
      </c>
      <c r="W985" s="18" t="str">
        <f t="shared" si="32"/>
        <v>lunes</v>
      </c>
    </row>
    <row r="986" spans="2:23" hidden="1" x14ac:dyDescent="0.25">
      <c r="B986" s="337">
        <v>45323</v>
      </c>
      <c r="C986" s="337">
        <v>46583</v>
      </c>
      <c r="D986" s="374" t="s">
        <v>96</v>
      </c>
      <c r="E986" s="309" t="s">
        <v>47</v>
      </c>
      <c r="F986" s="310" t="s">
        <v>97</v>
      </c>
      <c r="G986" s="311">
        <v>6</v>
      </c>
      <c r="H986" s="311">
        <v>12</v>
      </c>
      <c r="I986" s="340">
        <v>16.670000000000002</v>
      </c>
      <c r="J986" s="340"/>
      <c r="K986" s="311"/>
      <c r="L986" s="340">
        <f t="shared" si="31"/>
        <v>16.670000000000002</v>
      </c>
      <c r="M986" s="313"/>
      <c r="N986" s="313"/>
      <c r="O986" s="313"/>
      <c r="P986" s="313"/>
      <c r="Q986" s="311"/>
      <c r="R986" s="392"/>
      <c r="S986" s="358">
        <f ca="1">IF(C986&lt;=EOMONTH('&gt;&gt;Vistas Consolidadas'!$D$2, '&gt;&gt;Vistas Consolidadas'!$F$2),J986+I986,J986)</f>
        <v>16.670000000000002</v>
      </c>
      <c r="T986" s="18" t="str">
        <f ca="1">IF(C986&gt;='&gt;&gt;Vistas Consolidadas'!$D$2,"SI","NO")</f>
        <v>SI</v>
      </c>
      <c r="U986" s="358">
        <f ca="1">IF(C986&lt;=EOMONTH('&gt;&gt;Vistas Consolidadas'!$D$2, '&gt;&gt;Vistas Consolidadas'!$F$2),I986,0)</f>
        <v>16.670000000000002</v>
      </c>
      <c r="V986" s="18" t="b">
        <f ca="1">AND(C986&gt;='Interes Por Semana'!$C$4, C986&lt;='Interes Por Semana'!$E$4)</f>
        <v>0</v>
      </c>
      <c r="W986" s="18" t="str">
        <f t="shared" si="32"/>
        <v>jueves</v>
      </c>
    </row>
    <row r="987" spans="2:23" hidden="1" x14ac:dyDescent="0.25">
      <c r="B987" s="337">
        <v>45356</v>
      </c>
      <c r="C987" s="337">
        <v>46583</v>
      </c>
      <c r="D987" s="374" t="s">
        <v>96</v>
      </c>
      <c r="E987" s="309" t="s">
        <v>47</v>
      </c>
      <c r="F987" s="310" t="s">
        <v>97</v>
      </c>
      <c r="G987" s="311">
        <v>6</v>
      </c>
      <c r="H987" s="311">
        <v>12</v>
      </c>
      <c r="I987" s="340">
        <v>108.33</v>
      </c>
      <c r="J987" s="340"/>
      <c r="K987" s="311"/>
      <c r="L987" s="340">
        <f t="shared" si="31"/>
        <v>108.33</v>
      </c>
      <c r="M987" s="313"/>
      <c r="N987" s="313"/>
      <c r="O987" s="313"/>
      <c r="P987" s="313"/>
      <c r="Q987" s="311"/>
      <c r="R987" s="392"/>
      <c r="S987" s="358">
        <f ca="1">IF(C987&lt;=EOMONTH('&gt;&gt;Vistas Consolidadas'!$D$2, '&gt;&gt;Vistas Consolidadas'!$F$2),J987+I987,J987)</f>
        <v>108.33</v>
      </c>
      <c r="T987" s="18" t="str">
        <f ca="1">IF(C987&gt;='&gt;&gt;Vistas Consolidadas'!$D$2,"SI","NO")</f>
        <v>SI</v>
      </c>
      <c r="U987" s="358">
        <f ca="1">IF(C987&lt;=EOMONTH('&gt;&gt;Vistas Consolidadas'!$D$2, '&gt;&gt;Vistas Consolidadas'!$F$2),I987,0)</f>
        <v>108.33</v>
      </c>
      <c r="V987" s="18" t="b">
        <f ca="1">AND(C987&gt;='Interes Por Semana'!$C$4, C987&lt;='Interes Por Semana'!$E$4)</f>
        <v>0</v>
      </c>
      <c r="W987" s="18" t="str">
        <f t="shared" si="32"/>
        <v>jueves</v>
      </c>
    </row>
    <row r="988" spans="2:23" hidden="1" x14ac:dyDescent="0.25">
      <c r="B988" s="337">
        <v>45006</v>
      </c>
      <c r="C988" s="337">
        <v>46583</v>
      </c>
      <c r="D988" s="374" t="s">
        <v>96</v>
      </c>
      <c r="E988" s="309" t="s">
        <v>46</v>
      </c>
      <c r="F988" s="310" t="s">
        <v>97</v>
      </c>
      <c r="G988" s="311">
        <v>6</v>
      </c>
      <c r="H988" s="311">
        <v>12</v>
      </c>
      <c r="I988" s="340">
        <v>62.5</v>
      </c>
      <c r="J988" s="340"/>
      <c r="K988" s="311"/>
      <c r="L988" s="340">
        <f t="shared" si="31"/>
        <v>62.5</v>
      </c>
      <c r="M988" s="313"/>
      <c r="N988" s="313"/>
      <c r="O988" s="313"/>
      <c r="P988" s="313"/>
      <c r="Q988" s="311"/>
      <c r="R988" s="392"/>
      <c r="S988" s="358">
        <f ca="1">IF(C988&lt;=EOMONTH('&gt;&gt;Vistas Consolidadas'!$D$2, '&gt;&gt;Vistas Consolidadas'!$F$2),J988+I988,J988)</f>
        <v>62.5</v>
      </c>
      <c r="T988" s="18" t="str">
        <f ca="1">IF(C988&gt;='&gt;&gt;Vistas Consolidadas'!$D$2,"SI","NO")</f>
        <v>SI</v>
      </c>
      <c r="U988" s="358">
        <f ca="1">IF(C988&lt;=EOMONTH('&gt;&gt;Vistas Consolidadas'!$D$2, '&gt;&gt;Vistas Consolidadas'!$F$2),I988,0)</f>
        <v>62.5</v>
      </c>
      <c r="V988" s="18" t="b">
        <f ca="1">AND(C988&gt;='Interes Por Semana'!$C$4, C988&lt;='Interes Por Semana'!$E$4)</f>
        <v>0</v>
      </c>
      <c r="W988" s="18" t="str">
        <f t="shared" si="32"/>
        <v>jueves</v>
      </c>
    </row>
    <row r="989" spans="2:23" hidden="1" x14ac:dyDescent="0.25">
      <c r="B989" s="337">
        <v>45397</v>
      </c>
      <c r="C989" s="337">
        <v>46583</v>
      </c>
      <c r="D989" s="374" t="s">
        <v>96</v>
      </c>
      <c r="E989" s="309" t="s">
        <v>47</v>
      </c>
      <c r="F989" s="310" t="s">
        <v>97</v>
      </c>
      <c r="G989" s="311">
        <v>6</v>
      </c>
      <c r="H989" s="311">
        <v>12</v>
      </c>
      <c r="I989" s="340">
        <v>54.16</v>
      </c>
      <c r="J989" s="340"/>
      <c r="K989" s="311"/>
      <c r="L989" s="340">
        <f t="shared" si="31"/>
        <v>54.16</v>
      </c>
      <c r="M989" s="313"/>
      <c r="N989" s="313"/>
      <c r="O989" s="313"/>
      <c r="P989" s="313"/>
      <c r="Q989" s="311"/>
      <c r="R989" s="392"/>
      <c r="S989" s="358">
        <f ca="1">IF(C989&lt;=EOMONTH('&gt;&gt;Vistas Consolidadas'!$D$2, '&gt;&gt;Vistas Consolidadas'!$F$2),J989+I989,J989)</f>
        <v>54.16</v>
      </c>
      <c r="T989" s="18" t="str">
        <f ca="1">IF(C989&gt;='&gt;&gt;Vistas Consolidadas'!$D$2,"SI","NO")</f>
        <v>SI</v>
      </c>
      <c r="U989" s="358">
        <f ca="1">IF(C989&lt;=EOMONTH('&gt;&gt;Vistas Consolidadas'!$D$2, '&gt;&gt;Vistas Consolidadas'!$F$2),I989,0)</f>
        <v>54.16</v>
      </c>
      <c r="V989" s="18" t="b">
        <f ca="1">AND(C989&gt;='Interes Por Semana'!$C$4, C989&lt;='Interes Por Semana'!$E$4)</f>
        <v>0</v>
      </c>
      <c r="W989" s="18" t="str">
        <f t="shared" si="32"/>
        <v>jueves</v>
      </c>
    </row>
    <row r="990" spans="2:23" hidden="1" x14ac:dyDescent="0.25">
      <c r="B990" s="337">
        <v>45397</v>
      </c>
      <c r="C990" s="337">
        <v>46583</v>
      </c>
      <c r="D990" s="374" t="s">
        <v>96</v>
      </c>
      <c r="E990" s="309" t="s">
        <v>46</v>
      </c>
      <c r="F990" s="310" t="s">
        <v>97</v>
      </c>
      <c r="G990" s="311">
        <v>6</v>
      </c>
      <c r="H990" s="311">
        <v>12</v>
      </c>
      <c r="I990" s="340">
        <v>62.5</v>
      </c>
      <c r="J990" s="340"/>
      <c r="K990" s="311"/>
      <c r="L990" s="340">
        <f t="shared" si="31"/>
        <v>62.5</v>
      </c>
      <c r="M990" s="313"/>
      <c r="N990" s="313"/>
      <c r="O990" s="313"/>
      <c r="P990" s="313"/>
      <c r="Q990" s="311"/>
      <c r="R990" s="392"/>
      <c r="S990" s="358">
        <f ca="1">IF(C990&lt;=EOMONTH('&gt;&gt;Vistas Consolidadas'!$D$2, '&gt;&gt;Vistas Consolidadas'!$F$2),J990+I990,J990)</f>
        <v>62.5</v>
      </c>
      <c r="T990" s="18" t="str">
        <f ca="1">IF(C990&gt;='&gt;&gt;Vistas Consolidadas'!$D$2,"SI","NO")</f>
        <v>SI</v>
      </c>
      <c r="U990" s="358">
        <f ca="1">IF(C990&lt;=EOMONTH('&gt;&gt;Vistas Consolidadas'!$D$2, '&gt;&gt;Vistas Consolidadas'!$F$2),I990,0)</f>
        <v>62.5</v>
      </c>
      <c r="V990" s="18" t="b">
        <f ca="1">AND(C990&gt;='Interes Por Semana'!$C$4, C990&lt;='Interes Por Semana'!$E$4)</f>
        <v>0</v>
      </c>
      <c r="W990" s="18" t="str">
        <f t="shared" si="32"/>
        <v>jueves</v>
      </c>
    </row>
    <row r="991" spans="2:23" hidden="1" x14ac:dyDescent="0.25">
      <c r="B991" s="337">
        <v>45398</v>
      </c>
      <c r="C991" s="337">
        <v>46583</v>
      </c>
      <c r="D991" s="374" t="s">
        <v>96</v>
      </c>
      <c r="E991" s="309" t="s">
        <v>47</v>
      </c>
      <c r="F991" s="310" t="s">
        <v>97</v>
      </c>
      <c r="G991" s="311">
        <v>6</v>
      </c>
      <c r="H991" s="311">
        <v>12</v>
      </c>
      <c r="I991" s="340">
        <v>16.670000000000002</v>
      </c>
      <c r="J991" s="340"/>
      <c r="K991" s="311"/>
      <c r="L991" s="340">
        <f t="shared" si="31"/>
        <v>16.670000000000002</v>
      </c>
      <c r="M991" s="313"/>
      <c r="N991" s="313"/>
      <c r="O991" s="313"/>
      <c r="P991" s="313"/>
      <c r="Q991" s="311"/>
      <c r="R991" s="392"/>
      <c r="S991" s="358">
        <f ca="1">IF(C991&lt;=EOMONTH('&gt;&gt;Vistas Consolidadas'!$D$2, '&gt;&gt;Vistas Consolidadas'!$F$2),J991+I991,J991)</f>
        <v>16.670000000000002</v>
      </c>
      <c r="T991" s="18" t="str">
        <f ca="1">IF(C991&gt;='&gt;&gt;Vistas Consolidadas'!$D$2,"SI","NO")</f>
        <v>SI</v>
      </c>
      <c r="U991" s="358">
        <f ca="1">IF(C991&lt;=EOMONTH('&gt;&gt;Vistas Consolidadas'!$D$2, '&gt;&gt;Vistas Consolidadas'!$F$2),I991,0)</f>
        <v>16.670000000000002</v>
      </c>
      <c r="V991" s="18" t="b">
        <f ca="1">AND(C991&gt;='Interes Por Semana'!$C$4, C991&lt;='Interes Por Semana'!$E$4)</f>
        <v>0</v>
      </c>
      <c r="W991" s="18" t="str">
        <f t="shared" si="32"/>
        <v>jueves</v>
      </c>
    </row>
    <row r="992" spans="2:23" hidden="1" x14ac:dyDescent="0.25">
      <c r="B992" s="337">
        <v>46105</v>
      </c>
      <c r="C992" s="337">
        <v>46583</v>
      </c>
      <c r="D992" s="374" t="s">
        <v>96</v>
      </c>
      <c r="E992" s="309" t="s">
        <v>47</v>
      </c>
      <c r="F992" s="310" t="s">
        <v>97</v>
      </c>
      <c r="G992" s="311">
        <v>6</v>
      </c>
      <c r="H992" s="311">
        <v>10</v>
      </c>
      <c r="I992" s="340">
        <v>16.670000000000002</v>
      </c>
      <c r="J992" s="340"/>
      <c r="K992" s="311"/>
      <c r="L992" s="340">
        <f t="shared" si="31"/>
        <v>16.670000000000002</v>
      </c>
      <c r="M992" s="313"/>
      <c r="N992" s="313"/>
      <c r="O992" s="313"/>
      <c r="P992" s="313"/>
      <c r="Q992" s="311"/>
      <c r="R992" s="392"/>
      <c r="S992" s="358">
        <f ca="1">IF(C992&lt;=EOMONTH('&gt;&gt;Vistas Consolidadas'!$D$2, '&gt;&gt;Vistas Consolidadas'!$F$2),J992+I992,J992)</f>
        <v>16.670000000000002</v>
      </c>
      <c r="T992" s="18" t="str">
        <f ca="1">IF(C992&gt;='&gt;&gt;Vistas Consolidadas'!$D$2,"SI","NO")</f>
        <v>SI</v>
      </c>
      <c r="U992" s="358">
        <f ca="1">IF(C992&lt;=EOMONTH('&gt;&gt;Vistas Consolidadas'!$D$2, '&gt;&gt;Vistas Consolidadas'!$F$2),I992,0)</f>
        <v>16.670000000000002</v>
      </c>
      <c r="V992" s="18" t="b">
        <f ca="1">AND(C992&gt;='Interes Por Semana'!$C$4, C992&lt;='Interes Por Semana'!$E$4)</f>
        <v>0</v>
      </c>
      <c r="W992" s="18" t="str">
        <f t="shared" si="32"/>
        <v>jueves</v>
      </c>
    </row>
    <row r="993" spans="2:23" hidden="1" x14ac:dyDescent="0.25">
      <c r="B993" s="337">
        <v>44462</v>
      </c>
      <c r="C993" s="337">
        <v>46585</v>
      </c>
      <c r="D993" s="374" t="s">
        <v>78</v>
      </c>
      <c r="E993" s="309" t="s">
        <v>46</v>
      </c>
      <c r="F993" s="310" t="s">
        <v>98</v>
      </c>
      <c r="G993" s="311">
        <v>5.64</v>
      </c>
      <c r="H993" s="311">
        <v>8.1999999999999993</v>
      </c>
      <c r="I993" s="340">
        <v>2.5299999999999998</v>
      </c>
      <c r="J993" s="340"/>
      <c r="K993" s="311"/>
      <c r="L993" s="340">
        <f t="shared" si="31"/>
        <v>2.5299999999999998</v>
      </c>
      <c r="M993" s="311"/>
      <c r="N993" s="311"/>
      <c r="O993" s="311"/>
      <c r="P993" s="311"/>
      <c r="Q993" s="386"/>
      <c r="R993" s="392"/>
      <c r="S993" s="358">
        <f ca="1">IF(C993&lt;=EOMONTH('&gt;&gt;Vistas Consolidadas'!$D$2, '&gt;&gt;Vistas Consolidadas'!$F$2),J993+I993,J993)</f>
        <v>2.5299999999999998</v>
      </c>
      <c r="T993" s="18" t="str">
        <f ca="1">IF(C993&gt;='&gt;&gt;Vistas Consolidadas'!$D$2,"SI","NO")</f>
        <v>SI</v>
      </c>
      <c r="U993" s="358">
        <f ca="1">IF(C993&lt;=EOMONTH('&gt;&gt;Vistas Consolidadas'!$D$2, '&gt;&gt;Vistas Consolidadas'!$F$2),I993,0)</f>
        <v>2.5299999999999998</v>
      </c>
      <c r="V993" s="18" t="b">
        <f ca="1">AND(C993&gt;='Interes Por Semana'!$C$4, C993&lt;='Interes Por Semana'!$E$4)</f>
        <v>0</v>
      </c>
      <c r="W993" s="18" t="str">
        <f t="shared" si="32"/>
        <v>sábado</v>
      </c>
    </row>
    <row r="994" spans="2:23" hidden="1" x14ac:dyDescent="0.25">
      <c r="B994" s="337">
        <v>46162</v>
      </c>
      <c r="C994" s="337">
        <v>46594</v>
      </c>
      <c r="D994" s="374" t="s">
        <v>78</v>
      </c>
      <c r="E994" s="309" t="s">
        <v>138</v>
      </c>
      <c r="F994" s="310" t="s">
        <v>158</v>
      </c>
      <c r="G994" s="311">
        <v>5.36</v>
      </c>
      <c r="H994" s="311">
        <v>9</v>
      </c>
      <c r="I994" s="340">
        <v>17.420000000000002</v>
      </c>
      <c r="J994" s="340"/>
      <c r="K994" s="311"/>
      <c r="L994" s="340">
        <f t="shared" si="31"/>
        <v>17.420000000000002</v>
      </c>
      <c r="M994" s="311"/>
      <c r="N994" s="311"/>
      <c r="O994" s="311"/>
      <c r="P994" s="311"/>
      <c r="Q994" s="386"/>
      <c r="R994" s="392">
        <v>369184</v>
      </c>
      <c r="S994" s="358">
        <f ca="1">IF(C994&lt;=EOMONTH('&gt;&gt;Vistas Consolidadas'!$D$2, '&gt;&gt;Vistas Consolidadas'!$F$2),J994+I994,J994)</f>
        <v>17.420000000000002</v>
      </c>
      <c r="T994" s="18" t="str">
        <f ca="1">IF(C994&gt;='&gt;&gt;Vistas Consolidadas'!$D$2,"SI","NO")</f>
        <v>SI</v>
      </c>
      <c r="U994" s="358">
        <f ca="1">IF(C994&lt;=EOMONTH('&gt;&gt;Vistas Consolidadas'!$D$2, '&gt;&gt;Vistas Consolidadas'!$F$2),I994,0)</f>
        <v>17.420000000000002</v>
      </c>
      <c r="V994" s="18" t="b">
        <f ca="1">AND(C994&gt;='Interes Por Semana'!$C$4, C994&lt;='Interes Por Semana'!$E$4)</f>
        <v>0</v>
      </c>
      <c r="W994" s="18" t="str">
        <f t="shared" si="32"/>
        <v>lunes</v>
      </c>
    </row>
    <row r="995" spans="2:23" hidden="1" x14ac:dyDescent="0.25">
      <c r="B995" s="337">
        <v>46188</v>
      </c>
      <c r="C995" s="337">
        <v>46585</v>
      </c>
      <c r="D995" s="374" t="s">
        <v>78</v>
      </c>
      <c r="E995" s="309" t="s">
        <v>48</v>
      </c>
      <c r="F995" s="310" t="s">
        <v>168</v>
      </c>
      <c r="G995" s="311">
        <v>6.21</v>
      </c>
      <c r="H995" s="311">
        <v>9</v>
      </c>
      <c r="I995" s="340">
        <v>51.91</v>
      </c>
      <c r="J995" s="340"/>
      <c r="K995" s="311"/>
      <c r="L995" s="340">
        <f t="shared" si="31"/>
        <v>51.91</v>
      </c>
      <c r="M995" s="311"/>
      <c r="N995" s="311"/>
      <c r="O995" s="311"/>
      <c r="P995" s="311"/>
      <c r="Q995" s="386"/>
      <c r="R995" s="392"/>
      <c r="S995" s="358">
        <f ca="1">IF(C995&lt;=EOMONTH('&gt;&gt;Vistas Consolidadas'!$D$2, '&gt;&gt;Vistas Consolidadas'!$F$2),J995+I995,J995)</f>
        <v>51.91</v>
      </c>
      <c r="T995" s="18" t="str">
        <f ca="1">IF(C995&gt;='&gt;&gt;Vistas Consolidadas'!$D$2,"SI","NO")</f>
        <v>SI</v>
      </c>
      <c r="U995" s="358">
        <f ca="1">IF(C995&lt;=EOMONTH('&gt;&gt;Vistas Consolidadas'!$D$2, '&gt;&gt;Vistas Consolidadas'!$F$2),I995,0)</f>
        <v>51.91</v>
      </c>
      <c r="V995" s="18" t="b">
        <f ca="1">AND(C995&gt;='Interes Por Semana'!$C$4, C995&lt;='Interes Por Semana'!$E$4)</f>
        <v>0</v>
      </c>
      <c r="W995" s="18" t="str">
        <f t="shared" si="32"/>
        <v>sábado</v>
      </c>
    </row>
    <row r="996" spans="2:23" hidden="1" x14ac:dyDescent="0.25">
      <c r="B996" s="337">
        <v>46188</v>
      </c>
      <c r="C996" s="337">
        <v>46575</v>
      </c>
      <c r="D996" s="374" t="s">
        <v>78</v>
      </c>
      <c r="E996" s="309" t="s">
        <v>48</v>
      </c>
      <c r="F996" s="310" t="s">
        <v>169</v>
      </c>
      <c r="G996" s="311">
        <v>6.82</v>
      </c>
      <c r="H996" s="311">
        <v>8.5</v>
      </c>
      <c r="I996" s="340">
        <v>78.66</v>
      </c>
      <c r="J996" s="340"/>
      <c r="K996" s="311"/>
      <c r="L996" s="340">
        <f t="shared" si="31"/>
        <v>78.66</v>
      </c>
      <c r="M996" s="311"/>
      <c r="N996" s="311"/>
      <c r="O996" s="311"/>
      <c r="P996" s="311"/>
      <c r="Q996" s="386"/>
      <c r="R996" s="392"/>
      <c r="S996" s="358">
        <f ca="1">IF(C996&lt;=EOMONTH('&gt;&gt;Vistas Consolidadas'!$D$2, '&gt;&gt;Vistas Consolidadas'!$F$2),J996+I996,J996)</f>
        <v>78.66</v>
      </c>
      <c r="T996" s="18" t="str">
        <f ca="1">IF(C996&gt;='&gt;&gt;Vistas Consolidadas'!$D$2,"SI","NO")</f>
        <v>SI</v>
      </c>
      <c r="U996" s="358">
        <f ca="1">IF(C996&lt;=EOMONTH('&gt;&gt;Vistas Consolidadas'!$D$2, '&gt;&gt;Vistas Consolidadas'!$F$2),I996,0)</f>
        <v>78.66</v>
      </c>
      <c r="V996" s="18" t="b">
        <f ca="1">AND(C996&gt;='Interes Por Semana'!$C$4, C996&lt;='Interes Por Semana'!$E$4)</f>
        <v>0</v>
      </c>
      <c r="W996" s="18" t="str">
        <f t="shared" si="32"/>
        <v>miércoles</v>
      </c>
    </row>
    <row r="997" spans="2:23" hidden="1" x14ac:dyDescent="0.25">
      <c r="B997" s="337">
        <v>46211</v>
      </c>
      <c r="C997" s="337">
        <v>46570</v>
      </c>
      <c r="D997" s="374" t="s">
        <v>78</v>
      </c>
      <c r="E997" s="309" t="s">
        <v>47</v>
      </c>
      <c r="F997" s="310" t="s">
        <v>172</v>
      </c>
      <c r="G997" s="311">
        <v>7.72</v>
      </c>
      <c r="H997" s="311">
        <v>9.25</v>
      </c>
      <c r="I997" s="340">
        <v>15.44</v>
      </c>
      <c r="J997" s="340"/>
      <c r="K997" s="311"/>
      <c r="L997" s="340">
        <f t="shared" si="31"/>
        <v>15.44</v>
      </c>
      <c r="M997" s="313"/>
      <c r="N997" s="313"/>
      <c r="O997" s="313"/>
      <c r="P997" s="313"/>
      <c r="Q997" s="311"/>
      <c r="R997" s="392"/>
      <c r="S997" s="358">
        <f ca="1">IF(C997&lt;=EOMONTH('&gt;&gt;Vistas Consolidadas'!$D$2, '&gt;&gt;Vistas Consolidadas'!$F$2),J997+I997,J997)</f>
        <v>15.44</v>
      </c>
      <c r="T997" s="18" t="str">
        <f ca="1">IF(C997&gt;='&gt;&gt;Vistas Consolidadas'!$D$2,"SI","NO")</f>
        <v>SI</v>
      </c>
      <c r="U997" s="358">
        <f ca="1">IF(C997&lt;=EOMONTH('&gt;&gt;Vistas Consolidadas'!$D$2, '&gt;&gt;Vistas Consolidadas'!$F$2),I997,0)</f>
        <v>15.44</v>
      </c>
      <c r="V997" s="18" t="b">
        <f ca="1">AND(C997&gt;='Interes Por Semana'!$C$4, C997&lt;='Interes Por Semana'!$E$4)</f>
        <v>0</v>
      </c>
      <c r="W997" s="18" t="str">
        <f t="shared" si="32"/>
        <v>viernes</v>
      </c>
    </row>
    <row r="998" spans="2:23" hidden="1" x14ac:dyDescent="0.25">
      <c r="B998" s="419">
        <v>46211</v>
      </c>
      <c r="C998" s="337">
        <v>46570</v>
      </c>
      <c r="D998" s="374" t="s">
        <v>78</v>
      </c>
      <c r="E998" s="309" t="s">
        <v>47</v>
      </c>
      <c r="F998" s="310" t="s">
        <v>173</v>
      </c>
      <c r="G998" s="311">
        <v>7.54</v>
      </c>
      <c r="H998" s="311">
        <v>9.25</v>
      </c>
      <c r="I998" s="340">
        <v>19.79</v>
      </c>
      <c r="J998" s="340"/>
      <c r="K998" s="311"/>
      <c r="L998" s="340">
        <f t="shared" si="31"/>
        <v>19.79</v>
      </c>
      <c r="M998" s="313"/>
      <c r="N998" s="313"/>
      <c r="O998" s="313"/>
      <c r="P998" s="313"/>
      <c r="Q998" s="311"/>
      <c r="R998" s="392"/>
      <c r="S998" s="358">
        <f ca="1">IF(C998&lt;=EOMONTH('&gt;&gt;Vistas Consolidadas'!$D$2, '&gt;&gt;Vistas Consolidadas'!$F$2),J998+I998,J998)</f>
        <v>19.79</v>
      </c>
      <c r="T998" s="18" t="str">
        <f ca="1">IF(C998&gt;='&gt;&gt;Vistas Consolidadas'!$D$2,"SI","NO")</f>
        <v>SI</v>
      </c>
      <c r="U998" s="358">
        <f ca="1">IF(C998&lt;=EOMONTH('&gt;&gt;Vistas Consolidadas'!$D$2, '&gt;&gt;Vistas Consolidadas'!$F$2),I998,0)</f>
        <v>19.79</v>
      </c>
      <c r="V998" s="18" t="b">
        <f ca="1">AND(C998&gt;='Interes Por Semana'!$C$4, C998&lt;='Interes Por Semana'!$E$4)</f>
        <v>0</v>
      </c>
      <c r="W998" s="18" t="str">
        <f t="shared" si="32"/>
        <v>viernes</v>
      </c>
    </row>
    <row r="999" spans="2:23" hidden="1" x14ac:dyDescent="0.25">
      <c r="B999" s="337">
        <v>46238</v>
      </c>
      <c r="C999" s="337">
        <v>49309</v>
      </c>
      <c r="D999" s="374" t="s">
        <v>96</v>
      </c>
      <c r="E999" s="309" t="s">
        <v>47</v>
      </c>
      <c r="F999" s="310" t="s">
        <v>134</v>
      </c>
      <c r="G999" s="311">
        <v>1</v>
      </c>
      <c r="H999" s="311">
        <v>1</v>
      </c>
      <c r="I999" s="340">
        <v>0</v>
      </c>
      <c r="J999" s="340">
        <v>146.5</v>
      </c>
      <c r="K999" s="311"/>
      <c r="L999" s="340">
        <f t="shared" si="31"/>
        <v>0</v>
      </c>
      <c r="M999" s="311"/>
      <c r="N999" s="311"/>
      <c r="O999" s="311"/>
      <c r="P999" s="311"/>
      <c r="Q999" s="386"/>
      <c r="R999" s="392">
        <v>372241</v>
      </c>
      <c r="S999" s="358">
        <f ca="1">IF(C999&lt;=EOMONTH('&gt;&gt;Vistas Consolidadas'!$D$2, '&gt;&gt;Vistas Consolidadas'!$F$2),J999+I999,J999)</f>
        <v>146.5</v>
      </c>
      <c r="T999" s="18" t="str">
        <f ca="1">IF(C999&gt;='&gt;&gt;Vistas Consolidadas'!$D$2,"SI","NO")</f>
        <v>SI</v>
      </c>
      <c r="U999" s="358">
        <f ca="1">IF(C999&lt;=EOMONTH('&gt;&gt;Vistas Consolidadas'!$D$2, '&gt;&gt;Vistas Consolidadas'!$F$2),I999,0)</f>
        <v>0</v>
      </c>
      <c r="V999" s="18" t="b">
        <f ca="1">AND(C999&gt;='Interes Por Semana'!$C$4, C999&lt;='Interes Por Semana'!$E$4)</f>
        <v>0</v>
      </c>
      <c r="W999" s="18" t="str">
        <f t="shared" si="32"/>
        <v>domingo</v>
      </c>
    </row>
    <row r="1000" spans="2:23" hidden="1" x14ac:dyDescent="0.25">
      <c r="B1000" s="337">
        <v>46238</v>
      </c>
      <c r="C1000" s="337">
        <v>49309</v>
      </c>
      <c r="D1000" s="374" t="s">
        <v>96</v>
      </c>
      <c r="E1000" s="309" t="s">
        <v>47</v>
      </c>
      <c r="F1000" s="310" t="s">
        <v>134</v>
      </c>
      <c r="G1000" s="311">
        <v>1</v>
      </c>
      <c r="H1000" s="311">
        <v>1</v>
      </c>
      <c r="I1000" s="340">
        <v>0</v>
      </c>
      <c r="J1000" s="340">
        <v>3061.18</v>
      </c>
      <c r="K1000" s="311"/>
      <c r="L1000" s="340">
        <f t="shared" si="31"/>
        <v>0</v>
      </c>
      <c r="M1000" s="311"/>
      <c r="N1000" s="311"/>
      <c r="O1000" s="311"/>
      <c r="P1000" s="311"/>
      <c r="Q1000" s="386"/>
      <c r="R1000" s="392">
        <v>372253</v>
      </c>
      <c r="S1000" s="358">
        <f ca="1">IF(C1000&lt;=EOMONTH('&gt;&gt;Vistas Consolidadas'!$D$2, '&gt;&gt;Vistas Consolidadas'!$F$2),J1000+I1000,J1000)</f>
        <v>3061.18</v>
      </c>
      <c r="T1000" s="18" t="str">
        <f ca="1">IF(C1000&gt;='&gt;&gt;Vistas Consolidadas'!$D$2,"SI","NO")</f>
        <v>SI</v>
      </c>
      <c r="U1000" s="358">
        <f ca="1">IF(C1000&lt;=EOMONTH('&gt;&gt;Vistas Consolidadas'!$D$2, '&gt;&gt;Vistas Consolidadas'!$F$2),I1000,0)</f>
        <v>0</v>
      </c>
      <c r="V1000" s="18" t="b">
        <f ca="1">AND(C1000&gt;='Interes Por Semana'!$C$4, C1000&lt;='Interes Por Semana'!$E$4)</f>
        <v>0</v>
      </c>
      <c r="W1000" s="18" t="str">
        <f t="shared" si="32"/>
        <v>domingo</v>
      </c>
    </row>
    <row r="1001" spans="2:23" x14ac:dyDescent="0.25">
      <c r="B1001" s="337">
        <v>46239</v>
      </c>
      <c r="C1001" s="338">
        <v>49309</v>
      </c>
      <c r="D1001" s="374" t="s">
        <v>96</v>
      </c>
      <c r="E1001" s="309" t="s">
        <v>47</v>
      </c>
      <c r="F1001" s="315" t="s">
        <v>132</v>
      </c>
      <c r="G1001" s="311">
        <v>1</v>
      </c>
      <c r="H1001" s="311">
        <v>1</v>
      </c>
      <c r="I1001" s="340">
        <v>0</v>
      </c>
      <c r="J1001" s="341">
        <v>2041.67</v>
      </c>
      <c r="K1001" s="311"/>
      <c r="L1001" s="340">
        <f t="shared" si="31"/>
        <v>0</v>
      </c>
      <c r="M1001" s="311"/>
      <c r="N1001" s="311"/>
      <c r="O1001" s="311"/>
      <c r="P1001" s="311"/>
      <c r="Q1001" s="386"/>
      <c r="R1001" s="392" t="s">
        <v>177</v>
      </c>
      <c r="S1001" s="358">
        <f ca="1">IF(C1001&lt;=EOMONTH('&gt;&gt;Vistas Consolidadas'!$D$2, '&gt;&gt;Vistas Consolidadas'!$F$2),J1001+I1001,J1001)</f>
        <v>2041.67</v>
      </c>
      <c r="T1001" s="18" t="str">
        <f ca="1">IF(C1001&gt;='&gt;&gt;Vistas Consolidadas'!$D$2,"SI","NO")</f>
        <v>SI</v>
      </c>
      <c r="U1001" s="358">
        <f ca="1">IF(C1001&lt;=EOMONTH('&gt;&gt;Vistas Consolidadas'!$D$2, '&gt;&gt;Vistas Consolidadas'!$F$2),I1001,0)</f>
        <v>0</v>
      </c>
      <c r="V1001" s="18" t="b">
        <f ca="1">AND(C1001&gt;='Interes Por Semana'!$C$4, C1001&lt;='Interes Por Semana'!$E$4)</f>
        <v>0</v>
      </c>
      <c r="W1001" s="18" t="str">
        <f t="shared" si="32"/>
        <v>domingo</v>
      </c>
    </row>
    <row r="1002" spans="2:23" hidden="1" x14ac:dyDescent="0.25">
      <c r="B1002" s="338">
        <v>46239</v>
      </c>
      <c r="C1002" s="338">
        <v>49309</v>
      </c>
      <c r="D1002" s="374" t="s">
        <v>96</v>
      </c>
      <c r="E1002" s="314" t="s">
        <v>47</v>
      </c>
      <c r="F1002" s="315" t="s">
        <v>131</v>
      </c>
      <c r="G1002" s="313">
        <v>1</v>
      </c>
      <c r="H1002" s="313">
        <v>1</v>
      </c>
      <c r="I1002" s="341">
        <v>0</v>
      </c>
      <c r="J1002" s="341">
        <v>2439.04</v>
      </c>
      <c r="K1002" s="313"/>
      <c r="L1002" s="340">
        <f t="shared" si="31"/>
        <v>0</v>
      </c>
      <c r="M1002" s="313"/>
      <c r="N1002" s="313"/>
      <c r="O1002" s="313"/>
      <c r="P1002" s="313"/>
      <c r="Q1002" s="311"/>
      <c r="R1002" s="392" t="s">
        <v>178</v>
      </c>
      <c r="S1002" s="358">
        <f ca="1">IF(C1002&lt;=EOMONTH('&gt;&gt;Vistas Consolidadas'!$D$2, '&gt;&gt;Vistas Consolidadas'!$F$2),J1002+I1002,J1002)</f>
        <v>2439.04</v>
      </c>
      <c r="T1002" s="18" t="str">
        <f ca="1">IF(C1002&gt;='&gt;&gt;Vistas Consolidadas'!$D$2,"SI","NO")</f>
        <v>SI</v>
      </c>
      <c r="U1002" s="358">
        <f ca="1">IF(C1002&lt;=EOMONTH('&gt;&gt;Vistas Consolidadas'!$D$2, '&gt;&gt;Vistas Consolidadas'!$F$2),I1002,0)</f>
        <v>0</v>
      </c>
      <c r="V1002" s="18" t="b">
        <f ca="1">AND(C1002&gt;='Interes Por Semana'!$C$4, C1002&lt;='Interes Por Semana'!$E$4)</f>
        <v>0</v>
      </c>
      <c r="W1002" s="18" t="str">
        <f t="shared" si="32"/>
        <v>domingo</v>
      </c>
    </row>
    <row r="1003" spans="2:23" hidden="1" x14ac:dyDescent="0.25">
      <c r="B1003" s="338">
        <v>46239</v>
      </c>
      <c r="C1003" s="338">
        <v>49309</v>
      </c>
      <c r="D1003" s="374" t="s">
        <v>96</v>
      </c>
      <c r="E1003" s="314" t="s">
        <v>47</v>
      </c>
      <c r="F1003" s="315" t="s">
        <v>131</v>
      </c>
      <c r="G1003" s="313">
        <v>1</v>
      </c>
      <c r="H1003" s="313">
        <v>1</v>
      </c>
      <c r="I1003" s="341">
        <v>0</v>
      </c>
      <c r="J1003" s="341">
        <v>13600</v>
      </c>
      <c r="K1003" s="313"/>
      <c r="L1003" s="340">
        <f t="shared" si="31"/>
        <v>0</v>
      </c>
      <c r="M1003" s="313"/>
      <c r="N1003" s="313"/>
      <c r="O1003" s="313"/>
      <c r="P1003" s="313"/>
      <c r="Q1003" s="311"/>
      <c r="R1003" s="392">
        <v>3723541</v>
      </c>
      <c r="S1003" s="358">
        <f ca="1">IF(C1003&lt;=EOMONTH('&gt;&gt;Vistas Consolidadas'!$D$2, '&gt;&gt;Vistas Consolidadas'!$F$2),J1003+I1003,J1003)</f>
        <v>13600</v>
      </c>
      <c r="T1003" s="18" t="str">
        <f ca="1">IF(C1003&gt;='&gt;&gt;Vistas Consolidadas'!$D$2,"SI","NO")</f>
        <v>SI</v>
      </c>
      <c r="U1003" s="358">
        <f ca="1">IF(C1003&lt;=EOMONTH('&gt;&gt;Vistas Consolidadas'!$D$2, '&gt;&gt;Vistas Consolidadas'!$F$2),I1003,0)</f>
        <v>0</v>
      </c>
      <c r="V1003" s="18" t="b">
        <f ca="1">AND(C1003&gt;='Interes Por Semana'!$C$4, C1003&lt;='Interes Por Semana'!$E$4)</f>
        <v>0</v>
      </c>
      <c r="W1003" s="18" t="str">
        <f t="shared" si="32"/>
        <v>domingo</v>
      </c>
    </row>
    <row r="1004" spans="2:23" x14ac:dyDescent="0.25">
      <c r="B1004" s="337">
        <v>46247</v>
      </c>
      <c r="C1004" s="338">
        <v>49309</v>
      </c>
      <c r="D1004" s="374" t="s">
        <v>96</v>
      </c>
      <c r="E1004" s="309" t="s">
        <v>47</v>
      </c>
      <c r="F1004" s="315" t="s">
        <v>132</v>
      </c>
      <c r="G1004" s="311">
        <v>1</v>
      </c>
      <c r="H1004" s="311">
        <v>1</v>
      </c>
      <c r="I1004" s="340">
        <v>0</v>
      </c>
      <c r="J1004" s="341">
        <v>957</v>
      </c>
      <c r="K1004" s="311"/>
      <c r="L1004" s="340">
        <f t="shared" si="31"/>
        <v>0</v>
      </c>
      <c r="M1004" s="311"/>
      <c r="N1004" s="311"/>
      <c r="O1004" s="311"/>
      <c r="P1004" s="311"/>
      <c r="Q1004" s="386"/>
      <c r="R1004" s="392" t="s">
        <v>179</v>
      </c>
      <c r="S1004" s="358">
        <f ca="1">IF(C1004&lt;=EOMONTH('&gt;&gt;Vistas Consolidadas'!$D$2, '&gt;&gt;Vistas Consolidadas'!$F$2),J1004+I1004,J1004)</f>
        <v>957</v>
      </c>
      <c r="T1004" s="18" t="str">
        <f ca="1">IF(C1004&gt;='&gt;&gt;Vistas Consolidadas'!$D$2,"SI","NO")</f>
        <v>SI</v>
      </c>
      <c r="U1004" s="358">
        <f ca="1">IF(C1004&lt;=EOMONTH('&gt;&gt;Vistas Consolidadas'!$D$2, '&gt;&gt;Vistas Consolidadas'!$F$2),I1004,0)</f>
        <v>0</v>
      </c>
      <c r="V1004" s="18" t="b">
        <f ca="1">AND(C1004&gt;='Interes Por Semana'!$C$4, C1004&lt;='Interes Por Semana'!$E$4)</f>
        <v>0</v>
      </c>
      <c r="W1004" s="18" t="str">
        <f t="shared" si="32"/>
        <v>domingo</v>
      </c>
    </row>
    <row r="1005" spans="2:23" hidden="1" x14ac:dyDescent="0.25">
      <c r="B1005" s="338">
        <v>46141</v>
      </c>
      <c r="C1005" s="338">
        <v>46624</v>
      </c>
      <c r="D1005" s="374" t="s">
        <v>78</v>
      </c>
      <c r="E1005" s="314" t="s">
        <v>47</v>
      </c>
      <c r="F1005" s="315" t="s">
        <v>152</v>
      </c>
      <c r="G1005" s="313">
        <v>6.21</v>
      </c>
      <c r="H1005" s="313">
        <v>8.9</v>
      </c>
      <c r="I1005" s="341">
        <v>186.82</v>
      </c>
      <c r="J1005" s="341">
        <v>0</v>
      </c>
      <c r="K1005" s="313"/>
      <c r="L1005" s="340">
        <f t="shared" si="31"/>
        <v>186.82</v>
      </c>
      <c r="M1005" s="313"/>
      <c r="N1005" s="313"/>
      <c r="O1005" s="313"/>
      <c r="P1005" s="313"/>
      <c r="Q1005" s="311"/>
      <c r="R1005" s="392"/>
      <c r="S1005" s="358">
        <f ca="1">IF(C1005&lt;=EOMONTH('&gt;&gt;Vistas Consolidadas'!$D$2, '&gt;&gt;Vistas Consolidadas'!$F$2),J1005+I1005,J1005)</f>
        <v>186.82</v>
      </c>
      <c r="T1005" s="18" t="str">
        <f ca="1">IF(C1005&gt;='&gt;&gt;Vistas Consolidadas'!$D$2,"SI","NO")</f>
        <v>SI</v>
      </c>
      <c r="U1005" s="358">
        <f ca="1">IF(C1005&lt;=EOMONTH('&gt;&gt;Vistas Consolidadas'!$D$2, '&gt;&gt;Vistas Consolidadas'!$F$2),I1005,0)</f>
        <v>186.82</v>
      </c>
      <c r="V1005" s="18" t="b">
        <f ca="1">AND(C1005&gt;='Interes Por Semana'!$C$4, C1005&lt;='Interes Por Semana'!$E$4)</f>
        <v>0</v>
      </c>
      <c r="W1005" s="18" t="str">
        <f t="shared" si="32"/>
        <v>miércoles</v>
      </c>
    </row>
    <row r="1006" spans="2:23" hidden="1" x14ac:dyDescent="0.25">
      <c r="B1006" s="337">
        <v>45552</v>
      </c>
      <c r="C1006" s="337">
        <v>46602</v>
      </c>
      <c r="D1006" s="374" t="s">
        <v>78</v>
      </c>
      <c r="E1006" s="309" t="s">
        <v>47</v>
      </c>
      <c r="F1006" s="310" t="s">
        <v>79</v>
      </c>
      <c r="G1006" s="311">
        <v>5.36</v>
      </c>
      <c r="H1006" s="311">
        <v>13.5</v>
      </c>
      <c r="I1006" s="340">
        <v>15.63</v>
      </c>
      <c r="J1006" s="340"/>
      <c r="K1006" s="311"/>
      <c r="L1006" s="340">
        <f t="shared" si="31"/>
        <v>15.63</v>
      </c>
      <c r="M1006" s="313"/>
      <c r="N1006" s="313"/>
      <c r="O1006" s="313"/>
      <c r="P1006" s="313"/>
      <c r="Q1006" s="311"/>
      <c r="R1006" s="392"/>
      <c r="S1006" s="358">
        <f ca="1">IF(C1006&lt;=EOMONTH('&gt;&gt;Vistas Consolidadas'!$D$2, '&gt;&gt;Vistas Consolidadas'!$F$2),J1006+I1006,J1006)</f>
        <v>15.63</v>
      </c>
      <c r="T1006" s="18" t="str">
        <f ca="1">IF(C1006&gt;='&gt;&gt;Vistas Consolidadas'!$D$2,"SI","NO")</f>
        <v>SI</v>
      </c>
      <c r="U1006" s="358">
        <f ca="1">IF(C1006&lt;=EOMONTH('&gt;&gt;Vistas Consolidadas'!$D$2, '&gt;&gt;Vistas Consolidadas'!$F$2),I1006,0)</f>
        <v>15.63</v>
      </c>
      <c r="V1006" s="18" t="b">
        <f ca="1">AND(C1006&gt;='Interes Por Semana'!$C$4, C1006&lt;='Interes Por Semana'!$E$4)</f>
        <v>0</v>
      </c>
      <c r="W1006" s="18" t="str">
        <f t="shared" si="32"/>
        <v>martes</v>
      </c>
    </row>
    <row r="1007" spans="2:23" hidden="1" x14ac:dyDescent="0.25">
      <c r="B1007" s="337">
        <v>45560</v>
      </c>
      <c r="C1007" s="337">
        <v>46602</v>
      </c>
      <c r="D1007" s="374" t="s">
        <v>78</v>
      </c>
      <c r="E1007" s="309" t="s">
        <v>47</v>
      </c>
      <c r="F1007" s="310" t="s">
        <v>79</v>
      </c>
      <c r="G1007" s="311">
        <v>5.36</v>
      </c>
      <c r="H1007" s="311">
        <v>12.5</v>
      </c>
      <c r="I1007" s="340">
        <v>12.51</v>
      </c>
      <c r="J1007" s="340"/>
      <c r="K1007" s="311"/>
      <c r="L1007" s="340">
        <f t="shared" si="31"/>
        <v>12.51</v>
      </c>
      <c r="M1007" s="313"/>
      <c r="N1007" s="313"/>
      <c r="O1007" s="313"/>
      <c r="P1007" s="313"/>
      <c r="Q1007" s="311"/>
      <c r="R1007" s="392"/>
      <c r="S1007" s="358">
        <f ca="1">IF(C1007&lt;=EOMONTH('&gt;&gt;Vistas Consolidadas'!$D$2, '&gt;&gt;Vistas Consolidadas'!$F$2),J1007+I1007,J1007)</f>
        <v>12.51</v>
      </c>
      <c r="T1007" s="18" t="str">
        <f ca="1">IF(C1007&gt;='&gt;&gt;Vistas Consolidadas'!$D$2,"SI","NO")</f>
        <v>SI</v>
      </c>
      <c r="U1007" s="358">
        <f ca="1">IF(C1007&lt;=EOMONTH('&gt;&gt;Vistas Consolidadas'!$D$2, '&gt;&gt;Vistas Consolidadas'!$F$2),I1007,0)</f>
        <v>12.51</v>
      </c>
      <c r="V1007" s="18" t="b">
        <f ca="1">AND(C1007&gt;='Interes Por Semana'!$C$4, C1007&lt;='Interes Por Semana'!$E$4)</f>
        <v>0</v>
      </c>
      <c r="W1007" s="18" t="str">
        <f t="shared" si="32"/>
        <v>martes</v>
      </c>
    </row>
    <row r="1008" spans="2:23" hidden="1" x14ac:dyDescent="0.25">
      <c r="B1008" s="337">
        <v>45708</v>
      </c>
      <c r="C1008" s="337">
        <v>46603</v>
      </c>
      <c r="D1008" s="374" t="s">
        <v>78</v>
      </c>
      <c r="E1008" s="309" t="s">
        <v>46</v>
      </c>
      <c r="F1008" s="310" t="s">
        <v>81</v>
      </c>
      <c r="G1008" s="311">
        <v>5.36</v>
      </c>
      <c r="H1008" s="311">
        <v>11.35</v>
      </c>
      <c r="I1008" s="340">
        <v>16.79</v>
      </c>
      <c r="J1008" s="340">
        <v>0</v>
      </c>
      <c r="K1008" s="311"/>
      <c r="L1008" s="340">
        <f t="shared" si="31"/>
        <v>16.79</v>
      </c>
      <c r="M1008" s="313"/>
      <c r="N1008" s="313"/>
      <c r="O1008" s="313"/>
      <c r="P1008" s="313"/>
      <c r="Q1008" s="311"/>
      <c r="R1008" s="392"/>
      <c r="S1008" s="358">
        <f ca="1">IF(C1008&lt;=EOMONTH('&gt;&gt;Vistas Consolidadas'!$D$2, '&gt;&gt;Vistas Consolidadas'!$F$2),J1008+I1008,J1008)</f>
        <v>16.79</v>
      </c>
      <c r="T1008" s="18" t="str">
        <f ca="1">IF(C1008&gt;='&gt;&gt;Vistas Consolidadas'!$D$2,"SI","NO")</f>
        <v>SI</v>
      </c>
      <c r="U1008" s="358">
        <f ca="1">IF(C1008&lt;=EOMONTH('&gt;&gt;Vistas Consolidadas'!$D$2, '&gt;&gt;Vistas Consolidadas'!$F$2),I1008,0)</f>
        <v>16.79</v>
      </c>
      <c r="V1008" s="18" t="b">
        <f ca="1">AND(C1008&gt;='Interes Por Semana'!$C$4, C1008&lt;='Interes Por Semana'!$E$4)</f>
        <v>0</v>
      </c>
      <c r="W1008" s="18" t="str">
        <f t="shared" si="32"/>
        <v>miércoles</v>
      </c>
    </row>
    <row r="1009" spans="2:23" hidden="1" x14ac:dyDescent="0.25">
      <c r="B1009" s="337">
        <v>46057</v>
      </c>
      <c r="C1009" s="337">
        <v>46605</v>
      </c>
      <c r="D1009" s="374" t="s">
        <v>78</v>
      </c>
      <c r="E1009" s="309" t="s">
        <v>47</v>
      </c>
      <c r="F1009" s="310" t="s">
        <v>85</v>
      </c>
      <c r="G1009" s="311">
        <v>7.93</v>
      </c>
      <c r="H1009" s="311">
        <v>11.25</v>
      </c>
      <c r="I1009" s="340">
        <v>58.023180428134552</v>
      </c>
      <c r="J1009" s="340"/>
      <c r="K1009" s="311"/>
      <c r="L1009" s="340">
        <f t="shared" si="31"/>
        <v>58.023180428134552</v>
      </c>
      <c r="M1009" s="313"/>
      <c r="N1009" s="313"/>
      <c r="O1009" s="313"/>
      <c r="P1009" s="313"/>
      <c r="Q1009" s="311"/>
      <c r="R1009" s="392"/>
      <c r="S1009" s="358">
        <f ca="1">IF(C1009&lt;=EOMONTH('&gt;&gt;Vistas Consolidadas'!$D$2, '&gt;&gt;Vistas Consolidadas'!$F$2),J1009+I1009,J1009)</f>
        <v>58.023180428134552</v>
      </c>
      <c r="T1009" s="18" t="str">
        <f ca="1">IF(C1009&gt;='&gt;&gt;Vistas Consolidadas'!$D$2,"SI","NO")</f>
        <v>SI</v>
      </c>
      <c r="U1009" s="358">
        <f ca="1">IF(C1009&lt;=EOMONTH('&gt;&gt;Vistas Consolidadas'!$D$2, '&gt;&gt;Vistas Consolidadas'!$F$2),I1009,0)</f>
        <v>58.023180428134552</v>
      </c>
      <c r="V1009" s="18" t="b">
        <f ca="1">AND(C1009&gt;='Interes Por Semana'!$C$4, C1009&lt;='Interes Por Semana'!$E$4)</f>
        <v>0</v>
      </c>
      <c r="W1009" s="18" t="str">
        <f t="shared" si="32"/>
        <v>viernes</v>
      </c>
    </row>
    <row r="1010" spans="2:23" hidden="1" x14ac:dyDescent="0.25">
      <c r="B1010" s="337">
        <v>46057</v>
      </c>
      <c r="C1010" s="337">
        <v>46605</v>
      </c>
      <c r="D1010" s="374" t="s">
        <v>78</v>
      </c>
      <c r="E1010" s="309" t="s">
        <v>47</v>
      </c>
      <c r="F1010" s="310" t="s">
        <v>86</v>
      </c>
      <c r="G1010" s="311">
        <v>7.35</v>
      </c>
      <c r="H1010" s="311">
        <v>11</v>
      </c>
      <c r="I1010" s="340">
        <v>20.79</v>
      </c>
      <c r="J1010" s="340"/>
      <c r="K1010" s="311"/>
      <c r="L1010" s="340">
        <f t="shared" si="31"/>
        <v>20.79</v>
      </c>
      <c r="M1010" s="313"/>
      <c r="N1010" s="313"/>
      <c r="O1010" s="313"/>
      <c r="P1010" s="313"/>
      <c r="Q1010" s="311"/>
      <c r="R1010" s="392"/>
      <c r="S1010" s="358">
        <f ca="1">IF(C1010&lt;=EOMONTH('&gt;&gt;Vistas Consolidadas'!$D$2, '&gt;&gt;Vistas Consolidadas'!$F$2),J1010+I1010,J1010)</f>
        <v>20.79</v>
      </c>
      <c r="T1010" s="18" t="str">
        <f ca="1">IF(C1010&gt;='&gt;&gt;Vistas Consolidadas'!$D$2,"SI","NO")</f>
        <v>SI</v>
      </c>
      <c r="U1010" s="358">
        <f ca="1">IF(C1010&lt;=EOMONTH('&gt;&gt;Vistas Consolidadas'!$D$2, '&gt;&gt;Vistas Consolidadas'!$F$2),I1010,0)</f>
        <v>20.79</v>
      </c>
      <c r="V1010" s="18" t="b">
        <f ca="1">AND(C1010&gt;='Interes Por Semana'!$C$4, C1010&lt;='Interes Por Semana'!$E$4)</f>
        <v>0</v>
      </c>
      <c r="W1010" s="18" t="str">
        <f t="shared" si="32"/>
        <v>viernes</v>
      </c>
    </row>
    <row r="1011" spans="2:23" hidden="1" x14ac:dyDescent="0.25">
      <c r="B1011" s="337">
        <v>46001</v>
      </c>
      <c r="C1011" s="337">
        <v>46605</v>
      </c>
      <c r="D1011" s="374" t="s">
        <v>78</v>
      </c>
      <c r="E1011" s="309" t="s">
        <v>46</v>
      </c>
      <c r="F1011" s="310" t="s">
        <v>87</v>
      </c>
      <c r="G1011" s="311">
        <v>7.54</v>
      </c>
      <c r="H1011" s="311">
        <v>11</v>
      </c>
      <c r="I1011" s="340">
        <v>7.79</v>
      </c>
      <c r="J1011" s="340"/>
      <c r="K1011" s="311"/>
      <c r="L1011" s="340">
        <f t="shared" si="31"/>
        <v>7.79</v>
      </c>
      <c r="M1011" s="313"/>
      <c r="N1011" s="313"/>
      <c r="O1011" s="313"/>
      <c r="P1011" s="313"/>
      <c r="Q1011" s="311"/>
      <c r="R1011" s="392"/>
      <c r="S1011" s="358">
        <f ca="1">IF(C1011&lt;=EOMONTH('&gt;&gt;Vistas Consolidadas'!$D$2, '&gt;&gt;Vistas Consolidadas'!$F$2),J1011+I1011,J1011)</f>
        <v>7.79</v>
      </c>
      <c r="T1011" s="18" t="str">
        <f ca="1">IF(C1011&gt;='&gt;&gt;Vistas Consolidadas'!$D$2,"SI","NO")</f>
        <v>SI</v>
      </c>
      <c r="U1011" s="358">
        <f ca="1">IF(C1011&lt;=EOMONTH('&gt;&gt;Vistas Consolidadas'!$D$2, '&gt;&gt;Vistas Consolidadas'!$F$2),I1011,0)</f>
        <v>7.79</v>
      </c>
      <c r="V1011" s="18" t="b">
        <f ca="1">AND(C1011&gt;='Interes Por Semana'!$C$4, C1011&lt;='Interes Por Semana'!$E$4)</f>
        <v>0</v>
      </c>
      <c r="W1011" s="18" t="str">
        <f t="shared" si="32"/>
        <v>viernes</v>
      </c>
    </row>
    <row r="1012" spans="2:23" hidden="1" x14ac:dyDescent="0.25">
      <c r="B1012" s="337">
        <v>45943</v>
      </c>
      <c r="C1012" s="337">
        <v>46609</v>
      </c>
      <c r="D1012" s="374" t="s">
        <v>78</v>
      </c>
      <c r="E1012" s="309" t="s">
        <v>47</v>
      </c>
      <c r="F1012" s="310" t="s">
        <v>91</v>
      </c>
      <c r="G1012" s="311">
        <v>7.54</v>
      </c>
      <c r="H1012" s="311">
        <v>9.85</v>
      </c>
      <c r="I1012" s="340">
        <v>35.25</v>
      </c>
      <c r="J1012" s="340"/>
      <c r="K1012" s="311"/>
      <c r="L1012" s="340">
        <f t="shared" si="31"/>
        <v>35.25</v>
      </c>
      <c r="M1012" s="313"/>
      <c r="N1012" s="313"/>
      <c r="O1012" s="313"/>
      <c r="P1012" s="313"/>
      <c r="Q1012" s="311"/>
      <c r="R1012" s="392"/>
      <c r="S1012" s="358">
        <f ca="1">IF(C1012&lt;=EOMONTH('&gt;&gt;Vistas Consolidadas'!$D$2, '&gt;&gt;Vistas Consolidadas'!$F$2),J1012+I1012,J1012)</f>
        <v>35.25</v>
      </c>
      <c r="T1012" s="18" t="str">
        <f ca="1">IF(C1012&gt;='&gt;&gt;Vistas Consolidadas'!$D$2,"SI","NO")</f>
        <v>SI</v>
      </c>
      <c r="U1012" s="358">
        <f ca="1">IF(C1012&lt;=EOMONTH('&gt;&gt;Vistas Consolidadas'!$D$2, '&gt;&gt;Vistas Consolidadas'!$F$2),I1012,0)</f>
        <v>35.25</v>
      </c>
      <c r="V1012" s="18" t="b">
        <f ca="1">AND(C1012&gt;='Interes Por Semana'!$C$4, C1012&lt;='Interes Por Semana'!$E$4)</f>
        <v>0</v>
      </c>
      <c r="W1012" s="18" t="str">
        <f t="shared" si="32"/>
        <v>martes</v>
      </c>
    </row>
    <row r="1013" spans="2:23" hidden="1" x14ac:dyDescent="0.25">
      <c r="B1013" s="337">
        <v>46121</v>
      </c>
      <c r="C1013" s="337">
        <v>46611</v>
      </c>
      <c r="D1013" s="374" t="s">
        <v>78</v>
      </c>
      <c r="E1013" s="309" t="s">
        <v>47</v>
      </c>
      <c r="F1013" s="310" t="s">
        <v>93</v>
      </c>
      <c r="G1013" s="311">
        <v>4.71</v>
      </c>
      <c r="H1013" s="311">
        <v>9.5</v>
      </c>
      <c r="I1013" s="340">
        <v>3.53</v>
      </c>
      <c r="J1013" s="340">
        <v>0</v>
      </c>
      <c r="K1013" s="311"/>
      <c r="L1013" s="340">
        <f t="shared" si="31"/>
        <v>3.53</v>
      </c>
      <c r="M1013" s="313"/>
      <c r="N1013" s="313"/>
      <c r="O1013" s="313"/>
      <c r="P1013" s="313"/>
      <c r="Q1013" s="311"/>
      <c r="R1013" s="392"/>
      <c r="S1013" s="358">
        <f ca="1">IF(C1013&lt;=EOMONTH('&gt;&gt;Vistas Consolidadas'!$D$2, '&gt;&gt;Vistas Consolidadas'!$F$2),J1013+I1013,J1013)</f>
        <v>3.53</v>
      </c>
      <c r="T1013" s="18" t="str">
        <f ca="1">IF(C1013&gt;='&gt;&gt;Vistas Consolidadas'!$D$2,"SI","NO")</f>
        <v>SI</v>
      </c>
      <c r="U1013" s="358">
        <f ca="1">IF(C1013&lt;=EOMONTH('&gt;&gt;Vistas Consolidadas'!$D$2, '&gt;&gt;Vistas Consolidadas'!$F$2),I1013,0)</f>
        <v>3.53</v>
      </c>
      <c r="V1013" s="18" t="b">
        <f ca="1">AND(C1013&gt;='Interes Por Semana'!$C$4, C1013&lt;='Interes Por Semana'!$E$4)</f>
        <v>0</v>
      </c>
      <c r="W1013" s="18" t="str">
        <f t="shared" si="32"/>
        <v>jueves</v>
      </c>
    </row>
    <row r="1014" spans="2:23" hidden="1" x14ac:dyDescent="0.25">
      <c r="B1014" s="337">
        <v>45264</v>
      </c>
      <c r="C1014" s="337">
        <v>46616</v>
      </c>
      <c r="D1014" s="374" t="s">
        <v>78</v>
      </c>
      <c r="E1014" s="309" t="s">
        <v>46</v>
      </c>
      <c r="F1014" s="310" t="s">
        <v>99</v>
      </c>
      <c r="G1014" s="311">
        <v>5.64</v>
      </c>
      <c r="H1014" s="311">
        <v>13</v>
      </c>
      <c r="I1014" s="340">
        <v>14.1</v>
      </c>
      <c r="J1014" s="340"/>
      <c r="K1014" s="311"/>
      <c r="L1014" s="340">
        <f t="shared" si="31"/>
        <v>14.1</v>
      </c>
      <c r="M1014" s="313"/>
      <c r="N1014" s="313"/>
      <c r="O1014" s="313"/>
      <c r="P1014" s="313"/>
      <c r="Q1014" s="311"/>
      <c r="R1014" s="392"/>
      <c r="S1014" s="358">
        <f ca="1">IF(C1014&lt;=EOMONTH('&gt;&gt;Vistas Consolidadas'!$D$2, '&gt;&gt;Vistas Consolidadas'!$F$2),J1014+I1014,J1014)</f>
        <v>14.1</v>
      </c>
      <c r="T1014" s="18" t="str">
        <f ca="1">IF(C1014&gt;='&gt;&gt;Vistas Consolidadas'!$D$2,"SI","NO")</f>
        <v>SI</v>
      </c>
      <c r="U1014" s="358">
        <f ca="1">IF(C1014&lt;=EOMONTH('&gt;&gt;Vistas Consolidadas'!$D$2, '&gt;&gt;Vistas Consolidadas'!$F$2),I1014,0)</f>
        <v>14.1</v>
      </c>
      <c r="V1014" s="18" t="b">
        <f ca="1">AND(C1014&gt;='Interes Por Semana'!$C$4, C1014&lt;='Interes Por Semana'!$E$4)</f>
        <v>0</v>
      </c>
      <c r="W1014" s="18" t="str">
        <f t="shared" si="32"/>
        <v>martes</v>
      </c>
    </row>
    <row r="1015" spans="2:23" hidden="1" x14ac:dyDescent="0.25">
      <c r="B1015" s="337">
        <v>45302</v>
      </c>
      <c r="C1015" s="337">
        <v>46616</v>
      </c>
      <c r="D1015" s="374" t="s">
        <v>78</v>
      </c>
      <c r="E1015" s="309" t="s">
        <v>46</v>
      </c>
      <c r="F1015" s="310" t="s">
        <v>99</v>
      </c>
      <c r="G1015" s="311">
        <v>5.64</v>
      </c>
      <c r="H1015" s="311">
        <v>12.75</v>
      </c>
      <c r="I1015" s="340">
        <v>7.28</v>
      </c>
      <c r="J1015" s="340"/>
      <c r="K1015" s="311"/>
      <c r="L1015" s="340">
        <f t="shared" si="31"/>
        <v>7.28</v>
      </c>
      <c r="M1015" s="313"/>
      <c r="N1015" s="313"/>
      <c r="O1015" s="313"/>
      <c r="P1015" s="313"/>
      <c r="Q1015" s="311"/>
      <c r="R1015" s="392"/>
      <c r="S1015" s="358">
        <f ca="1">IF(C1015&lt;=EOMONTH('&gt;&gt;Vistas Consolidadas'!$D$2, '&gt;&gt;Vistas Consolidadas'!$F$2),J1015+I1015,J1015)</f>
        <v>7.28</v>
      </c>
      <c r="T1015" s="18" t="str">
        <f ca="1">IF(C1015&gt;='&gt;&gt;Vistas Consolidadas'!$D$2,"SI","NO")</f>
        <v>SI</v>
      </c>
      <c r="U1015" s="358">
        <f ca="1">IF(C1015&lt;=EOMONTH('&gt;&gt;Vistas Consolidadas'!$D$2, '&gt;&gt;Vistas Consolidadas'!$F$2),I1015,0)</f>
        <v>7.28</v>
      </c>
      <c r="V1015" s="18" t="b">
        <f ca="1">AND(C1015&gt;='Interes Por Semana'!$C$4, C1015&lt;='Interes Por Semana'!$E$4)</f>
        <v>0</v>
      </c>
      <c r="W1015" s="18" t="str">
        <f t="shared" si="32"/>
        <v>martes</v>
      </c>
    </row>
    <row r="1016" spans="2:23" hidden="1" x14ac:dyDescent="0.25">
      <c r="B1016" s="337">
        <v>46006</v>
      </c>
      <c r="C1016" s="337">
        <v>46617</v>
      </c>
      <c r="D1016" s="374" t="s">
        <v>78</v>
      </c>
      <c r="E1016" s="309" t="s">
        <v>46</v>
      </c>
      <c r="F1016" s="310" t="s">
        <v>100</v>
      </c>
      <c r="G1016" s="311">
        <v>5.93</v>
      </c>
      <c r="H1016" s="311">
        <v>8.5</v>
      </c>
      <c r="I1016" s="340">
        <v>23.09</v>
      </c>
      <c r="J1016" s="340"/>
      <c r="K1016" s="311"/>
      <c r="L1016" s="340">
        <f t="shared" si="31"/>
        <v>23.09</v>
      </c>
      <c r="M1016" s="313"/>
      <c r="N1016" s="313"/>
      <c r="O1016" s="313"/>
      <c r="P1016" s="313"/>
      <c r="Q1016" s="311"/>
      <c r="R1016" s="392"/>
      <c r="S1016" s="358">
        <f ca="1">IF(C1016&lt;=EOMONTH('&gt;&gt;Vistas Consolidadas'!$D$2, '&gt;&gt;Vistas Consolidadas'!$F$2),J1016+I1016,J1016)</f>
        <v>23.09</v>
      </c>
      <c r="T1016" s="18" t="str">
        <f ca="1">IF(C1016&gt;='&gt;&gt;Vistas Consolidadas'!$D$2,"SI","NO")</f>
        <v>SI</v>
      </c>
      <c r="U1016" s="358">
        <f ca="1">IF(C1016&lt;=EOMONTH('&gt;&gt;Vistas Consolidadas'!$D$2, '&gt;&gt;Vistas Consolidadas'!$F$2),I1016,0)</f>
        <v>23.09</v>
      </c>
      <c r="V1016" s="18" t="b">
        <f ca="1">AND(C1016&gt;='Interes Por Semana'!$C$4, C1016&lt;='Interes Por Semana'!$E$4)</f>
        <v>0</v>
      </c>
      <c r="W1016" s="18" t="str">
        <f t="shared" si="32"/>
        <v>miércoles</v>
      </c>
    </row>
    <row r="1017" spans="2:23" hidden="1" x14ac:dyDescent="0.25">
      <c r="B1017" s="337">
        <v>45734</v>
      </c>
      <c r="C1017" s="337">
        <v>46617</v>
      </c>
      <c r="D1017" s="374" t="s">
        <v>78</v>
      </c>
      <c r="E1017" s="309" t="s">
        <v>47</v>
      </c>
      <c r="F1017" s="310" t="s">
        <v>101</v>
      </c>
      <c r="G1017" s="311">
        <v>5.93</v>
      </c>
      <c r="H1017" s="311">
        <v>12</v>
      </c>
      <c r="I1017" s="340">
        <v>8.94</v>
      </c>
      <c r="J1017" s="340"/>
      <c r="K1017" s="311"/>
      <c r="L1017" s="340">
        <f t="shared" si="31"/>
        <v>8.94</v>
      </c>
      <c r="M1017" s="313"/>
      <c r="N1017" s="313"/>
      <c r="O1017" s="313"/>
      <c r="P1017" s="313"/>
      <c r="Q1017" s="311"/>
      <c r="R1017" s="392"/>
      <c r="S1017" s="358">
        <f ca="1">IF(C1017&lt;=EOMONTH('&gt;&gt;Vistas Consolidadas'!$D$2, '&gt;&gt;Vistas Consolidadas'!$F$2),J1017+I1017,J1017)</f>
        <v>8.94</v>
      </c>
      <c r="T1017" s="18" t="str">
        <f ca="1">IF(C1017&gt;='&gt;&gt;Vistas Consolidadas'!$D$2,"SI","NO")</f>
        <v>SI</v>
      </c>
      <c r="U1017" s="358">
        <f ca="1">IF(C1017&lt;=EOMONTH('&gt;&gt;Vistas Consolidadas'!$D$2, '&gt;&gt;Vistas Consolidadas'!$F$2),I1017,0)</f>
        <v>8.94</v>
      </c>
      <c r="V1017" s="18" t="b">
        <f ca="1">AND(C1017&gt;='Interes Por Semana'!$C$4, C1017&lt;='Interes Por Semana'!$E$4)</f>
        <v>0</v>
      </c>
      <c r="W1017" s="18" t="str">
        <f t="shared" si="32"/>
        <v>miércoles</v>
      </c>
    </row>
    <row r="1018" spans="2:23" hidden="1" x14ac:dyDescent="0.25">
      <c r="B1018" s="337">
        <v>45264</v>
      </c>
      <c r="C1018" s="337">
        <v>46620</v>
      </c>
      <c r="D1018" s="374" t="s">
        <v>78</v>
      </c>
      <c r="E1018" s="309" t="s">
        <v>46</v>
      </c>
      <c r="F1018" s="310" t="s">
        <v>103</v>
      </c>
      <c r="G1018" s="311">
        <v>5.36</v>
      </c>
      <c r="H1018" s="311">
        <v>13</v>
      </c>
      <c r="I1018" s="340">
        <v>5.58</v>
      </c>
      <c r="J1018" s="340"/>
      <c r="K1018" s="311"/>
      <c r="L1018" s="340">
        <f t="shared" si="31"/>
        <v>5.58</v>
      </c>
      <c r="M1018" s="313"/>
      <c r="N1018" s="313"/>
      <c r="O1018" s="313"/>
      <c r="P1018" s="313"/>
      <c r="Q1018" s="311"/>
      <c r="R1018" s="392"/>
      <c r="S1018" s="358">
        <f ca="1">IF(C1018&lt;=EOMONTH('&gt;&gt;Vistas Consolidadas'!$D$2, '&gt;&gt;Vistas Consolidadas'!$F$2),J1018+I1018,J1018)</f>
        <v>5.58</v>
      </c>
      <c r="T1018" s="18" t="str">
        <f ca="1">IF(C1018&gt;='&gt;&gt;Vistas Consolidadas'!$D$2,"SI","NO")</f>
        <v>SI</v>
      </c>
      <c r="U1018" s="358">
        <f ca="1">IF(C1018&lt;=EOMONTH('&gt;&gt;Vistas Consolidadas'!$D$2, '&gt;&gt;Vistas Consolidadas'!$F$2),I1018,0)</f>
        <v>5.58</v>
      </c>
      <c r="V1018" s="18" t="b">
        <f ca="1">AND(C1018&gt;='Interes Por Semana'!$C$4, C1018&lt;='Interes Por Semana'!$E$4)</f>
        <v>0</v>
      </c>
      <c r="W1018" s="18" t="str">
        <f t="shared" si="32"/>
        <v>sábado</v>
      </c>
    </row>
    <row r="1019" spans="2:23" hidden="1" x14ac:dyDescent="0.25">
      <c r="B1019" s="337">
        <v>45279</v>
      </c>
      <c r="C1019" s="337">
        <v>46620</v>
      </c>
      <c r="D1019" s="374" t="s">
        <v>78</v>
      </c>
      <c r="E1019" s="309" t="s">
        <v>46</v>
      </c>
      <c r="F1019" s="310" t="s">
        <v>103</v>
      </c>
      <c r="G1019" s="311">
        <v>5.36</v>
      </c>
      <c r="H1019" s="311">
        <v>13</v>
      </c>
      <c r="I1019" s="340">
        <v>3.13</v>
      </c>
      <c r="J1019" s="340"/>
      <c r="K1019" s="311"/>
      <c r="L1019" s="340">
        <f t="shared" si="31"/>
        <v>3.13</v>
      </c>
      <c r="M1019" s="313"/>
      <c r="N1019" s="313"/>
      <c r="O1019" s="313"/>
      <c r="P1019" s="313"/>
      <c r="Q1019" s="311"/>
      <c r="R1019" s="392"/>
      <c r="S1019" s="358">
        <f ca="1">IF(C1019&lt;=EOMONTH('&gt;&gt;Vistas Consolidadas'!$D$2, '&gt;&gt;Vistas Consolidadas'!$F$2),J1019+I1019,J1019)</f>
        <v>3.13</v>
      </c>
      <c r="T1019" s="18" t="str">
        <f ca="1">IF(C1019&gt;='&gt;&gt;Vistas Consolidadas'!$D$2,"SI","NO")</f>
        <v>SI</v>
      </c>
      <c r="U1019" s="358">
        <f ca="1">IF(C1019&lt;=EOMONTH('&gt;&gt;Vistas Consolidadas'!$D$2, '&gt;&gt;Vistas Consolidadas'!$F$2),I1019,0)</f>
        <v>3.13</v>
      </c>
      <c r="V1019" s="18" t="b">
        <f ca="1">AND(C1019&gt;='Interes Por Semana'!$C$4, C1019&lt;='Interes Por Semana'!$E$4)</f>
        <v>0</v>
      </c>
      <c r="W1019" s="18" t="str">
        <f t="shared" si="32"/>
        <v>sábado</v>
      </c>
    </row>
    <row r="1020" spans="2:23" hidden="1" x14ac:dyDescent="0.25">
      <c r="B1020" s="337">
        <v>45552</v>
      </c>
      <c r="C1020" s="337">
        <v>46620</v>
      </c>
      <c r="D1020" s="374" t="s">
        <v>78</v>
      </c>
      <c r="E1020" s="309" t="s">
        <v>47</v>
      </c>
      <c r="F1020" s="310" t="s">
        <v>103</v>
      </c>
      <c r="G1020" s="311">
        <v>5.36</v>
      </c>
      <c r="H1020" s="311">
        <v>13.75</v>
      </c>
      <c r="I1020" s="340">
        <v>4.47</v>
      </c>
      <c r="J1020" s="340"/>
      <c r="K1020" s="311"/>
      <c r="L1020" s="340">
        <f t="shared" ref="L1020:L1083" si="33">I1020</f>
        <v>4.47</v>
      </c>
      <c r="M1020" s="313"/>
      <c r="N1020" s="313"/>
      <c r="O1020" s="313"/>
      <c r="P1020" s="313"/>
      <c r="Q1020" s="311"/>
      <c r="R1020" s="392"/>
      <c r="S1020" s="358">
        <f ca="1">IF(C1020&lt;=EOMONTH('&gt;&gt;Vistas Consolidadas'!$D$2, '&gt;&gt;Vistas Consolidadas'!$F$2),J1020+I1020,J1020)</f>
        <v>4.47</v>
      </c>
      <c r="T1020" s="18" t="str">
        <f ca="1">IF(C1020&gt;='&gt;&gt;Vistas Consolidadas'!$D$2,"SI","NO")</f>
        <v>SI</v>
      </c>
      <c r="U1020" s="358">
        <f ca="1">IF(C1020&lt;=EOMONTH('&gt;&gt;Vistas Consolidadas'!$D$2, '&gt;&gt;Vistas Consolidadas'!$F$2),I1020,0)</f>
        <v>4.47</v>
      </c>
      <c r="V1020" s="18" t="b">
        <f ca="1">AND(C1020&gt;='Interes Por Semana'!$C$4, C1020&lt;='Interes Por Semana'!$E$4)</f>
        <v>0</v>
      </c>
      <c r="W1020" s="18" t="str">
        <f t="shared" si="32"/>
        <v>sábado</v>
      </c>
    </row>
    <row r="1021" spans="2:23" hidden="1" x14ac:dyDescent="0.25">
      <c r="B1021" s="337">
        <v>45447</v>
      </c>
      <c r="C1021" s="337">
        <v>46623</v>
      </c>
      <c r="D1021" s="374" t="s">
        <v>78</v>
      </c>
      <c r="E1021" s="309" t="s">
        <v>47</v>
      </c>
      <c r="F1021" s="310" t="s">
        <v>105</v>
      </c>
      <c r="G1021" s="311">
        <v>5.93</v>
      </c>
      <c r="H1021" s="311">
        <v>13.25</v>
      </c>
      <c r="I1021" s="340">
        <v>29.65</v>
      </c>
      <c r="J1021" s="340"/>
      <c r="K1021" s="311"/>
      <c r="L1021" s="340">
        <f t="shared" si="33"/>
        <v>29.65</v>
      </c>
      <c r="M1021" s="313"/>
      <c r="N1021" s="313"/>
      <c r="O1021" s="313"/>
      <c r="P1021" s="313"/>
      <c r="Q1021" s="311"/>
      <c r="R1021" s="392"/>
      <c r="S1021" s="358">
        <f ca="1">IF(C1021&lt;=EOMONTH('&gt;&gt;Vistas Consolidadas'!$D$2, '&gt;&gt;Vistas Consolidadas'!$F$2),J1021+I1021,J1021)</f>
        <v>29.65</v>
      </c>
      <c r="T1021" s="18" t="str">
        <f ca="1">IF(C1021&gt;='&gt;&gt;Vistas Consolidadas'!$D$2,"SI","NO")</f>
        <v>SI</v>
      </c>
      <c r="U1021" s="358">
        <f ca="1">IF(C1021&lt;=EOMONTH('&gt;&gt;Vistas Consolidadas'!$D$2, '&gt;&gt;Vistas Consolidadas'!$F$2),I1021,0)</f>
        <v>29.65</v>
      </c>
      <c r="V1021" s="18" t="b">
        <f ca="1">AND(C1021&gt;='Interes Por Semana'!$C$4, C1021&lt;='Interes Por Semana'!$E$4)</f>
        <v>0</v>
      </c>
      <c r="W1021" s="18" t="str">
        <f t="shared" si="32"/>
        <v>martes</v>
      </c>
    </row>
    <row r="1022" spans="2:23" hidden="1" x14ac:dyDescent="0.25">
      <c r="B1022" s="337">
        <v>45832</v>
      </c>
      <c r="C1022" s="337">
        <v>46624</v>
      </c>
      <c r="D1022" s="374" t="s">
        <v>78</v>
      </c>
      <c r="E1022" s="309" t="s">
        <v>47</v>
      </c>
      <c r="F1022" s="310" t="s">
        <v>106</v>
      </c>
      <c r="G1022" s="311">
        <v>5.93</v>
      </c>
      <c r="H1022" s="311">
        <v>11</v>
      </c>
      <c r="I1022" s="340">
        <v>22.41</v>
      </c>
      <c r="J1022" s="340"/>
      <c r="K1022" s="311"/>
      <c r="L1022" s="340">
        <f t="shared" si="33"/>
        <v>22.41</v>
      </c>
      <c r="M1022" s="313"/>
      <c r="N1022" s="313"/>
      <c r="O1022" s="313"/>
      <c r="P1022" s="313"/>
      <c r="Q1022" s="311"/>
      <c r="R1022" s="392"/>
      <c r="S1022" s="358">
        <f ca="1">IF(C1022&lt;=EOMONTH('&gt;&gt;Vistas Consolidadas'!$D$2, '&gt;&gt;Vistas Consolidadas'!$F$2),J1022+I1022,J1022)</f>
        <v>22.41</v>
      </c>
      <c r="T1022" s="18" t="str">
        <f ca="1">IF(C1022&gt;='&gt;&gt;Vistas Consolidadas'!$D$2,"SI","NO")</f>
        <v>SI</v>
      </c>
      <c r="U1022" s="358">
        <f ca="1">IF(C1022&lt;=EOMONTH('&gt;&gt;Vistas Consolidadas'!$D$2, '&gt;&gt;Vistas Consolidadas'!$F$2),I1022,0)</f>
        <v>22.41</v>
      </c>
      <c r="V1022" s="18" t="b">
        <f ca="1">AND(C1022&gt;='Interes Por Semana'!$C$4, C1022&lt;='Interes Por Semana'!$E$4)</f>
        <v>0</v>
      </c>
      <c r="W1022" s="18" t="str">
        <f t="shared" si="32"/>
        <v>miércoles</v>
      </c>
    </row>
    <row r="1023" spans="2:23" hidden="1" x14ac:dyDescent="0.25">
      <c r="B1023" s="337">
        <v>45889</v>
      </c>
      <c r="C1023" s="337">
        <v>46624</v>
      </c>
      <c r="D1023" s="374" t="s">
        <v>78</v>
      </c>
      <c r="E1023" s="309" t="s">
        <v>47</v>
      </c>
      <c r="F1023" s="310" t="s">
        <v>106</v>
      </c>
      <c r="G1023" s="311">
        <v>6.21</v>
      </c>
      <c r="H1023" s="311">
        <v>9.75</v>
      </c>
      <c r="I1023" s="340">
        <v>4.5</v>
      </c>
      <c r="J1023" s="340"/>
      <c r="K1023" s="311"/>
      <c r="L1023" s="340">
        <f t="shared" si="33"/>
        <v>4.5</v>
      </c>
      <c r="M1023" s="313"/>
      <c r="N1023" s="313"/>
      <c r="O1023" s="313"/>
      <c r="P1023" s="313"/>
      <c r="Q1023" s="311"/>
      <c r="R1023" s="392"/>
      <c r="S1023" s="358">
        <f ca="1">IF(C1023&lt;=EOMONTH('&gt;&gt;Vistas Consolidadas'!$D$2, '&gt;&gt;Vistas Consolidadas'!$F$2),J1023+I1023,J1023)</f>
        <v>4.5</v>
      </c>
      <c r="T1023" s="18" t="str">
        <f ca="1">IF(C1023&gt;='&gt;&gt;Vistas Consolidadas'!$D$2,"SI","NO")</f>
        <v>SI</v>
      </c>
      <c r="U1023" s="358">
        <f ca="1">IF(C1023&lt;=EOMONTH('&gt;&gt;Vistas Consolidadas'!$D$2, '&gt;&gt;Vistas Consolidadas'!$F$2),I1023,0)</f>
        <v>4.5</v>
      </c>
      <c r="V1023" s="18" t="b">
        <f ca="1">AND(C1023&gt;='Interes Por Semana'!$C$4, C1023&lt;='Interes Por Semana'!$E$4)</f>
        <v>0</v>
      </c>
      <c r="W1023" s="18" t="str">
        <f t="shared" si="32"/>
        <v>miércoles</v>
      </c>
    </row>
    <row r="1024" spans="2:23" hidden="1" x14ac:dyDescent="0.25">
      <c r="B1024" s="337">
        <v>45889</v>
      </c>
      <c r="C1024" s="337">
        <v>46624</v>
      </c>
      <c r="D1024" s="374" t="s">
        <v>78</v>
      </c>
      <c r="E1024" s="309" t="s">
        <v>46</v>
      </c>
      <c r="F1024" s="310" t="s">
        <v>106</v>
      </c>
      <c r="G1024" s="311">
        <v>6.21</v>
      </c>
      <c r="H1024" s="311">
        <v>10.75</v>
      </c>
      <c r="I1024" s="340">
        <v>25.88</v>
      </c>
      <c r="J1024" s="340"/>
      <c r="K1024" s="311"/>
      <c r="L1024" s="340">
        <f t="shared" si="33"/>
        <v>25.88</v>
      </c>
      <c r="M1024" s="313"/>
      <c r="N1024" s="313"/>
      <c r="O1024" s="313"/>
      <c r="P1024" s="313"/>
      <c r="Q1024" s="311"/>
      <c r="R1024" s="392"/>
      <c r="S1024" s="358">
        <f ca="1">IF(C1024&lt;=EOMONTH('&gt;&gt;Vistas Consolidadas'!$D$2, '&gt;&gt;Vistas Consolidadas'!$F$2),J1024+I1024,J1024)</f>
        <v>25.88</v>
      </c>
      <c r="T1024" s="18" t="str">
        <f ca="1">IF(C1024&gt;='&gt;&gt;Vistas Consolidadas'!$D$2,"SI","NO")</f>
        <v>SI</v>
      </c>
      <c r="U1024" s="358">
        <f ca="1">IF(C1024&lt;=EOMONTH('&gt;&gt;Vistas Consolidadas'!$D$2, '&gt;&gt;Vistas Consolidadas'!$F$2),I1024,0)</f>
        <v>25.88</v>
      </c>
      <c r="V1024" s="18" t="b">
        <f ca="1">AND(C1024&gt;='Interes Por Semana'!$C$4, C1024&lt;='Interes Por Semana'!$E$4)</f>
        <v>0</v>
      </c>
      <c r="W1024" s="18" t="str">
        <f t="shared" si="32"/>
        <v>miércoles</v>
      </c>
    </row>
    <row r="1025" spans="2:23" hidden="1" x14ac:dyDescent="0.25">
      <c r="B1025" s="337">
        <v>45593</v>
      </c>
      <c r="C1025" s="337">
        <v>46625</v>
      </c>
      <c r="D1025" s="374" t="s">
        <v>78</v>
      </c>
      <c r="E1025" s="309" t="s">
        <v>47</v>
      </c>
      <c r="F1025" s="310" t="s">
        <v>107</v>
      </c>
      <c r="G1025" s="311">
        <v>5.07</v>
      </c>
      <c r="H1025" s="311">
        <v>13</v>
      </c>
      <c r="I1025" s="340">
        <v>11.41</v>
      </c>
      <c r="J1025" s="340"/>
      <c r="K1025" s="311"/>
      <c r="L1025" s="340">
        <f t="shared" si="33"/>
        <v>11.41</v>
      </c>
      <c r="M1025" s="313"/>
      <c r="N1025" s="313"/>
      <c r="O1025" s="313"/>
      <c r="P1025" s="313"/>
      <c r="Q1025" s="311"/>
      <c r="R1025" s="392"/>
      <c r="S1025" s="358">
        <f ca="1">IF(C1025&lt;=EOMONTH('&gt;&gt;Vistas Consolidadas'!$D$2, '&gt;&gt;Vistas Consolidadas'!$F$2),J1025+I1025,J1025)</f>
        <v>11.41</v>
      </c>
      <c r="T1025" s="18" t="str">
        <f ca="1">IF(C1025&gt;='&gt;&gt;Vistas Consolidadas'!$D$2,"SI","NO")</f>
        <v>SI</v>
      </c>
      <c r="U1025" s="358">
        <f ca="1">IF(C1025&lt;=EOMONTH('&gt;&gt;Vistas Consolidadas'!$D$2, '&gt;&gt;Vistas Consolidadas'!$F$2),I1025,0)</f>
        <v>11.41</v>
      </c>
      <c r="V1025" s="18" t="b">
        <f ca="1">AND(C1025&gt;='Interes Por Semana'!$C$4, C1025&lt;='Interes Por Semana'!$E$4)</f>
        <v>0</v>
      </c>
      <c r="W1025" s="18" t="str">
        <f t="shared" si="32"/>
        <v>jueves</v>
      </c>
    </row>
    <row r="1026" spans="2:23" hidden="1" x14ac:dyDescent="0.25">
      <c r="B1026" s="337">
        <v>44830</v>
      </c>
      <c r="C1026" s="337">
        <v>46626</v>
      </c>
      <c r="D1026" s="374" t="s">
        <v>78</v>
      </c>
      <c r="E1026" s="309" t="s">
        <v>47</v>
      </c>
      <c r="F1026" s="310" t="s">
        <v>108</v>
      </c>
      <c r="G1026" s="311">
        <v>5.64</v>
      </c>
      <c r="H1026" s="311">
        <v>10.199999999999999</v>
      </c>
      <c r="I1026" s="340">
        <v>9.4</v>
      </c>
      <c r="J1026" s="340"/>
      <c r="K1026" s="311"/>
      <c r="L1026" s="340">
        <f t="shared" si="33"/>
        <v>9.4</v>
      </c>
      <c r="M1026" s="313"/>
      <c r="N1026" s="313"/>
      <c r="O1026" s="313"/>
      <c r="P1026" s="313"/>
      <c r="Q1026" s="311"/>
      <c r="R1026" s="392"/>
      <c r="S1026" s="358">
        <f ca="1">IF(C1026&lt;=EOMONTH('&gt;&gt;Vistas Consolidadas'!$D$2, '&gt;&gt;Vistas Consolidadas'!$F$2),J1026+I1026,J1026)</f>
        <v>9.4</v>
      </c>
      <c r="T1026" s="18" t="str">
        <f ca="1">IF(C1026&gt;='&gt;&gt;Vistas Consolidadas'!$D$2,"SI","NO")</f>
        <v>SI</v>
      </c>
      <c r="U1026" s="358">
        <f ca="1">IF(C1026&lt;=EOMONTH('&gt;&gt;Vistas Consolidadas'!$D$2, '&gt;&gt;Vistas Consolidadas'!$F$2),I1026,0)</f>
        <v>9.4</v>
      </c>
      <c r="V1026" s="18" t="b">
        <f ca="1">AND(C1026&gt;='Interes Por Semana'!$C$4, C1026&lt;='Interes Por Semana'!$E$4)</f>
        <v>0</v>
      </c>
      <c r="W1026" s="18" t="str">
        <f t="shared" si="32"/>
        <v>viernes</v>
      </c>
    </row>
    <row r="1027" spans="2:23" hidden="1" x14ac:dyDescent="0.25">
      <c r="B1027" s="337">
        <v>46057</v>
      </c>
      <c r="C1027" s="337">
        <v>46626</v>
      </c>
      <c r="D1027" s="374" t="s">
        <v>78</v>
      </c>
      <c r="E1027" s="309" t="s">
        <v>47</v>
      </c>
      <c r="F1027" s="310" t="s">
        <v>109</v>
      </c>
      <c r="G1027" s="311">
        <v>6.21</v>
      </c>
      <c r="H1027" s="311">
        <v>11</v>
      </c>
      <c r="I1027" s="340">
        <v>15.61</v>
      </c>
      <c r="J1027" s="340"/>
      <c r="K1027" s="311"/>
      <c r="L1027" s="340">
        <f t="shared" si="33"/>
        <v>15.61</v>
      </c>
      <c r="M1027" s="313"/>
      <c r="N1027" s="313"/>
      <c r="O1027" s="313"/>
      <c r="P1027" s="313"/>
      <c r="Q1027" s="311"/>
      <c r="R1027" s="392"/>
      <c r="S1027" s="358">
        <f ca="1">IF(C1027&lt;=EOMONTH('&gt;&gt;Vistas Consolidadas'!$D$2, '&gt;&gt;Vistas Consolidadas'!$F$2),J1027+I1027,J1027)</f>
        <v>15.61</v>
      </c>
      <c r="T1027" s="18" t="str">
        <f ca="1">IF(C1027&gt;='&gt;&gt;Vistas Consolidadas'!$D$2,"SI","NO")</f>
        <v>SI</v>
      </c>
      <c r="U1027" s="358">
        <f ca="1">IF(C1027&lt;=EOMONTH('&gt;&gt;Vistas Consolidadas'!$D$2, '&gt;&gt;Vistas Consolidadas'!$F$2),I1027,0)</f>
        <v>15.61</v>
      </c>
      <c r="V1027" s="18" t="b">
        <f ca="1">AND(C1027&gt;='Interes Por Semana'!$C$4, C1027&lt;='Interes Por Semana'!$E$4)</f>
        <v>0</v>
      </c>
      <c r="W1027" s="18" t="str">
        <f t="shared" ref="W1027:W1090" si="34">TEXT(C1027, "dddd")</f>
        <v>viernes</v>
      </c>
    </row>
    <row r="1028" spans="2:23" hidden="1" x14ac:dyDescent="0.25">
      <c r="B1028" s="337">
        <v>46080</v>
      </c>
      <c r="C1028" s="337">
        <v>46626</v>
      </c>
      <c r="D1028" s="374" t="s">
        <v>78</v>
      </c>
      <c r="E1028" s="309" t="s">
        <v>46</v>
      </c>
      <c r="F1028" s="310" t="s">
        <v>110</v>
      </c>
      <c r="G1028" s="311">
        <v>6.21</v>
      </c>
      <c r="H1028" s="311">
        <v>10.6</v>
      </c>
      <c r="I1028" s="340">
        <v>17.79</v>
      </c>
      <c r="J1028" s="340"/>
      <c r="K1028" s="311"/>
      <c r="L1028" s="340">
        <f t="shared" si="33"/>
        <v>17.79</v>
      </c>
      <c r="M1028" s="313"/>
      <c r="N1028" s="313"/>
      <c r="O1028" s="313"/>
      <c r="P1028" s="313"/>
      <c r="Q1028" s="311"/>
      <c r="R1028" s="392"/>
      <c r="S1028" s="358">
        <f ca="1">IF(C1028&lt;=EOMONTH('&gt;&gt;Vistas Consolidadas'!$D$2, '&gt;&gt;Vistas Consolidadas'!$F$2),J1028+I1028,J1028)</f>
        <v>17.79</v>
      </c>
      <c r="T1028" s="18" t="str">
        <f ca="1">IF(C1028&gt;='&gt;&gt;Vistas Consolidadas'!$D$2,"SI","NO")</f>
        <v>SI</v>
      </c>
      <c r="U1028" s="358">
        <f ca="1">IF(C1028&lt;=EOMONTH('&gt;&gt;Vistas Consolidadas'!$D$2, '&gt;&gt;Vistas Consolidadas'!$F$2),I1028,0)</f>
        <v>17.79</v>
      </c>
      <c r="V1028" s="18" t="b">
        <f ca="1">AND(C1028&gt;='Interes Por Semana'!$C$4, C1028&lt;='Interes Por Semana'!$E$4)</f>
        <v>0</v>
      </c>
      <c r="W1028" s="18" t="str">
        <f t="shared" si="34"/>
        <v>viernes</v>
      </c>
    </row>
    <row r="1029" spans="2:23" hidden="1" x14ac:dyDescent="0.25">
      <c r="B1029" s="337">
        <v>45987</v>
      </c>
      <c r="C1029" s="337">
        <v>46627</v>
      </c>
      <c r="D1029" s="374" t="s">
        <v>78</v>
      </c>
      <c r="E1029" s="309" t="s">
        <v>46</v>
      </c>
      <c r="F1029" s="310" t="s">
        <v>111</v>
      </c>
      <c r="G1029" s="311">
        <v>6.82</v>
      </c>
      <c r="H1029" s="311">
        <v>11</v>
      </c>
      <c r="I1029" s="340">
        <v>6.82</v>
      </c>
      <c r="J1029" s="340">
        <v>0</v>
      </c>
      <c r="K1029" s="311"/>
      <c r="L1029" s="340">
        <f t="shared" si="33"/>
        <v>6.82</v>
      </c>
      <c r="M1029" s="313"/>
      <c r="N1029" s="313"/>
      <c r="O1029" s="313"/>
      <c r="P1029" s="313"/>
      <c r="Q1029" s="311"/>
      <c r="R1029" s="392"/>
      <c r="S1029" s="358">
        <f ca="1">IF(C1029&lt;=EOMONTH('&gt;&gt;Vistas Consolidadas'!$D$2, '&gt;&gt;Vistas Consolidadas'!$F$2),J1029+I1029,J1029)</f>
        <v>6.82</v>
      </c>
      <c r="T1029" s="18" t="str">
        <f ca="1">IF(C1029&gt;='&gt;&gt;Vistas Consolidadas'!$D$2,"SI","NO")</f>
        <v>SI</v>
      </c>
      <c r="U1029" s="358">
        <f ca="1">IF(C1029&lt;=EOMONTH('&gt;&gt;Vistas Consolidadas'!$D$2, '&gt;&gt;Vistas Consolidadas'!$F$2),I1029,0)</f>
        <v>6.82</v>
      </c>
      <c r="V1029" s="18" t="b">
        <f ca="1">AND(C1029&gt;='Interes Por Semana'!$C$4, C1029&lt;='Interes Por Semana'!$E$4)</f>
        <v>0</v>
      </c>
      <c r="W1029" s="18" t="str">
        <f t="shared" si="34"/>
        <v>sábado</v>
      </c>
    </row>
    <row r="1030" spans="2:23" hidden="1" x14ac:dyDescent="0.25">
      <c r="B1030" s="337">
        <v>46149</v>
      </c>
      <c r="C1030" s="337">
        <v>46607</v>
      </c>
      <c r="D1030" s="374" t="s">
        <v>78</v>
      </c>
      <c r="E1030" s="309" t="s">
        <v>138</v>
      </c>
      <c r="F1030" s="310" t="s">
        <v>153</v>
      </c>
      <c r="G1030" s="311">
        <v>7.72</v>
      </c>
      <c r="H1030" s="311">
        <v>9</v>
      </c>
      <c r="I1030" s="340">
        <v>67.55</v>
      </c>
      <c r="J1030" s="340"/>
      <c r="K1030" s="311"/>
      <c r="L1030" s="340">
        <f t="shared" si="33"/>
        <v>67.55</v>
      </c>
      <c r="M1030" s="311"/>
      <c r="N1030" s="311"/>
      <c r="O1030" s="311"/>
      <c r="P1030" s="311"/>
      <c r="Q1030" s="386"/>
      <c r="R1030" s="392"/>
      <c r="S1030" s="358">
        <f ca="1">IF(C1030&lt;=EOMONTH('&gt;&gt;Vistas Consolidadas'!$D$2, '&gt;&gt;Vistas Consolidadas'!$F$2),J1030+I1030,J1030)</f>
        <v>67.55</v>
      </c>
      <c r="T1030" s="18" t="str">
        <f ca="1">IF(C1030&gt;='&gt;&gt;Vistas Consolidadas'!$D$2,"SI","NO")</f>
        <v>SI</v>
      </c>
      <c r="U1030" s="358">
        <f ca="1">IF(C1030&lt;=EOMONTH('&gt;&gt;Vistas Consolidadas'!$D$2, '&gt;&gt;Vistas Consolidadas'!$F$2),I1030,0)</f>
        <v>67.55</v>
      </c>
      <c r="V1030" s="18" t="b">
        <f ca="1">AND(C1030&gt;='Interes Por Semana'!$C$4, C1030&lt;='Interes Por Semana'!$E$4)</f>
        <v>0</v>
      </c>
      <c r="W1030" s="18" t="str">
        <f t="shared" si="34"/>
        <v>domingo</v>
      </c>
    </row>
    <row r="1031" spans="2:23" hidden="1" x14ac:dyDescent="0.25">
      <c r="B1031" s="337">
        <v>46149</v>
      </c>
      <c r="C1031" s="337">
        <v>46607</v>
      </c>
      <c r="D1031" s="374" t="s">
        <v>78</v>
      </c>
      <c r="E1031" s="309" t="s">
        <v>47</v>
      </c>
      <c r="F1031" s="310" t="s">
        <v>153</v>
      </c>
      <c r="G1031" s="311">
        <v>7.72</v>
      </c>
      <c r="H1031" s="311">
        <v>9</v>
      </c>
      <c r="I1031" s="340">
        <v>122.46</v>
      </c>
      <c r="J1031" s="340"/>
      <c r="K1031" s="311"/>
      <c r="L1031" s="340">
        <f t="shared" si="33"/>
        <v>122.46</v>
      </c>
      <c r="M1031" s="311"/>
      <c r="N1031" s="311"/>
      <c r="O1031" s="311"/>
      <c r="P1031" s="311"/>
      <c r="Q1031" s="386"/>
      <c r="R1031" s="392"/>
      <c r="S1031" s="358">
        <f ca="1">IF(C1031&lt;=EOMONTH('&gt;&gt;Vistas Consolidadas'!$D$2, '&gt;&gt;Vistas Consolidadas'!$F$2),J1031+I1031,J1031)</f>
        <v>122.46</v>
      </c>
      <c r="T1031" s="18" t="str">
        <f ca="1">IF(C1031&gt;='&gt;&gt;Vistas Consolidadas'!$D$2,"SI","NO")</f>
        <v>SI</v>
      </c>
      <c r="U1031" s="358">
        <f ca="1">IF(C1031&lt;=EOMONTH('&gt;&gt;Vistas Consolidadas'!$D$2, '&gt;&gt;Vistas Consolidadas'!$F$2),I1031,0)</f>
        <v>122.46</v>
      </c>
      <c r="V1031" s="18" t="b">
        <f ca="1">AND(C1031&gt;='Interes Por Semana'!$C$4, C1031&lt;='Interes Por Semana'!$E$4)</f>
        <v>0</v>
      </c>
      <c r="W1031" s="18" t="str">
        <f t="shared" si="34"/>
        <v>domingo</v>
      </c>
    </row>
    <row r="1032" spans="2:23" hidden="1" x14ac:dyDescent="0.25">
      <c r="B1032" s="337">
        <v>46149</v>
      </c>
      <c r="C1032" s="337">
        <v>46617</v>
      </c>
      <c r="D1032" s="374" t="s">
        <v>78</v>
      </c>
      <c r="E1032" s="309" t="s">
        <v>47</v>
      </c>
      <c r="F1032" s="310" t="s">
        <v>154</v>
      </c>
      <c r="G1032" s="311">
        <v>6.21</v>
      </c>
      <c r="H1032" s="311">
        <v>9</v>
      </c>
      <c r="I1032" s="387">
        <v>188.11</v>
      </c>
      <c r="J1032" s="340"/>
      <c r="K1032" s="311"/>
      <c r="L1032" s="340">
        <f t="shared" si="33"/>
        <v>188.11</v>
      </c>
      <c r="M1032" s="311"/>
      <c r="N1032" s="311"/>
      <c r="O1032" s="311"/>
      <c r="P1032" s="311"/>
      <c r="Q1032" s="386"/>
      <c r="R1032" s="392"/>
      <c r="S1032" s="358">
        <f ca="1">IF(C1032&lt;=EOMONTH('&gt;&gt;Vistas Consolidadas'!$D$2, '&gt;&gt;Vistas Consolidadas'!$F$2),J1032+I1032,J1032)</f>
        <v>188.11</v>
      </c>
      <c r="T1032" s="18" t="str">
        <f ca="1">IF(C1032&gt;='&gt;&gt;Vistas Consolidadas'!$D$2,"SI","NO")</f>
        <v>SI</v>
      </c>
      <c r="U1032" s="358">
        <f ca="1">IF(C1032&lt;=EOMONTH('&gt;&gt;Vistas Consolidadas'!$D$2, '&gt;&gt;Vistas Consolidadas'!$F$2),I1032,0)</f>
        <v>188.11</v>
      </c>
      <c r="V1032" s="18" t="b">
        <f ca="1">AND(C1032&gt;='Interes Por Semana'!$C$4, C1032&lt;='Interes Por Semana'!$E$4)</f>
        <v>0</v>
      </c>
      <c r="W1032" s="18" t="str">
        <f t="shared" si="34"/>
        <v>miércoles</v>
      </c>
    </row>
    <row r="1033" spans="2:23" hidden="1" x14ac:dyDescent="0.25">
      <c r="B1033" s="337">
        <v>46157</v>
      </c>
      <c r="C1033" s="337">
        <v>46606</v>
      </c>
      <c r="D1033" s="374" t="s">
        <v>78</v>
      </c>
      <c r="E1033" s="309" t="s">
        <v>47</v>
      </c>
      <c r="F1033" s="310" t="s">
        <v>156</v>
      </c>
      <c r="G1033" s="311">
        <v>7.93</v>
      </c>
      <c r="H1033" s="311">
        <v>9.9247584100000008</v>
      </c>
      <c r="I1033" s="340">
        <v>131.09281250000001</v>
      </c>
      <c r="J1033" s="340"/>
      <c r="K1033" s="311"/>
      <c r="L1033" s="340">
        <f t="shared" si="33"/>
        <v>131.09281250000001</v>
      </c>
      <c r="M1033" s="311"/>
      <c r="N1033" s="311"/>
      <c r="O1033" s="311"/>
      <c r="P1033" s="311"/>
      <c r="Q1033" s="386"/>
      <c r="R1033" s="392"/>
      <c r="S1033" s="358">
        <f ca="1">IF(C1033&lt;=EOMONTH('&gt;&gt;Vistas Consolidadas'!$D$2, '&gt;&gt;Vistas Consolidadas'!$F$2),J1033+I1033,J1033)</f>
        <v>131.09281250000001</v>
      </c>
      <c r="T1033" s="18" t="str">
        <f ca="1">IF(C1033&gt;='&gt;&gt;Vistas Consolidadas'!$D$2,"SI","NO")</f>
        <v>SI</v>
      </c>
      <c r="U1033" s="358">
        <f ca="1">IF(C1033&lt;=EOMONTH('&gt;&gt;Vistas Consolidadas'!$D$2, '&gt;&gt;Vistas Consolidadas'!$F$2),I1033,0)</f>
        <v>131.09281250000001</v>
      </c>
      <c r="V1033" s="18" t="b">
        <f ca="1">AND(C1033&gt;='Interes Por Semana'!$C$4, C1033&lt;='Interes Por Semana'!$E$4)</f>
        <v>0</v>
      </c>
      <c r="W1033" s="18" t="str">
        <f t="shared" si="34"/>
        <v>sábado</v>
      </c>
    </row>
    <row r="1034" spans="2:23" hidden="1" x14ac:dyDescent="0.25">
      <c r="B1034" s="337">
        <v>46162</v>
      </c>
      <c r="C1034" s="337">
        <v>46625</v>
      </c>
      <c r="D1034" s="374" t="s">
        <v>78</v>
      </c>
      <c r="E1034" s="309" t="s">
        <v>47</v>
      </c>
      <c r="F1034" s="310" t="s">
        <v>158</v>
      </c>
      <c r="G1034" s="311">
        <v>5.36</v>
      </c>
      <c r="H1034" s="311">
        <v>9</v>
      </c>
      <c r="I1034" s="340">
        <v>12.77</v>
      </c>
      <c r="J1034" s="340"/>
      <c r="K1034" s="311"/>
      <c r="L1034" s="340">
        <f t="shared" si="33"/>
        <v>12.77</v>
      </c>
      <c r="M1034" s="311"/>
      <c r="N1034" s="311"/>
      <c r="O1034" s="311"/>
      <c r="P1034" s="311"/>
      <c r="Q1034" s="386"/>
      <c r="R1034" s="392">
        <v>367706</v>
      </c>
      <c r="S1034" s="358">
        <f ca="1">IF(C1034&lt;=EOMONTH('&gt;&gt;Vistas Consolidadas'!$D$2, '&gt;&gt;Vistas Consolidadas'!$F$2),J1034+I1034,J1034)</f>
        <v>12.77</v>
      </c>
      <c r="T1034" s="18" t="str">
        <f ca="1">IF(C1034&gt;='&gt;&gt;Vistas Consolidadas'!$D$2,"SI","NO")</f>
        <v>SI</v>
      </c>
      <c r="U1034" s="358">
        <f ca="1">IF(C1034&lt;=EOMONTH('&gt;&gt;Vistas Consolidadas'!$D$2, '&gt;&gt;Vistas Consolidadas'!$F$2),I1034,0)</f>
        <v>12.77</v>
      </c>
      <c r="V1034" s="18" t="b">
        <f ca="1">AND(C1034&gt;='Interes Por Semana'!$C$4, C1034&lt;='Interes Por Semana'!$E$4)</f>
        <v>0</v>
      </c>
      <c r="W1034" s="18" t="str">
        <f t="shared" si="34"/>
        <v>jueves</v>
      </c>
    </row>
    <row r="1035" spans="2:23" hidden="1" x14ac:dyDescent="0.25">
      <c r="B1035" s="337">
        <v>45323</v>
      </c>
      <c r="C1035" s="337">
        <v>46614</v>
      </c>
      <c r="D1035" s="374" t="s">
        <v>96</v>
      </c>
      <c r="E1035" s="309" t="s">
        <v>47</v>
      </c>
      <c r="F1035" s="310" t="s">
        <v>97</v>
      </c>
      <c r="G1035" s="311">
        <v>6</v>
      </c>
      <c r="H1035" s="311">
        <v>12</v>
      </c>
      <c r="I1035" s="340">
        <v>16.670000000000002</v>
      </c>
      <c r="J1035" s="340"/>
      <c r="K1035" s="311"/>
      <c r="L1035" s="340">
        <f t="shared" si="33"/>
        <v>16.670000000000002</v>
      </c>
      <c r="M1035" s="313"/>
      <c r="N1035" s="313"/>
      <c r="O1035" s="313"/>
      <c r="P1035" s="313"/>
      <c r="Q1035" s="311"/>
      <c r="R1035" s="392"/>
      <c r="S1035" s="358">
        <f ca="1">IF(C1035&lt;=EOMONTH('&gt;&gt;Vistas Consolidadas'!$D$2, '&gt;&gt;Vistas Consolidadas'!$F$2),J1035+I1035,J1035)</f>
        <v>16.670000000000002</v>
      </c>
      <c r="T1035" s="18" t="str">
        <f ca="1">IF(C1035&gt;='&gt;&gt;Vistas Consolidadas'!$D$2,"SI","NO")</f>
        <v>SI</v>
      </c>
      <c r="U1035" s="358">
        <f ca="1">IF(C1035&lt;=EOMONTH('&gt;&gt;Vistas Consolidadas'!$D$2, '&gt;&gt;Vistas Consolidadas'!$F$2),I1035,0)</f>
        <v>16.670000000000002</v>
      </c>
      <c r="V1035" s="18" t="b">
        <f ca="1">AND(C1035&gt;='Interes Por Semana'!$C$4, C1035&lt;='Interes Por Semana'!$E$4)</f>
        <v>0</v>
      </c>
      <c r="W1035" s="18" t="str">
        <f t="shared" si="34"/>
        <v>domingo</v>
      </c>
    </row>
    <row r="1036" spans="2:23" hidden="1" x14ac:dyDescent="0.25">
      <c r="B1036" s="337">
        <v>45356</v>
      </c>
      <c r="C1036" s="337">
        <v>46614</v>
      </c>
      <c r="D1036" s="374" t="s">
        <v>96</v>
      </c>
      <c r="E1036" s="309" t="s">
        <v>47</v>
      </c>
      <c r="F1036" s="310" t="s">
        <v>97</v>
      </c>
      <c r="G1036" s="311">
        <v>6</v>
      </c>
      <c r="H1036" s="311">
        <v>12</v>
      </c>
      <c r="I1036" s="340">
        <v>108.33</v>
      </c>
      <c r="J1036" s="340"/>
      <c r="K1036" s="311"/>
      <c r="L1036" s="340">
        <f t="shared" si="33"/>
        <v>108.33</v>
      </c>
      <c r="M1036" s="313"/>
      <c r="N1036" s="313"/>
      <c r="O1036" s="313"/>
      <c r="P1036" s="313"/>
      <c r="Q1036" s="311"/>
      <c r="R1036" s="392"/>
      <c r="S1036" s="358">
        <f ca="1">IF(C1036&lt;=EOMONTH('&gt;&gt;Vistas Consolidadas'!$D$2, '&gt;&gt;Vistas Consolidadas'!$F$2),J1036+I1036,J1036)</f>
        <v>108.33</v>
      </c>
      <c r="T1036" s="18" t="str">
        <f ca="1">IF(C1036&gt;='&gt;&gt;Vistas Consolidadas'!$D$2,"SI","NO")</f>
        <v>SI</v>
      </c>
      <c r="U1036" s="358">
        <f ca="1">IF(C1036&lt;=EOMONTH('&gt;&gt;Vistas Consolidadas'!$D$2, '&gt;&gt;Vistas Consolidadas'!$F$2),I1036,0)</f>
        <v>108.33</v>
      </c>
      <c r="V1036" s="18" t="b">
        <f ca="1">AND(C1036&gt;='Interes Por Semana'!$C$4, C1036&lt;='Interes Por Semana'!$E$4)</f>
        <v>0</v>
      </c>
      <c r="W1036" s="18" t="str">
        <f t="shared" si="34"/>
        <v>domingo</v>
      </c>
    </row>
    <row r="1037" spans="2:23" hidden="1" x14ac:dyDescent="0.25">
      <c r="B1037" s="337">
        <v>45006</v>
      </c>
      <c r="C1037" s="337">
        <v>46614</v>
      </c>
      <c r="D1037" s="374" t="s">
        <v>96</v>
      </c>
      <c r="E1037" s="309" t="s">
        <v>46</v>
      </c>
      <c r="F1037" s="310" t="s">
        <v>97</v>
      </c>
      <c r="G1037" s="311">
        <v>6</v>
      </c>
      <c r="H1037" s="311">
        <v>12</v>
      </c>
      <c r="I1037" s="340">
        <v>62.5</v>
      </c>
      <c r="J1037" s="340"/>
      <c r="K1037" s="311"/>
      <c r="L1037" s="340">
        <f t="shared" si="33"/>
        <v>62.5</v>
      </c>
      <c r="M1037" s="313"/>
      <c r="N1037" s="313"/>
      <c r="O1037" s="313"/>
      <c r="P1037" s="313"/>
      <c r="Q1037" s="311"/>
      <c r="R1037" s="392"/>
      <c r="S1037" s="358">
        <f ca="1">IF(C1037&lt;=EOMONTH('&gt;&gt;Vistas Consolidadas'!$D$2, '&gt;&gt;Vistas Consolidadas'!$F$2),J1037+I1037,J1037)</f>
        <v>62.5</v>
      </c>
      <c r="T1037" s="18" t="str">
        <f ca="1">IF(C1037&gt;='&gt;&gt;Vistas Consolidadas'!$D$2,"SI","NO")</f>
        <v>SI</v>
      </c>
      <c r="U1037" s="358">
        <f ca="1">IF(C1037&lt;=EOMONTH('&gt;&gt;Vistas Consolidadas'!$D$2, '&gt;&gt;Vistas Consolidadas'!$F$2),I1037,0)</f>
        <v>62.5</v>
      </c>
      <c r="V1037" s="18" t="b">
        <f ca="1">AND(C1037&gt;='Interes Por Semana'!$C$4, C1037&lt;='Interes Por Semana'!$E$4)</f>
        <v>0</v>
      </c>
      <c r="W1037" s="18" t="str">
        <f t="shared" si="34"/>
        <v>domingo</v>
      </c>
    </row>
    <row r="1038" spans="2:23" hidden="1" x14ac:dyDescent="0.25">
      <c r="B1038" s="337">
        <v>45397</v>
      </c>
      <c r="C1038" s="337">
        <v>46614</v>
      </c>
      <c r="D1038" s="374" t="s">
        <v>96</v>
      </c>
      <c r="E1038" s="309" t="s">
        <v>47</v>
      </c>
      <c r="F1038" s="310" t="s">
        <v>97</v>
      </c>
      <c r="G1038" s="311">
        <v>6</v>
      </c>
      <c r="H1038" s="311">
        <v>12</v>
      </c>
      <c r="I1038" s="340">
        <v>54.16</v>
      </c>
      <c r="J1038" s="340"/>
      <c r="K1038" s="311"/>
      <c r="L1038" s="340">
        <f t="shared" si="33"/>
        <v>54.16</v>
      </c>
      <c r="M1038" s="313"/>
      <c r="N1038" s="313"/>
      <c r="O1038" s="313"/>
      <c r="P1038" s="313"/>
      <c r="Q1038" s="311"/>
      <c r="R1038" s="392"/>
      <c r="S1038" s="358">
        <f ca="1">IF(C1038&lt;=EOMONTH('&gt;&gt;Vistas Consolidadas'!$D$2, '&gt;&gt;Vistas Consolidadas'!$F$2),J1038+I1038,J1038)</f>
        <v>54.16</v>
      </c>
      <c r="T1038" s="18" t="str">
        <f ca="1">IF(C1038&gt;='&gt;&gt;Vistas Consolidadas'!$D$2,"SI","NO")</f>
        <v>SI</v>
      </c>
      <c r="U1038" s="358">
        <f ca="1">IF(C1038&lt;=EOMONTH('&gt;&gt;Vistas Consolidadas'!$D$2, '&gt;&gt;Vistas Consolidadas'!$F$2),I1038,0)</f>
        <v>54.16</v>
      </c>
      <c r="V1038" s="18" t="b">
        <f ca="1">AND(C1038&gt;='Interes Por Semana'!$C$4, C1038&lt;='Interes Por Semana'!$E$4)</f>
        <v>0</v>
      </c>
      <c r="W1038" s="18" t="str">
        <f t="shared" si="34"/>
        <v>domingo</v>
      </c>
    </row>
    <row r="1039" spans="2:23" hidden="1" x14ac:dyDescent="0.25">
      <c r="B1039" s="337">
        <v>45397</v>
      </c>
      <c r="C1039" s="337">
        <v>46614</v>
      </c>
      <c r="D1039" s="374" t="s">
        <v>96</v>
      </c>
      <c r="E1039" s="309" t="s">
        <v>46</v>
      </c>
      <c r="F1039" s="310" t="s">
        <v>97</v>
      </c>
      <c r="G1039" s="311">
        <v>6</v>
      </c>
      <c r="H1039" s="311">
        <v>12</v>
      </c>
      <c r="I1039" s="340">
        <v>62.5</v>
      </c>
      <c r="J1039" s="340"/>
      <c r="K1039" s="311"/>
      <c r="L1039" s="340">
        <f t="shared" si="33"/>
        <v>62.5</v>
      </c>
      <c r="M1039" s="313"/>
      <c r="N1039" s="313"/>
      <c r="O1039" s="313"/>
      <c r="P1039" s="313"/>
      <c r="Q1039" s="311"/>
      <c r="R1039" s="392"/>
      <c r="S1039" s="358">
        <f ca="1">IF(C1039&lt;=EOMONTH('&gt;&gt;Vistas Consolidadas'!$D$2, '&gt;&gt;Vistas Consolidadas'!$F$2),J1039+I1039,J1039)</f>
        <v>62.5</v>
      </c>
      <c r="T1039" s="18" t="str">
        <f ca="1">IF(C1039&gt;='&gt;&gt;Vistas Consolidadas'!$D$2,"SI","NO")</f>
        <v>SI</v>
      </c>
      <c r="U1039" s="358">
        <f ca="1">IF(C1039&lt;=EOMONTH('&gt;&gt;Vistas Consolidadas'!$D$2, '&gt;&gt;Vistas Consolidadas'!$F$2),I1039,0)</f>
        <v>62.5</v>
      </c>
      <c r="V1039" s="18" t="b">
        <f ca="1">AND(C1039&gt;='Interes Por Semana'!$C$4, C1039&lt;='Interes Por Semana'!$E$4)</f>
        <v>0</v>
      </c>
      <c r="W1039" s="18" t="str">
        <f t="shared" si="34"/>
        <v>domingo</v>
      </c>
    </row>
    <row r="1040" spans="2:23" hidden="1" x14ac:dyDescent="0.25">
      <c r="B1040" s="337">
        <v>45398</v>
      </c>
      <c r="C1040" s="337">
        <v>46614</v>
      </c>
      <c r="D1040" s="374" t="s">
        <v>96</v>
      </c>
      <c r="E1040" s="309" t="s">
        <v>47</v>
      </c>
      <c r="F1040" s="310" t="s">
        <v>97</v>
      </c>
      <c r="G1040" s="311">
        <v>6</v>
      </c>
      <c r="H1040" s="311">
        <v>12</v>
      </c>
      <c r="I1040" s="340">
        <v>16.670000000000002</v>
      </c>
      <c r="J1040" s="340"/>
      <c r="K1040" s="311"/>
      <c r="L1040" s="340">
        <f t="shared" si="33"/>
        <v>16.670000000000002</v>
      </c>
      <c r="M1040" s="313"/>
      <c r="N1040" s="313"/>
      <c r="O1040" s="313"/>
      <c r="P1040" s="313"/>
      <c r="Q1040" s="311"/>
      <c r="R1040" s="392"/>
      <c r="S1040" s="358">
        <f ca="1">IF(C1040&lt;=EOMONTH('&gt;&gt;Vistas Consolidadas'!$D$2, '&gt;&gt;Vistas Consolidadas'!$F$2),J1040+I1040,J1040)</f>
        <v>16.670000000000002</v>
      </c>
      <c r="T1040" s="18" t="str">
        <f ca="1">IF(C1040&gt;='&gt;&gt;Vistas Consolidadas'!$D$2,"SI","NO")</f>
        <v>SI</v>
      </c>
      <c r="U1040" s="358">
        <f ca="1">IF(C1040&lt;=EOMONTH('&gt;&gt;Vistas Consolidadas'!$D$2, '&gt;&gt;Vistas Consolidadas'!$F$2),I1040,0)</f>
        <v>16.670000000000002</v>
      </c>
      <c r="V1040" s="18" t="b">
        <f ca="1">AND(C1040&gt;='Interes Por Semana'!$C$4, C1040&lt;='Interes Por Semana'!$E$4)</f>
        <v>0</v>
      </c>
      <c r="W1040" s="18" t="str">
        <f t="shared" si="34"/>
        <v>domingo</v>
      </c>
    </row>
    <row r="1041" spans="2:23" hidden="1" x14ac:dyDescent="0.25">
      <c r="B1041" s="337">
        <v>46105</v>
      </c>
      <c r="C1041" s="337">
        <v>46614</v>
      </c>
      <c r="D1041" s="374" t="s">
        <v>96</v>
      </c>
      <c r="E1041" s="309" t="s">
        <v>47</v>
      </c>
      <c r="F1041" s="310" t="s">
        <v>97</v>
      </c>
      <c r="G1041" s="311">
        <v>6</v>
      </c>
      <c r="H1041" s="311">
        <v>10</v>
      </c>
      <c r="I1041" s="340">
        <v>16.670000000000002</v>
      </c>
      <c r="J1041" s="340"/>
      <c r="K1041" s="311"/>
      <c r="L1041" s="340">
        <f t="shared" si="33"/>
        <v>16.670000000000002</v>
      </c>
      <c r="M1041" s="313"/>
      <c r="N1041" s="313"/>
      <c r="O1041" s="313"/>
      <c r="P1041" s="313"/>
      <c r="Q1041" s="311"/>
      <c r="R1041" s="392"/>
      <c r="S1041" s="358">
        <f ca="1">IF(C1041&lt;=EOMONTH('&gt;&gt;Vistas Consolidadas'!$D$2, '&gt;&gt;Vistas Consolidadas'!$F$2),J1041+I1041,J1041)</f>
        <v>16.670000000000002</v>
      </c>
      <c r="T1041" s="18" t="str">
        <f ca="1">IF(C1041&gt;='&gt;&gt;Vistas Consolidadas'!$D$2,"SI","NO")</f>
        <v>SI</v>
      </c>
      <c r="U1041" s="358">
        <f ca="1">IF(C1041&lt;=EOMONTH('&gt;&gt;Vistas Consolidadas'!$D$2, '&gt;&gt;Vistas Consolidadas'!$F$2),I1041,0)</f>
        <v>16.670000000000002</v>
      </c>
      <c r="V1041" s="18" t="b">
        <f ca="1">AND(C1041&gt;='Interes Por Semana'!$C$4, C1041&lt;='Interes Por Semana'!$E$4)</f>
        <v>0</v>
      </c>
      <c r="W1041" s="18" t="str">
        <f t="shared" si="34"/>
        <v>domingo</v>
      </c>
    </row>
    <row r="1042" spans="2:23" hidden="1" x14ac:dyDescent="0.25">
      <c r="B1042" s="337">
        <v>44462</v>
      </c>
      <c r="C1042" s="337">
        <v>46616</v>
      </c>
      <c r="D1042" s="374" t="s">
        <v>78</v>
      </c>
      <c r="E1042" s="309" t="s">
        <v>46</v>
      </c>
      <c r="F1042" s="310" t="s">
        <v>98</v>
      </c>
      <c r="G1042" s="311">
        <v>5.64</v>
      </c>
      <c r="H1042" s="311">
        <v>8.1999999999999993</v>
      </c>
      <c r="I1042" s="340">
        <v>2.5299999999999998</v>
      </c>
      <c r="J1042" s="340"/>
      <c r="K1042" s="311"/>
      <c r="L1042" s="340">
        <f t="shared" si="33"/>
        <v>2.5299999999999998</v>
      </c>
      <c r="M1042" s="311"/>
      <c r="N1042" s="311"/>
      <c r="O1042" s="311"/>
      <c r="P1042" s="311"/>
      <c r="Q1042" s="386"/>
      <c r="R1042" s="392"/>
      <c r="S1042" s="358">
        <f ca="1">IF(C1042&lt;=EOMONTH('&gt;&gt;Vistas Consolidadas'!$D$2, '&gt;&gt;Vistas Consolidadas'!$F$2),J1042+I1042,J1042)</f>
        <v>2.5299999999999998</v>
      </c>
      <c r="T1042" s="18" t="str">
        <f ca="1">IF(C1042&gt;='&gt;&gt;Vistas Consolidadas'!$D$2,"SI","NO")</f>
        <v>SI</v>
      </c>
      <c r="U1042" s="358">
        <f ca="1">IF(C1042&lt;=EOMONTH('&gt;&gt;Vistas Consolidadas'!$D$2, '&gt;&gt;Vistas Consolidadas'!$F$2),I1042,0)</f>
        <v>2.5299999999999998</v>
      </c>
      <c r="V1042" s="18" t="b">
        <f ca="1">AND(C1042&gt;='Interes Por Semana'!$C$4, C1042&lt;='Interes Por Semana'!$E$4)</f>
        <v>0</v>
      </c>
      <c r="W1042" s="18" t="str">
        <f t="shared" si="34"/>
        <v>martes</v>
      </c>
    </row>
    <row r="1043" spans="2:23" hidden="1" x14ac:dyDescent="0.25">
      <c r="B1043" s="337">
        <v>46162</v>
      </c>
      <c r="C1043" s="337">
        <v>46625</v>
      </c>
      <c r="D1043" s="374" t="s">
        <v>78</v>
      </c>
      <c r="E1043" s="309" t="s">
        <v>138</v>
      </c>
      <c r="F1043" s="310" t="s">
        <v>158</v>
      </c>
      <c r="G1043" s="311">
        <v>5.36</v>
      </c>
      <c r="H1043" s="311">
        <v>9</v>
      </c>
      <c r="I1043" s="340">
        <v>17.420000000000002</v>
      </c>
      <c r="J1043" s="340"/>
      <c r="K1043" s="311"/>
      <c r="L1043" s="340">
        <f t="shared" si="33"/>
        <v>17.420000000000002</v>
      </c>
      <c r="M1043" s="311"/>
      <c r="N1043" s="311"/>
      <c r="O1043" s="311"/>
      <c r="P1043" s="311"/>
      <c r="Q1043" s="386"/>
      <c r="R1043" s="392">
        <v>369184</v>
      </c>
      <c r="S1043" s="358">
        <f ca="1">IF(C1043&lt;=EOMONTH('&gt;&gt;Vistas Consolidadas'!$D$2, '&gt;&gt;Vistas Consolidadas'!$F$2),J1043+I1043,J1043)</f>
        <v>17.420000000000002</v>
      </c>
      <c r="T1043" s="18" t="str">
        <f ca="1">IF(C1043&gt;='&gt;&gt;Vistas Consolidadas'!$D$2,"SI","NO")</f>
        <v>SI</v>
      </c>
      <c r="U1043" s="358">
        <f ca="1">IF(C1043&lt;=EOMONTH('&gt;&gt;Vistas Consolidadas'!$D$2, '&gt;&gt;Vistas Consolidadas'!$F$2),I1043,0)</f>
        <v>17.420000000000002</v>
      </c>
      <c r="V1043" s="18" t="b">
        <f ca="1">AND(C1043&gt;='Interes Por Semana'!$C$4, C1043&lt;='Interes Por Semana'!$E$4)</f>
        <v>0</v>
      </c>
      <c r="W1043" s="18" t="str">
        <f t="shared" si="34"/>
        <v>jueves</v>
      </c>
    </row>
    <row r="1044" spans="2:23" hidden="1" x14ac:dyDescent="0.25">
      <c r="B1044" s="337">
        <v>46188</v>
      </c>
      <c r="C1044" s="337">
        <v>46616</v>
      </c>
      <c r="D1044" s="374" t="s">
        <v>78</v>
      </c>
      <c r="E1044" s="309" t="s">
        <v>48</v>
      </c>
      <c r="F1044" s="310" t="s">
        <v>168</v>
      </c>
      <c r="G1044" s="311">
        <v>6.21</v>
      </c>
      <c r="H1044" s="311">
        <v>9</v>
      </c>
      <c r="I1044" s="340">
        <v>51.91</v>
      </c>
      <c r="J1044" s="340"/>
      <c r="K1044" s="311"/>
      <c r="L1044" s="340">
        <f t="shared" si="33"/>
        <v>51.91</v>
      </c>
      <c r="M1044" s="311"/>
      <c r="N1044" s="311"/>
      <c r="O1044" s="311"/>
      <c r="P1044" s="311"/>
      <c r="Q1044" s="386"/>
      <c r="R1044" s="392"/>
      <c r="S1044" s="358">
        <f ca="1">IF(C1044&lt;=EOMONTH('&gt;&gt;Vistas Consolidadas'!$D$2, '&gt;&gt;Vistas Consolidadas'!$F$2),J1044+I1044,J1044)</f>
        <v>51.91</v>
      </c>
      <c r="T1044" s="18" t="str">
        <f ca="1">IF(C1044&gt;='&gt;&gt;Vistas Consolidadas'!$D$2,"SI","NO")</f>
        <v>SI</v>
      </c>
      <c r="U1044" s="358">
        <f ca="1">IF(C1044&lt;=EOMONTH('&gt;&gt;Vistas Consolidadas'!$D$2, '&gt;&gt;Vistas Consolidadas'!$F$2),I1044,0)</f>
        <v>51.91</v>
      </c>
      <c r="V1044" s="18" t="b">
        <f ca="1">AND(C1044&gt;='Interes Por Semana'!$C$4, C1044&lt;='Interes Por Semana'!$E$4)</f>
        <v>0</v>
      </c>
      <c r="W1044" s="18" t="str">
        <f t="shared" si="34"/>
        <v>martes</v>
      </c>
    </row>
    <row r="1045" spans="2:23" hidden="1" x14ac:dyDescent="0.25">
      <c r="B1045" s="337">
        <v>46188</v>
      </c>
      <c r="C1045" s="337">
        <v>46606</v>
      </c>
      <c r="D1045" s="374" t="s">
        <v>78</v>
      </c>
      <c r="E1045" s="309" t="s">
        <v>48</v>
      </c>
      <c r="F1045" s="310" t="s">
        <v>169</v>
      </c>
      <c r="G1045" s="311">
        <v>6.82</v>
      </c>
      <c r="H1045" s="311">
        <v>8.5</v>
      </c>
      <c r="I1045" s="340">
        <v>78.66</v>
      </c>
      <c r="J1045" s="340"/>
      <c r="K1045" s="311"/>
      <c r="L1045" s="340">
        <f t="shared" si="33"/>
        <v>78.66</v>
      </c>
      <c r="M1045" s="311"/>
      <c r="N1045" s="311"/>
      <c r="O1045" s="311"/>
      <c r="P1045" s="311"/>
      <c r="Q1045" s="386"/>
      <c r="R1045" s="392"/>
      <c r="S1045" s="358">
        <f ca="1">IF(C1045&lt;=EOMONTH('&gt;&gt;Vistas Consolidadas'!$D$2, '&gt;&gt;Vistas Consolidadas'!$F$2),J1045+I1045,J1045)</f>
        <v>78.66</v>
      </c>
      <c r="T1045" s="18" t="str">
        <f ca="1">IF(C1045&gt;='&gt;&gt;Vistas Consolidadas'!$D$2,"SI","NO")</f>
        <v>SI</v>
      </c>
      <c r="U1045" s="358">
        <f ca="1">IF(C1045&lt;=EOMONTH('&gt;&gt;Vistas Consolidadas'!$D$2, '&gt;&gt;Vistas Consolidadas'!$F$2),I1045,0)</f>
        <v>78.66</v>
      </c>
      <c r="V1045" s="18" t="b">
        <f ca="1">AND(C1045&gt;='Interes Por Semana'!$C$4, C1045&lt;='Interes Por Semana'!$E$4)</f>
        <v>0</v>
      </c>
      <c r="W1045" s="18" t="str">
        <f t="shared" si="34"/>
        <v>sábado</v>
      </c>
    </row>
    <row r="1046" spans="2:23" hidden="1" x14ac:dyDescent="0.25">
      <c r="B1046" s="337">
        <v>46211</v>
      </c>
      <c r="C1046" s="337">
        <v>46601</v>
      </c>
      <c r="D1046" s="374" t="s">
        <v>78</v>
      </c>
      <c r="E1046" s="309" t="s">
        <v>47</v>
      </c>
      <c r="F1046" s="310" t="s">
        <v>172</v>
      </c>
      <c r="G1046" s="311">
        <v>7.72</v>
      </c>
      <c r="H1046" s="311">
        <v>9.25</v>
      </c>
      <c r="I1046" s="340">
        <v>15.44</v>
      </c>
      <c r="J1046" s="340"/>
      <c r="K1046" s="311"/>
      <c r="L1046" s="340">
        <f t="shared" si="33"/>
        <v>15.44</v>
      </c>
      <c r="M1046" s="313"/>
      <c r="N1046" s="313"/>
      <c r="O1046" s="313"/>
      <c r="P1046" s="313"/>
      <c r="Q1046" s="311"/>
      <c r="R1046" s="392"/>
      <c r="S1046" s="358">
        <f ca="1">IF(C1046&lt;=EOMONTH('&gt;&gt;Vistas Consolidadas'!$D$2, '&gt;&gt;Vistas Consolidadas'!$F$2),J1046+I1046,J1046)</f>
        <v>15.44</v>
      </c>
      <c r="T1046" s="18" t="str">
        <f ca="1">IF(C1046&gt;='&gt;&gt;Vistas Consolidadas'!$D$2,"SI","NO")</f>
        <v>SI</v>
      </c>
      <c r="U1046" s="358">
        <f ca="1">IF(C1046&lt;=EOMONTH('&gt;&gt;Vistas Consolidadas'!$D$2, '&gt;&gt;Vistas Consolidadas'!$F$2),I1046,0)</f>
        <v>15.44</v>
      </c>
      <c r="V1046" s="18" t="b">
        <f ca="1">AND(C1046&gt;='Interes Por Semana'!$C$4, C1046&lt;='Interes Por Semana'!$E$4)</f>
        <v>0</v>
      </c>
      <c r="W1046" s="18" t="str">
        <f t="shared" si="34"/>
        <v>lunes</v>
      </c>
    </row>
    <row r="1047" spans="2:23" hidden="1" x14ac:dyDescent="0.25">
      <c r="B1047" s="337">
        <v>46211</v>
      </c>
      <c r="C1047" s="337">
        <v>46601</v>
      </c>
      <c r="D1047" s="374" t="s">
        <v>78</v>
      </c>
      <c r="E1047" s="309" t="s">
        <v>47</v>
      </c>
      <c r="F1047" s="310" t="s">
        <v>173</v>
      </c>
      <c r="G1047" s="311">
        <v>7.54</v>
      </c>
      <c r="H1047" s="311">
        <v>9.25</v>
      </c>
      <c r="I1047" s="340">
        <v>19.79</v>
      </c>
      <c r="J1047" s="340"/>
      <c r="K1047" s="311"/>
      <c r="L1047" s="340">
        <f t="shared" si="33"/>
        <v>19.79</v>
      </c>
      <c r="M1047" s="313"/>
      <c r="N1047" s="313"/>
      <c r="O1047" s="313"/>
      <c r="P1047" s="313"/>
      <c r="Q1047" s="311"/>
      <c r="R1047" s="392"/>
      <c r="S1047" s="358">
        <f ca="1">IF(C1047&lt;=EOMONTH('&gt;&gt;Vistas Consolidadas'!$D$2, '&gt;&gt;Vistas Consolidadas'!$F$2),J1047+I1047,J1047)</f>
        <v>19.79</v>
      </c>
      <c r="T1047" s="18" t="str">
        <f ca="1">IF(C1047&gt;='&gt;&gt;Vistas Consolidadas'!$D$2,"SI","NO")</f>
        <v>SI</v>
      </c>
      <c r="U1047" s="358">
        <f ca="1">IF(C1047&lt;=EOMONTH('&gt;&gt;Vistas Consolidadas'!$D$2, '&gt;&gt;Vistas Consolidadas'!$F$2),I1047,0)</f>
        <v>19.79</v>
      </c>
      <c r="V1047" s="18" t="b">
        <f ca="1">AND(C1047&gt;='Interes Por Semana'!$C$4, C1047&lt;='Interes Por Semana'!$E$4)</f>
        <v>0</v>
      </c>
      <c r="W1047" s="18" t="str">
        <f t="shared" si="34"/>
        <v>lunes</v>
      </c>
    </row>
    <row r="1048" spans="2:23" hidden="1" x14ac:dyDescent="0.25">
      <c r="B1048" s="338">
        <v>46266</v>
      </c>
      <c r="C1048" s="338">
        <v>49309</v>
      </c>
      <c r="D1048" s="374" t="s">
        <v>96</v>
      </c>
      <c r="E1048" s="314" t="s">
        <v>47</v>
      </c>
      <c r="F1048" s="315" t="s">
        <v>131</v>
      </c>
      <c r="G1048" s="313">
        <v>1</v>
      </c>
      <c r="H1048" s="313">
        <v>1</v>
      </c>
      <c r="I1048" s="341">
        <v>0</v>
      </c>
      <c r="J1048" s="341">
        <v>4792.97</v>
      </c>
      <c r="K1048" s="313"/>
      <c r="L1048" s="340">
        <f t="shared" si="33"/>
        <v>0</v>
      </c>
      <c r="M1048" s="313"/>
      <c r="N1048" s="313"/>
      <c r="O1048" s="313"/>
      <c r="P1048" s="313"/>
      <c r="Q1048" s="311"/>
      <c r="R1048" s="392" t="s">
        <v>180</v>
      </c>
      <c r="S1048" s="358">
        <f ca="1">IF(C1048&lt;=EOMONTH('&gt;&gt;Vistas Consolidadas'!$D$2, '&gt;&gt;Vistas Consolidadas'!$F$2),J1048+I1048,J1048)</f>
        <v>4792.97</v>
      </c>
      <c r="T1048" s="18" t="str">
        <f ca="1">IF(C1048&gt;='&gt;&gt;Vistas Consolidadas'!$D$2,"SI","NO")</f>
        <v>SI</v>
      </c>
      <c r="U1048" s="358">
        <f ca="1">IF(C1048&lt;=EOMONTH('&gt;&gt;Vistas Consolidadas'!$D$2, '&gt;&gt;Vistas Consolidadas'!$F$2),I1048,0)</f>
        <v>0</v>
      </c>
      <c r="V1048" s="18" t="b">
        <f ca="1">AND(C1048&gt;='Interes Por Semana'!$C$4, C1048&lt;='Interes Por Semana'!$E$4)</f>
        <v>0</v>
      </c>
      <c r="W1048" s="18" t="str">
        <f t="shared" si="34"/>
        <v>domingo</v>
      </c>
    </row>
    <row r="1049" spans="2:23" hidden="1" x14ac:dyDescent="0.25">
      <c r="B1049" s="337">
        <v>46268</v>
      </c>
      <c r="C1049" s="337">
        <v>49309</v>
      </c>
      <c r="D1049" s="374" t="s">
        <v>96</v>
      </c>
      <c r="E1049" s="309" t="s">
        <v>47</v>
      </c>
      <c r="F1049" s="310" t="s">
        <v>134</v>
      </c>
      <c r="G1049" s="311">
        <v>1</v>
      </c>
      <c r="H1049" s="311">
        <v>1</v>
      </c>
      <c r="I1049" s="340">
        <v>0</v>
      </c>
      <c r="J1049" s="340">
        <v>6654.45</v>
      </c>
      <c r="K1049" s="311"/>
      <c r="L1049" s="340">
        <f t="shared" si="33"/>
        <v>0</v>
      </c>
      <c r="M1049" s="311"/>
      <c r="N1049" s="311"/>
      <c r="O1049" s="311"/>
      <c r="P1049" s="311"/>
      <c r="Q1049" s="386"/>
      <c r="R1049" s="392">
        <v>372253</v>
      </c>
      <c r="S1049" s="358">
        <f ca="1">IF(C1049&lt;=EOMONTH('&gt;&gt;Vistas Consolidadas'!$D$2, '&gt;&gt;Vistas Consolidadas'!$F$2),J1049+I1049,J1049)</f>
        <v>6654.45</v>
      </c>
      <c r="T1049" s="18" t="str">
        <f ca="1">IF(C1049&gt;='&gt;&gt;Vistas Consolidadas'!$D$2,"SI","NO")</f>
        <v>SI</v>
      </c>
      <c r="U1049" s="358">
        <f ca="1">IF(C1049&lt;=EOMONTH('&gt;&gt;Vistas Consolidadas'!$D$2, '&gt;&gt;Vistas Consolidadas'!$F$2),I1049,0)</f>
        <v>0</v>
      </c>
      <c r="V1049" s="18" t="b">
        <f ca="1">AND(C1049&gt;='Interes Por Semana'!$C$4, C1049&lt;='Interes Por Semana'!$E$4)</f>
        <v>0</v>
      </c>
      <c r="W1049" s="18" t="str">
        <f t="shared" si="34"/>
        <v>domingo</v>
      </c>
    </row>
    <row r="1050" spans="2:23" hidden="1" x14ac:dyDescent="0.25">
      <c r="B1050" s="337">
        <v>45559</v>
      </c>
      <c r="C1050" s="337">
        <v>46281</v>
      </c>
      <c r="D1050" s="374" t="s">
        <v>118</v>
      </c>
      <c r="E1050" s="309" t="s">
        <v>47</v>
      </c>
      <c r="F1050" s="310" t="s">
        <v>119</v>
      </c>
      <c r="G1050" s="311">
        <v>8.5</v>
      </c>
      <c r="H1050" s="311">
        <v>12</v>
      </c>
      <c r="I1050" s="340">
        <v>0</v>
      </c>
      <c r="J1050" s="340">
        <v>133.85</v>
      </c>
      <c r="K1050" s="311"/>
      <c r="L1050" s="340">
        <f t="shared" si="33"/>
        <v>0</v>
      </c>
      <c r="M1050" s="311"/>
      <c r="N1050" s="311"/>
      <c r="O1050" s="311"/>
      <c r="P1050" s="311"/>
      <c r="Q1050" s="386"/>
      <c r="R1050" s="392"/>
      <c r="S1050" s="358">
        <f ca="1">IF(C1050&lt;=EOMONTH('&gt;&gt;Vistas Consolidadas'!$D$2, '&gt;&gt;Vistas Consolidadas'!$F$2),J1050+I1050,J1050)</f>
        <v>133.85</v>
      </c>
      <c r="T1050" s="18" t="str">
        <f ca="1">IF(C1050&gt;='&gt;&gt;Vistas Consolidadas'!$D$2,"SI","NO")</f>
        <v>NO</v>
      </c>
      <c r="U1050" s="358">
        <f ca="1">IF(C1050&lt;=EOMONTH('&gt;&gt;Vistas Consolidadas'!$D$2, '&gt;&gt;Vistas Consolidadas'!$F$2),I1050,0)</f>
        <v>0</v>
      </c>
      <c r="V1050" s="18" t="b">
        <f ca="1">AND(C1050&gt;='Interes Por Semana'!$C$4, C1050&lt;='Interes Por Semana'!$E$4)</f>
        <v>0</v>
      </c>
      <c r="W1050" s="18" t="str">
        <f t="shared" si="34"/>
        <v>miércoles</v>
      </c>
    </row>
    <row r="1051" spans="2:23" hidden="1" x14ac:dyDescent="0.25">
      <c r="B1051" s="337">
        <v>45559</v>
      </c>
      <c r="C1051" s="337">
        <v>46281</v>
      </c>
      <c r="D1051" s="374" t="s">
        <v>118</v>
      </c>
      <c r="E1051" s="309" t="s">
        <v>46</v>
      </c>
      <c r="F1051" s="310" t="s">
        <v>119</v>
      </c>
      <c r="G1051" s="311">
        <v>8.5</v>
      </c>
      <c r="H1051" s="311">
        <v>12</v>
      </c>
      <c r="I1051" s="340">
        <v>0</v>
      </c>
      <c r="J1051" s="340">
        <v>21.23</v>
      </c>
      <c r="K1051" s="311"/>
      <c r="L1051" s="340">
        <f t="shared" si="33"/>
        <v>0</v>
      </c>
      <c r="M1051" s="311"/>
      <c r="N1051" s="311"/>
      <c r="O1051" s="311"/>
      <c r="P1051" s="311"/>
      <c r="Q1051" s="386"/>
      <c r="R1051" s="392"/>
      <c r="S1051" s="358">
        <f ca="1">IF(C1051&lt;=EOMONTH('&gt;&gt;Vistas Consolidadas'!$D$2, '&gt;&gt;Vistas Consolidadas'!$F$2),J1051+I1051,J1051)</f>
        <v>21.23</v>
      </c>
      <c r="T1051" s="18" t="str">
        <f ca="1">IF(C1051&gt;='&gt;&gt;Vistas Consolidadas'!$D$2,"SI","NO")</f>
        <v>NO</v>
      </c>
      <c r="U1051" s="358">
        <f ca="1">IF(C1051&lt;=EOMONTH('&gt;&gt;Vistas Consolidadas'!$D$2, '&gt;&gt;Vistas Consolidadas'!$F$2),I1051,0)</f>
        <v>0</v>
      </c>
      <c r="V1051" s="18" t="b">
        <f ca="1">AND(C1051&gt;='Interes Por Semana'!$C$4, C1051&lt;='Interes Por Semana'!$E$4)</f>
        <v>0</v>
      </c>
      <c r="W1051" s="18" t="str">
        <f t="shared" si="34"/>
        <v>miércoles</v>
      </c>
    </row>
    <row r="1052" spans="2:23" hidden="1" x14ac:dyDescent="0.25">
      <c r="B1052" s="337">
        <v>45559</v>
      </c>
      <c r="C1052" s="337">
        <v>46281</v>
      </c>
      <c r="D1052" s="374" t="s">
        <v>118</v>
      </c>
      <c r="E1052" s="309" t="s">
        <v>48</v>
      </c>
      <c r="F1052" s="310" t="s">
        <v>119</v>
      </c>
      <c r="G1052" s="311">
        <v>8.5</v>
      </c>
      <c r="H1052" s="311">
        <v>12</v>
      </c>
      <c r="I1052" s="340">
        <v>0</v>
      </c>
      <c r="J1052" s="340">
        <v>86.25</v>
      </c>
      <c r="K1052" s="311"/>
      <c r="L1052" s="340">
        <f t="shared" si="33"/>
        <v>0</v>
      </c>
      <c r="M1052" s="311"/>
      <c r="N1052" s="311"/>
      <c r="O1052" s="311"/>
      <c r="P1052" s="311"/>
      <c r="Q1052" s="386"/>
      <c r="R1052" s="392"/>
      <c r="S1052" s="358">
        <f ca="1">IF(C1052&lt;=EOMONTH('&gt;&gt;Vistas Consolidadas'!$D$2, '&gt;&gt;Vistas Consolidadas'!$F$2),J1052+I1052,J1052)</f>
        <v>86.25</v>
      </c>
      <c r="T1052" s="18" t="str">
        <f ca="1">IF(C1052&gt;='&gt;&gt;Vistas Consolidadas'!$D$2,"SI","NO")</f>
        <v>NO</v>
      </c>
      <c r="U1052" s="358">
        <f ca="1">IF(C1052&lt;=EOMONTH('&gt;&gt;Vistas Consolidadas'!$D$2, '&gt;&gt;Vistas Consolidadas'!$F$2),I1052,0)</f>
        <v>0</v>
      </c>
      <c r="V1052" s="18" t="b">
        <f ca="1">AND(C1052&gt;='Interes Por Semana'!$C$4, C1052&lt;='Interes Por Semana'!$E$4)</f>
        <v>0</v>
      </c>
      <c r="W1052" s="18" t="str">
        <f t="shared" si="34"/>
        <v>miércoles</v>
      </c>
    </row>
    <row r="1053" spans="2:23" x14ac:dyDescent="0.25">
      <c r="B1053" s="337">
        <v>46276</v>
      </c>
      <c r="C1053" s="338">
        <v>49309</v>
      </c>
      <c r="D1053" s="374" t="s">
        <v>96</v>
      </c>
      <c r="E1053" s="309" t="s">
        <v>47</v>
      </c>
      <c r="F1053" s="315" t="s">
        <v>132</v>
      </c>
      <c r="G1053" s="311">
        <v>1</v>
      </c>
      <c r="H1053" s="311">
        <v>1</v>
      </c>
      <c r="I1053" s="340">
        <v>0</v>
      </c>
      <c r="J1053" s="341">
        <v>323.60000000000002</v>
      </c>
      <c r="K1053" s="311"/>
      <c r="L1053" s="340">
        <f t="shared" si="33"/>
        <v>0</v>
      </c>
      <c r="M1053" s="311"/>
      <c r="N1053" s="311"/>
      <c r="O1053" s="311"/>
      <c r="P1053" s="311"/>
      <c r="Q1053" s="386"/>
      <c r="R1053" s="392" t="s">
        <v>181</v>
      </c>
      <c r="S1053" s="358">
        <f ca="1">IF(C1053&lt;=EOMONTH('&gt;&gt;Vistas Consolidadas'!$D$2, '&gt;&gt;Vistas Consolidadas'!$F$2),J1053+I1053,J1053)</f>
        <v>323.60000000000002</v>
      </c>
      <c r="T1053" s="18" t="str">
        <f ca="1">IF(C1053&gt;='&gt;&gt;Vistas Consolidadas'!$D$2,"SI","NO")</f>
        <v>SI</v>
      </c>
      <c r="U1053" s="358">
        <f ca="1">IF(C1053&lt;=EOMONTH('&gt;&gt;Vistas Consolidadas'!$D$2, '&gt;&gt;Vistas Consolidadas'!$F$2),I1053,0)</f>
        <v>0</v>
      </c>
      <c r="V1053" s="18" t="b">
        <f ca="1">AND(C1053&gt;='Interes Por Semana'!$C$4, C1053&lt;='Interes Por Semana'!$E$4)</f>
        <v>0</v>
      </c>
      <c r="W1053" s="18" t="str">
        <f t="shared" si="34"/>
        <v>domingo</v>
      </c>
    </row>
    <row r="1054" spans="2:23" hidden="1" x14ac:dyDescent="0.25">
      <c r="B1054" s="337">
        <v>46276</v>
      </c>
      <c r="C1054" s="337">
        <v>49309</v>
      </c>
      <c r="D1054" s="374" t="s">
        <v>96</v>
      </c>
      <c r="E1054" s="309" t="s">
        <v>47</v>
      </c>
      <c r="F1054" s="310" t="s">
        <v>131</v>
      </c>
      <c r="G1054" s="311">
        <v>1</v>
      </c>
      <c r="H1054" s="311">
        <v>1</v>
      </c>
      <c r="I1054" s="340">
        <v>0</v>
      </c>
      <c r="J1054" s="340">
        <v>802.65</v>
      </c>
      <c r="K1054" s="311"/>
      <c r="L1054" s="340">
        <f t="shared" si="33"/>
        <v>0</v>
      </c>
      <c r="M1054" s="311"/>
      <c r="N1054" s="311"/>
      <c r="O1054" s="311"/>
      <c r="P1054" s="311"/>
      <c r="Q1054" s="386"/>
      <c r="R1054" s="392">
        <v>3746592</v>
      </c>
      <c r="S1054" s="358">
        <f ca="1">IF(C1054&lt;=EOMONTH('&gt;&gt;Vistas Consolidadas'!$D$2, '&gt;&gt;Vistas Consolidadas'!$F$2),J1054+I1054,J1054)</f>
        <v>802.65</v>
      </c>
      <c r="T1054" s="18" t="str">
        <f ca="1">IF(C1054&gt;='&gt;&gt;Vistas Consolidadas'!$D$2,"SI","NO")</f>
        <v>SI</v>
      </c>
      <c r="U1054" s="358">
        <f ca="1">IF(C1054&lt;=EOMONTH('&gt;&gt;Vistas Consolidadas'!$D$2, '&gt;&gt;Vistas Consolidadas'!$F$2),I1054,0)</f>
        <v>0</v>
      </c>
      <c r="V1054" s="18" t="b">
        <f ca="1">AND(C1054&gt;='Interes Por Semana'!$C$4, C1054&lt;='Interes Por Semana'!$E$4)</f>
        <v>0</v>
      </c>
      <c r="W1054" s="18" t="str">
        <f t="shared" si="34"/>
        <v>domingo</v>
      </c>
    </row>
    <row r="1055" spans="2:23" hidden="1" x14ac:dyDescent="0.25">
      <c r="B1055" s="337">
        <v>46279</v>
      </c>
      <c r="C1055" s="337">
        <v>49309</v>
      </c>
      <c r="D1055" s="374" t="s">
        <v>96</v>
      </c>
      <c r="E1055" s="309" t="s">
        <v>47</v>
      </c>
      <c r="F1055" s="310" t="s">
        <v>131</v>
      </c>
      <c r="G1055" s="311">
        <v>1</v>
      </c>
      <c r="H1055" s="311">
        <v>1</v>
      </c>
      <c r="I1055" s="340">
        <v>0</v>
      </c>
      <c r="J1055" s="340">
        <v>376.13</v>
      </c>
      <c r="K1055" s="311"/>
      <c r="L1055" s="340">
        <f t="shared" si="33"/>
        <v>0</v>
      </c>
      <c r="M1055" s="311"/>
      <c r="N1055" s="311"/>
      <c r="O1055" s="311"/>
      <c r="P1055" s="311"/>
      <c r="Q1055" s="386"/>
      <c r="R1055" s="392">
        <v>374678</v>
      </c>
      <c r="S1055" s="358">
        <f ca="1">IF(C1055&lt;=EOMONTH('&gt;&gt;Vistas Consolidadas'!$D$2, '&gt;&gt;Vistas Consolidadas'!$F$2),J1055+I1055,J1055)</f>
        <v>376.13</v>
      </c>
      <c r="T1055" s="18" t="str">
        <f ca="1">IF(C1055&gt;='&gt;&gt;Vistas Consolidadas'!$D$2,"SI","NO")</f>
        <v>SI</v>
      </c>
      <c r="U1055" s="358">
        <f ca="1">IF(C1055&lt;=EOMONTH('&gt;&gt;Vistas Consolidadas'!$D$2, '&gt;&gt;Vistas Consolidadas'!$F$2),I1055,0)</f>
        <v>0</v>
      </c>
      <c r="V1055" s="18" t="b">
        <f ca="1">AND(C1055&gt;='Interes Por Semana'!$C$4, C1055&lt;='Interes Por Semana'!$E$4)</f>
        <v>0</v>
      </c>
      <c r="W1055" s="18" t="str">
        <f t="shared" si="34"/>
        <v>domingo</v>
      </c>
    </row>
    <row r="1056" spans="2:23" hidden="1" x14ac:dyDescent="0.25">
      <c r="B1056" s="337">
        <v>46280</v>
      </c>
      <c r="C1056" s="337">
        <v>49309</v>
      </c>
      <c r="D1056" s="374" t="s">
        <v>96</v>
      </c>
      <c r="E1056" s="309" t="s">
        <v>47</v>
      </c>
      <c r="F1056" s="310" t="s">
        <v>131</v>
      </c>
      <c r="G1056" s="311">
        <v>1</v>
      </c>
      <c r="H1056" s="311">
        <v>1</v>
      </c>
      <c r="I1056" s="340">
        <v>0</v>
      </c>
      <c r="J1056" s="340">
        <v>12486.2</v>
      </c>
      <c r="K1056" s="311"/>
      <c r="L1056" s="340">
        <f t="shared" si="33"/>
        <v>0</v>
      </c>
      <c r="M1056" s="311"/>
      <c r="N1056" s="311"/>
      <c r="O1056" s="311"/>
      <c r="P1056" s="311"/>
      <c r="Q1056" s="386"/>
      <c r="R1056" s="392" t="s">
        <v>182</v>
      </c>
      <c r="S1056" s="358">
        <f ca="1">IF(C1056&lt;=EOMONTH('&gt;&gt;Vistas Consolidadas'!$D$2, '&gt;&gt;Vistas Consolidadas'!$F$2),J1056+I1056,J1056)</f>
        <v>12486.2</v>
      </c>
      <c r="T1056" s="18" t="str">
        <f ca="1">IF(C1056&gt;='&gt;&gt;Vistas Consolidadas'!$D$2,"SI","NO")</f>
        <v>SI</v>
      </c>
      <c r="U1056" s="358">
        <f ca="1">IF(C1056&lt;=EOMONTH('&gt;&gt;Vistas Consolidadas'!$D$2, '&gt;&gt;Vistas Consolidadas'!$F$2),I1056,0)</f>
        <v>0</v>
      </c>
      <c r="V1056" s="18" t="b">
        <f ca="1">AND(C1056&gt;='Interes Por Semana'!$C$4, C1056&lt;='Interes Por Semana'!$E$4)</f>
        <v>0</v>
      </c>
      <c r="W1056" s="18" t="str">
        <f t="shared" si="34"/>
        <v>domingo</v>
      </c>
    </row>
    <row r="1057" spans="1:23" hidden="1" x14ac:dyDescent="0.25">
      <c r="B1057" s="337">
        <v>46281</v>
      </c>
      <c r="C1057" s="337">
        <v>49309</v>
      </c>
      <c r="D1057" s="374" t="s">
        <v>96</v>
      </c>
      <c r="E1057" s="309" t="s">
        <v>47</v>
      </c>
      <c r="F1057" s="310" t="s">
        <v>131</v>
      </c>
      <c r="G1057" s="311">
        <v>1</v>
      </c>
      <c r="H1057" s="311">
        <v>1</v>
      </c>
      <c r="I1057" s="340">
        <v>0</v>
      </c>
      <c r="J1057" s="340">
        <v>2017.52</v>
      </c>
      <c r="K1057" s="311"/>
      <c r="L1057" s="340">
        <f t="shared" si="33"/>
        <v>0</v>
      </c>
      <c r="M1057" s="311"/>
      <c r="N1057" s="311"/>
      <c r="O1057" s="311"/>
      <c r="P1057" s="311"/>
      <c r="Q1057" s="386"/>
      <c r="R1057" s="392" t="s">
        <v>183</v>
      </c>
      <c r="S1057" s="358">
        <f ca="1">IF(C1057&lt;=EOMONTH('&gt;&gt;Vistas Consolidadas'!$D$2, '&gt;&gt;Vistas Consolidadas'!$F$2),J1057+I1057,J1057)</f>
        <v>2017.52</v>
      </c>
      <c r="T1057" s="18" t="str">
        <f ca="1">IF(C1057&gt;='&gt;&gt;Vistas Consolidadas'!$D$2,"SI","NO")</f>
        <v>SI</v>
      </c>
      <c r="U1057" s="358">
        <f ca="1">IF(C1057&lt;=EOMONTH('&gt;&gt;Vistas Consolidadas'!$D$2, '&gt;&gt;Vistas Consolidadas'!$F$2),I1057,0)</f>
        <v>0</v>
      </c>
      <c r="V1057" s="18" t="b">
        <f ca="1">AND(C1057&gt;='Interes Por Semana'!$C$4, C1057&lt;='Interes Por Semana'!$E$4)</f>
        <v>0</v>
      </c>
      <c r="W1057" s="18" t="str">
        <f t="shared" si="34"/>
        <v>domingo</v>
      </c>
    </row>
    <row r="1058" spans="1:23" hidden="1" x14ac:dyDescent="0.25">
      <c r="B1058" s="337">
        <v>46283</v>
      </c>
      <c r="C1058" s="337">
        <v>49309</v>
      </c>
      <c r="D1058" s="374" t="s">
        <v>96</v>
      </c>
      <c r="E1058" s="309" t="s">
        <v>47</v>
      </c>
      <c r="F1058" s="310" t="s">
        <v>131</v>
      </c>
      <c r="G1058" s="311">
        <v>1</v>
      </c>
      <c r="H1058" s="311">
        <v>1</v>
      </c>
      <c r="I1058" s="340">
        <v>0</v>
      </c>
      <c r="J1058" s="340">
        <v>11146.52</v>
      </c>
      <c r="K1058" s="311"/>
      <c r="L1058" s="340">
        <f t="shared" si="33"/>
        <v>0</v>
      </c>
      <c r="M1058" s="311"/>
      <c r="N1058" s="311"/>
      <c r="O1058" s="311"/>
      <c r="P1058" s="311"/>
      <c r="Q1058" s="386"/>
      <c r="R1058" s="392" t="s">
        <v>184</v>
      </c>
      <c r="S1058" s="358">
        <f ca="1">IF(C1058&lt;=EOMONTH('&gt;&gt;Vistas Consolidadas'!$D$2, '&gt;&gt;Vistas Consolidadas'!$F$2),J1058+I1058,J1058)</f>
        <v>11146.52</v>
      </c>
      <c r="T1058" s="18" t="str">
        <f ca="1">IF(C1058&gt;='&gt;&gt;Vistas Consolidadas'!$D$2,"SI","NO")</f>
        <v>SI</v>
      </c>
      <c r="U1058" s="358">
        <f ca="1">IF(C1058&lt;=EOMONTH('&gt;&gt;Vistas Consolidadas'!$D$2, '&gt;&gt;Vistas Consolidadas'!$F$2),I1058,0)</f>
        <v>0</v>
      </c>
      <c r="V1058" s="18" t="b">
        <f ca="1">AND(C1058&gt;='Interes Por Semana'!$C$4, C1058&lt;='Interes Por Semana'!$E$4)</f>
        <v>0</v>
      </c>
      <c r="W1058" s="18" t="str">
        <f t="shared" si="34"/>
        <v>domingo</v>
      </c>
    </row>
    <row r="1059" spans="1:23" hidden="1" x14ac:dyDescent="0.25">
      <c r="B1059" s="337">
        <v>46286</v>
      </c>
      <c r="C1059" s="337">
        <v>49309</v>
      </c>
      <c r="D1059" s="374" t="s">
        <v>96</v>
      </c>
      <c r="E1059" s="309" t="s">
        <v>47</v>
      </c>
      <c r="F1059" s="310" t="s">
        <v>582</v>
      </c>
      <c r="G1059" s="311">
        <v>1</v>
      </c>
      <c r="H1059" s="311">
        <v>1</v>
      </c>
      <c r="I1059" s="340">
        <v>0</v>
      </c>
      <c r="J1059" s="340">
        <v>263.75</v>
      </c>
      <c r="K1059" s="311"/>
      <c r="L1059" s="340">
        <f t="shared" si="33"/>
        <v>0</v>
      </c>
      <c r="M1059" s="311"/>
      <c r="N1059" s="311"/>
      <c r="O1059" s="311"/>
      <c r="P1059" s="311"/>
      <c r="Q1059" s="386"/>
      <c r="R1059" s="392">
        <v>375044</v>
      </c>
      <c r="S1059" s="358">
        <f ca="1">IF(C1059&lt;=EOMONTH('&gt;&gt;Vistas Consolidadas'!$D$2, '&gt;&gt;Vistas Consolidadas'!$F$2),J1059+I1059,J1059)</f>
        <v>263.75</v>
      </c>
      <c r="T1059" s="18" t="str">
        <f ca="1">IF(C1059&gt;='&gt;&gt;Vistas Consolidadas'!$D$2,"SI","NO")</f>
        <v>SI</v>
      </c>
      <c r="U1059" s="358">
        <f ca="1">IF(C1059&lt;=EOMONTH('&gt;&gt;Vistas Consolidadas'!$D$2, '&gt;&gt;Vistas Consolidadas'!$F$2),I1059,0)</f>
        <v>0</v>
      </c>
      <c r="V1059" s="18" t="b">
        <f ca="1">AND(C1059&gt;='Interes Por Semana'!$C$4, C1059&lt;='Interes Por Semana'!$E$4)</f>
        <v>0</v>
      </c>
      <c r="W1059" s="18" t="str">
        <f t="shared" si="34"/>
        <v>domingo</v>
      </c>
    </row>
    <row r="1060" spans="1:23" x14ac:dyDescent="0.25">
      <c r="B1060" s="337">
        <v>46287</v>
      </c>
      <c r="C1060" s="338">
        <v>49309</v>
      </c>
      <c r="D1060" s="374" t="s">
        <v>96</v>
      </c>
      <c r="E1060" s="309" t="s">
        <v>47</v>
      </c>
      <c r="F1060" s="315" t="s">
        <v>132</v>
      </c>
      <c r="G1060" s="311">
        <v>1</v>
      </c>
      <c r="H1060" s="311">
        <v>1</v>
      </c>
      <c r="I1060" s="340">
        <v>0</v>
      </c>
      <c r="J1060" s="341">
        <f>12126.78-6336.91</f>
        <v>5789.8700000000008</v>
      </c>
      <c r="K1060" s="311"/>
      <c r="L1060" s="340">
        <f t="shared" si="33"/>
        <v>0</v>
      </c>
      <c r="M1060" s="311"/>
      <c r="N1060" s="311"/>
      <c r="O1060" s="311"/>
      <c r="P1060" s="311"/>
      <c r="Q1060" s="386"/>
      <c r="R1060" s="392">
        <v>375105</v>
      </c>
      <c r="S1060" s="358">
        <f ca="1">IF(C1060&lt;=EOMONTH('&gt;&gt;Vistas Consolidadas'!$D$2, '&gt;&gt;Vistas Consolidadas'!$F$2),J1060+I1060,J1060)</f>
        <v>5789.8700000000008</v>
      </c>
      <c r="T1060" s="18" t="str">
        <f ca="1">IF(C1060&gt;='&gt;&gt;Vistas Consolidadas'!$D$2,"SI","NO")</f>
        <v>SI</v>
      </c>
      <c r="U1060" s="358">
        <f ca="1">IF(C1060&lt;=EOMONTH('&gt;&gt;Vistas Consolidadas'!$D$2, '&gt;&gt;Vistas Consolidadas'!$F$2),I1060,0)</f>
        <v>0</v>
      </c>
      <c r="V1060" s="18" t="b">
        <f ca="1">AND(C1060&gt;='Interes Por Semana'!$C$4, C1060&lt;='Interes Por Semana'!$E$4)</f>
        <v>0</v>
      </c>
      <c r="W1060" s="18" t="str">
        <f t="shared" si="34"/>
        <v>domingo</v>
      </c>
    </row>
    <row r="1061" spans="1:23" hidden="1" x14ac:dyDescent="0.25">
      <c r="B1061" s="338">
        <v>46288</v>
      </c>
      <c r="C1061" s="338">
        <v>49309</v>
      </c>
      <c r="D1061" s="374" t="s">
        <v>96</v>
      </c>
      <c r="E1061" s="314" t="s">
        <v>47</v>
      </c>
      <c r="F1061" s="315" t="s">
        <v>140</v>
      </c>
      <c r="G1061" s="313">
        <v>1</v>
      </c>
      <c r="H1061" s="313">
        <v>1</v>
      </c>
      <c r="I1061" s="341">
        <v>0</v>
      </c>
      <c r="J1061" s="341">
        <v>1559.8</v>
      </c>
      <c r="K1061" s="313"/>
      <c r="L1061" s="340">
        <f t="shared" si="33"/>
        <v>0</v>
      </c>
      <c r="M1061" s="313"/>
      <c r="N1061" s="313"/>
      <c r="O1061" s="313"/>
      <c r="P1061" s="313"/>
      <c r="Q1061" s="311"/>
      <c r="R1061" s="392" t="s">
        <v>584</v>
      </c>
      <c r="S1061" s="358">
        <f ca="1">IF(C1061&lt;=EOMONTH('&gt;&gt;Vistas Consolidadas'!$D$2, '&gt;&gt;Vistas Consolidadas'!$F$2),J1061+I1061,J1061)</f>
        <v>1559.8</v>
      </c>
      <c r="T1061" s="18" t="str">
        <f ca="1">IF(C1061&gt;='&gt;&gt;Vistas Consolidadas'!$D$2,"SI","NO")</f>
        <v>SI</v>
      </c>
      <c r="U1061" s="358">
        <f ca="1">IF(C1061&lt;=EOMONTH('&gt;&gt;Vistas Consolidadas'!$D$2, '&gt;&gt;Vistas Consolidadas'!$F$2),I1061,0)</f>
        <v>0</v>
      </c>
      <c r="V1061" s="18" t="b">
        <f ca="1">AND(C1061&gt;='Interes Por Semana'!$C$4, C1061&lt;='Interes Por Semana'!$E$4)</f>
        <v>0</v>
      </c>
      <c r="W1061" s="18" t="str">
        <f t="shared" si="34"/>
        <v>domingo</v>
      </c>
    </row>
    <row r="1062" spans="1:23" hidden="1" x14ac:dyDescent="0.25">
      <c r="B1062" s="338">
        <v>46289</v>
      </c>
      <c r="C1062" s="338">
        <v>49309</v>
      </c>
      <c r="D1062" s="374" t="s">
        <v>96</v>
      </c>
      <c r="E1062" s="314" t="s">
        <v>47</v>
      </c>
      <c r="F1062" s="315" t="s">
        <v>585</v>
      </c>
      <c r="G1062" s="313">
        <v>1</v>
      </c>
      <c r="H1062" s="313">
        <v>1</v>
      </c>
      <c r="I1062" s="341">
        <v>0</v>
      </c>
      <c r="J1062" s="341">
        <v>6095.47</v>
      </c>
      <c r="K1062" s="313"/>
      <c r="L1062" s="340">
        <f t="shared" si="33"/>
        <v>0</v>
      </c>
      <c r="M1062" s="313"/>
      <c r="N1062" s="313"/>
      <c r="O1062" s="313"/>
      <c r="P1062" s="313"/>
      <c r="Q1062" s="311"/>
      <c r="R1062" s="392" t="s">
        <v>586</v>
      </c>
      <c r="S1062" s="358">
        <f ca="1">IF(C1062&lt;=EOMONTH('&gt;&gt;Vistas Consolidadas'!$D$2, '&gt;&gt;Vistas Consolidadas'!$F$2),J1062+I1062,J1062)</f>
        <v>6095.47</v>
      </c>
      <c r="T1062" s="18" t="str">
        <f ca="1">IF(C1062&gt;='&gt;&gt;Vistas Consolidadas'!$D$2,"SI","NO")</f>
        <v>SI</v>
      </c>
      <c r="U1062" s="358">
        <f ca="1">IF(C1062&lt;=EOMONTH('&gt;&gt;Vistas Consolidadas'!$D$2, '&gt;&gt;Vistas Consolidadas'!$F$2),I1062,0)</f>
        <v>0</v>
      </c>
      <c r="V1062" s="18" t="b">
        <f ca="1">AND(C1062&gt;='Interes Por Semana'!$C$4, C1062&lt;='Interes Por Semana'!$E$4)</f>
        <v>0</v>
      </c>
      <c r="W1062" s="18" t="str">
        <f t="shared" si="34"/>
        <v>domingo</v>
      </c>
    </row>
    <row r="1063" spans="1:23" hidden="1" x14ac:dyDescent="0.25">
      <c r="B1063" s="338">
        <v>46289</v>
      </c>
      <c r="C1063" s="337">
        <v>49309</v>
      </c>
      <c r="D1063" s="374" t="s">
        <v>96</v>
      </c>
      <c r="E1063" s="309" t="s">
        <v>47</v>
      </c>
      <c r="F1063" s="310" t="s">
        <v>131</v>
      </c>
      <c r="G1063" s="311">
        <v>1</v>
      </c>
      <c r="H1063" s="311">
        <v>1</v>
      </c>
      <c r="I1063" s="340">
        <v>0</v>
      </c>
      <c r="J1063" s="341">
        <v>6064.12</v>
      </c>
      <c r="K1063" s="311"/>
      <c r="L1063" s="340">
        <f t="shared" si="33"/>
        <v>0</v>
      </c>
      <c r="M1063" s="311"/>
      <c r="N1063" s="311"/>
      <c r="O1063" s="311"/>
      <c r="P1063" s="311"/>
      <c r="Q1063" s="386"/>
      <c r="R1063" s="392" t="s">
        <v>587</v>
      </c>
      <c r="S1063" s="358">
        <f ca="1">IF(C1063&lt;=EOMONTH('&gt;&gt;Vistas Consolidadas'!$D$2, '&gt;&gt;Vistas Consolidadas'!$F$2),J1063+I1063,J1063)</f>
        <v>6064.12</v>
      </c>
      <c r="T1063" s="18" t="str">
        <f ca="1">IF(C1063&gt;='&gt;&gt;Vistas Consolidadas'!$D$2,"SI","NO")</f>
        <v>SI</v>
      </c>
      <c r="U1063" s="358">
        <f ca="1">IF(C1063&lt;=EOMONTH('&gt;&gt;Vistas Consolidadas'!$D$2, '&gt;&gt;Vistas Consolidadas'!$F$2),I1063,0)</f>
        <v>0</v>
      </c>
      <c r="V1063" s="18" t="b">
        <f ca="1">AND(C1063&gt;='Interes Por Semana'!$C$4, C1063&lt;='Interes Por Semana'!$E$4)</f>
        <v>0</v>
      </c>
      <c r="W1063" s="18" t="str">
        <f t="shared" si="34"/>
        <v>domingo</v>
      </c>
    </row>
    <row r="1064" spans="1:23" hidden="1" x14ac:dyDescent="0.25">
      <c r="B1064" s="338">
        <v>46289</v>
      </c>
      <c r="C1064" s="338">
        <v>49309</v>
      </c>
      <c r="D1064" s="374" t="s">
        <v>96</v>
      </c>
      <c r="E1064" s="314" t="s">
        <v>47</v>
      </c>
      <c r="F1064" s="315" t="s">
        <v>140</v>
      </c>
      <c r="G1064" s="313">
        <v>1</v>
      </c>
      <c r="H1064" s="313">
        <v>1</v>
      </c>
      <c r="I1064" s="341">
        <v>0</v>
      </c>
      <c r="J1064" s="341">
        <v>2431.85</v>
      </c>
      <c r="K1064" s="313"/>
      <c r="L1064" s="340">
        <f t="shared" si="33"/>
        <v>0</v>
      </c>
      <c r="M1064" s="313"/>
      <c r="N1064" s="313"/>
      <c r="O1064" s="313"/>
      <c r="P1064" s="313"/>
      <c r="Q1064" s="311"/>
      <c r="R1064" s="392">
        <v>3752452</v>
      </c>
      <c r="S1064" s="358">
        <f ca="1">IF(C1064&lt;=EOMONTH('&gt;&gt;Vistas Consolidadas'!$D$2, '&gt;&gt;Vistas Consolidadas'!$F$2),J1064+I1064,J1064)</f>
        <v>2431.85</v>
      </c>
      <c r="T1064" s="18" t="str">
        <f ca="1">IF(C1064&gt;='&gt;&gt;Vistas Consolidadas'!$D$2,"SI","NO")</f>
        <v>SI</v>
      </c>
      <c r="U1064" s="358">
        <f ca="1">IF(C1064&lt;=EOMONTH('&gt;&gt;Vistas Consolidadas'!$D$2, '&gt;&gt;Vistas Consolidadas'!$F$2),I1064,0)</f>
        <v>0</v>
      </c>
      <c r="V1064" s="18" t="b">
        <f ca="1">AND(C1064&gt;='Interes Por Semana'!$C$4, C1064&lt;='Interes Por Semana'!$E$4)</f>
        <v>0</v>
      </c>
      <c r="W1064" s="18" t="str">
        <f t="shared" si="34"/>
        <v>domingo</v>
      </c>
    </row>
    <row r="1065" spans="1:23" hidden="1" x14ac:dyDescent="0.25">
      <c r="B1065" s="338">
        <v>46290</v>
      </c>
      <c r="C1065" s="338">
        <v>49309</v>
      </c>
      <c r="D1065" s="374" t="s">
        <v>96</v>
      </c>
      <c r="E1065" s="314" t="s">
        <v>47</v>
      </c>
      <c r="F1065" s="315" t="s">
        <v>140</v>
      </c>
      <c r="G1065" s="313">
        <v>1</v>
      </c>
      <c r="H1065" s="313">
        <v>1</v>
      </c>
      <c r="I1065" s="341">
        <v>0</v>
      </c>
      <c r="J1065" s="340">
        <v>4601.67</v>
      </c>
      <c r="K1065" s="311"/>
      <c r="L1065" s="340">
        <f t="shared" si="33"/>
        <v>0</v>
      </c>
      <c r="M1065" s="311"/>
      <c r="N1065" s="311"/>
      <c r="O1065" s="311"/>
      <c r="P1065" s="311"/>
      <c r="Q1065" s="386"/>
      <c r="R1065" s="392">
        <v>3753242</v>
      </c>
      <c r="S1065" s="358">
        <f ca="1">IF(C1065&lt;=EOMONTH('&gt;&gt;Vistas Consolidadas'!$D$2, '&gt;&gt;Vistas Consolidadas'!$F$2),J1065+I1065,J1065)</f>
        <v>4601.67</v>
      </c>
      <c r="T1065" s="18" t="str">
        <f ca="1">IF(C1065&gt;='&gt;&gt;Vistas Consolidadas'!$D$2,"SI","NO")</f>
        <v>SI</v>
      </c>
      <c r="U1065" s="358">
        <f ca="1">IF(C1065&lt;=EOMONTH('&gt;&gt;Vistas Consolidadas'!$D$2, '&gt;&gt;Vistas Consolidadas'!$F$2),I1065,0)</f>
        <v>0</v>
      </c>
      <c r="V1065" s="18" t="b">
        <f ca="1">AND(C1065&gt;='Interes Por Semana'!$C$4, C1065&lt;='Interes Por Semana'!$E$4)</f>
        <v>0</v>
      </c>
      <c r="W1065" s="18" t="str">
        <f t="shared" si="34"/>
        <v>domingo</v>
      </c>
    </row>
    <row r="1066" spans="1:23" hidden="1" x14ac:dyDescent="0.25">
      <c r="A1066" s="408"/>
      <c r="B1066" s="338">
        <v>46141</v>
      </c>
      <c r="C1066" s="338">
        <v>46655</v>
      </c>
      <c r="D1066" s="374" t="s">
        <v>78</v>
      </c>
      <c r="E1066" s="314" t="s">
        <v>47</v>
      </c>
      <c r="F1066" s="315" t="s">
        <v>152</v>
      </c>
      <c r="G1066" s="313">
        <v>6.21</v>
      </c>
      <c r="H1066" s="313">
        <v>8.9</v>
      </c>
      <c r="I1066" s="341">
        <v>186.82</v>
      </c>
      <c r="J1066" s="341">
        <v>0</v>
      </c>
      <c r="K1066" s="313"/>
      <c r="L1066" s="340">
        <f t="shared" si="33"/>
        <v>186.82</v>
      </c>
      <c r="M1066" s="313"/>
      <c r="N1066" s="313"/>
      <c r="O1066" s="313"/>
      <c r="P1066" s="313"/>
      <c r="Q1066" s="311"/>
      <c r="R1066" s="392"/>
      <c r="S1066" s="358">
        <f ca="1">IF(C1066&lt;=EOMONTH('&gt;&gt;Vistas Consolidadas'!$D$2, '&gt;&gt;Vistas Consolidadas'!$F$2),J1066+I1066,J1066)</f>
        <v>186.82</v>
      </c>
      <c r="T1066" s="18" t="str">
        <f ca="1">IF(C1066&gt;='&gt;&gt;Vistas Consolidadas'!$D$2,"SI","NO")</f>
        <v>SI</v>
      </c>
      <c r="U1066" s="358">
        <f ca="1">IF(C1066&lt;=EOMONTH('&gt;&gt;Vistas Consolidadas'!$D$2, '&gt;&gt;Vistas Consolidadas'!$F$2),I1066,0)</f>
        <v>186.82</v>
      </c>
      <c r="V1066" s="18" t="b">
        <f ca="1">AND(C1066&gt;='Interes Por Semana'!$C$4, C1066&lt;='Interes Por Semana'!$E$4)</f>
        <v>0</v>
      </c>
      <c r="W1066" s="18" t="str">
        <f t="shared" si="34"/>
        <v>sábado</v>
      </c>
    </row>
    <row r="1067" spans="1:23" hidden="1" x14ac:dyDescent="0.25">
      <c r="B1067" s="337">
        <v>45552</v>
      </c>
      <c r="C1067" s="337">
        <v>46633</v>
      </c>
      <c r="D1067" s="374" t="s">
        <v>78</v>
      </c>
      <c r="E1067" s="309" t="s">
        <v>47</v>
      </c>
      <c r="F1067" s="310" t="s">
        <v>79</v>
      </c>
      <c r="G1067" s="311">
        <v>5.36</v>
      </c>
      <c r="H1067" s="311">
        <v>13.5</v>
      </c>
      <c r="I1067" s="340">
        <v>15.63</v>
      </c>
      <c r="J1067" s="340"/>
      <c r="K1067" s="311"/>
      <c r="L1067" s="340">
        <f t="shared" si="33"/>
        <v>15.63</v>
      </c>
      <c r="M1067" s="313"/>
      <c r="N1067" s="313"/>
      <c r="O1067" s="313"/>
      <c r="P1067" s="313"/>
      <c r="Q1067" s="311"/>
      <c r="R1067" s="392"/>
      <c r="S1067" s="358">
        <f ca="1">IF(C1067&lt;=EOMONTH('&gt;&gt;Vistas Consolidadas'!$D$2, '&gt;&gt;Vistas Consolidadas'!$F$2),J1067+I1067,J1067)</f>
        <v>15.63</v>
      </c>
      <c r="T1067" s="18" t="str">
        <f ca="1">IF(C1067&gt;='&gt;&gt;Vistas Consolidadas'!$D$2,"SI","NO")</f>
        <v>SI</v>
      </c>
      <c r="U1067" s="358">
        <f ca="1">IF(C1067&lt;=EOMONTH('&gt;&gt;Vistas Consolidadas'!$D$2, '&gt;&gt;Vistas Consolidadas'!$F$2),I1067,0)</f>
        <v>15.63</v>
      </c>
      <c r="V1067" s="18" t="b">
        <f ca="1">AND(C1067&gt;='Interes Por Semana'!$C$4, C1067&lt;='Interes Por Semana'!$E$4)</f>
        <v>0</v>
      </c>
      <c r="W1067" s="18" t="str">
        <f t="shared" si="34"/>
        <v>viernes</v>
      </c>
    </row>
    <row r="1068" spans="1:23" hidden="1" x14ac:dyDescent="0.25">
      <c r="B1068" s="337">
        <v>45560</v>
      </c>
      <c r="C1068" s="337">
        <v>46633</v>
      </c>
      <c r="D1068" s="374" t="s">
        <v>78</v>
      </c>
      <c r="E1068" s="309" t="s">
        <v>47</v>
      </c>
      <c r="F1068" s="310" t="s">
        <v>79</v>
      </c>
      <c r="G1068" s="311">
        <v>5.36</v>
      </c>
      <c r="H1068" s="311">
        <v>12.5</v>
      </c>
      <c r="I1068" s="340">
        <v>12.51</v>
      </c>
      <c r="J1068" s="340"/>
      <c r="K1068" s="311"/>
      <c r="L1068" s="340">
        <f t="shared" si="33"/>
        <v>12.51</v>
      </c>
      <c r="M1068" s="313"/>
      <c r="N1068" s="313"/>
      <c r="O1068" s="313"/>
      <c r="P1068" s="313"/>
      <c r="Q1068" s="311"/>
      <c r="R1068" s="392"/>
      <c r="S1068" s="358">
        <f ca="1">IF(C1068&lt;=EOMONTH('&gt;&gt;Vistas Consolidadas'!$D$2, '&gt;&gt;Vistas Consolidadas'!$F$2),J1068+I1068,J1068)</f>
        <v>12.51</v>
      </c>
      <c r="T1068" s="18" t="str">
        <f ca="1">IF(C1068&gt;='&gt;&gt;Vistas Consolidadas'!$D$2,"SI","NO")</f>
        <v>SI</v>
      </c>
      <c r="U1068" s="358">
        <f ca="1">IF(C1068&lt;=EOMONTH('&gt;&gt;Vistas Consolidadas'!$D$2, '&gt;&gt;Vistas Consolidadas'!$F$2),I1068,0)</f>
        <v>12.51</v>
      </c>
      <c r="V1068" s="18" t="b">
        <f ca="1">AND(C1068&gt;='Interes Por Semana'!$C$4, C1068&lt;='Interes Por Semana'!$E$4)</f>
        <v>0</v>
      </c>
      <c r="W1068" s="18" t="str">
        <f t="shared" si="34"/>
        <v>viernes</v>
      </c>
    </row>
    <row r="1069" spans="1:23" hidden="1" x14ac:dyDescent="0.25">
      <c r="B1069" s="337">
        <v>45708</v>
      </c>
      <c r="C1069" s="337">
        <v>46634</v>
      </c>
      <c r="D1069" s="374" t="s">
        <v>78</v>
      </c>
      <c r="E1069" s="309" t="s">
        <v>46</v>
      </c>
      <c r="F1069" s="310" t="s">
        <v>81</v>
      </c>
      <c r="G1069" s="311">
        <v>5.36</v>
      </c>
      <c r="H1069" s="311">
        <v>11.35</v>
      </c>
      <c r="I1069" s="340">
        <v>16.79</v>
      </c>
      <c r="J1069" s="340">
        <v>0</v>
      </c>
      <c r="K1069" s="311"/>
      <c r="L1069" s="340">
        <f t="shared" si="33"/>
        <v>16.79</v>
      </c>
      <c r="M1069" s="313"/>
      <c r="N1069" s="313"/>
      <c r="O1069" s="313"/>
      <c r="P1069" s="313"/>
      <c r="Q1069" s="311"/>
      <c r="R1069" s="392"/>
      <c r="S1069" s="358">
        <f ca="1">IF(C1069&lt;=EOMONTH('&gt;&gt;Vistas Consolidadas'!$D$2, '&gt;&gt;Vistas Consolidadas'!$F$2),J1069+I1069,J1069)</f>
        <v>16.79</v>
      </c>
      <c r="T1069" s="18" t="str">
        <f ca="1">IF(C1069&gt;='&gt;&gt;Vistas Consolidadas'!$D$2,"SI","NO")</f>
        <v>SI</v>
      </c>
      <c r="U1069" s="358">
        <f ca="1">IF(C1069&lt;=EOMONTH('&gt;&gt;Vistas Consolidadas'!$D$2, '&gt;&gt;Vistas Consolidadas'!$F$2),I1069,0)</f>
        <v>16.79</v>
      </c>
      <c r="V1069" s="18" t="b">
        <f ca="1">AND(C1069&gt;='Interes Por Semana'!$C$4, C1069&lt;='Interes Por Semana'!$E$4)</f>
        <v>0</v>
      </c>
      <c r="W1069" s="18" t="str">
        <f t="shared" si="34"/>
        <v>sábado</v>
      </c>
    </row>
    <row r="1070" spans="1:23" hidden="1" x14ac:dyDescent="0.25">
      <c r="B1070" s="337">
        <v>46057</v>
      </c>
      <c r="C1070" s="337">
        <v>46636</v>
      </c>
      <c r="D1070" s="374" t="s">
        <v>78</v>
      </c>
      <c r="E1070" s="309" t="s">
        <v>47</v>
      </c>
      <c r="F1070" s="310" t="s">
        <v>85</v>
      </c>
      <c r="G1070" s="311">
        <v>7.93</v>
      </c>
      <c r="H1070" s="311">
        <v>11.25</v>
      </c>
      <c r="I1070" s="340">
        <v>58.023180428134552</v>
      </c>
      <c r="J1070" s="340"/>
      <c r="K1070" s="311"/>
      <c r="L1070" s="340">
        <f t="shared" si="33"/>
        <v>58.023180428134552</v>
      </c>
      <c r="M1070" s="313"/>
      <c r="N1070" s="313"/>
      <c r="O1070" s="313"/>
      <c r="P1070" s="313"/>
      <c r="Q1070" s="311"/>
      <c r="R1070" s="392"/>
      <c r="S1070" s="358">
        <f ca="1">IF(C1070&lt;=EOMONTH('&gt;&gt;Vistas Consolidadas'!$D$2, '&gt;&gt;Vistas Consolidadas'!$F$2),J1070+I1070,J1070)</f>
        <v>58.023180428134552</v>
      </c>
      <c r="T1070" s="18" t="str">
        <f ca="1">IF(C1070&gt;='&gt;&gt;Vistas Consolidadas'!$D$2,"SI","NO")</f>
        <v>SI</v>
      </c>
      <c r="U1070" s="358">
        <f ca="1">IF(C1070&lt;=EOMONTH('&gt;&gt;Vistas Consolidadas'!$D$2, '&gt;&gt;Vistas Consolidadas'!$F$2),I1070,0)</f>
        <v>58.023180428134552</v>
      </c>
      <c r="V1070" s="18" t="b">
        <f ca="1">AND(C1070&gt;='Interes Por Semana'!$C$4, C1070&lt;='Interes Por Semana'!$E$4)</f>
        <v>0</v>
      </c>
      <c r="W1070" s="18" t="str">
        <f t="shared" si="34"/>
        <v>lunes</v>
      </c>
    </row>
    <row r="1071" spans="1:23" hidden="1" x14ac:dyDescent="0.25">
      <c r="B1071" s="337">
        <v>46057</v>
      </c>
      <c r="C1071" s="337">
        <v>46636</v>
      </c>
      <c r="D1071" s="374" t="s">
        <v>78</v>
      </c>
      <c r="E1071" s="309" t="s">
        <v>47</v>
      </c>
      <c r="F1071" s="310" t="s">
        <v>86</v>
      </c>
      <c r="G1071" s="311">
        <v>7.35</v>
      </c>
      <c r="H1071" s="311">
        <v>11</v>
      </c>
      <c r="I1071" s="340">
        <v>20.79</v>
      </c>
      <c r="J1071" s="340"/>
      <c r="K1071" s="311"/>
      <c r="L1071" s="340">
        <f t="shared" si="33"/>
        <v>20.79</v>
      </c>
      <c r="M1071" s="313"/>
      <c r="N1071" s="313"/>
      <c r="O1071" s="313"/>
      <c r="P1071" s="313"/>
      <c r="Q1071" s="311"/>
      <c r="R1071" s="392"/>
      <c r="S1071" s="358">
        <f ca="1">IF(C1071&lt;=EOMONTH('&gt;&gt;Vistas Consolidadas'!$D$2, '&gt;&gt;Vistas Consolidadas'!$F$2),J1071+I1071,J1071)</f>
        <v>20.79</v>
      </c>
      <c r="T1071" s="18" t="str">
        <f ca="1">IF(C1071&gt;='&gt;&gt;Vistas Consolidadas'!$D$2,"SI","NO")</f>
        <v>SI</v>
      </c>
      <c r="U1071" s="358">
        <f ca="1">IF(C1071&lt;=EOMONTH('&gt;&gt;Vistas Consolidadas'!$D$2, '&gt;&gt;Vistas Consolidadas'!$F$2),I1071,0)</f>
        <v>20.79</v>
      </c>
      <c r="V1071" s="18" t="b">
        <f ca="1">AND(C1071&gt;='Interes Por Semana'!$C$4, C1071&lt;='Interes Por Semana'!$E$4)</f>
        <v>0</v>
      </c>
      <c r="W1071" s="18" t="str">
        <f t="shared" si="34"/>
        <v>lunes</v>
      </c>
    </row>
    <row r="1072" spans="1:23" hidden="1" x14ac:dyDescent="0.25">
      <c r="B1072" s="337">
        <v>46001</v>
      </c>
      <c r="C1072" s="337">
        <v>46636</v>
      </c>
      <c r="D1072" s="374" t="s">
        <v>78</v>
      </c>
      <c r="E1072" s="309" t="s">
        <v>46</v>
      </c>
      <c r="F1072" s="310" t="s">
        <v>87</v>
      </c>
      <c r="G1072" s="311">
        <v>7.54</v>
      </c>
      <c r="H1072" s="311">
        <v>11</v>
      </c>
      <c r="I1072" s="340">
        <v>7.79</v>
      </c>
      <c r="J1072" s="340"/>
      <c r="K1072" s="311"/>
      <c r="L1072" s="340">
        <f t="shared" si="33"/>
        <v>7.79</v>
      </c>
      <c r="M1072" s="313"/>
      <c r="N1072" s="313"/>
      <c r="O1072" s="313"/>
      <c r="P1072" s="313"/>
      <c r="Q1072" s="311"/>
      <c r="R1072" s="392"/>
      <c r="S1072" s="358">
        <f ca="1">IF(C1072&lt;=EOMONTH('&gt;&gt;Vistas Consolidadas'!$D$2, '&gt;&gt;Vistas Consolidadas'!$F$2),J1072+I1072,J1072)</f>
        <v>7.79</v>
      </c>
      <c r="T1072" s="18" t="str">
        <f ca="1">IF(C1072&gt;='&gt;&gt;Vistas Consolidadas'!$D$2,"SI","NO")</f>
        <v>SI</v>
      </c>
      <c r="U1072" s="358">
        <f ca="1">IF(C1072&lt;=EOMONTH('&gt;&gt;Vistas Consolidadas'!$D$2, '&gt;&gt;Vistas Consolidadas'!$F$2),I1072,0)</f>
        <v>7.79</v>
      </c>
      <c r="V1072" s="18" t="b">
        <f ca="1">AND(C1072&gt;='Interes Por Semana'!$C$4, C1072&lt;='Interes Por Semana'!$E$4)</f>
        <v>0</v>
      </c>
      <c r="W1072" s="18" t="str">
        <f t="shared" si="34"/>
        <v>lunes</v>
      </c>
    </row>
    <row r="1073" spans="2:23" hidden="1" x14ac:dyDescent="0.25">
      <c r="B1073" s="337">
        <v>45943</v>
      </c>
      <c r="C1073" s="337">
        <v>46640</v>
      </c>
      <c r="D1073" s="374" t="s">
        <v>78</v>
      </c>
      <c r="E1073" s="309" t="s">
        <v>47</v>
      </c>
      <c r="F1073" s="310" t="s">
        <v>91</v>
      </c>
      <c r="G1073" s="311">
        <v>7.54</v>
      </c>
      <c r="H1073" s="311">
        <v>9.85</v>
      </c>
      <c r="I1073" s="340">
        <v>35.25</v>
      </c>
      <c r="J1073" s="340"/>
      <c r="K1073" s="311"/>
      <c r="L1073" s="340">
        <f t="shared" si="33"/>
        <v>35.25</v>
      </c>
      <c r="M1073" s="313"/>
      <c r="N1073" s="313"/>
      <c r="O1073" s="313"/>
      <c r="P1073" s="313"/>
      <c r="Q1073" s="311"/>
      <c r="R1073" s="392"/>
      <c r="S1073" s="358">
        <f ca="1">IF(C1073&lt;=EOMONTH('&gt;&gt;Vistas Consolidadas'!$D$2, '&gt;&gt;Vistas Consolidadas'!$F$2),J1073+I1073,J1073)</f>
        <v>35.25</v>
      </c>
      <c r="T1073" s="18" t="str">
        <f ca="1">IF(C1073&gt;='&gt;&gt;Vistas Consolidadas'!$D$2,"SI","NO")</f>
        <v>SI</v>
      </c>
      <c r="U1073" s="358">
        <f ca="1">IF(C1073&lt;=EOMONTH('&gt;&gt;Vistas Consolidadas'!$D$2, '&gt;&gt;Vistas Consolidadas'!$F$2),I1073,0)</f>
        <v>35.25</v>
      </c>
      <c r="V1073" s="18" t="b">
        <f ca="1">AND(C1073&gt;='Interes Por Semana'!$C$4, C1073&lt;='Interes Por Semana'!$E$4)</f>
        <v>0</v>
      </c>
      <c r="W1073" s="18" t="str">
        <f t="shared" si="34"/>
        <v>viernes</v>
      </c>
    </row>
    <row r="1074" spans="2:23" hidden="1" x14ac:dyDescent="0.25">
      <c r="B1074" s="337">
        <v>46121</v>
      </c>
      <c r="C1074" s="337">
        <v>46642</v>
      </c>
      <c r="D1074" s="374" t="s">
        <v>78</v>
      </c>
      <c r="E1074" s="309" t="s">
        <v>47</v>
      </c>
      <c r="F1074" s="310" t="s">
        <v>93</v>
      </c>
      <c r="G1074" s="311">
        <v>4.71</v>
      </c>
      <c r="H1074" s="311">
        <v>9.5</v>
      </c>
      <c r="I1074" s="340">
        <v>3.53</v>
      </c>
      <c r="J1074" s="340">
        <v>0</v>
      </c>
      <c r="K1074" s="311"/>
      <c r="L1074" s="340">
        <f t="shared" si="33"/>
        <v>3.53</v>
      </c>
      <c r="M1074" s="313"/>
      <c r="N1074" s="313"/>
      <c r="O1074" s="313"/>
      <c r="P1074" s="313"/>
      <c r="Q1074" s="311"/>
      <c r="R1074" s="392"/>
      <c r="S1074" s="358">
        <f ca="1">IF(C1074&lt;=EOMONTH('&gt;&gt;Vistas Consolidadas'!$D$2, '&gt;&gt;Vistas Consolidadas'!$F$2),J1074+I1074,J1074)</f>
        <v>3.53</v>
      </c>
      <c r="T1074" s="18" t="str">
        <f ca="1">IF(C1074&gt;='&gt;&gt;Vistas Consolidadas'!$D$2,"SI","NO")</f>
        <v>SI</v>
      </c>
      <c r="U1074" s="358">
        <f ca="1">IF(C1074&lt;=EOMONTH('&gt;&gt;Vistas Consolidadas'!$D$2, '&gt;&gt;Vistas Consolidadas'!$F$2),I1074,0)</f>
        <v>3.53</v>
      </c>
      <c r="V1074" s="18" t="b">
        <f ca="1">AND(C1074&gt;='Interes Por Semana'!$C$4, C1074&lt;='Interes Por Semana'!$E$4)</f>
        <v>0</v>
      </c>
      <c r="W1074" s="18" t="str">
        <f t="shared" si="34"/>
        <v>domingo</v>
      </c>
    </row>
    <row r="1075" spans="2:23" hidden="1" x14ac:dyDescent="0.25">
      <c r="B1075" s="337">
        <v>45264</v>
      </c>
      <c r="C1075" s="337">
        <v>46647</v>
      </c>
      <c r="D1075" s="374" t="s">
        <v>78</v>
      </c>
      <c r="E1075" s="309" t="s">
        <v>46</v>
      </c>
      <c r="F1075" s="310" t="s">
        <v>99</v>
      </c>
      <c r="G1075" s="311">
        <v>5.64</v>
      </c>
      <c r="H1075" s="311">
        <v>13</v>
      </c>
      <c r="I1075" s="340">
        <v>14.1</v>
      </c>
      <c r="J1075" s="340"/>
      <c r="K1075" s="311"/>
      <c r="L1075" s="340">
        <f t="shared" si="33"/>
        <v>14.1</v>
      </c>
      <c r="M1075" s="313"/>
      <c r="N1075" s="313"/>
      <c r="O1075" s="313"/>
      <c r="P1075" s="313"/>
      <c r="Q1075" s="311"/>
      <c r="R1075" s="392"/>
      <c r="S1075" s="358">
        <f ca="1">IF(C1075&lt;=EOMONTH('&gt;&gt;Vistas Consolidadas'!$D$2, '&gt;&gt;Vistas Consolidadas'!$F$2),J1075+I1075,J1075)</f>
        <v>14.1</v>
      </c>
      <c r="T1075" s="18" t="str">
        <f ca="1">IF(C1075&gt;='&gt;&gt;Vistas Consolidadas'!$D$2,"SI","NO")</f>
        <v>SI</v>
      </c>
      <c r="U1075" s="358">
        <f ca="1">IF(C1075&lt;=EOMONTH('&gt;&gt;Vistas Consolidadas'!$D$2, '&gt;&gt;Vistas Consolidadas'!$F$2),I1075,0)</f>
        <v>14.1</v>
      </c>
      <c r="V1075" s="18" t="b">
        <f ca="1">AND(C1075&gt;='Interes Por Semana'!$C$4, C1075&lt;='Interes Por Semana'!$E$4)</f>
        <v>0</v>
      </c>
      <c r="W1075" s="18" t="str">
        <f t="shared" si="34"/>
        <v>viernes</v>
      </c>
    </row>
    <row r="1076" spans="2:23" hidden="1" x14ac:dyDescent="0.25">
      <c r="B1076" s="337">
        <v>45302</v>
      </c>
      <c r="C1076" s="337">
        <v>46647</v>
      </c>
      <c r="D1076" s="374" t="s">
        <v>78</v>
      </c>
      <c r="E1076" s="309" t="s">
        <v>46</v>
      </c>
      <c r="F1076" s="310" t="s">
        <v>99</v>
      </c>
      <c r="G1076" s="311">
        <v>5.64</v>
      </c>
      <c r="H1076" s="311">
        <v>12.75</v>
      </c>
      <c r="I1076" s="340">
        <v>7.28</v>
      </c>
      <c r="J1076" s="340"/>
      <c r="K1076" s="311"/>
      <c r="L1076" s="340">
        <f t="shared" si="33"/>
        <v>7.28</v>
      </c>
      <c r="M1076" s="313"/>
      <c r="N1076" s="313"/>
      <c r="O1076" s="313"/>
      <c r="P1076" s="313"/>
      <c r="Q1076" s="311"/>
      <c r="R1076" s="392"/>
      <c r="S1076" s="358">
        <f ca="1">IF(C1076&lt;=EOMONTH('&gt;&gt;Vistas Consolidadas'!$D$2, '&gt;&gt;Vistas Consolidadas'!$F$2),J1076+I1076,J1076)</f>
        <v>7.28</v>
      </c>
      <c r="T1076" s="18" t="str">
        <f ca="1">IF(C1076&gt;='&gt;&gt;Vistas Consolidadas'!$D$2,"SI","NO")</f>
        <v>SI</v>
      </c>
      <c r="U1076" s="358">
        <f ca="1">IF(C1076&lt;=EOMONTH('&gt;&gt;Vistas Consolidadas'!$D$2, '&gt;&gt;Vistas Consolidadas'!$F$2),I1076,0)</f>
        <v>7.28</v>
      </c>
      <c r="V1076" s="18" t="b">
        <f ca="1">AND(C1076&gt;='Interes Por Semana'!$C$4, C1076&lt;='Interes Por Semana'!$E$4)</f>
        <v>0</v>
      </c>
      <c r="W1076" s="18" t="str">
        <f t="shared" si="34"/>
        <v>viernes</v>
      </c>
    </row>
    <row r="1077" spans="2:23" hidden="1" x14ac:dyDescent="0.25">
      <c r="B1077" s="337">
        <v>46006</v>
      </c>
      <c r="C1077" s="337">
        <v>46648</v>
      </c>
      <c r="D1077" s="374" t="s">
        <v>78</v>
      </c>
      <c r="E1077" s="309" t="s">
        <v>46</v>
      </c>
      <c r="F1077" s="310" t="s">
        <v>100</v>
      </c>
      <c r="G1077" s="311">
        <v>5.93</v>
      </c>
      <c r="H1077" s="311">
        <v>8.5</v>
      </c>
      <c r="I1077" s="340">
        <v>23.09</v>
      </c>
      <c r="J1077" s="340"/>
      <c r="K1077" s="311"/>
      <c r="L1077" s="340">
        <f t="shared" si="33"/>
        <v>23.09</v>
      </c>
      <c r="M1077" s="313"/>
      <c r="N1077" s="313"/>
      <c r="O1077" s="313"/>
      <c r="P1077" s="313"/>
      <c r="Q1077" s="311"/>
      <c r="R1077" s="392"/>
      <c r="S1077" s="358">
        <f ca="1">IF(C1077&lt;=EOMONTH('&gt;&gt;Vistas Consolidadas'!$D$2, '&gt;&gt;Vistas Consolidadas'!$F$2),J1077+I1077,J1077)</f>
        <v>23.09</v>
      </c>
      <c r="T1077" s="18" t="str">
        <f ca="1">IF(C1077&gt;='&gt;&gt;Vistas Consolidadas'!$D$2,"SI","NO")</f>
        <v>SI</v>
      </c>
      <c r="U1077" s="358">
        <f ca="1">IF(C1077&lt;=EOMONTH('&gt;&gt;Vistas Consolidadas'!$D$2, '&gt;&gt;Vistas Consolidadas'!$F$2),I1077,0)</f>
        <v>23.09</v>
      </c>
      <c r="V1077" s="18" t="b">
        <f ca="1">AND(C1077&gt;='Interes Por Semana'!$C$4, C1077&lt;='Interes Por Semana'!$E$4)</f>
        <v>0</v>
      </c>
      <c r="W1077" s="18" t="str">
        <f t="shared" si="34"/>
        <v>sábado</v>
      </c>
    </row>
    <row r="1078" spans="2:23" hidden="1" x14ac:dyDescent="0.25">
      <c r="B1078" s="337">
        <v>45734</v>
      </c>
      <c r="C1078" s="337">
        <v>46648</v>
      </c>
      <c r="D1078" s="374" t="s">
        <v>78</v>
      </c>
      <c r="E1078" s="309" t="s">
        <v>47</v>
      </c>
      <c r="F1078" s="310" t="s">
        <v>101</v>
      </c>
      <c r="G1078" s="311">
        <v>5.93</v>
      </c>
      <c r="H1078" s="311">
        <v>12</v>
      </c>
      <c r="I1078" s="340">
        <v>8.94</v>
      </c>
      <c r="J1078" s="340"/>
      <c r="K1078" s="311"/>
      <c r="L1078" s="340">
        <f t="shared" si="33"/>
        <v>8.94</v>
      </c>
      <c r="M1078" s="313"/>
      <c r="N1078" s="313"/>
      <c r="O1078" s="313"/>
      <c r="P1078" s="313"/>
      <c r="Q1078" s="311"/>
      <c r="R1078" s="392"/>
      <c r="S1078" s="358">
        <f ca="1">IF(C1078&lt;=EOMONTH('&gt;&gt;Vistas Consolidadas'!$D$2, '&gt;&gt;Vistas Consolidadas'!$F$2),J1078+I1078,J1078)</f>
        <v>8.94</v>
      </c>
      <c r="T1078" s="18" t="str">
        <f ca="1">IF(C1078&gt;='&gt;&gt;Vistas Consolidadas'!$D$2,"SI","NO")</f>
        <v>SI</v>
      </c>
      <c r="U1078" s="358">
        <f ca="1">IF(C1078&lt;=EOMONTH('&gt;&gt;Vistas Consolidadas'!$D$2, '&gt;&gt;Vistas Consolidadas'!$F$2),I1078,0)</f>
        <v>8.94</v>
      </c>
      <c r="V1078" s="18" t="b">
        <f ca="1">AND(C1078&gt;='Interes Por Semana'!$C$4, C1078&lt;='Interes Por Semana'!$E$4)</f>
        <v>0</v>
      </c>
      <c r="W1078" s="18" t="str">
        <f t="shared" si="34"/>
        <v>sábado</v>
      </c>
    </row>
    <row r="1079" spans="2:23" hidden="1" x14ac:dyDescent="0.25">
      <c r="B1079" s="337">
        <v>45264</v>
      </c>
      <c r="C1079" s="337">
        <v>46651</v>
      </c>
      <c r="D1079" s="374" t="s">
        <v>78</v>
      </c>
      <c r="E1079" s="309" t="s">
        <v>46</v>
      </c>
      <c r="F1079" s="310" t="s">
        <v>103</v>
      </c>
      <c r="G1079" s="311">
        <v>5.36</v>
      </c>
      <c r="H1079" s="311">
        <v>13</v>
      </c>
      <c r="I1079" s="340">
        <v>5.58</v>
      </c>
      <c r="J1079" s="340"/>
      <c r="K1079" s="311"/>
      <c r="L1079" s="340">
        <f t="shared" si="33"/>
        <v>5.58</v>
      </c>
      <c r="M1079" s="313"/>
      <c r="N1079" s="313"/>
      <c r="O1079" s="313"/>
      <c r="P1079" s="313"/>
      <c r="Q1079" s="311"/>
      <c r="R1079" s="392"/>
      <c r="S1079" s="358">
        <f ca="1">IF(C1079&lt;=EOMONTH('&gt;&gt;Vistas Consolidadas'!$D$2, '&gt;&gt;Vistas Consolidadas'!$F$2),J1079+I1079,J1079)</f>
        <v>5.58</v>
      </c>
      <c r="T1079" s="18" t="str">
        <f ca="1">IF(C1079&gt;='&gt;&gt;Vistas Consolidadas'!$D$2,"SI","NO")</f>
        <v>SI</v>
      </c>
      <c r="U1079" s="358">
        <f ca="1">IF(C1079&lt;=EOMONTH('&gt;&gt;Vistas Consolidadas'!$D$2, '&gt;&gt;Vistas Consolidadas'!$F$2),I1079,0)</f>
        <v>5.58</v>
      </c>
      <c r="V1079" s="18" t="b">
        <f ca="1">AND(C1079&gt;='Interes Por Semana'!$C$4, C1079&lt;='Interes Por Semana'!$E$4)</f>
        <v>0</v>
      </c>
      <c r="W1079" s="18" t="str">
        <f t="shared" si="34"/>
        <v>martes</v>
      </c>
    </row>
    <row r="1080" spans="2:23" hidden="1" x14ac:dyDescent="0.25">
      <c r="B1080" s="337">
        <v>45279</v>
      </c>
      <c r="C1080" s="337">
        <v>46651</v>
      </c>
      <c r="D1080" s="374" t="s">
        <v>78</v>
      </c>
      <c r="E1080" s="309" t="s">
        <v>46</v>
      </c>
      <c r="F1080" s="310" t="s">
        <v>103</v>
      </c>
      <c r="G1080" s="311">
        <v>5.36</v>
      </c>
      <c r="H1080" s="311">
        <v>13</v>
      </c>
      <c r="I1080" s="340">
        <v>3.13</v>
      </c>
      <c r="J1080" s="340"/>
      <c r="K1080" s="311"/>
      <c r="L1080" s="340">
        <f t="shared" si="33"/>
        <v>3.13</v>
      </c>
      <c r="M1080" s="313"/>
      <c r="N1080" s="313"/>
      <c r="O1080" s="313"/>
      <c r="P1080" s="313"/>
      <c r="Q1080" s="311"/>
      <c r="R1080" s="392"/>
      <c r="S1080" s="358">
        <f ca="1">IF(C1080&lt;=EOMONTH('&gt;&gt;Vistas Consolidadas'!$D$2, '&gt;&gt;Vistas Consolidadas'!$F$2),J1080+I1080,J1080)</f>
        <v>3.13</v>
      </c>
      <c r="T1080" s="18" t="str">
        <f ca="1">IF(C1080&gt;='&gt;&gt;Vistas Consolidadas'!$D$2,"SI","NO")</f>
        <v>SI</v>
      </c>
      <c r="U1080" s="358">
        <f ca="1">IF(C1080&lt;=EOMONTH('&gt;&gt;Vistas Consolidadas'!$D$2, '&gt;&gt;Vistas Consolidadas'!$F$2),I1080,0)</f>
        <v>3.13</v>
      </c>
      <c r="V1080" s="18" t="b">
        <f ca="1">AND(C1080&gt;='Interes Por Semana'!$C$4, C1080&lt;='Interes Por Semana'!$E$4)</f>
        <v>0</v>
      </c>
      <c r="W1080" s="18" t="str">
        <f t="shared" si="34"/>
        <v>martes</v>
      </c>
    </row>
    <row r="1081" spans="2:23" hidden="1" x14ac:dyDescent="0.25">
      <c r="B1081" s="337">
        <v>45552</v>
      </c>
      <c r="C1081" s="337">
        <v>46651</v>
      </c>
      <c r="D1081" s="374" t="s">
        <v>78</v>
      </c>
      <c r="E1081" s="309" t="s">
        <v>47</v>
      </c>
      <c r="F1081" s="310" t="s">
        <v>103</v>
      </c>
      <c r="G1081" s="311">
        <v>5.36</v>
      </c>
      <c r="H1081" s="311">
        <v>13.75</v>
      </c>
      <c r="I1081" s="340">
        <v>4.47</v>
      </c>
      <c r="J1081" s="340"/>
      <c r="K1081" s="311"/>
      <c r="L1081" s="340">
        <f t="shared" si="33"/>
        <v>4.47</v>
      </c>
      <c r="M1081" s="313"/>
      <c r="N1081" s="313"/>
      <c r="O1081" s="313"/>
      <c r="P1081" s="313"/>
      <c r="Q1081" s="311"/>
      <c r="R1081" s="392"/>
      <c r="S1081" s="358">
        <f ca="1">IF(C1081&lt;=EOMONTH('&gt;&gt;Vistas Consolidadas'!$D$2, '&gt;&gt;Vistas Consolidadas'!$F$2),J1081+I1081,J1081)</f>
        <v>4.47</v>
      </c>
      <c r="T1081" s="18" t="str">
        <f ca="1">IF(C1081&gt;='&gt;&gt;Vistas Consolidadas'!$D$2,"SI","NO")</f>
        <v>SI</v>
      </c>
      <c r="U1081" s="358">
        <f ca="1">IF(C1081&lt;=EOMONTH('&gt;&gt;Vistas Consolidadas'!$D$2, '&gt;&gt;Vistas Consolidadas'!$F$2),I1081,0)</f>
        <v>4.47</v>
      </c>
      <c r="V1081" s="18" t="b">
        <f ca="1">AND(C1081&gt;='Interes Por Semana'!$C$4, C1081&lt;='Interes Por Semana'!$E$4)</f>
        <v>0</v>
      </c>
      <c r="W1081" s="18" t="str">
        <f t="shared" si="34"/>
        <v>martes</v>
      </c>
    </row>
    <row r="1082" spans="2:23" hidden="1" x14ac:dyDescent="0.25">
      <c r="B1082" s="337">
        <v>45447</v>
      </c>
      <c r="C1082" s="337">
        <v>46654</v>
      </c>
      <c r="D1082" s="374" t="s">
        <v>78</v>
      </c>
      <c r="E1082" s="309" t="s">
        <v>47</v>
      </c>
      <c r="F1082" s="310" t="s">
        <v>105</v>
      </c>
      <c r="G1082" s="311">
        <v>5.93</v>
      </c>
      <c r="H1082" s="311">
        <v>13.25</v>
      </c>
      <c r="I1082" s="340">
        <v>29.65</v>
      </c>
      <c r="J1082" s="340"/>
      <c r="K1082" s="311"/>
      <c r="L1082" s="340">
        <f t="shared" si="33"/>
        <v>29.65</v>
      </c>
      <c r="M1082" s="313"/>
      <c r="N1082" s="313"/>
      <c r="O1082" s="313"/>
      <c r="P1082" s="313"/>
      <c r="Q1082" s="311"/>
      <c r="R1082" s="392"/>
      <c r="S1082" s="358">
        <f ca="1">IF(C1082&lt;=EOMONTH('&gt;&gt;Vistas Consolidadas'!$D$2, '&gt;&gt;Vistas Consolidadas'!$F$2),J1082+I1082,J1082)</f>
        <v>29.65</v>
      </c>
      <c r="T1082" s="18" t="str">
        <f ca="1">IF(C1082&gt;='&gt;&gt;Vistas Consolidadas'!$D$2,"SI","NO")</f>
        <v>SI</v>
      </c>
      <c r="U1082" s="358">
        <f ca="1">IF(C1082&lt;=EOMONTH('&gt;&gt;Vistas Consolidadas'!$D$2, '&gt;&gt;Vistas Consolidadas'!$F$2),I1082,0)</f>
        <v>29.65</v>
      </c>
      <c r="V1082" s="18" t="b">
        <f ca="1">AND(C1082&gt;='Interes Por Semana'!$C$4, C1082&lt;='Interes Por Semana'!$E$4)</f>
        <v>0</v>
      </c>
      <c r="W1082" s="18" t="str">
        <f t="shared" si="34"/>
        <v>viernes</v>
      </c>
    </row>
    <row r="1083" spans="2:23" hidden="1" x14ac:dyDescent="0.25">
      <c r="B1083" s="337">
        <v>45832</v>
      </c>
      <c r="C1083" s="337">
        <v>46655</v>
      </c>
      <c r="D1083" s="374" t="s">
        <v>78</v>
      </c>
      <c r="E1083" s="309" t="s">
        <v>47</v>
      </c>
      <c r="F1083" s="310" t="s">
        <v>106</v>
      </c>
      <c r="G1083" s="311">
        <v>5.93</v>
      </c>
      <c r="H1083" s="311">
        <v>11</v>
      </c>
      <c r="I1083" s="340">
        <v>22.41</v>
      </c>
      <c r="J1083" s="340"/>
      <c r="K1083" s="311"/>
      <c r="L1083" s="340">
        <f t="shared" si="33"/>
        <v>22.41</v>
      </c>
      <c r="M1083" s="313"/>
      <c r="N1083" s="313"/>
      <c r="O1083" s="313"/>
      <c r="P1083" s="313"/>
      <c r="Q1083" s="311"/>
      <c r="R1083" s="392"/>
      <c r="S1083" s="358">
        <f ca="1">IF(C1083&lt;=EOMONTH('&gt;&gt;Vistas Consolidadas'!$D$2, '&gt;&gt;Vistas Consolidadas'!$F$2),J1083+I1083,J1083)</f>
        <v>22.41</v>
      </c>
      <c r="T1083" s="18" t="str">
        <f ca="1">IF(C1083&gt;='&gt;&gt;Vistas Consolidadas'!$D$2,"SI","NO")</f>
        <v>SI</v>
      </c>
      <c r="U1083" s="358">
        <f ca="1">IF(C1083&lt;=EOMONTH('&gt;&gt;Vistas Consolidadas'!$D$2, '&gt;&gt;Vistas Consolidadas'!$F$2),I1083,0)</f>
        <v>22.41</v>
      </c>
      <c r="V1083" s="18" t="b">
        <f ca="1">AND(C1083&gt;='Interes Por Semana'!$C$4, C1083&lt;='Interes Por Semana'!$E$4)</f>
        <v>0</v>
      </c>
      <c r="W1083" s="18" t="str">
        <f t="shared" si="34"/>
        <v>sábado</v>
      </c>
    </row>
    <row r="1084" spans="2:23" hidden="1" x14ac:dyDescent="0.25">
      <c r="B1084" s="337">
        <v>45889</v>
      </c>
      <c r="C1084" s="337">
        <v>46655</v>
      </c>
      <c r="D1084" s="374" t="s">
        <v>78</v>
      </c>
      <c r="E1084" s="309" t="s">
        <v>47</v>
      </c>
      <c r="F1084" s="310" t="s">
        <v>106</v>
      </c>
      <c r="G1084" s="311">
        <v>6.21</v>
      </c>
      <c r="H1084" s="311">
        <v>9.75</v>
      </c>
      <c r="I1084" s="340">
        <v>4.5</v>
      </c>
      <c r="J1084" s="340"/>
      <c r="K1084" s="311"/>
      <c r="L1084" s="340">
        <f t="shared" ref="L1084:L1109" si="35">I1084</f>
        <v>4.5</v>
      </c>
      <c r="M1084" s="313"/>
      <c r="N1084" s="313"/>
      <c r="O1084" s="313"/>
      <c r="P1084" s="313"/>
      <c r="Q1084" s="311"/>
      <c r="R1084" s="392"/>
      <c r="S1084" s="358">
        <f ca="1">IF(C1084&lt;=EOMONTH('&gt;&gt;Vistas Consolidadas'!$D$2, '&gt;&gt;Vistas Consolidadas'!$F$2),J1084+I1084,J1084)</f>
        <v>4.5</v>
      </c>
      <c r="T1084" s="18" t="str">
        <f ca="1">IF(C1084&gt;='&gt;&gt;Vistas Consolidadas'!$D$2,"SI","NO")</f>
        <v>SI</v>
      </c>
      <c r="U1084" s="358">
        <f ca="1">IF(C1084&lt;=EOMONTH('&gt;&gt;Vistas Consolidadas'!$D$2, '&gt;&gt;Vistas Consolidadas'!$F$2),I1084,0)</f>
        <v>4.5</v>
      </c>
      <c r="V1084" s="18" t="b">
        <f ca="1">AND(C1084&gt;='Interes Por Semana'!$C$4, C1084&lt;='Interes Por Semana'!$E$4)</f>
        <v>0</v>
      </c>
      <c r="W1084" s="18" t="str">
        <f t="shared" si="34"/>
        <v>sábado</v>
      </c>
    </row>
    <row r="1085" spans="2:23" hidden="1" x14ac:dyDescent="0.25">
      <c r="B1085" s="337">
        <v>45889</v>
      </c>
      <c r="C1085" s="337">
        <v>46655</v>
      </c>
      <c r="D1085" s="374" t="s">
        <v>78</v>
      </c>
      <c r="E1085" s="309" t="s">
        <v>46</v>
      </c>
      <c r="F1085" s="310" t="s">
        <v>106</v>
      </c>
      <c r="G1085" s="311">
        <v>6.21</v>
      </c>
      <c r="H1085" s="311">
        <v>10.75</v>
      </c>
      <c r="I1085" s="340">
        <v>25.88</v>
      </c>
      <c r="J1085" s="340"/>
      <c r="K1085" s="311"/>
      <c r="L1085" s="340">
        <f t="shared" si="35"/>
        <v>25.88</v>
      </c>
      <c r="M1085" s="313"/>
      <c r="N1085" s="313"/>
      <c r="O1085" s="313"/>
      <c r="P1085" s="313"/>
      <c r="Q1085" s="311"/>
      <c r="R1085" s="392"/>
      <c r="S1085" s="358">
        <f ca="1">IF(C1085&lt;=EOMONTH('&gt;&gt;Vistas Consolidadas'!$D$2, '&gt;&gt;Vistas Consolidadas'!$F$2),J1085+I1085,J1085)</f>
        <v>25.88</v>
      </c>
      <c r="T1085" s="18" t="str">
        <f ca="1">IF(C1085&gt;='&gt;&gt;Vistas Consolidadas'!$D$2,"SI","NO")</f>
        <v>SI</v>
      </c>
      <c r="U1085" s="358">
        <f ca="1">IF(C1085&lt;=EOMONTH('&gt;&gt;Vistas Consolidadas'!$D$2, '&gt;&gt;Vistas Consolidadas'!$F$2),I1085,0)</f>
        <v>25.88</v>
      </c>
      <c r="V1085" s="18" t="b">
        <f ca="1">AND(C1085&gt;='Interes Por Semana'!$C$4, C1085&lt;='Interes Por Semana'!$E$4)</f>
        <v>0</v>
      </c>
      <c r="W1085" s="18" t="str">
        <f t="shared" si="34"/>
        <v>sábado</v>
      </c>
    </row>
    <row r="1086" spans="2:23" hidden="1" x14ac:dyDescent="0.25">
      <c r="B1086" s="337">
        <v>45593</v>
      </c>
      <c r="C1086" s="337">
        <v>46656</v>
      </c>
      <c r="D1086" s="374" t="s">
        <v>78</v>
      </c>
      <c r="E1086" s="309" t="s">
        <v>47</v>
      </c>
      <c r="F1086" s="310" t="s">
        <v>107</v>
      </c>
      <c r="G1086" s="311">
        <v>5.07</v>
      </c>
      <c r="H1086" s="311">
        <v>13</v>
      </c>
      <c r="I1086" s="340">
        <v>11.41</v>
      </c>
      <c r="J1086" s="340"/>
      <c r="K1086" s="311"/>
      <c r="L1086" s="340">
        <f t="shared" si="35"/>
        <v>11.41</v>
      </c>
      <c r="M1086" s="313"/>
      <c r="N1086" s="313"/>
      <c r="O1086" s="313"/>
      <c r="P1086" s="313"/>
      <c r="Q1086" s="311"/>
      <c r="R1086" s="392"/>
      <c r="S1086" s="358">
        <f ca="1">IF(C1086&lt;=EOMONTH('&gt;&gt;Vistas Consolidadas'!$D$2, '&gt;&gt;Vistas Consolidadas'!$F$2),J1086+I1086,J1086)</f>
        <v>11.41</v>
      </c>
      <c r="T1086" s="18" t="str">
        <f ca="1">IF(C1086&gt;='&gt;&gt;Vistas Consolidadas'!$D$2,"SI","NO")</f>
        <v>SI</v>
      </c>
      <c r="U1086" s="358">
        <f ca="1">IF(C1086&lt;=EOMONTH('&gt;&gt;Vistas Consolidadas'!$D$2, '&gt;&gt;Vistas Consolidadas'!$F$2),I1086,0)</f>
        <v>11.41</v>
      </c>
      <c r="V1086" s="18" t="b">
        <f ca="1">AND(C1086&gt;='Interes Por Semana'!$C$4, C1086&lt;='Interes Por Semana'!$E$4)</f>
        <v>0</v>
      </c>
      <c r="W1086" s="18" t="str">
        <f t="shared" si="34"/>
        <v>domingo</v>
      </c>
    </row>
    <row r="1087" spans="2:23" hidden="1" x14ac:dyDescent="0.25">
      <c r="B1087" s="337">
        <v>44830</v>
      </c>
      <c r="C1087" s="337">
        <v>46657</v>
      </c>
      <c r="D1087" s="374" t="s">
        <v>78</v>
      </c>
      <c r="E1087" s="309" t="s">
        <v>47</v>
      </c>
      <c r="F1087" s="310" t="s">
        <v>108</v>
      </c>
      <c r="G1087" s="311">
        <v>5.64</v>
      </c>
      <c r="H1087" s="311">
        <v>10.199999999999999</v>
      </c>
      <c r="I1087" s="340">
        <v>9.4</v>
      </c>
      <c r="J1087" s="340"/>
      <c r="K1087" s="311"/>
      <c r="L1087" s="340">
        <f t="shared" si="35"/>
        <v>9.4</v>
      </c>
      <c r="M1087" s="313"/>
      <c r="N1087" s="313"/>
      <c r="O1087" s="313"/>
      <c r="P1087" s="313"/>
      <c r="Q1087" s="311"/>
      <c r="R1087" s="392"/>
      <c r="S1087" s="358">
        <f ca="1">IF(C1087&lt;=EOMONTH('&gt;&gt;Vistas Consolidadas'!$D$2, '&gt;&gt;Vistas Consolidadas'!$F$2),J1087+I1087,J1087)</f>
        <v>9.4</v>
      </c>
      <c r="T1087" s="18" t="str">
        <f ca="1">IF(C1087&gt;='&gt;&gt;Vistas Consolidadas'!$D$2,"SI","NO")</f>
        <v>SI</v>
      </c>
      <c r="U1087" s="358">
        <f ca="1">IF(C1087&lt;=EOMONTH('&gt;&gt;Vistas Consolidadas'!$D$2, '&gt;&gt;Vistas Consolidadas'!$F$2),I1087,0)</f>
        <v>9.4</v>
      </c>
      <c r="V1087" s="18" t="b">
        <f ca="1">AND(C1087&gt;='Interes Por Semana'!$C$4, C1087&lt;='Interes Por Semana'!$E$4)</f>
        <v>0</v>
      </c>
      <c r="W1087" s="18" t="str">
        <f t="shared" si="34"/>
        <v>lunes</v>
      </c>
    </row>
    <row r="1088" spans="2:23" hidden="1" x14ac:dyDescent="0.25">
      <c r="B1088" s="337">
        <v>46057</v>
      </c>
      <c r="C1088" s="337">
        <v>46657</v>
      </c>
      <c r="D1088" s="374" t="s">
        <v>78</v>
      </c>
      <c r="E1088" s="309" t="s">
        <v>47</v>
      </c>
      <c r="F1088" s="310" t="s">
        <v>109</v>
      </c>
      <c r="G1088" s="311">
        <v>6.21</v>
      </c>
      <c r="H1088" s="311">
        <v>11</v>
      </c>
      <c r="I1088" s="340">
        <v>15.61</v>
      </c>
      <c r="J1088" s="340"/>
      <c r="K1088" s="311"/>
      <c r="L1088" s="340">
        <f t="shared" si="35"/>
        <v>15.61</v>
      </c>
      <c r="M1088" s="313"/>
      <c r="N1088" s="313"/>
      <c r="O1088" s="313"/>
      <c r="P1088" s="313"/>
      <c r="Q1088" s="311"/>
      <c r="R1088" s="392"/>
      <c r="S1088" s="358">
        <f ca="1">IF(C1088&lt;=EOMONTH('&gt;&gt;Vistas Consolidadas'!$D$2, '&gt;&gt;Vistas Consolidadas'!$F$2),J1088+I1088,J1088)</f>
        <v>15.61</v>
      </c>
      <c r="T1088" s="18" t="str">
        <f ca="1">IF(C1088&gt;='&gt;&gt;Vistas Consolidadas'!$D$2,"SI","NO")</f>
        <v>SI</v>
      </c>
      <c r="U1088" s="358">
        <f ca="1">IF(C1088&lt;=EOMONTH('&gt;&gt;Vistas Consolidadas'!$D$2, '&gt;&gt;Vistas Consolidadas'!$F$2),I1088,0)</f>
        <v>15.61</v>
      </c>
      <c r="V1088" s="18" t="b">
        <f ca="1">AND(C1088&gt;='Interes Por Semana'!$C$4, C1088&lt;='Interes Por Semana'!$E$4)</f>
        <v>0</v>
      </c>
      <c r="W1088" s="18" t="str">
        <f t="shared" si="34"/>
        <v>lunes</v>
      </c>
    </row>
    <row r="1089" spans="2:23" hidden="1" x14ac:dyDescent="0.25">
      <c r="B1089" s="337">
        <v>46080</v>
      </c>
      <c r="C1089" s="337">
        <v>46657</v>
      </c>
      <c r="D1089" s="374" t="s">
        <v>78</v>
      </c>
      <c r="E1089" s="309" t="s">
        <v>46</v>
      </c>
      <c r="F1089" s="310" t="s">
        <v>110</v>
      </c>
      <c r="G1089" s="311">
        <v>6.21</v>
      </c>
      <c r="H1089" s="311">
        <v>10.6</v>
      </c>
      <c r="I1089" s="340">
        <v>17.79</v>
      </c>
      <c r="J1089" s="340"/>
      <c r="K1089" s="311"/>
      <c r="L1089" s="340">
        <f t="shared" si="35"/>
        <v>17.79</v>
      </c>
      <c r="M1089" s="313"/>
      <c r="N1089" s="313"/>
      <c r="O1089" s="313"/>
      <c r="P1089" s="313"/>
      <c r="Q1089" s="311"/>
      <c r="R1089" s="392"/>
      <c r="S1089" s="358">
        <f ca="1">IF(C1089&lt;=EOMONTH('&gt;&gt;Vistas Consolidadas'!$D$2, '&gt;&gt;Vistas Consolidadas'!$F$2),J1089+I1089,J1089)</f>
        <v>17.79</v>
      </c>
      <c r="T1089" s="18" t="str">
        <f ca="1">IF(C1089&gt;='&gt;&gt;Vistas Consolidadas'!$D$2,"SI","NO")</f>
        <v>SI</v>
      </c>
      <c r="U1089" s="358">
        <f ca="1">IF(C1089&lt;=EOMONTH('&gt;&gt;Vistas Consolidadas'!$D$2, '&gt;&gt;Vistas Consolidadas'!$F$2),I1089,0)</f>
        <v>17.79</v>
      </c>
      <c r="V1089" s="18" t="b">
        <f ca="1">AND(C1089&gt;='Interes Por Semana'!$C$4, C1089&lt;='Interes Por Semana'!$E$4)</f>
        <v>0</v>
      </c>
      <c r="W1089" s="18" t="str">
        <f t="shared" si="34"/>
        <v>lunes</v>
      </c>
    </row>
    <row r="1090" spans="2:23" hidden="1" x14ac:dyDescent="0.25">
      <c r="B1090" s="337">
        <v>45987</v>
      </c>
      <c r="C1090" s="337">
        <v>46658</v>
      </c>
      <c r="D1090" s="374" t="s">
        <v>78</v>
      </c>
      <c r="E1090" s="309" t="s">
        <v>46</v>
      </c>
      <c r="F1090" s="310" t="s">
        <v>111</v>
      </c>
      <c r="G1090" s="311">
        <v>6.82</v>
      </c>
      <c r="H1090" s="311">
        <v>11</v>
      </c>
      <c r="I1090" s="340">
        <v>6.82</v>
      </c>
      <c r="J1090" s="340">
        <v>0</v>
      </c>
      <c r="K1090" s="311"/>
      <c r="L1090" s="340">
        <f t="shared" si="35"/>
        <v>6.82</v>
      </c>
      <c r="M1090" s="313"/>
      <c r="N1090" s="313"/>
      <c r="O1090" s="313"/>
      <c r="P1090" s="313"/>
      <c r="Q1090" s="311"/>
      <c r="R1090" s="392"/>
      <c r="S1090" s="358">
        <f ca="1">IF(C1090&lt;=EOMONTH('&gt;&gt;Vistas Consolidadas'!$D$2, '&gt;&gt;Vistas Consolidadas'!$F$2),J1090+I1090,J1090)</f>
        <v>6.82</v>
      </c>
      <c r="T1090" s="18" t="str">
        <f ca="1">IF(C1090&gt;='&gt;&gt;Vistas Consolidadas'!$D$2,"SI","NO")</f>
        <v>SI</v>
      </c>
      <c r="U1090" s="358">
        <f ca="1">IF(C1090&lt;=EOMONTH('&gt;&gt;Vistas Consolidadas'!$D$2, '&gt;&gt;Vistas Consolidadas'!$F$2),I1090,0)</f>
        <v>6.82</v>
      </c>
      <c r="V1090" s="18" t="b">
        <f ca="1">AND(C1090&gt;='Interes Por Semana'!$C$4, C1090&lt;='Interes Por Semana'!$E$4)</f>
        <v>0</v>
      </c>
      <c r="W1090" s="18" t="str">
        <f t="shared" si="34"/>
        <v>martes</v>
      </c>
    </row>
    <row r="1091" spans="2:23" hidden="1" x14ac:dyDescent="0.25">
      <c r="B1091" s="337">
        <v>46149</v>
      </c>
      <c r="C1091" s="337">
        <v>46638</v>
      </c>
      <c r="D1091" s="374" t="s">
        <v>78</v>
      </c>
      <c r="E1091" s="309" t="s">
        <v>138</v>
      </c>
      <c r="F1091" s="310" t="s">
        <v>153</v>
      </c>
      <c r="G1091" s="311">
        <v>7.72</v>
      </c>
      <c r="H1091" s="311">
        <v>9</v>
      </c>
      <c r="I1091" s="340">
        <v>67.55</v>
      </c>
      <c r="J1091" s="340"/>
      <c r="K1091" s="311"/>
      <c r="L1091" s="340">
        <f t="shared" si="35"/>
        <v>67.55</v>
      </c>
      <c r="M1091" s="311"/>
      <c r="N1091" s="311"/>
      <c r="O1091" s="311"/>
      <c r="P1091" s="311"/>
      <c r="Q1091" s="386"/>
      <c r="R1091" s="392"/>
      <c r="S1091" s="358">
        <f ca="1">IF(C1091&lt;=EOMONTH('&gt;&gt;Vistas Consolidadas'!$D$2, '&gt;&gt;Vistas Consolidadas'!$F$2),J1091+I1091,J1091)</f>
        <v>67.55</v>
      </c>
      <c r="T1091" s="18" t="str">
        <f ca="1">IF(C1091&gt;='&gt;&gt;Vistas Consolidadas'!$D$2,"SI","NO")</f>
        <v>SI</v>
      </c>
      <c r="U1091" s="358">
        <f ca="1">IF(C1091&lt;=EOMONTH('&gt;&gt;Vistas Consolidadas'!$D$2, '&gt;&gt;Vistas Consolidadas'!$F$2),I1091,0)</f>
        <v>67.55</v>
      </c>
      <c r="V1091" s="18" t="b">
        <f ca="1">AND(C1091&gt;='Interes Por Semana'!$C$4, C1091&lt;='Interes Por Semana'!$E$4)</f>
        <v>0</v>
      </c>
      <c r="W1091" s="18" t="str">
        <f t="shared" ref="W1091:W1121" si="36">TEXT(C1091, "dddd")</f>
        <v>miércoles</v>
      </c>
    </row>
    <row r="1092" spans="2:23" hidden="1" x14ac:dyDescent="0.25">
      <c r="B1092" s="337">
        <v>46149</v>
      </c>
      <c r="C1092" s="337">
        <v>46638</v>
      </c>
      <c r="D1092" s="374" t="s">
        <v>78</v>
      </c>
      <c r="E1092" s="309" t="s">
        <v>47</v>
      </c>
      <c r="F1092" s="310" t="s">
        <v>153</v>
      </c>
      <c r="G1092" s="311">
        <v>7.72</v>
      </c>
      <c r="H1092" s="311">
        <v>9</v>
      </c>
      <c r="I1092" s="340">
        <v>122.46</v>
      </c>
      <c r="J1092" s="340"/>
      <c r="K1092" s="311"/>
      <c r="L1092" s="340">
        <f t="shared" si="35"/>
        <v>122.46</v>
      </c>
      <c r="M1092" s="311"/>
      <c r="N1092" s="311"/>
      <c r="O1092" s="311"/>
      <c r="P1092" s="311"/>
      <c r="Q1092" s="386"/>
      <c r="R1092" s="392"/>
      <c r="S1092" s="358">
        <f ca="1">IF(C1092&lt;=EOMONTH('&gt;&gt;Vistas Consolidadas'!$D$2, '&gt;&gt;Vistas Consolidadas'!$F$2),J1092+I1092,J1092)</f>
        <v>122.46</v>
      </c>
      <c r="T1092" s="18" t="str">
        <f ca="1">IF(C1092&gt;='&gt;&gt;Vistas Consolidadas'!$D$2,"SI","NO")</f>
        <v>SI</v>
      </c>
      <c r="U1092" s="358">
        <f ca="1">IF(C1092&lt;=EOMONTH('&gt;&gt;Vistas Consolidadas'!$D$2, '&gt;&gt;Vistas Consolidadas'!$F$2),I1092,0)</f>
        <v>122.46</v>
      </c>
      <c r="V1092" s="18" t="b">
        <f ca="1">AND(C1092&gt;='Interes Por Semana'!$C$4, C1092&lt;='Interes Por Semana'!$E$4)</f>
        <v>0</v>
      </c>
      <c r="W1092" s="18" t="str">
        <f t="shared" si="36"/>
        <v>miércoles</v>
      </c>
    </row>
    <row r="1093" spans="2:23" hidden="1" x14ac:dyDescent="0.25">
      <c r="B1093" s="337">
        <v>46149</v>
      </c>
      <c r="C1093" s="337">
        <v>46648</v>
      </c>
      <c r="D1093" s="374" t="s">
        <v>78</v>
      </c>
      <c r="E1093" s="309" t="s">
        <v>47</v>
      </c>
      <c r="F1093" s="310" t="s">
        <v>154</v>
      </c>
      <c r="G1093" s="311">
        <v>6.21</v>
      </c>
      <c r="H1093" s="311">
        <v>9</v>
      </c>
      <c r="I1093" s="387">
        <v>188.11</v>
      </c>
      <c r="J1093" s="340"/>
      <c r="K1093" s="311"/>
      <c r="L1093" s="340">
        <f t="shared" si="35"/>
        <v>188.11</v>
      </c>
      <c r="M1093" s="311"/>
      <c r="N1093" s="311"/>
      <c r="O1093" s="311"/>
      <c r="P1093" s="311"/>
      <c r="Q1093" s="386"/>
      <c r="R1093" s="392"/>
      <c r="S1093" s="358">
        <f ca="1">IF(C1093&lt;=EOMONTH('&gt;&gt;Vistas Consolidadas'!$D$2, '&gt;&gt;Vistas Consolidadas'!$F$2),J1093+I1093,J1093)</f>
        <v>188.11</v>
      </c>
      <c r="T1093" s="18" t="str">
        <f ca="1">IF(C1093&gt;='&gt;&gt;Vistas Consolidadas'!$D$2,"SI","NO")</f>
        <v>SI</v>
      </c>
      <c r="U1093" s="358">
        <f ca="1">IF(C1093&lt;=EOMONTH('&gt;&gt;Vistas Consolidadas'!$D$2, '&gt;&gt;Vistas Consolidadas'!$F$2),I1093,0)</f>
        <v>188.11</v>
      </c>
      <c r="V1093" s="18" t="b">
        <f ca="1">AND(C1093&gt;='Interes Por Semana'!$C$4, C1093&lt;='Interes Por Semana'!$E$4)</f>
        <v>0</v>
      </c>
      <c r="W1093" s="18" t="str">
        <f t="shared" si="36"/>
        <v>sábado</v>
      </c>
    </row>
    <row r="1094" spans="2:23" hidden="1" x14ac:dyDescent="0.25">
      <c r="B1094" s="337">
        <v>46157</v>
      </c>
      <c r="C1094" s="337">
        <v>46637</v>
      </c>
      <c r="D1094" s="374" t="s">
        <v>78</v>
      </c>
      <c r="E1094" s="309" t="s">
        <v>47</v>
      </c>
      <c r="F1094" s="310" t="s">
        <v>156</v>
      </c>
      <c r="G1094" s="311">
        <v>7.93</v>
      </c>
      <c r="H1094" s="311">
        <v>9.9247584100000008</v>
      </c>
      <c r="I1094" s="340">
        <v>131.09281250000001</v>
      </c>
      <c r="J1094" s="340"/>
      <c r="K1094" s="311"/>
      <c r="L1094" s="340">
        <f t="shared" si="35"/>
        <v>131.09281250000001</v>
      </c>
      <c r="M1094" s="311"/>
      <c r="N1094" s="311"/>
      <c r="O1094" s="311"/>
      <c r="P1094" s="311"/>
      <c r="Q1094" s="386"/>
      <c r="R1094" s="392"/>
      <c r="S1094" s="358">
        <f ca="1">IF(C1094&lt;=EOMONTH('&gt;&gt;Vistas Consolidadas'!$D$2, '&gt;&gt;Vistas Consolidadas'!$F$2),J1094+I1094,J1094)</f>
        <v>131.09281250000001</v>
      </c>
      <c r="T1094" s="18" t="str">
        <f ca="1">IF(C1094&gt;='&gt;&gt;Vistas Consolidadas'!$D$2,"SI","NO")</f>
        <v>SI</v>
      </c>
      <c r="U1094" s="358">
        <f ca="1">IF(C1094&lt;=EOMONTH('&gt;&gt;Vistas Consolidadas'!$D$2, '&gt;&gt;Vistas Consolidadas'!$F$2),I1094,0)</f>
        <v>131.09281250000001</v>
      </c>
      <c r="V1094" s="18" t="b">
        <f ca="1">AND(C1094&gt;='Interes Por Semana'!$C$4, C1094&lt;='Interes Por Semana'!$E$4)</f>
        <v>0</v>
      </c>
      <c r="W1094" s="18" t="str">
        <f t="shared" si="36"/>
        <v>martes</v>
      </c>
    </row>
    <row r="1095" spans="2:23" hidden="1" x14ac:dyDescent="0.25">
      <c r="B1095" s="337">
        <v>46162</v>
      </c>
      <c r="C1095" s="337">
        <v>46656</v>
      </c>
      <c r="D1095" s="374" t="s">
        <v>78</v>
      </c>
      <c r="E1095" s="309" t="s">
        <v>47</v>
      </c>
      <c r="F1095" s="310" t="s">
        <v>158</v>
      </c>
      <c r="G1095" s="311">
        <v>5.36</v>
      </c>
      <c r="H1095" s="311">
        <v>9</v>
      </c>
      <c r="I1095" s="340">
        <v>12.77</v>
      </c>
      <c r="J1095" s="340"/>
      <c r="K1095" s="311"/>
      <c r="L1095" s="340">
        <f t="shared" si="35"/>
        <v>12.77</v>
      </c>
      <c r="M1095" s="311"/>
      <c r="N1095" s="311"/>
      <c r="O1095" s="311"/>
      <c r="P1095" s="311"/>
      <c r="Q1095" s="386"/>
      <c r="R1095" s="392">
        <v>367706</v>
      </c>
      <c r="S1095" s="358">
        <f ca="1">IF(C1095&lt;=EOMONTH('&gt;&gt;Vistas Consolidadas'!$D$2, '&gt;&gt;Vistas Consolidadas'!$F$2),J1095+I1095,J1095)</f>
        <v>12.77</v>
      </c>
      <c r="T1095" s="18" t="str">
        <f ca="1">IF(C1095&gt;='&gt;&gt;Vistas Consolidadas'!$D$2,"SI","NO")</f>
        <v>SI</v>
      </c>
      <c r="U1095" s="358">
        <f ca="1">IF(C1095&lt;=EOMONTH('&gt;&gt;Vistas Consolidadas'!$D$2, '&gt;&gt;Vistas Consolidadas'!$F$2),I1095,0)</f>
        <v>12.77</v>
      </c>
      <c r="V1095" s="18" t="b">
        <f ca="1">AND(C1095&gt;='Interes Por Semana'!$C$4, C1095&lt;='Interes Por Semana'!$E$4)</f>
        <v>0</v>
      </c>
      <c r="W1095" s="18" t="str">
        <f t="shared" si="36"/>
        <v>domingo</v>
      </c>
    </row>
    <row r="1096" spans="2:23" hidden="1" x14ac:dyDescent="0.25">
      <c r="B1096" s="337">
        <v>45323</v>
      </c>
      <c r="C1096" s="337">
        <v>46645</v>
      </c>
      <c r="D1096" s="374" t="s">
        <v>96</v>
      </c>
      <c r="E1096" s="309" t="s">
        <v>47</v>
      </c>
      <c r="F1096" s="310" t="s">
        <v>97</v>
      </c>
      <c r="G1096" s="311">
        <v>6</v>
      </c>
      <c r="H1096" s="311">
        <v>12</v>
      </c>
      <c r="I1096" s="340">
        <v>16.670000000000002</v>
      </c>
      <c r="J1096" s="340"/>
      <c r="K1096" s="311"/>
      <c r="L1096" s="340">
        <f t="shared" si="35"/>
        <v>16.670000000000002</v>
      </c>
      <c r="M1096" s="313"/>
      <c r="N1096" s="313"/>
      <c r="O1096" s="313"/>
      <c r="P1096" s="313"/>
      <c r="Q1096" s="311"/>
      <c r="R1096" s="392"/>
      <c r="S1096" s="358">
        <f ca="1">IF(C1096&lt;=EOMONTH('&gt;&gt;Vistas Consolidadas'!$D$2, '&gt;&gt;Vistas Consolidadas'!$F$2),J1096+I1096,J1096)</f>
        <v>16.670000000000002</v>
      </c>
      <c r="T1096" s="18" t="str">
        <f ca="1">IF(C1096&gt;='&gt;&gt;Vistas Consolidadas'!$D$2,"SI","NO")</f>
        <v>SI</v>
      </c>
      <c r="U1096" s="358">
        <f ca="1">IF(C1096&lt;=EOMONTH('&gt;&gt;Vistas Consolidadas'!$D$2, '&gt;&gt;Vistas Consolidadas'!$F$2),I1096,0)</f>
        <v>16.670000000000002</v>
      </c>
      <c r="V1096" s="18" t="b">
        <f ca="1">AND(C1096&gt;='Interes Por Semana'!$C$4, C1096&lt;='Interes Por Semana'!$E$4)</f>
        <v>0</v>
      </c>
      <c r="W1096" s="18" t="str">
        <f t="shared" si="36"/>
        <v>miércoles</v>
      </c>
    </row>
    <row r="1097" spans="2:23" hidden="1" x14ac:dyDescent="0.25">
      <c r="B1097" s="337">
        <v>45356</v>
      </c>
      <c r="C1097" s="337">
        <v>46645</v>
      </c>
      <c r="D1097" s="374" t="s">
        <v>96</v>
      </c>
      <c r="E1097" s="309" t="s">
        <v>47</v>
      </c>
      <c r="F1097" s="310" t="s">
        <v>97</v>
      </c>
      <c r="G1097" s="311">
        <v>6</v>
      </c>
      <c r="H1097" s="311">
        <v>12</v>
      </c>
      <c r="I1097" s="340">
        <v>108.33</v>
      </c>
      <c r="J1097" s="340"/>
      <c r="K1097" s="311"/>
      <c r="L1097" s="340">
        <f t="shared" si="35"/>
        <v>108.33</v>
      </c>
      <c r="M1097" s="313"/>
      <c r="N1097" s="313"/>
      <c r="O1097" s="313"/>
      <c r="P1097" s="313"/>
      <c r="Q1097" s="311"/>
      <c r="R1097" s="392"/>
      <c r="S1097" s="358">
        <f ca="1">IF(C1097&lt;=EOMONTH('&gt;&gt;Vistas Consolidadas'!$D$2, '&gt;&gt;Vistas Consolidadas'!$F$2),J1097+I1097,J1097)</f>
        <v>108.33</v>
      </c>
      <c r="T1097" s="18" t="str">
        <f ca="1">IF(C1097&gt;='&gt;&gt;Vistas Consolidadas'!$D$2,"SI","NO")</f>
        <v>SI</v>
      </c>
      <c r="U1097" s="358">
        <f ca="1">IF(C1097&lt;=EOMONTH('&gt;&gt;Vistas Consolidadas'!$D$2, '&gt;&gt;Vistas Consolidadas'!$F$2),I1097,0)</f>
        <v>108.33</v>
      </c>
      <c r="V1097" s="18" t="b">
        <f ca="1">AND(C1097&gt;='Interes Por Semana'!$C$4, C1097&lt;='Interes Por Semana'!$E$4)</f>
        <v>0</v>
      </c>
      <c r="W1097" s="18" t="str">
        <f t="shared" si="36"/>
        <v>miércoles</v>
      </c>
    </row>
    <row r="1098" spans="2:23" hidden="1" x14ac:dyDescent="0.25">
      <c r="B1098" s="337">
        <v>45006</v>
      </c>
      <c r="C1098" s="337">
        <v>46645</v>
      </c>
      <c r="D1098" s="374" t="s">
        <v>96</v>
      </c>
      <c r="E1098" s="309" t="s">
        <v>46</v>
      </c>
      <c r="F1098" s="310" t="s">
        <v>97</v>
      </c>
      <c r="G1098" s="311">
        <v>6</v>
      </c>
      <c r="H1098" s="311">
        <v>12</v>
      </c>
      <c r="I1098" s="340">
        <v>62.5</v>
      </c>
      <c r="J1098" s="340"/>
      <c r="K1098" s="311"/>
      <c r="L1098" s="340">
        <f t="shared" si="35"/>
        <v>62.5</v>
      </c>
      <c r="M1098" s="313"/>
      <c r="N1098" s="313"/>
      <c r="O1098" s="313"/>
      <c r="P1098" s="313"/>
      <c r="Q1098" s="311"/>
      <c r="R1098" s="392"/>
      <c r="S1098" s="358">
        <f ca="1">IF(C1098&lt;=EOMONTH('&gt;&gt;Vistas Consolidadas'!$D$2, '&gt;&gt;Vistas Consolidadas'!$F$2),J1098+I1098,J1098)</f>
        <v>62.5</v>
      </c>
      <c r="T1098" s="18" t="str">
        <f ca="1">IF(C1098&gt;='&gt;&gt;Vistas Consolidadas'!$D$2,"SI","NO")</f>
        <v>SI</v>
      </c>
      <c r="U1098" s="358">
        <f ca="1">IF(C1098&lt;=EOMONTH('&gt;&gt;Vistas Consolidadas'!$D$2, '&gt;&gt;Vistas Consolidadas'!$F$2),I1098,0)</f>
        <v>62.5</v>
      </c>
      <c r="V1098" s="18" t="b">
        <f ca="1">AND(C1098&gt;='Interes Por Semana'!$C$4, C1098&lt;='Interes Por Semana'!$E$4)</f>
        <v>0</v>
      </c>
      <c r="W1098" s="18" t="str">
        <f t="shared" si="36"/>
        <v>miércoles</v>
      </c>
    </row>
    <row r="1099" spans="2:23" hidden="1" x14ac:dyDescent="0.25">
      <c r="B1099" s="337">
        <v>45397</v>
      </c>
      <c r="C1099" s="337">
        <v>46645</v>
      </c>
      <c r="D1099" s="374" t="s">
        <v>96</v>
      </c>
      <c r="E1099" s="309" t="s">
        <v>47</v>
      </c>
      <c r="F1099" s="310" t="s">
        <v>97</v>
      </c>
      <c r="G1099" s="311">
        <v>6</v>
      </c>
      <c r="H1099" s="311">
        <v>12</v>
      </c>
      <c r="I1099" s="340">
        <v>54.16</v>
      </c>
      <c r="J1099" s="340"/>
      <c r="K1099" s="311"/>
      <c r="L1099" s="340">
        <f t="shared" si="35"/>
        <v>54.16</v>
      </c>
      <c r="M1099" s="313"/>
      <c r="N1099" s="313"/>
      <c r="O1099" s="313"/>
      <c r="P1099" s="313"/>
      <c r="Q1099" s="311"/>
      <c r="R1099" s="392"/>
      <c r="S1099" s="358">
        <f ca="1">IF(C1099&lt;=EOMONTH('&gt;&gt;Vistas Consolidadas'!$D$2, '&gt;&gt;Vistas Consolidadas'!$F$2),J1099+I1099,J1099)</f>
        <v>54.16</v>
      </c>
      <c r="T1099" s="18" t="str">
        <f ca="1">IF(C1099&gt;='&gt;&gt;Vistas Consolidadas'!$D$2,"SI","NO")</f>
        <v>SI</v>
      </c>
      <c r="U1099" s="358">
        <f ca="1">IF(C1099&lt;=EOMONTH('&gt;&gt;Vistas Consolidadas'!$D$2, '&gt;&gt;Vistas Consolidadas'!$F$2),I1099,0)</f>
        <v>54.16</v>
      </c>
      <c r="V1099" s="18" t="b">
        <f ca="1">AND(C1099&gt;='Interes Por Semana'!$C$4, C1099&lt;='Interes Por Semana'!$E$4)</f>
        <v>0</v>
      </c>
      <c r="W1099" s="18" t="str">
        <f t="shared" si="36"/>
        <v>miércoles</v>
      </c>
    </row>
    <row r="1100" spans="2:23" hidden="1" x14ac:dyDescent="0.25">
      <c r="B1100" s="337">
        <v>45397</v>
      </c>
      <c r="C1100" s="337">
        <v>46645</v>
      </c>
      <c r="D1100" s="374" t="s">
        <v>96</v>
      </c>
      <c r="E1100" s="309" t="s">
        <v>46</v>
      </c>
      <c r="F1100" s="310" t="s">
        <v>97</v>
      </c>
      <c r="G1100" s="311">
        <v>6</v>
      </c>
      <c r="H1100" s="311">
        <v>12</v>
      </c>
      <c r="I1100" s="340">
        <v>62.5</v>
      </c>
      <c r="J1100" s="340"/>
      <c r="K1100" s="311"/>
      <c r="L1100" s="340">
        <f t="shared" si="35"/>
        <v>62.5</v>
      </c>
      <c r="M1100" s="313"/>
      <c r="N1100" s="313"/>
      <c r="O1100" s="313"/>
      <c r="P1100" s="313"/>
      <c r="Q1100" s="311"/>
      <c r="R1100" s="392"/>
      <c r="S1100" s="358">
        <f ca="1">IF(C1100&lt;=EOMONTH('&gt;&gt;Vistas Consolidadas'!$D$2, '&gt;&gt;Vistas Consolidadas'!$F$2),J1100+I1100,J1100)</f>
        <v>62.5</v>
      </c>
      <c r="T1100" s="18" t="str">
        <f ca="1">IF(C1100&gt;='&gt;&gt;Vistas Consolidadas'!$D$2,"SI","NO")</f>
        <v>SI</v>
      </c>
      <c r="U1100" s="358">
        <f ca="1">IF(C1100&lt;=EOMONTH('&gt;&gt;Vistas Consolidadas'!$D$2, '&gt;&gt;Vistas Consolidadas'!$F$2),I1100,0)</f>
        <v>62.5</v>
      </c>
      <c r="V1100" s="18" t="b">
        <f ca="1">AND(C1100&gt;='Interes Por Semana'!$C$4, C1100&lt;='Interes Por Semana'!$E$4)</f>
        <v>0</v>
      </c>
      <c r="W1100" s="18" t="str">
        <f t="shared" si="36"/>
        <v>miércoles</v>
      </c>
    </row>
    <row r="1101" spans="2:23" hidden="1" x14ac:dyDescent="0.25">
      <c r="B1101" s="337">
        <v>45398</v>
      </c>
      <c r="C1101" s="337">
        <v>46645</v>
      </c>
      <c r="D1101" s="374" t="s">
        <v>96</v>
      </c>
      <c r="E1101" s="309" t="s">
        <v>47</v>
      </c>
      <c r="F1101" s="310" t="s">
        <v>97</v>
      </c>
      <c r="G1101" s="311">
        <v>6</v>
      </c>
      <c r="H1101" s="311">
        <v>12</v>
      </c>
      <c r="I1101" s="340">
        <v>16.670000000000002</v>
      </c>
      <c r="J1101" s="340"/>
      <c r="K1101" s="311"/>
      <c r="L1101" s="340">
        <f t="shared" si="35"/>
        <v>16.670000000000002</v>
      </c>
      <c r="M1101" s="313"/>
      <c r="N1101" s="313"/>
      <c r="O1101" s="313"/>
      <c r="P1101" s="313"/>
      <c r="Q1101" s="311"/>
      <c r="R1101" s="392"/>
      <c r="S1101" s="358">
        <f ca="1">IF(C1101&lt;=EOMONTH('&gt;&gt;Vistas Consolidadas'!$D$2, '&gt;&gt;Vistas Consolidadas'!$F$2),J1101+I1101,J1101)</f>
        <v>16.670000000000002</v>
      </c>
      <c r="T1101" s="18" t="str">
        <f ca="1">IF(C1101&gt;='&gt;&gt;Vistas Consolidadas'!$D$2,"SI","NO")</f>
        <v>SI</v>
      </c>
      <c r="U1101" s="358">
        <f ca="1">IF(C1101&lt;=EOMONTH('&gt;&gt;Vistas Consolidadas'!$D$2, '&gt;&gt;Vistas Consolidadas'!$F$2),I1101,0)</f>
        <v>16.670000000000002</v>
      </c>
      <c r="V1101" s="18" t="b">
        <f ca="1">AND(C1101&gt;='Interes Por Semana'!$C$4, C1101&lt;='Interes Por Semana'!$E$4)</f>
        <v>0</v>
      </c>
      <c r="W1101" s="18" t="str">
        <f t="shared" si="36"/>
        <v>miércoles</v>
      </c>
    </row>
    <row r="1102" spans="2:23" hidden="1" x14ac:dyDescent="0.25">
      <c r="B1102" s="337">
        <v>46105</v>
      </c>
      <c r="C1102" s="337">
        <v>46645</v>
      </c>
      <c r="D1102" s="374" t="s">
        <v>96</v>
      </c>
      <c r="E1102" s="309" t="s">
        <v>47</v>
      </c>
      <c r="F1102" s="310" t="s">
        <v>97</v>
      </c>
      <c r="G1102" s="311">
        <v>6</v>
      </c>
      <c r="H1102" s="311">
        <v>10</v>
      </c>
      <c r="I1102" s="340">
        <v>16.670000000000002</v>
      </c>
      <c r="J1102" s="340"/>
      <c r="K1102" s="311"/>
      <c r="L1102" s="340">
        <f t="shared" si="35"/>
        <v>16.670000000000002</v>
      </c>
      <c r="M1102" s="313"/>
      <c r="N1102" s="313"/>
      <c r="O1102" s="313"/>
      <c r="P1102" s="313"/>
      <c r="Q1102" s="311"/>
      <c r="R1102" s="392"/>
      <c r="S1102" s="358">
        <f ca="1">IF(C1102&lt;=EOMONTH('&gt;&gt;Vistas Consolidadas'!$D$2, '&gt;&gt;Vistas Consolidadas'!$F$2),J1102+I1102,J1102)</f>
        <v>16.670000000000002</v>
      </c>
      <c r="T1102" s="18" t="str">
        <f ca="1">IF(C1102&gt;='&gt;&gt;Vistas Consolidadas'!$D$2,"SI","NO")</f>
        <v>SI</v>
      </c>
      <c r="U1102" s="358">
        <f ca="1">IF(C1102&lt;=EOMONTH('&gt;&gt;Vistas Consolidadas'!$D$2, '&gt;&gt;Vistas Consolidadas'!$F$2),I1102,0)</f>
        <v>16.670000000000002</v>
      </c>
      <c r="V1102" s="18" t="b">
        <f ca="1">AND(C1102&gt;='Interes Por Semana'!$C$4, C1102&lt;='Interes Por Semana'!$E$4)</f>
        <v>0</v>
      </c>
      <c r="W1102" s="18" t="str">
        <f t="shared" si="36"/>
        <v>miércoles</v>
      </c>
    </row>
    <row r="1103" spans="2:23" hidden="1" x14ac:dyDescent="0.25">
      <c r="B1103" s="337">
        <v>44462</v>
      </c>
      <c r="C1103" s="337">
        <v>46647</v>
      </c>
      <c r="D1103" s="374" t="s">
        <v>78</v>
      </c>
      <c r="E1103" s="309" t="s">
        <v>46</v>
      </c>
      <c r="F1103" s="310" t="s">
        <v>98</v>
      </c>
      <c r="G1103" s="311">
        <v>5.64</v>
      </c>
      <c r="H1103" s="311">
        <v>8.1999999999999993</v>
      </c>
      <c r="I1103" s="340">
        <v>2.5299999999999998</v>
      </c>
      <c r="J1103" s="340"/>
      <c r="K1103" s="311"/>
      <c r="L1103" s="340">
        <f t="shared" si="35"/>
        <v>2.5299999999999998</v>
      </c>
      <c r="M1103" s="311"/>
      <c r="N1103" s="311"/>
      <c r="O1103" s="311"/>
      <c r="P1103" s="311"/>
      <c r="Q1103" s="386"/>
      <c r="R1103" s="392"/>
      <c r="S1103" s="358">
        <f ca="1">IF(C1103&lt;=EOMONTH('&gt;&gt;Vistas Consolidadas'!$D$2, '&gt;&gt;Vistas Consolidadas'!$F$2),J1103+I1103,J1103)</f>
        <v>2.5299999999999998</v>
      </c>
      <c r="T1103" s="18" t="str">
        <f ca="1">IF(C1103&gt;='&gt;&gt;Vistas Consolidadas'!$D$2,"SI","NO")</f>
        <v>SI</v>
      </c>
      <c r="U1103" s="358">
        <f ca="1">IF(C1103&lt;=EOMONTH('&gt;&gt;Vistas Consolidadas'!$D$2, '&gt;&gt;Vistas Consolidadas'!$F$2),I1103,0)</f>
        <v>2.5299999999999998</v>
      </c>
      <c r="V1103" s="18" t="b">
        <f ca="1">AND(C1103&gt;='Interes Por Semana'!$C$4, C1103&lt;='Interes Por Semana'!$E$4)</f>
        <v>0</v>
      </c>
      <c r="W1103" s="18" t="str">
        <f t="shared" si="36"/>
        <v>viernes</v>
      </c>
    </row>
    <row r="1104" spans="2:23" hidden="1" x14ac:dyDescent="0.25">
      <c r="B1104" s="337">
        <v>46162</v>
      </c>
      <c r="C1104" s="337">
        <v>46656</v>
      </c>
      <c r="D1104" s="374" t="s">
        <v>78</v>
      </c>
      <c r="E1104" s="309" t="s">
        <v>138</v>
      </c>
      <c r="F1104" s="310" t="s">
        <v>158</v>
      </c>
      <c r="G1104" s="311">
        <v>5.36</v>
      </c>
      <c r="H1104" s="311">
        <v>9</v>
      </c>
      <c r="I1104" s="340">
        <v>17.420000000000002</v>
      </c>
      <c r="J1104" s="340"/>
      <c r="K1104" s="311"/>
      <c r="L1104" s="340">
        <f t="shared" si="35"/>
        <v>17.420000000000002</v>
      </c>
      <c r="M1104" s="311"/>
      <c r="N1104" s="311"/>
      <c r="O1104" s="311"/>
      <c r="P1104" s="311"/>
      <c r="Q1104" s="386"/>
      <c r="R1104" s="392">
        <v>369184</v>
      </c>
      <c r="S1104" s="358">
        <f ca="1">IF(C1104&lt;=EOMONTH('&gt;&gt;Vistas Consolidadas'!$D$2, '&gt;&gt;Vistas Consolidadas'!$F$2),J1104+I1104,J1104)</f>
        <v>17.420000000000002</v>
      </c>
      <c r="T1104" s="18" t="str">
        <f ca="1">IF(C1104&gt;='&gt;&gt;Vistas Consolidadas'!$D$2,"SI","NO")</f>
        <v>SI</v>
      </c>
      <c r="U1104" s="358">
        <f ca="1">IF(C1104&lt;=EOMONTH('&gt;&gt;Vistas Consolidadas'!$D$2, '&gt;&gt;Vistas Consolidadas'!$F$2),I1104,0)</f>
        <v>17.420000000000002</v>
      </c>
      <c r="V1104" s="18" t="b">
        <f ca="1">AND(C1104&gt;='Interes Por Semana'!$C$4, C1104&lt;='Interes Por Semana'!$E$4)</f>
        <v>0</v>
      </c>
      <c r="W1104" s="18" t="str">
        <f t="shared" si="36"/>
        <v>domingo</v>
      </c>
    </row>
    <row r="1105" spans="2:23" hidden="1" x14ac:dyDescent="0.25">
      <c r="B1105" s="337">
        <v>46188</v>
      </c>
      <c r="C1105" s="337">
        <v>46647</v>
      </c>
      <c r="D1105" s="374" t="s">
        <v>78</v>
      </c>
      <c r="E1105" s="309" t="s">
        <v>48</v>
      </c>
      <c r="F1105" s="310" t="s">
        <v>168</v>
      </c>
      <c r="G1105" s="311">
        <v>6.21</v>
      </c>
      <c r="H1105" s="311">
        <v>9</v>
      </c>
      <c r="I1105" s="340">
        <v>51.91</v>
      </c>
      <c r="J1105" s="340"/>
      <c r="K1105" s="311"/>
      <c r="L1105" s="340">
        <f t="shared" si="35"/>
        <v>51.91</v>
      </c>
      <c r="M1105" s="311"/>
      <c r="N1105" s="311"/>
      <c r="O1105" s="311"/>
      <c r="P1105" s="311"/>
      <c r="Q1105" s="386"/>
      <c r="R1105" s="392"/>
      <c r="S1105" s="358">
        <f ca="1">IF(C1105&lt;=EOMONTH('&gt;&gt;Vistas Consolidadas'!$D$2, '&gt;&gt;Vistas Consolidadas'!$F$2),J1105+I1105,J1105)</f>
        <v>51.91</v>
      </c>
      <c r="T1105" s="18" t="str">
        <f ca="1">IF(C1105&gt;='&gt;&gt;Vistas Consolidadas'!$D$2,"SI","NO")</f>
        <v>SI</v>
      </c>
      <c r="U1105" s="358">
        <f ca="1">IF(C1105&lt;=EOMONTH('&gt;&gt;Vistas Consolidadas'!$D$2, '&gt;&gt;Vistas Consolidadas'!$F$2),I1105,0)</f>
        <v>51.91</v>
      </c>
      <c r="V1105" s="18" t="b">
        <f ca="1">AND(C1105&gt;='Interes Por Semana'!$C$4, C1105&lt;='Interes Por Semana'!$E$4)</f>
        <v>0</v>
      </c>
      <c r="W1105" s="18" t="str">
        <f t="shared" si="36"/>
        <v>viernes</v>
      </c>
    </row>
    <row r="1106" spans="2:23" hidden="1" x14ac:dyDescent="0.25">
      <c r="B1106" s="337">
        <v>46188</v>
      </c>
      <c r="C1106" s="337">
        <v>46637</v>
      </c>
      <c r="D1106" s="374" t="s">
        <v>78</v>
      </c>
      <c r="E1106" s="309" t="s">
        <v>48</v>
      </c>
      <c r="F1106" s="310" t="s">
        <v>169</v>
      </c>
      <c r="G1106" s="311">
        <v>6.82</v>
      </c>
      <c r="H1106" s="311">
        <v>8.5</v>
      </c>
      <c r="I1106" s="340">
        <v>78.66</v>
      </c>
      <c r="J1106" s="340"/>
      <c r="K1106" s="311"/>
      <c r="L1106" s="340">
        <f t="shared" si="35"/>
        <v>78.66</v>
      </c>
      <c r="M1106" s="311"/>
      <c r="N1106" s="311"/>
      <c r="O1106" s="311"/>
      <c r="P1106" s="311"/>
      <c r="Q1106" s="386"/>
      <c r="R1106" s="392"/>
      <c r="S1106" s="358">
        <f ca="1">IF(C1106&lt;=EOMONTH('&gt;&gt;Vistas Consolidadas'!$D$2, '&gt;&gt;Vistas Consolidadas'!$F$2),J1106+I1106,J1106)</f>
        <v>78.66</v>
      </c>
      <c r="T1106" s="18" t="str">
        <f ca="1">IF(C1106&gt;='&gt;&gt;Vistas Consolidadas'!$D$2,"SI","NO")</f>
        <v>SI</v>
      </c>
      <c r="U1106" s="358">
        <f ca="1">IF(C1106&lt;=EOMONTH('&gt;&gt;Vistas Consolidadas'!$D$2, '&gt;&gt;Vistas Consolidadas'!$F$2),I1106,0)</f>
        <v>78.66</v>
      </c>
      <c r="V1106" s="18" t="b">
        <f ca="1">AND(C1106&gt;='Interes Por Semana'!$C$4, C1106&lt;='Interes Por Semana'!$E$4)</f>
        <v>0</v>
      </c>
      <c r="W1106" s="18" t="str">
        <f t="shared" si="36"/>
        <v>martes</v>
      </c>
    </row>
    <row r="1107" spans="2:23" hidden="1" x14ac:dyDescent="0.25">
      <c r="B1107" s="337">
        <v>46211</v>
      </c>
      <c r="C1107" s="337">
        <v>46632</v>
      </c>
      <c r="D1107" s="374" t="s">
        <v>78</v>
      </c>
      <c r="E1107" s="309" t="s">
        <v>47</v>
      </c>
      <c r="F1107" s="310" t="s">
        <v>172</v>
      </c>
      <c r="G1107" s="311">
        <v>7.72</v>
      </c>
      <c r="H1107" s="311">
        <v>9.25</v>
      </c>
      <c r="I1107" s="340">
        <v>15.44</v>
      </c>
      <c r="J1107" s="340"/>
      <c r="K1107" s="311"/>
      <c r="L1107" s="340">
        <f t="shared" si="35"/>
        <v>15.44</v>
      </c>
      <c r="M1107" s="313"/>
      <c r="N1107" s="313"/>
      <c r="O1107" s="313"/>
      <c r="P1107" s="313"/>
      <c r="Q1107" s="311"/>
      <c r="R1107" s="392"/>
      <c r="S1107" s="358">
        <f ca="1">IF(C1107&lt;=EOMONTH('&gt;&gt;Vistas Consolidadas'!$D$2, '&gt;&gt;Vistas Consolidadas'!$F$2),J1107+I1107,J1107)</f>
        <v>15.44</v>
      </c>
      <c r="T1107" s="18" t="str">
        <f ca="1">IF(C1107&gt;='&gt;&gt;Vistas Consolidadas'!$D$2,"SI","NO")</f>
        <v>SI</v>
      </c>
      <c r="U1107" s="358">
        <f ca="1">IF(C1107&lt;=EOMONTH('&gt;&gt;Vistas Consolidadas'!$D$2, '&gt;&gt;Vistas Consolidadas'!$F$2),I1107,0)</f>
        <v>15.44</v>
      </c>
      <c r="V1107" s="18" t="b">
        <f ca="1">AND(C1107&gt;='Interes Por Semana'!$C$4, C1107&lt;='Interes Por Semana'!$E$4)</f>
        <v>0</v>
      </c>
      <c r="W1107" s="18" t="str">
        <f t="shared" si="36"/>
        <v>jueves</v>
      </c>
    </row>
    <row r="1108" spans="2:23" hidden="1" x14ac:dyDescent="0.25">
      <c r="B1108" s="337">
        <v>46211</v>
      </c>
      <c r="C1108" s="337">
        <v>46632</v>
      </c>
      <c r="D1108" s="374" t="s">
        <v>78</v>
      </c>
      <c r="E1108" s="309" t="s">
        <v>47</v>
      </c>
      <c r="F1108" s="310" t="s">
        <v>173</v>
      </c>
      <c r="G1108" s="311">
        <v>7.54</v>
      </c>
      <c r="H1108" s="311">
        <v>9.25</v>
      </c>
      <c r="I1108" s="340">
        <v>19.79</v>
      </c>
      <c r="J1108" s="340"/>
      <c r="K1108" s="311"/>
      <c r="L1108" s="340">
        <f t="shared" si="35"/>
        <v>19.79</v>
      </c>
      <c r="M1108" s="313"/>
      <c r="N1108" s="313"/>
      <c r="O1108" s="313"/>
      <c r="P1108" s="313"/>
      <c r="Q1108" s="311"/>
      <c r="R1108" s="392"/>
      <c r="S1108" s="358">
        <f ca="1">IF(C1108&lt;=EOMONTH('&gt;&gt;Vistas Consolidadas'!$D$2, '&gt;&gt;Vistas Consolidadas'!$F$2),J1108+I1108,J1108)</f>
        <v>19.79</v>
      </c>
      <c r="T1108" s="18" t="str">
        <f ca="1">IF(C1108&gt;='&gt;&gt;Vistas Consolidadas'!$D$2,"SI","NO")</f>
        <v>SI</v>
      </c>
      <c r="U1108" s="358">
        <f ca="1">IF(C1108&lt;=EOMONTH('&gt;&gt;Vistas Consolidadas'!$D$2, '&gt;&gt;Vistas Consolidadas'!$F$2),I1108,0)</f>
        <v>19.79</v>
      </c>
      <c r="V1108" s="18" t="b">
        <f ca="1">AND(C1108&gt;='Interes Por Semana'!$C$4, C1108&lt;='Interes Por Semana'!$E$4)</f>
        <v>0</v>
      </c>
      <c r="W1108" s="18" t="str">
        <f t="shared" si="36"/>
        <v>jueves</v>
      </c>
    </row>
    <row r="1109" spans="2:23" hidden="1" x14ac:dyDescent="0.25">
      <c r="B1109" s="337">
        <v>46300</v>
      </c>
      <c r="C1109" s="337">
        <v>46310</v>
      </c>
      <c r="D1109" s="374" t="s">
        <v>78</v>
      </c>
      <c r="E1109" s="309" t="s">
        <v>138</v>
      </c>
      <c r="F1109" s="310" t="s">
        <v>590</v>
      </c>
      <c r="G1109" s="311">
        <v>4.91</v>
      </c>
      <c r="H1109" s="311">
        <v>8</v>
      </c>
      <c r="I1109" s="340">
        <v>5.14</v>
      </c>
      <c r="J1109" s="340">
        <v>12</v>
      </c>
      <c r="K1109" s="311"/>
      <c r="L1109" s="340">
        <f t="shared" si="35"/>
        <v>5.14</v>
      </c>
      <c r="M1109" s="313"/>
      <c r="N1109" s="313"/>
      <c r="O1109" s="313"/>
      <c r="P1109" s="313"/>
      <c r="Q1109" s="311"/>
      <c r="R1109" s="392">
        <v>375852</v>
      </c>
      <c r="S1109" s="358">
        <f ca="1">IF(C1109&lt;=EOMONTH('&gt;&gt;Vistas Consolidadas'!$D$2, '&gt;&gt;Vistas Consolidadas'!$F$2),J1109+I1109,J1109)</f>
        <v>17.14</v>
      </c>
      <c r="T1109" s="18" t="str">
        <f ca="1">IF(C1109&gt;='&gt;&gt;Vistas Consolidadas'!$D$2,"SI","NO")</f>
        <v>SI</v>
      </c>
      <c r="U1109" s="358">
        <f ca="1">IF(C1109&lt;=EOMONTH('&gt;&gt;Vistas Consolidadas'!$D$2, '&gt;&gt;Vistas Consolidadas'!$F$2),I1109,0)</f>
        <v>5.14</v>
      </c>
      <c r="V1109" s="18" t="b">
        <f ca="1">AND(C1109&gt;='Interes Por Semana'!$C$4, C1109&lt;='Interes Por Semana'!$E$4)</f>
        <v>1</v>
      </c>
      <c r="W1109" s="18" t="str">
        <f t="shared" si="36"/>
        <v>jueves</v>
      </c>
    </row>
    <row r="1110" spans="2:23" hidden="1" x14ac:dyDescent="0.25">
      <c r="B1110" s="337">
        <v>46300</v>
      </c>
      <c r="C1110" s="337">
        <v>46341</v>
      </c>
      <c r="D1110" s="374" t="s">
        <v>78</v>
      </c>
      <c r="E1110" s="309" t="s">
        <v>138</v>
      </c>
      <c r="F1110" s="310" t="s">
        <v>590</v>
      </c>
      <c r="G1110" s="311">
        <v>4.91</v>
      </c>
      <c r="H1110" s="311">
        <v>8</v>
      </c>
      <c r="I1110" s="340">
        <v>17.14</v>
      </c>
      <c r="J1110" s="340"/>
      <c r="K1110" s="311"/>
      <c r="L1110" s="340">
        <f t="shared" ref="L1110" si="37">I1110</f>
        <v>17.14</v>
      </c>
      <c r="M1110" s="313"/>
      <c r="N1110" s="313"/>
      <c r="O1110" s="313"/>
      <c r="P1110" s="313"/>
      <c r="Q1110" s="311"/>
      <c r="R1110" s="392">
        <v>375852</v>
      </c>
      <c r="S1110" s="358">
        <f ca="1">IF(C1110&lt;=EOMONTH('&gt;&gt;Vistas Consolidadas'!$D$2, '&gt;&gt;Vistas Consolidadas'!$F$2),J1110+I1110,J1110)</f>
        <v>17.14</v>
      </c>
      <c r="T1110" s="18" t="str">
        <f ca="1">IF(C1110&gt;='&gt;&gt;Vistas Consolidadas'!$D$2,"SI","NO")</f>
        <v>SI</v>
      </c>
      <c r="U1110" s="358">
        <f ca="1">IF(C1110&lt;=EOMONTH('&gt;&gt;Vistas Consolidadas'!$D$2, '&gt;&gt;Vistas Consolidadas'!$F$2),I1110,0)</f>
        <v>17.14</v>
      </c>
      <c r="V1110" s="18" t="b">
        <f ca="1">AND(C1110&gt;='Interes Por Semana'!$C$4, C1110&lt;='Interes Por Semana'!$E$4)</f>
        <v>0</v>
      </c>
      <c r="W1110" s="18" t="str">
        <f t="shared" si="36"/>
        <v>domingo</v>
      </c>
    </row>
    <row r="1111" spans="2:23" hidden="1" x14ac:dyDescent="0.25">
      <c r="B1111" s="337">
        <v>46300</v>
      </c>
      <c r="C1111" s="337">
        <v>46371</v>
      </c>
      <c r="D1111" s="374" t="s">
        <v>78</v>
      </c>
      <c r="E1111" s="309" t="s">
        <v>138</v>
      </c>
      <c r="F1111" s="310" t="s">
        <v>590</v>
      </c>
      <c r="G1111" s="311">
        <v>4.91</v>
      </c>
      <c r="H1111" s="311">
        <v>8</v>
      </c>
      <c r="I1111" s="340">
        <v>17.14</v>
      </c>
      <c r="J1111" s="340"/>
      <c r="K1111" s="311"/>
      <c r="L1111" s="340">
        <f t="shared" ref="L1111" si="38">I1111</f>
        <v>17.14</v>
      </c>
      <c r="M1111" s="313"/>
      <c r="N1111" s="313"/>
      <c r="O1111" s="313"/>
      <c r="P1111" s="313"/>
      <c r="Q1111" s="311"/>
      <c r="R1111" s="392">
        <v>375852</v>
      </c>
      <c r="S1111" s="358">
        <f ca="1">IF(C1111&lt;=EOMONTH('&gt;&gt;Vistas Consolidadas'!$D$2, '&gt;&gt;Vistas Consolidadas'!$F$2),J1111+I1111,J1111)</f>
        <v>17.14</v>
      </c>
      <c r="T1111" s="18" t="str">
        <f ca="1">IF(C1111&gt;='&gt;&gt;Vistas Consolidadas'!$D$2,"SI","NO")</f>
        <v>SI</v>
      </c>
      <c r="U1111" s="358">
        <f ca="1">IF(C1111&lt;=EOMONTH('&gt;&gt;Vistas Consolidadas'!$D$2, '&gt;&gt;Vistas Consolidadas'!$F$2),I1111,0)</f>
        <v>17.14</v>
      </c>
      <c r="V1111" s="18" t="b">
        <f ca="1">AND(C1111&gt;='Interes Por Semana'!$C$4, C1111&lt;='Interes Por Semana'!$E$4)</f>
        <v>0</v>
      </c>
      <c r="W1111" s="18" t="str">
        <f t="shared" si="36"/>
        <v>martes</v>
      </c>
    </row>
    <row r="1112" spans="2:23" hidden="1" x14ac:dyDescent="0.25">
      <c r="B1112" s="337">
        <v>46300</v>
      </c>
      <c r="C1112" s="337">
        <v>46402</v>
      </c>
      <c r="D1112" s="374" t="s">
        <v>78</v>
      </c>
      <c r="E1112" s="309" t="s">
        <v>138</v>
      </c>
      <c r="F1112" s="310" t="s">
        <v>590</v>
      </c>
      <c r="G1112" s="311">
        <v>4.91</v>
      </c>
      <c r="H1112" s="311">
        <v>8</v>
      </c>
      <c r="I1112" s="340">
        <v>17.14</v>
      </c>
      <c r="J1112" s="340"/>
      <c r="K1112" s="311"/>
      <c r="L1112" s="340">
        <f t="shared" ref="L1112:L1117" si="39">I1112</f>
        <v>17.14</v>
      </c>
      <c r="M1112" s="311"/>
      <c r="N1112" s="311"/>
      <c r="O1112" s="311"/>
      <c r="P1112" s="311"/>
      <c r="Q1112" s="386"/>
      <c r="R1112" s="392">
        <v>375852</v>
      </c>
      <c r="S1112" s="358">
        <f ca="1">IF(C1112&lt;=EOMONTH('&gt;&gt;Vistas Consolidadas'!$D$2, '&gt;&gt;Vistas Consolidadas'!$F$2),J1112+I1112,J1112)</f>
        <v>17.14</v>
      </c>
      <c r="T1112" s="18" t="str">
        <f ca="1">IF(C1112&gt;='&gt;&gt;Vistas Consolidadas'!$D$2,"SI","NO")</f>
        <v>SI</v>
      </c>
      <c r="U1112" s="358">
        <f ca="1">IF(C1112&lt;=EOMONTH('&gt;&gt;Vistas Consolidadas'!$D$2, '&gt;&gt;Vistas Consolidadas'!$F$2),I1112,0)</f>
        <v>17.14</v>
      </c>
      <c r="V1112" s="18" t="b">
        <f ca="1">AND(C1112&gt;='Interes Por Semana'!$C$4, C1112&lt;='Interes Por Semana'!$E$4)</f>
        <v>0</v>
      </c>
      <c r="W1112" s="18" t="str">
        <f t="shared" si="36"/>
        <v>viernes</v>
      </c>
    </row>
    <row r="1113" spans="2:23" hidden="1" x14ac:dyDescent="0.25">
      <c r="B1113" s="337">
        <v>46300</v>
      </c>
      <c r="C1113" s="337">
        <v>46433</v>
      </c>
      <c r="D1113" s="374" t="s">
        <v>78</v>
      </c>
      <c r="E1113" s="309" t="s">
        <v>138</v>
      </c>
      <c r="F1113" s="310" t="s">
        <v>590</v>
      </c>
      <c r="G1113" s="311">
        <v>4.91</v>
      </c>
      <c r="H1113" s="311">
        <v>8</v>
      </c>
      <c r="I1113" s="340">
        <v>17.14</v>
      </c>
      <c r="J1113" s="340"/>
      <c r="K1113" s="311"/>
      <c r="L1113" s="340">
        <f t="shared" si="39"/>
        <v>17.14</v>
      </c>
      <c r="M1113" s="311"/>
      <c r="N1113" s="311"/>
      <c r="O1113" s="311"/>
      <c r="P1113" s="311"/>
      <c r="Q1113" s="386"/>
      <c r="R1113" s="392">
        <v>375852</v>
      </c>
      <c r="S1113" s="358">
        <f ca="1">IF(C1113&lt;=EOMONTH('&gt;&gt;Vistas Consolidadas'!$D$2, '&gt;&gt;Vistas Consolidadas'!$F$2),J1113+I1113,J1113)</f>
        <v>17.14</v>
      </c>
      <c r="T1113" s="18" t="str">
        <f ca="1">IF(C1113&gt;='&gt;&gt;Vistas Consolidadas'!$D$2,"SI","NO")</f>
        <v>SI</v>
      </c>
      <c r="U1113" s="358">
        <f ca="1">IF(C1113&lt;=EOMONTH('&gt;&gt;Vistas Consolidadas'!$D$2, '&gt;&gt;Vistas Consolidadas'!$F$2),I1113,0)</f>
        <v>17.14</v>
      </c>
      <c r="V1113" s="18" t="b">
        <f ca="1">AND(C1113&gt;='Interes Por Semana'!$C$4, C1113&lt;='Interes Por Semana'!$E$4)</f>
        <v>0</v>
      </c>
      <c r="W1113" s="18" t="str">
        <f t="shared" si="36"/>
        <v>lunes</v>
      </c>
    </row>
    <row r="1114" spans="2:23" hidden="1" x14ac:dyDescent="0.25">
      <c r="B1114" s="337">
        <v>46300</v>
      </c>
      <c r="C1114" s="337">
        <v>46461</v>
      </c>
      <c r="D1114" s="374" t="s">
        <v>78</v>
      </c>
      <c r="E1114" s="309" t="s">
        <v>138</v>
      </c>
      <c r="F1114" s="310" t="s">
        <v>590</v>
      </c>
      <c r="G1114" s="311">
        <v>4.91</v>
      </c>
      <c r="H1114" s="311">
        <v>8</v>
      </c>
      <c r="I1114" s="340">
        <v>17.14</v>
      </c>
      <c r="J1114" s="340"/>
      <c r="K1114" s="311"/>
      <c r="L1114" s="340">
        <f t="shared" si="39"/>
        <v>17.14</v>
      </c>
      <c r="M1114" s="311"/>
      <c r="N1114" s="311"/>
      <c r="O1114" s="311"/>
      <c r="P1114" s="311"/>
      <c r="Q1114" s="386"/>
      <c r="R1114" s="392">
        <v>375852</v>
      </c>
      <c r="S1114" s="358">
        <f ca="1">IF(C1114&lt;=EOMONTH('&gt;&gt;Vistas Consolidadas'!$D$2, '&gt;&gt;Vistas Consolidadas'!$F$2),J1114+I1114,J1114)</f>
        <v>17.14</v>
      </c>
      <c r="T1114" s="18" t="str">
        <f ca="1">IF(C1114&gt;='&gt;&gt;Vistas Consolidadas'!$D$2,"SI","NO")</f>
        <v>SI</v>
      </c>
      <c r="U1114" s="358">
        <f ca="1">IF(C1114&lt;=EOMONTH('&gt;&gt;Vistas Consolidadas'!$D$2, '&gt;&gt;Vistas Consolidadas'!$F$2),I1114,0)</f>
        <v>17.14</v>
      </c>
      <c r="V1114" s="18" t="b">
        <f ca="1">AND(C1114&gt;='Interes Por Semana'!$C$4, C1114&lt;='Interes Por Semana'!$E$4)</f>
        <v>0</v>
      </c>
      <c r="W1114" s="18" t="str">
        <f t="shared" si="36"/>
        <v>lunes</v>
      </c>
    </row>
    <row r="1115" spans="2:23" hidden="1" x14ac:dyDescent="0.25">
      <c r="B1115" s="337">
        <v>46300</v>
      </c>
      <c r="C1115" s="337">
        <v>46492</v>
      </c>
      <c r="D1115" s="374" t="s">
        <v>78</v>
      </c>
      <c r="E1115" s="309" t="s">
        <v>138</v>
      </c>
      <c r="F1115" s="310" t="s">
        <v>590</v>
      </c>
      <c r="G1115" s="311">
        <v>4.91</v>
      </c>
      <c r="H1115" s="311">
        <v>8</v>
      </c>
      <c r="I1115" s="340">
        <v>17.14</v>
      </c>
      <c r="J1115" s="340"/>
      <c r="K1115" s="311"/>
      <c r="L1115" s="340">
        <f t="shared" si="39"/>
        <v>17.14</v>
      </c>
      <c r="M1115" s="311"/>
      <c r="N1115" s="311"/>
      <c r="O1115" s="311"/>
      <c r="P1115" s="311"/>
      <c r="Q1115" s="386"/>
      <c r="R1115" s="392">
        <v>375852</v>
      </c>
      <c r="S1115" s="358">
        <f ca="1">IF(C1115&lt;=EOMONTH('&gt;&gt;Vistas Consolidadas'!$D$2, '&gt;&gt;Vistas Consolidadas'!$F$2),J1115+I1115,J1115)</f>
        <v>17.14</v>
      </c>
      <c r="T1115" s="18" t="str">
        <f ca="1">IF(C1115&gt;='&gt;&gt;Vistas Consolidadas'!$D$2,"SI","NO")</f>
        <v>SI</v>
      </c>
      <c r="U1115" s="358">
        <f ca="1">IF(C1115&lt;=EOMONTH('&gt;&gt;Vistas Consolidadas'!$D$2, '&gt;&gt;Vistas Consolidadas'!$F$2),I1115,0)</f>
        <v>17.14</v>
      </c>
      <c r="V1115" s="18" t="b">
        <f ca="1">AND(C1115&gt;='Interes Por Semana'!$C$4, C1115&lt;='Interes Por Semana'!$E$4)</f>
        <v>0</v>
      </c>
      <c r="W1115" s="18" t="str">
        <f t="shared" si="36"/>
        <v>jueves</v>
      </c>
    </row>
    <row r="1116" spans="2:23" hidden="1" x14ac:dyDescent="0.25">
      <c r="B1116" s="337">
        <v>46300</v>
      </c>
      <c r="C1116" s="337">
        <v>46522</v>
      </c>
      <c r="D1116" s="374" t="s">
        <v>78</v>
      </c>
      <c r="E1116" s="309" t="s">
        <v>138</v>
      </c>
      <c r="F1116" s="310" t="s">
        <v>590</v>
      </c>
      <c r="G1116" s="311">
        <v>4.91</v>
      </c>
      <c r="H1116" s="311">
        <v>8</v>
      </c>
      <c r="I1116" s="340">
        <v>17.14</v>
      </c>
      <c r="J1116" s="340"/>
      <c r="K1116" s="311"/>
      <c r="L1116" s="340">
        <f t="shared" si="39"/>
        <v>17.14</v>
      </c>
      <c r="M1116" s="311"/>
      <c r="N1116" s="311"/>
      <c r="O1116" s="311"/>
      <c r="P1116" s="311"/>
      <c r="Q1116" s="386"/>
      <c r="R1116" s="392">
        <v>375852</v>
      </c>
      <c r="S1116" s="358">
        <f ca="1">IF(C1116&lt;=EOMONTH('&gt;&gt;Vistas Consolidadas'!$D$2, '&gt;&gt;Vistas Consolidadas'!$F$2),J1116+I1116,J1116)</f>
        <v>17.14</v>
      </c>
      <c r="T1116" s="18" t="str">
        <f ca="1">IF(C1116&gt;='&gt;&gt;Vistas Consolidadas'!$D$2,"SI","NO")</f>
        <v>SI</v>
      </c>
      <c r="U1116" s="358">
        <f ca="1">IF(C1116&lt;=EOMONTH('&gt;&gt;Vistas Consolidadas'!$D$2, '&gt;&gt;Vistas Consolidadas'!$F$2),I1116,0)</f>
        <v>17.14</v>
      </c>
      <c r="V1116" s="18" t="b">
        <f ca="1">AND(C1116&gt;='Interes Por Semana'!$C$4, C1116&lt;='Interes Por Semana'!$E$4)</f>
        <v>0</v>
      </c>
      <c r="W1116" s="18" t="str">
        <f t="shared" si="36"/>
        <v>sábado</v>
      </c>
    </row>
    <row r="1117" spans="2:23" hidden="1" x14ac:dyDescent="0.25">
      <c r="B1117" s="337">
        <v>46300</v>
      </c>
      <c r="C1117" s="337">
        <v>46553</v>
      </c>
      <c r="D1117" s="374" t="s">
        <v>78</v>
      </c>
      <c r="E1117" s="309" t="s">
        <v>138</v>
      </c>
      <c r="F1117" s="310" t="s">
        <v>590</v>
      </c>
      <c r="G1117" s="311">
        <v>4.91</v>
      </c>
      <c r="H1117" s="311">
        <v>8</v>
      </c>
      <c r="I1117" s="340">
        <v>17.14</v>
      </c>
      <c r="J1117" s="340"/>
      <c r="K1117" s="311"/>
      <c r="L1117" s="340">
        <f t="shared" si="39"/>
        <v>17.14</v>
      </c>
      <c r="M1117" s="311"/>
      <c r="N1117" s="311"/>
      <c r="O1117" s="311"/>
      <c r="P1117" s="311"/>
      <c r="Q1117" s="386"/>
      <c r="R1117" s="392">
        <v>375852</v>
      </c>
      <c r="S1117" s="358">
        <f ca="1">IF(C1117&lt;=EOMONTH('&gt;&gt;Vistas Consolidadas'!$D$2, '&gt;&gt;Vistas Consolidadas'!$F$2),J1117+I1117,J1117)</f>
        <v>17.14</v>
      </c>
      <c r="T1117" s="18" t="str">
        <f ca="1">IF(C1117&gt;='&gt;&gt;Vistas Consolidadas'!$D$2,"SI","NO")</f>
        <v>SI</v>
      </c>
      <c r="U1117" s="358">
        <f ca="1">IF(C1117&lt;=EOMONTH('&gt;&gt;Vistas Consolidadas'!$D$2, '&gt;&gt;Vistas Consolidadas'!$F$2),I1117,0)</f>
        <v>17.14</v>
      </c>
      <c r="V1117" s="18" t="b">
        <f ca="1">AND(C1117&gt;='Interes Por Semana'!$C$4, C1117&lt;='Interes Por Semana'!$E$4)</f>
        <v>0</v>
      </c>
      <c r="W1117" s="18" t="str">
        <f t="shared" si="36"/>
        <v>martes</v>
      </c>
    </row>
    <row r="1118" spans="2:23" hidden="1" x14ac:dyDescent="0.25">
      <c r="B1118" s="337">
        <v>46300</v>
      </c>
      <c r="C1118" s="337">
        <v>46583</v>
      </c>
      <c r="D1118" s="374" t="s">
        <v>78</v>
      </c>
      <c r="E1118" s="309" t="s">
        <v>138</v>
      </c>
      <c r="F1118" s="310" t="s">
        <v>590</v>
      </c>
      <c r="G1118" s="311">
        <v>4.91</v>
      </c>
      <c r="H1118" s="311">
        <v>8</v>
      </c>
      <c r="I1118" s="340">
        <v>17.14</v>
      </c>
      <c r="J1118" s="340"/>
      <c r="K1118" s="311"/>
      <c r="L1118" s="340">
        <f t="shared" ref="L1118:L1121" si="40">I1118</f>
        <v>17.14</v>
      </c>
      <c r="M1118" s="311"/>
      <c r="N1118" s="311"/>
      <c r="O1118" s="311"/>
      <c r="P1118" s="311"/>
      <c r="Q1118" s="386"/>
      <c r="R1118" s="392">
        <v>375852</v>
      </c>
      <c r="S1118" s="358">
        <f ca="1">IF(C1118&lt;=EOMONTH('&gt;&gt;Vistas Consolidadas'!$D$2, '&gt;&gt;Vistas Consolidadas'!$F$2),J1118+I1118,J1118)</f>
        <v>17.14</v>
      </c>
      <c r="T1118" s="18" t="str">
        <f ca="1">IF(C1118&gt;='&gt;&gt;Vistas Consolidadas'!$D$2,"SI","NO")</f>
        <v>SI</v>
      </c>
      <c r="U1118" s="358">
        <f ca="1">IF(C1118&lt;=EOMONTH('&gt;&gt;Vistas Consolidadas'!$D$2, '&gt;&gt;Vistas Consolidadas'!$F$2),I1118,0)</f>
        <v>17.14</v>
      </c>
      <c r="V1118" s="18" t="b">
        <f ca="1">AND(C1118&gt;='Interes Por Semana'!$C$4, C1118&lt;='Interes Por Semana'!$E$4)</f>
        <v>0</v>
      </c>
      <c r="W1118" s="18" t="str">
        <f t="shared" si="36"/>
        <v>jueves</v>
      </c>
    </row>
    <row r="1119" spans="2:23" hidden="1" x14ac:dyDescent="0.25">
      <c r="B1119" s="337">
        <v>46300</v>
      </c>
      <c r="C1119" s="337">
        <v>46614</v>
      </c>
      <c r="D1119" s="374" t="s">
        <v>78</v>
      </c>
      <c r="E1119" s="309" t="s">
        <v>138</v>
      </c>
      <c r="F1119" s="310" t="s">
        <v>590</v>
      </c>
      <c r="G1119" s="311">
        <v>4.91</v>
      </c>
      <c r="H1119" s="311">
        <v>8</v>
      </c>
      <c r="I1119" s="340">
        <v>17.14</v>
      </c>
      <c r="J1119" s="340"/>
      <c r="K1119" s="311"/>
      <c r="L1119" s="340">
        <f t="shared" si="40"/>
        <v>17.14</v>
      </c>
      <c r="M1119" s="311"/>
      <c r="N1119" s="311"/>
      <c r="O1119" s="311"/>
      <c r="P1119" s="311"/>
      <c r="Q1119" s="386"/>
      <c r="R1119" s="392">
        <v>375852</v>
      </c>
      <c r="S1119" s="358">
        <f ca="1">IF(C1119&lt;=EOMONTH('&gt;&gt;Vistas Consolidadas'!$D$2, '&gt;&gt;Vistas Consolidadas'!$F$2),J1119+I1119,J1119)</f>
        <v>17.14</v>
      </c>
      <c r="T1119" s="18" t="str">
        <f ca="1">IF(C1119&gt;='&gt;&gt;Vistas Consolidadas'!$D$2,"SI","NO")</f>
        <v>SI</v>
      </c>
      <c r="U1119" s="358">
        <f ca="1">IF(C1119&lt;=EOMONTH('&gt;&gt;Vistas Consolidadas'!$D$2, '&gt;&gt;Vistas Consolidadas'!$F$2),I1119,0)</f>
        <v>17.14</v>
      </c>
      <c r="V1119" s="18" t="b">
        <f ca="1">AND(C1119&gt;='Interes Por Semana'!$C$4, C1119&lt;='Interes Por Semana'!$E$4)</f>
        <v>0</v>
      </c>
      <c r="W1119" s="18" t="str">
        <f t="shared" si="36"/>
        <v>domingo</v>
      </c>
    </row>
    <row r="1120" spans="2:23" hidden="1" x14ac:dyDescent="0.25">
      <c r="B1120" s="337">
        <v>46300</v>
      </c>
      <c r="C1120" s="337">
        <v>46645</v>
      </c>
      <c r="D1120" s="374" t="s">
        <v>78</v>
      </c>
      <c r="E1120" s="309" t="s">
        <v>138</v>
      </c>
      <c r="F1120" s="310" t="s">
        <v>590</v>
      </c>
      <c r="G1120" s="311">
        <v>4.91</v>
      </c>
      <c r="H1120" s="311">
        <v>8</v>
      </c>
      <c r="I1120" s="340">
        <v>17.14</v>
      </c>
      <c r="J1120" s="340"/>
      <c r="K1120" s="311"/>
      <c r="L1120" s="340">
        <f t="shared" si="40"/>
        <v>17.14</v>
      </c>
      <c r="M1120" s="311"/>
      <c r="N1120" s="311"/>
      <c r="O1120" s="311"/>
      <c r="P1120" s="311"/>
      <c r="Q1120" s="386"/>
      <c r="R1120" s="392">
        <v>375852</v>
      </c>
      <c r="S1120" s="358">
        <f ca="1">IF(C1120&lt;=EOMONTH('&gt;&gt;Vistas Consolidadas'!$D$2, '&gt;&gt;Vistas Consolidadas'!$F$2),J1120+I1120,J1120)</f>
        <v>17.14</v>
      </c>
      <c r="T1120" s="18" t="str">
        <f ca="1">IF(C1120&gt;='&gt;&gt;Vistas Consolidadas'!$D$2,"SI","NO")</f>
        <v>SI</v>
      </c>
      <c r="U1120" s="358">
        <f ca="1">IF(C1120&lt;=EOMONTH('&gt;&gt;Vistas Consolidadas'!$D$2, '&gt;&gt;Vistas Consolidadas'!$F$2),I1120,0)</f>
        <v>17.14</v>
      </c>
      <c r="V1120" s="18" t="b">
        <f ca="1">AND(C1120&gt;='Interes Por Semana'!$C$4, C1120&lt;='Interes Por Semana'!$E$4)</f>
        <v>0</v>
      </c>
      <c r="W1120" s="18" t="str">
        <f t="shared" si="36"/>
        <v>miércoles</v>
      </c>
    </row>
    <row r="1121" spans="2:23" hidden="1" x14ac:dyDescent="0.25">
      <c r="B1121" s="338">
        <v>46303</v>
      </c>
      <c r="C1121" s="338">
        <v>49309</v>
      </c>
      <c r="D1121" s="374" t="s">
        <v>96</v>
      </c>
      <c r="E1121" s="314" t="s">
        <v>47</v>
      </c>
      <c r="F1121" s="315" t="s">
        <v>140</v>
      </c>
      <c r="G1121" s="313">
        <v>1</v>
      </c>
      <c r="H1121" s="313">
        <v>1</v>
      </c>
      <c r="I1121" s="341">
        <v>0</v>
      </c>
      <c r="J1121" s="340">
        <v>5521.57</v>
      </c>
      <c r="K1121" s="311"/>
      <c r="L1121" s="340">
        <f t="shared" si="40"/>
        <v>0</v>
      </c>
      <c r="M1121" s="311"/>
      <c r="N1121" s="311"/>
      <c r="O1121" s="311"/>
      <c r="P1121" s="311"/>
      <c r="Q1121" s="386"/>
      <c r="R1121" s="392">
        <v>3753242</v>
      </c>
      <c r="S1121" s="480">
        <f ca="1">IF(C1121&lt;=EOMONTH('&gt;&gt;Vistas Consolidadas'!$D$2, '&gt;&gt;Vistas Consolidadas'!$F$2),J1121+I1121,J1121)</f>
        <v>5521.57</v>
      </c>
      <c r="T1121" s="18" t="str">
        <f ca="1">IF(C1121&gt;='&gt;&gt;Vistas Consolidadas'!$D$2,"SI","NO")</f>
        <v>SI</v>
      </c>
      <c r="U1121" s="481">
        <f ca="1">IF(C1121&lt;=EOMONTH('&gt;&gt;Vistas Consolidadas'!$D$2, '&gt;&gt;Vistas Consolidadas'!$F$2),I1121,0)</f>
        <v>0</v>
      </c>
      <c r="V1121" s="482" t="b">
        <f ca="1">AND(C1121&gt;='Interes Por Semana'!$C$4, C1121&lt;='Interes Por Semana'!$E$4)</f>
        <v>0</v>
      </c>
      <c r="W1121" s="482" t="str">
        <f t="shared" si="36"/>
        <v>domingo</v>
      </c>
    </row>
  </sheetData>
  <phoneticPr fontId="23" type="noConversion"/>
  <pageMargins left="0.7" right="0.7" top="0.75" bottom="0.75" header="0.3" footer="0.3"/>
  <pageSetup paperSize="9" orientation="portrait" verticalDpi="597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4"/>
  <dimension ref="B1:H25"/>
  <sheetViews>
    <sheetView zoomScaleNormal="100" workbookViewId="0">
      <selection activeCell="E32" sqref="E32"/>
    </sheetView>
  </sheetViews>
  <sheetFormatPr baseColWidth="10" defaultRowHeight="15" x14ac:dyDescent="0.25"/>
  <cols>
    <col min="1" max="1" width="2.7109375" customWidth="1"/>
    <col min="2" max="2" width="32.7109375" bestFit="1" customWidth="1"/>
    <col min="3" max="3" width="14.7109375" bestFit="1" customWidth="1"/>
    <col min="4" max="7" width="14.5703125" bestFit="1" customWidth="1"/>
    <col min="8" max="8" width="12" bestFit="1" customWidth="1"/>
  </cols>
  <sheetData>
    <row r="1" spans="2:8" ht="15" customHeight="1" thickBot="1" x14ac:dyDescent="0.3"/>
    <row r="2" spans="2:8" ht="16.149999999999999" customHeight="1" thickBot="1" x14ac:dyDescent="0.3">
      <c r="B2" s="317" t="s">
        <v>185</v>
      </c>
      <c r="C2" s="333">
        <f ca="1">TODAY()+1</f>
        <v>46307</v>
      </c>
    </row>
    <row r="3" spans="2:8" ht="15" customHeight="1" thickBot="1" x14ac:dyDescent="0.3"/>
    <row r="4" spans="2:8" ht="16.149999999999999" customHeight="1" thickBot="1" x14ac:dyDescent="0.3">
      <c r="B4" s="317" t="s">
        <v>186</v>
      </c>
      <c r="C4" s="334">
        <f ca="1">$C$2-MOD($C$2-1,7)-1</f>
        <v>46305</v>
      </c>
      <c r="D4" s="329" t="s">
        <v>187</v>
      </c>
      <c r="E4" s="335">
        <f ca="1">C4+6</f>
        <v>46311</v>
      </c>
    </row>
    <row r="6" spans="2:8" x14ac:dyDescent="0.25">
      <c r="B6" s="332" t="s">
        <v>76</v>
      </c>
      <c r="C6" t="s">
        <v>188</v>
      </c>
    </row>
    <row r="8" spans="2:8" x14ac:dyDescent="0.25">
      <c r="B8" s="332" t="s">
        <v>189</v>
      </c>
      <c r="C8" s="382" t="s">
        <v>190</v>
      </c>
    </row>
    <row r="9" spans="2:8" x14ac:dyDescent="0.25">
      <c r="C9" s="1">
        <v>46298</v>
      </c>
      <c r="D9" s="1">
        <v>46299</v>
      </c>
      <c r="E9" s="1">
        <v>46301</v>
      </c>
      <c r="F9" s="1">
        <v>46302</v>
      </c>
      <c r="G9" s="1">
        <v>46303</v>
      </c>
      <c r="H9" s="391" t="s">
        <v>191</v>
      </c>
    </row>
    <row r="10" spans="2:8" s="18" customFormat="1" x14ac:dyDescent="0.25">
      <c r="B10" s="382" t="s">
        <v>62</v>
      </c>
      <c r="C10" t="s">
        <v>164</v>
      </c>
      <c r="D10" t="s">
        <v>163</v>
      </c>
      <c r="E10" t="s">
        <v>165</v>
      </c>
      <c r="F10" t="s">
        <v>166</v>
      </c>
      <c r="G10" t="s">
        <v>167</v>
      </c>
      <c r="H10" s="42"/>
    </row>
    <row r="11" spans="2:8" x14ac:dyDescent="0.25">
      <c r="B11" s="330" t="s">
        <v>46</v>
      </c>
      <c r="C11" s="301"/>
      <c r="D11" s="301">
        <v>16.79</v>
      </c>
      <c r="E11" s="301">
        <v>7.79</v>
      </c>
      <c r="F11" s="301"/>
      <c r="G11" s="301"/>
      <c r="H11" s="301">
        <v>24.58</v>
      </c>
    </row>
    <row r="12" spans="2:8" x14ac:dyDescent="0.25">
      <c r="B12" s="331" t="s">
        <v>81</v>
      </c>
      <c r="C12" s="301"/>
      <c r="D12" s="301">
        <v>16.79</v>
      </c>
      <c r="E12" s="301"/>
      <c r="F12" s="301"/>
      <c r="G12" s="301"/>
      <c r="H12" s="301">
        <v>16.79</v>
      </c>
    </row>
    <row r="13" spans="2:8" x14ac:dyDescent="0.25">
      <c r="B13" s="331" t="s">
        <v>87</v>
      </c>
      <c r="C13" s="301"/>
      <c r="D13" s="301"/>
      <c r="E13" s="301">
        <v>7.79</v>
      </c>
      <c r="F13" s="301"/>
      <c r="G13" s="301"/>
      <c r="H13" s="301">
        <v>7.79</v>
      </c>
    </row>
    <row r="14" spans="2:8" x14ac:dyDescent="0.25">
      <c r="B14" s="330" t="s">
        <v>48</v>
      </c>
      <c r="C14" s="301"/>
      <c r="D14" s="301"/>
      <c r="E14" s="301"/>
      <c r="F14" s="301">
        <v>78.66</v>
      </c>
      <c r="G14" s="301"/>
      <c r="H14" s="301">
        <v>78.66</v>
      </c>
    </row>
    <row r="15" spans="2:8" x14ac:dyDescent="0.25">
      <c r="B15" s="331" t="s">
        <v>169</v>
      </c>
      <c r="C15" s="301"/>
      <c r="D15" s="301"/>
      <c r="E15" s="301"/>
      <c r="F15" s="301">
        <v>78.66</v>
      </c>
      <c r="G15" s="301"/>
      <c r="H15" s="301">
        <v>78.66</v>
      </c>
    </row>
    <row r="16" spans="2:8" x14ac:dyDescent="0.25">
      <c r="B16" s="330" t="s">
        <v>47</v>
      </c>
      <c r="C16" s="301">
        <v>28.14</v>
      </c>
      <c r="D16" s="301"/>
      <c r="E16" s="301">
        <v>78.813180428134558</v>
      </c>
      <c r="F16" s="301">
        <v>131.09281250000001</v>
      </c>
      <c r="G16" s="301">
        <v>3015.32</v>
      </c>
      <c r="H16" s="301">
        <v>3253.3659929281348</v>
      </c>
    </row>
    <row r="17" spans="2:8" x14ac:dyDescent="0.25">
      <c r="B17" s="331" t="s">
        <v>86</v>
      </c>
      <c r="C17" s="301"/>
      <c r="D17" s="301"/>
      <c r="E17" s="301">
        <v>20.79</v>
      </c>
      <c r="F17" s="301"/>
      <c r="G17" s="301"/>
      <c r="H17" s="301">
        <v>20.79</v>
      </c>
    </row>
    <row r="18" spans="2:8" x14ac:dyDescent="0.25">
      <c r="B18" s="331" t="s">
        <v>85</v>
      </c>
      <c r="C18" s="301"/>
      <c r="D18" s="301"/>
      <c r="E18" s="301">
        <v>58.023180428134552</v>
      </c>
      <c r="F18" s="301"/>
      <c r="G18" s="301"/>
      <c r="H18" s="301">
        <v>58.023180428134552</v>
      </c>
    </row>
    <row r="19" spans="2:8" x14ac:dyDescent="0.25">
      <c r="B19" s="331" t="s">
        <v>79</v>
      </c>
      <c r="C19" s="301">
        <v>28.14</v>
      </c>
      <c r="D19" s="301"/>
      <c r="E19" s="301"/>
      <c r="F19" s="301"/>
      <c r="G19" s="301"/>
      <c r="H19" s="301">
        <v>28.14</v>
      </c>
    </row>
    <row r="20" spans="2:8" x14ac:dyDescent="0.25">
      <c r="B20" s="331" t="s">
        <v>89</v>
      </c>
      <c r="C20" s="301"/>
      <c r="D20" s="301"/>
      <c r="E20" s="301"/>
      <c r="F20" s="301"/>
      <c r="G20" s="301">
        <v>2892.86</v>
      </c>
      <c r="H20" s="301">
        <v>2892.86</v>
      </c>
    </row>
    <row r="21" spans="2:8" x14ac:dyDescent="0.25">
      <c r="B21" s="331" t="s">
        <v>153</v>
      </c>
      <c r="C21" s="301"/>
      <c r="D21" s="301"/>
      <c r="E21" s="301"/>
      <c r="F21" s="301"/>
      <c r="G21" s="301">
        <v>122.46</v>
      </c>
      <c r="H21" s="301">
        <v>122.46</v>
      </c>
    </row>
    <row r="22" spans="2:8" x14ac:dyDescent="0.25">
      <c r="B22" s="331" t="s">
        <v>156</v>
      </c>
      <c r="C22" s="301"/>
      <c r="D22" s="301"/>
      <c r="E22" s="301"/>
      <c r="F22" s="301">
        <v>131.09281250000001</v>
      </c>
      <c r="G22" s="301"/>
      <c r="H22" s="301">
        <v>131.09281250000001</v>
      </c>
    </row>
    <row r="23" spans="2:8" x14ac:dyDescent="0.25">
      <c r="B23" s="330" t="s">
        <v>138</v>
      </c>
      <c r="C23" s="301"/>
      <c r="D23" s="301"/>
      <c r="E23" s="301"/>
      <c r="F23" s="301"/>
      <c r="G23" s="301">
        <v>67.55</v>
      </c>
      <c r="H23" s="301">
        <v>67.55</v>
      </c>
    </row>
    <row r="24" spans="2:8" x14ac:dyDescent="0.25">
      <c r="B24" s="331" t="s">
        <v>153</v>
      </c>
      <c r="C24" s="301"/>
      <c r="D24" s="301"/>
      <c r="E24" s="301"/>
      <c r="F24" s="301"/>
      <c r="G24" s="301">
        <v>67.55</v>
      </c>
      <c r="H24" s="301">
        <v>67.55</v>
      </c>
    </row>
    <row r="25" spans="2:8" x14ac:dyDescent="0.25">
      <c r="B25" s="330" t="s">
        <v>191</v>
      </c>
      <c r="C25" s="301">
        <v>28.14</v>
      </c>
      <c r="D25" s="301">
        <v>16.79</v>
      </c>
      <c r="E25" s="301">
        <v>86.60318042813455</v>
      </c>
      <c r="F25" s="301">
        <v>209.7528125</v>
      </c>
      <c r="G25" s="301">
        <v>3082.8700000000003</v>
      </c>
      <c r="H25" s="301">
        <v>3424.1559929281348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R23"/>
  <sheetViews>
    <sheetView zoomScale="112" zoomScaleNormal="112" workbookViewId="0">
      <pane ySplit="2" topLeftCell="A3" activePane="bottomLeft" state="frozen"/>
      <selection pane="bottomLeft" activeCell="C23" sqref="C23"/>
    </sheetView>
  </sheetViews>
  <sheetFormatPr baseColWidth="10" defaultRowHeight="15" x14ac:dyDescent="0.25"/>
  <cols>
    <col min="1" max="1" width="2.7109375" customWidth="1"/>
    <col min="2" max="2" width="30.7109375" bestFit="1" customWidth="1"/>
    <col min="3" max="3" width="12.7109375" style="301" bestFit="1" customWidth="1"/>
    <col min="4" max="4" width="27.140625" customWidth="1"/>
    <col min="11" max="11" width="13" hidden="1" customWidth="1"/>
    <col min="13" max="13" width="13" hidden="1" customWidth="1"/>
    <col min="16" max="16" width="13" style="420" hidden="1" customWidth="1"/>
  </cols>
  <sheetData>
    <row r="1" spans="2:18" x14ac:dyDescent="0.25">
      <c r="C1" s="303">
        <f>SUBTOTAL(9,BaseOtrosFondos[Valor])</f>
        <v>5813.42339816208</v>
      </c>
    </row>
    <row r="2" spans="2:18" x14ac:dyDescent="0.25">
      <c r="B2" s="32" t="s">
        <v>192</v>
      </c>
      <c r="C2" s="303" t="s">
        <v>193</v>
      </c>
      <c r="D2" s="32" t="s">
        <v>194</v>
      </c>
    </row>
    <row r="3" spans="2:18" x14ac:dyDescent="0.25">
      <c r="B3" t="s">
        <v>195</v>
      </c>
      <c r="C3" s="301">
        <f>GETPIVOTDATA("Suma de Valor",'Vista de OperacionesReales'!$B$4,"Titular","Argentina")</f>
        <v>0</v>
      </c>
      <c r="D3" t="s">
        <v>196</v>
      </c>
    </row>
    <row r="4" spans="2:18" ht="15.75" customHeight="1" thickBot="1" x14ac:dyDescent="0.3">
      <c r="B4" t="s">
        <v>197</v>
      </c>
      <c r="C4" s="301">
        <f>GETPIVOTDATA("Suma de Valor",'Vista de OperacionesReales'!$B$4,"Titular","Cristian")</f>
        <v>2.4333078714136036E-3</v>
      </c>
      <c r="D4" t="s">
        <v>196</v>
      </c>
    </row>
    <row r="5" spans="2:18" ht="15.75" customHeight="1" thickBot="1" x14ac:dyDescent="0.3">
      <c r="B5" t="s">
        <v>198</v>
      </c>
      <c r="C5" s="301">
        <f>GETPIVOTDATA("Suma de Valor",'Vista de OperacionesReales'!$B$4,"Titular","Isabel")</f>
        <v>9.6485420753822382E-4</v>
      </c>
      <c r="D5" t="s">
        <v>196</v>
      </c>
      <c r="H5" s="432" t="s">
        <v>199</v>
      </c>
      <c r="I5" s="433"/>
      <c r="J5" s="433"/>
      <c r="K5" s="433"/>
      <c r="L5" s="433"/>
      <c r="M5" s="433"/>
      <c r="N5" s="433"/>
      <c r="O5" s="433"/>
      <c r="P5" s="433"/>
      <c r="Q5" s="433"/>
      <c r="R5" s="434"/>
    </row>
    <row r="6" spans="2:18" ht="15.75" customHeight="1" thickBot="1" x14ac:dyDescent="0.3">
      <c r="B6" t="s">
        <v>200</v>
      </c>
      <c r="C6" s="301">
        <f>GETPIVOTDATA("Suma de Valor",'Vista de OperacionesReales'!$B$4,"Titular","Jhon")</f>
        <v>2793.880000000001</v>
      </c>
      <c r="D6" t="s">
        <v>196</v>
      </c>
      <c r="H6" s="439"/>
      <c r="I6" s="440" t="s">
        <v>24</v>
      </c>
      <c r="J6" s="441">
        <v>46213</v>
      </c>
      <c r="K6" s="442"/>
      <c r="L6" s="443" t="s">
        <v>201</v>
      </c>
      <c r="M6" s="442"/>
      <c r="N6" s="441">
        <v>46226</v>
      </c>
      <c r="O6" s="444" t="s">
        <v>201</v>
      </c>
      <c r="P6" s="453"/>
      <c r="Q6" s="457">
        <v>46269</v>
      </c>
      <c r="R6" s="458" t="s">
        <v>201</v>
      </c>
    </row>
    <row r="7" spans="2:18" x14ac:dyDescent="0.25">
      <c r="B7" t="s">
        <v>202</v>
      </c>
      <c r="C7" s="301">
        <v>340.69</v>
      </c>
      <c r="D7" t="s">
        <v>203</v>
      </c>
      <c r="H7" s="445" t="s">
        <v>47</v>
      </c>
      <c r="I7" s="446">
        <v>872.64</v>
      </c>
      <c r="J7" s="447">
        <v>257.11</v>
      </c>
      <c r="K7" s="423">
        <f>J7/I7</f>
        <v>0.29463467180051339</v>
      </c>
      <c r="L7" s="448">
        <f>I7-J7</f>
        <v>615.53</v>
      </c>
      <c r="M7" s="423">
        <f>N7/I7</f>
        <v>0.13440823248991568</v>
      </c>
      <c r="N7" s="449">
        <v>117.29</v>
      </c>
      <c r="O7" s="450">
        <f>L7-N7</f>
        <v>498.23999999999995</v>
      </c>
      <c r="P7" s="454">
        <f>Q7/I7</f>
        <v>0.41757196552988629</v>
      </c>
      <c r="Q7" s="423">
        <v>364.39</v>
      </c>
      <c r="R7" s="450">
        <f>O7-Q7</f>
        <v>133.84999999999997</v>
      </c>
    </row>
    <row r="8" spans="2:18" x14ac:dyDescent="0.25">
      <c r="B8" t="s">
        <v>204</v>
      </c>
      <c r="C8" s="301">
        <v>1384.67</v>
      </c>
      <c r="D8" t="s">
        <v>203</v>
      </c>
      <c r="H8" s="435" t="s">
        <v>46</v>
      </c>
      <c r="I8" s="436">
        <v>138.4</v>
      </c>
      <c r="J8" s="424">
        <v>40.78</v>
      </c>
      <c r="K8" s="241">
        <f>J8/I8</f>
        <v>0.29465317919075146</v>
      </c>
      <c r="L8" s="425">
        <f>I8-J8</f>
        <v>97.62</v>
      </c>
      <c r="M8" s="241">
        <f>N8/I8</f>
        <v>0.13439306358381503</v>
      </c>
      <c r="N8" s="426">
        <v>18.600000000000001</v>
      </c>
      <c r="O8" s="427">
        <f>L8-N8</f>
        <v>79.02000000000001</v>
      </c>
      <c r="P8" s="455">
        <f>Q8/I8</f>
        <v>0.41755780346820809</v>
      </c>
      <c r="Q8" s="241">
        <v>57.79</v>
      </c>
      <c r="R8" s="427">
        <f>O8-Q8</f>
        <v>21.230000000000011</v>
      </c>
    </row>
    <row r="9" spans="2:18" ht="15.75" customHeight="1" thickBot="1" x14ac:dyDescent="0.3">
      <c r="B9" t="s">
        <v>205</v>
      </c>
      <c r="C9" s="301">
        <v>10</v>
      </c>
      <c r="D9" t="s">
        <v>203</v>
      </c>
      <c r="H9" s="437" t="s">
        <v>48</v>
      </c>
      <c r="I9" s="438">
        <v>562.29999999999995</v>
      </c>
      <c r="J9" s="428">
        <v>165.67</v>
      </c>
      <c r="K9" s="429">
        <f>J9/I9</f>
        <v>0.29462920149386451</v>
      </c>
      <c r="L9" s="451">
        <f>I9-J9</f>
        <v>396.63</v>
      </c>
      <c r="M9" s="429">
        <f>N9/I9</f>
        <v>0.13441223546149744</v>
      </c>
      <c r="N9" s="430">
        <v>75.58</v>
      </c>
      <c r="O9" s="431">
        <f>L9-N9</f>
        <v>321.05</v>
      </c>
      <c r="P9" s="456">
        <f>Q9/I9</f>
        <v>0.4175706918015295</v>
      </c>
      <c r="Q9" s="429">
        <v>234.8</v>
      </c>
      <c r="R9" s="431">
        <f>O9-Q9</f>
        <v>86.25</v>
      </c>
    </row>
    <row r="10" spans="2:18" ht="15.75" customHeight="1" thickBot="1" x14ac:dyDescent="0.3">
      <c r="B10" t="s">
        <v>206</v>
      </c>
      <c r="C10" s="301">
        <v>30</v>
      </c>
      <c r="D10" t="s">
        <v>203</v>
      </c>
      <c r="I10" s="452">
        <f>SUM(I7:I9)</f>
        <v>1573.34</v>
      </c>
      <c r="J10" s="417">
        <f>SUM(J7:J9)</f>
        <v>463.55999999999995</v>
      </c>
      <c r="K10" s="417"/>
      <c r="L10" s="418">
        <f>SUM(L7:L9)</f>
        <v>1109.78</v>
      </c>
      <c r="N10" s="421">
        <f>SUM(N7:N9)</f>
        <v>211.47000000000003</v>
      </c>
      <c r="O10" s="422">
        <f>SUM(O7:O9)</f>
        <v>898.31</v>
      </c>
      <c r="Q10" s="421">
        <f>SUM(Q7:Q9)</f>
        <v>656.98</v>
      </c>
      <c r="R10" s="459">
        <f>O10-Q10</f>
        <v>241.32999999999993</v>
      </c>
    </row>
    <row r="11" spans="2:18" ht="15.75" customHeight="1" x14ac:dyDescent="0.25">
      <c r="B11" t="s">
        <v>207</v>
      </c>
      <c r="C11" s="301">
        <v>10</v>
      </c>
      <c r="D11" t="s">
        <v>203</v>
      </c>
    </row>
    <row r="12" spans="2:18" ht="15.75" customHeight="1" thickBot="1" x14ac:dyDescent="0.3">
      <c r="B12" t="s">
        <v>589</v>
      </c>
      <c r="C12" s="301">
        <v>4.59</v>
      </c>
      <c r="D12" t="s">
        <v>203</v>
      </c>
    </row>
    <row r="13" spans="2:18" ht="15.75" customHeight="1" thickBot="1" x14ac:dyDescent="0.3">
      <c r="B13" t="s">
        <v>208</v>
      </c>
      <c r="C13" s="301">
        <v>5</v>
      </c>
      <c r="D13" t="s">
        <v>203</v>
      </c>
      <c r="K13" s="473"/>
      <c r="L13" s="464" t="s">
        <v>53</v>
      </c>
      <c r="M13" s="465"/>
      <c r="N13" s="476" t="s">
        <v>201</v>
      </c>
    </row>
    <row r="14" spans="2:18" x14ac:dyDescent="0.25">
      <c r="B14" t="s">
        <v>209</v>
      </c>
      <c r="C14" s="301">
        <v>-85</v>
      </c>
      <c r="D14" t="s">
        <v>203</v>
      </c>
      <c r="J14" s="470" t="s">
        <v>47</v>
      </c>
      <c r="K14" s="468"/>
      <c r="L14" s="474">
        <f>J7+N7+Q7</f>
        <v>738.79</v>
      </c>
      <c r="M14" s="475"/>
      <c r="N14" s="474">
        <f>I7-L14</f>
        <v>133.85000000000002</v>
      </c>
    </row>
    <row r="15" spans="2:18" x14ac:dyDescent="0.25">
      <c r="B15" t="s">
        <v>210</v>
      </c>
      <c r="C15" s="301">
        <v>0</v>
      </c>
      <c r="D15" t="s">
        <v>203</v>
      </c>
      <c r="J15" s="471" t="s">
        <v>46</v>
      </c>
      <c r="K15" s="468"/>
      <c r="L15" s="461">
        <f>J8+N8+Q8</f>
        <v>117.17</v>
      </c>
      <c r="M15" s="460"/>
      <c r="N15" s="461">
        <f>I8-L15</f>
        <v>21.230000000000004</v>
      </c>
    </row>
    <row r="16" spans="2:18" ht="15.75" customHeight="1" thickBot="1" x14ac:dyDescent="0.3">
      <c r="B16" t="s">
        <v>211</v>
      </c>
      <c r="C16" s="301">
        <v>0</v>
      </c>
      <c r="D16" t="s">
        <v>203</v>
      </c>
      <c r="J16" s="472" t="s">
        <v>48</v>
      </c>
      <c r="K16" s="469"/>
      <c r="L16" s="463">
        <f>J9+N9+Q9</f>
        <v>476.05</v>
      </c>
      <c r="M16" s="462"/>
      <c r="N16" s="463">
        <f>I9-L16</f>
        <v>86.249999999999943</v>
      </c>
    </row>
    <row r="17" spans="2:14" ht="15.75" customHeight="1" thickBot="1" x14ac:dyDescent="0.3">
      <c r="B17" t="s">
        <v>212</v>
      </c>
      <c r="C17" s="301">
        <v>-452.81</v>
      </c>
      <c r="D17" t="s">
        <v>203</v>
      </c>
      <c r="F17">
        <f>254.98-10</f>
        <v>244.98</v>
      </c>
      <c r="J17" s="478" t="s">
        <v>213</v>
      </c>
      <c r="K17" s="477"/>
      <c r="L17" s="466">
        <f>SUM(L14:L16)</f>
        <v>1332.01</v>
      </c>
      <c r="M17" s="465"/>
      <c r="N17" s="467">
        <f>I10-L17</f>
        <v>241.32999999999993</v>
      </c>
    </row>
    <row r="18" spans="2:14" x14ac:dyDescent="0.25">
      <c r="B18" t="s">
        <v>214</v>
      </c>
      <c r="C18" s="301">
        <v>-227.6</v>
      </c>
      <c r="D18" t="s">
        <v>203</v>
      </c>
      <c r="F18">
        <v>2668.63</v>
      </c>
    </row>
    <row r="19" spans="2:14" x14ac:dyDescent="0.25">
      <c r="B19" t="s">
        <v>215</v>
      </c>
      <c r="C19" s="301">
        <v>0</v>
      </c>
      <c r="D19" t="s">
        <v>203</v>
      </c>
      <c r="F19" s="301">
        <f>C11-10</f>
        <v>0</v>
      </c>
    </row>
    <row r="20" spans="2:14" x14ac:dyDescent="0.25">
      <c r="B20" t="s">
        <v>216</v>
      </c>
      <c r="C20" s="301">
        <v>0</v>
      </c>
      <c r="D20" t="s">
        <v>203</v>
      </c>
    </row>
    <row r="21" spans="2:14" x14ac:dyDescent="0.25">
      <c r="B21" t="s">
        <v>217</v>
      </c>
      <c r="C21" s="301">
        <v>0</v>
      </c>
      <c r="D21" t="s">
        <v>203</v>
      </c>
      <c r="F21">
        <f>SUM(F17:F19)</f>
        <v>2913.61</v>
      </c>
    </row>
    <row r="22" spans="2:14" x14ac:dyDescent="0.25">
      <c r="B22" t="s">
        <v>218</v>
      </c>
      <c r="D22" t="s">
        <v>203</v>
      </c>
    </row>
    <row r="23" spans="2:14" x14ac:dyDescent="0.25">
      <c r="B23" t="s">
        <v>583</v>
      </c>
      <c r="C23" s="301">
        <v>2000</v>
      </c>
      <c r="D23" t="s">
        <v>203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1:S101"/>
  <sheetViews>
    <sheetView topLeftCell="E1" zoomScale="110" zoomScaleNormal="110" workbookViewId="0">
      <pane ySplit="8" topLeftCell="A9" activePane="bottomLeft" state="frozen"/>
      <selection pane="bottomLeft" activeCell="K19" sqref="K19"/>
    </sheetView>
  </sheetViews>
  <sheetFormatPr baseColWidth="10" defaultRowHeight="15" x14ac:dyDescent="0.25"/>
  <cols>
    <col min="1" max="1" width="2.7109375" customWidth="1"/>
    <col min="2" max="2" width="26.140625" customWidth="1"/>
    <col min="3" max="3" width="32.140625" bestFit="1" customWidth="1"/>
    <col min="4" max="4" width="16.85546875" bestFit="1" customWidth="1"/>
    <col min="5" max="5" width="23.28515625" bestFit="1" customWidth="1"/>
    <col min="6" max="6" width="16.7109375" bestFit="1" customWidth="1"/>
    <col min="7" max="7" width="12.28515625" bestFit="1" customWidth="1"/>
    <col min="8" max="8" width="17" bestFit="1" customWidth="1"/>
    <col min="9" max="9" width="35.28515625" bestFit="1" customWidth="1"/>
    <col min="10" max="10" width="11.5703125" customWidth="1"/>
    <col min="11" max="11" width="28.7109375" bestFit="1" customWidth="1"/>
    <col min="12" max="12" width="11.5703125" customWidth="1"/>
    <col min="13" max="13" width="0.42578125" style="378" customWidth="1"/>
    <col min="14" max="14" width="11.5703125" customWidth="1"/>
    <col min="15" max="15" width="36.42578125" bestFit="1" customWidth="1"/>
    <col min="16" max="16" width="20.85546875" customWidth="1"/>
    <col min="17" max="17" width="16.7109375" bestFit="1" customWidth="1"/>
  </cols>
  <sheetData>
    <row r="1" spans="2:19" s="316" customFormat="1" ht="15" customHeight="1" thickBot="1" x14ac:dyDescent="0.3">
      <c r="D1" s="327"/>
      <c r="M1" s="375"/>
    </row>
    <row r="2" spans="2:19" s="320" customFormat="1" ht="16.149999999999999" customHeight="1" thickBot="1" x14ac:dyDescent="0.3">
      <c r="B2" s="317" t="s">
        <v>219</v>
      </c>
      <c r="C2" s="318" t="s">
        <v>220</v>
      </c>
      <c r="D2" s="319">
        <f ca="1">IF(C2="HOY", TODAY(), IF(C2="AYER",TODAY()-1,TODAY()+1))</f>
        <v>46307</v>
      </c>
      <c r="E2" s="317" t="s">
        <v>221</v>
      </c>
      <c r="F2" s="318">
        <v>11</v>
      </c>
      <c r="G2" s="336">
        <f ca="1">EOMONTH('&gt;&gt;Vistas Consolidadas'!$D$2, '&gt;&gt;Vistas Consolidadas'!$F$2)</f>
        <v>46660</v>
      </c>
      <c r="I2" s="483" t="s">
        <v>222</v>
      </c>
      <c r="J2" s="484"/>
      <c r="K2" s="324">
        <f>GETPIVOTDATA("Suma de CAPITAL + INTERES al Corte",$B$8)+GETPIVOTDATA("Valor",$K$8)+GETPIVOTDATA("Valor Comprado Con Comisión",$H$8)+GETPIVOTDATA("Valor Comprado Con Comisión",$H$17)</f>
        <v>879954.83904622158</v>
      </c>
      <c r="M2" s="376"/>
    </row>
    <row r="3" spans="2:19" s="316" customFormat="1" ht="15" customHeight="1" thickBot="1" x14ac:dyDescent="0.3">
      <c r="M3" s="375"/>
    </row>
    <row r="4" spans="2:19" ht="15" customHeight="1" thickBot="1" x14ac:dyDescent="0.3">
      <c r="B4" s="305" t="s">
        <v>223</v>
      </c>
      <c r="C4" s="201"/>
      <c r="D4" s="201"/>
      <c r="E4" s="201"/>
      <c r="F4" s="304"/>
      <c r="H4" s="306" t="s">
        <v>224</v>
      </c>
      <c r="I4" s="307"/>
      <c r="K4" s="366" t="s">
        <v>225</v>
      </c>
      <c r="L4" s="316"/>
      <c r="M4" s="375"/>
      <c r="O4" s="383" t="s">
        <v>226</v>
      </c>
      <c r="P4" s="394"/>
      <c r="Q4" s="395"/>
    </row>
    <row r="5" spans="2:19" s="316" customFormat="1" x14ac:dyDescent="0.25">
      <c r="M5" s="375"/>
    </row>
    <row r="6" spans="2:19" s="316" customFormat="1" x14ac:dyDescent="0.25">
      <c r="B6" s="321" t="s">
        <v>74</v>
      </c>
      <c r="C6" s="316" t="s">
        <v>23</v>
      </c>
      <c r="M6" s="375"/>
      <c r="O6" s="321" t="s">
        <v>74</v>
      </c>
      <c r="P6" s="316" t="s">
        <v>23</v>
      </c>
    </row>
    <row r="7" spans="2:19" s="316" customFormat="1" x14ac:dyDescent="0.25">
      <c r="M7" s="375"/>
    </row>
    <row r="8" spans="2:19" s="355" customFormat="1" ht="30" x14ac:dyDescent="0.25">
      <c r="B8" s="316"/>
      <c r="C8" s="321" t="s">
        <v>227</v>
      </c>
      <c r="D8" s="316"/>
      <c r="E8" s="316"/>
      <c r="F8" s="316"/>
      <c r="H8" s="354" t="s">
        <v>78</v>
      </c>
      <c r="I8" s="356" t="s">
        <v>228</v>
      </c>
      <c r="K8" s="355" t="s">
        <v>229</v>
      </c>
      <c r="M8" s="377"/>
      <c r="O8" s="316"/>
      <c r="P8" s="321" t="s">
        <v>227</v>
      </c>
      <c r="Q8" s="316"/>
    </row>
    <row r="9" spans="2:19" s="316" customFormat="1" x14ac:dyDescent="0.25">
      <c r="B9" s="321" t="s">
        <v>28</v>
      </c>
      <c r="C9" s="379" t="s">
        <v>189</v>
      </c>
      <c r="D9" s="379" t="s">
        <v>230</v>
      </c>
      <c r="E9" s="379" t="s">
        <v>231</v>
      </c>
      <c r="F9" s="379" t="s">
        <v>232</v>
      </c>
      <c r="H9" s="323" t="s">
        <v>233</v>
      </c>
      <c r="I9" s="353">
        <v>228352.26</v>
      </c>
      <c r="K9" s="404">
        <v>5813.42339816208</v>
      </c>
      <c r="M9" s="375"/>
      <c r="O9" s="321" t="s">
        <v>234</v>
      </c>
      <c r="P9" s="379" t="s">
        <v>230</v>
      </c>
      <c r="Q9" s="316" t="s">
        <v>232</v>
      </c>
    </row>
    <row r="10" spans="2:19" s="316" customFormat="1" x14ac:dyDescent="0.25">
      <c r="B10" s="323" t="s">
        <v>235</v>
      </c>
      <c r="C10" s="353">
        <v>31633.241985856257</v>
      </c>
      <c r="D10" s="353">
        <v>21675.63</v>
      </c>
      <c r="E10" s="353">
        <v>9957.611985856267</v>
      </c>
      <c r="F10" s="353">
        <v>9957.611985856267</v>
      </c>
      <c r="H10" s="352" t="s">
        <v>46</v>
      </c>
      <c r="I10" s="353">
        <v>40811.1</v>
      </c>
      <c r="M10" s="375"/>
      <c r="O10" s="323" t="s">
        <v>129</v>
      </c>
      <c r="P10" s="353">
        <v>32947.279999999999</v>
      </c>
      <c r="Q10" s="353">
        <v>0</v>
      </c>
      <c r="R10" s="353"/>
    </row>
    <row r="11" spans="2:19" s="316" customFormat="1" x14ac:dyDescent="0.25">
      <c r="B11" s="352" t="s">
        <v>236</v>
      </c>
      <c r="C11" s="353">
        <v>31633.241985856257</v>
      </c>
      <c r="D11" s="353">
        <v>21675.63</v>
      </c>
      <c r="E11" s="353">
        <v>9957.611985856267</v>
      </c>
      <c r="F11" s="353">
        <v>9957.611985856267</v>
      </c>
      <c r="H11" s="352" t="s">
        <v>47</v>
      </c>
      <c r="I11" s="353">
        <v>148351.88999999998</v>
      </c>
      <c r="M11" s="375"/>
      <c r="O11" s="323" t="s">
        <v>96</v>
      </c>
      <c r="P11" s="353">
        <v>174689.46</v>
      </c>
      <c r="Q11" s="353">
        <v>4050.0000000000005</v>
      </c>
      <c r="S11" s="353"/>
    </row>
    <row r="12" spans="2:19" s="316" customFormat="1" x14ac:dyDescent="0.25">
      <c r="B12" s="323" t="s">
        <v>237</v>
      </c>
      <c r="C12" s="353">
        <v>123912.38765635337</v>
      </c>
      <c r="D12" s="353">
        <v>80604.710000000006</v>
      </c>
      <c r="E12" s="353">
        <v>43307.677656353218</v>
      </c>
      <c r="F12" s="353">
        <v>45868.487656353223</v>
      </c>
      <c r="H12" s="352" t="s">
        <v>138</v>
      </c>
      <c r="I12" s="353">
        <v>17010.420000000002</v>
      </c>
      <c r="M12" s="375"/>
      <c r="O12" s="323" t="s">
        <v>78</v>
      </c>
      <c r="P12" s="353">
        <v>487.81</v>
      </c>
      <c r="Q12" s="353">
        <v>17105.46592220946</v>
      </c>
    </row>
    <row r="13" spans="2:19" s="316" customFormat="1" x14ac:dyDescent="0.25">
      <c r="B13" s="323" t="s">
        <v>238</v>
      </c>
      <c r="C13" s="353">
        <v>40417.879999999983</v>
      </c>
      <c r="D13" s="353">
        <v>40417.879999999983</v>
      </c>
      <c r="E13" s="353">
        <v>0</v>
      </c>
      <c r="F13" s="353">
        <v>6570.86</v>
      </c>
      <c r="H13" s="352" t="s">
        <v>48</v>
      </c>
      <c r="I13" s="353">
        <v>22178.85</v>
      </c>
      <c r="M13" s="375"/>
      <c r="O13" s="323" t="s">
        <v>88</v>
      </c>
      <c r="P13" s="353">
        <v>154298.70000000039</v>
      </c>
      <c r="Q13" s="353">
        <v>29471.760000000009</v>
      </c>
    </row>
    <row r="14" spans="2:19" s="316" customFormat="1" x14ac:dyDescent="0.25">
      <c r="B14" s="323" t="s">
        <v>239</v>
      </c>
      <c r="C14" s="353">
        <v>12605.039999999997</v>
      </c>
      <c r="D14" s="353">
        <v>12605.039999999997</v>
      </c>
      <c r="E14" s="353">
        <v>0</v>
      </c>
      <c r="F14" s="353">
        <v>3663.06</v>
      </c>
      <c r="H14" s="323" t="s">
        <v>191</v>
      </c>
      <c r="I14" s="353">
        <v>228352.26</v>
      </c>
      <c r="M14" s="375"/>
      <c r="O14" s="323" t="s">
        <v>123</v>
      </c>
      <c r="P14" s="353">
        <v>0</v>
      </c>
      <c r="Q14" s="353">
        <v>17040.373720000003</v>
      </c>
    </row>
    <row r="15" spans="2:19" s="316" customFormat="1" x14ac:dyDescent="0.25">
      <c r="B15" s="323" t="s">
        <v>242</v>
      </c>
      <c r="C15" s="353">
        <v>11034.879999999997</v>
      </c>
      <c r="D15" s="353">
        <v>11034.879999999997</v>
      </c>
      <c r="E15" s="353">
        <v>0</v>
      </c>
      <c r="F15" s="353">
        <v>2582.62</v>
      </c>
      <c r="H15" s="380" t="s">
        <v>240</v>
      </c>
      <c r="I15" s="381" t="s">
        <v>241</v>
      </c>
      <c r="M15" s="375"/>
      <c r="O15" s="323" t="s">
        <v>118</v>
      </c>
      <c r="P15" s="353">
        <v>28795.950000000004</v>
      </c>
      <c r="Q15" s="353">
        <v>3459.8200000000006</v>
      </c>
    </row>
    <row r="16" spans="2:19" s="316" customFormat="1" x14ac:dyDescent="0.25">
      <c r="B16" s="323" t="s">
        <v>243</v>
      </c>
      <c r="C16" s="353">
        <v>8190.82</v>
      </c>
      <c r="D16" s="353">
        <v>8190.82</v>
      </c>
      <c r="E16" s="353">
        <v>0</v>
      </c>
      <c r="F16" s="353">
        <v>1542.9000000000003</v>
      </c>
      <c r="I16" s="353"/>
      <c r="M16" s="375"/>
      <c r="O16" s="323" t="s">
        <v>191</v>
      </c>
      <c r="P16" s="353">
        <v>391219.20000000036</v>
      </c>
      <c r="Q16" s="353">
        <v>71127.419642209483</v>
      </c>
    </row>
    <row r="17" spans="2:15" s="316" customFormat="1" x14ac:dyDescent="0.25">
      <c r="B17" s="323" t="s">
        <v>245</v>
      </c>
      <c r="C17" s="353">
        <v>7242.8000000000011</v>
      </c>
      <c r="D17" s="353">
        <v>7242.8000000000011</v>
      </c>
      <c r="E17" s="353">
        <v>0</v>
      </c>
      <c r="F17" s="353">
        <v>821.07000000000016</v>
      </c>
      <c r="H17" s="332" t="s">
        <v>244</v>
      </c>
      <c r="I17" t="s">
        <v>228</v>
      </c>
      <c r="M17" s="375"/>
    </row>
    <row r="18" spans="2:15" s="316" customFormat="1" x14ac:dyDescent="0.25">
      <c r="B18" s="323" t="s">
        <v>246</v>
      </c>
      <c r="C18" s="353">
        <v>1810.7000000000003</v>
      </c>
      <c r="D18" s="353">
        <v>1810.7000000000003</v>
      </c>
      <c r="E18" s="353">
        <v>0</v>
      </c>
      <c r="F18" s="353">
        <v>120.81</v>
      </c>
      <c r="H18" s="330" t="s">
        <v>290</v>
      </c>
      <c r="I18" s="325">
        <v>210.04002585000001</v>
      </c>
      <c r="M18" s="375"/>
    </row>
    <row r="19" spans="2:15" s="316" customFormat="1" x14ac:dyDescent="0.25">
      <c r="B19" s="323" t="s">
        <v>247</v>
      </c>
      <c r="C19" s="353">
        <v>207636.74</v>
      </c>
      <c r="D19" s="353">
        <v>207636.74</v>
      </c>
      <c r="E19" s="353">
        <v>0</v>
      </c>
      <c r="F19" s="353">
        <v>0</v>
      </c>
      <c r="H19" s="331" t="s">
        <v>47</v>
      </c>
      <c r="I19" s="325">
        <v>210.04002585000001</v>
      </c>
      <c r="K19" s="322"/>
      <c r="M19" s="375"/>
    </row>
    <row r="20" spans="2:15" s="316" customFormat="1" x14ac:dyDescent="0.25">
      <c r="B20" s="323" t="s">
        <v>191</v>
      </c>
      <c r="C20" s="353">
        <v>444484.48964220961</v>
      </c>
      <c r="D20" s="353">
        <v>391219.20000000001</v>
      </c>
      <c r="E20" s="353">
        <v>53265.289642209485</v>
      </c>
      <c r="F20" s="353">
        <v>71127.419642209483</v>
      </c>
      <c r="H20" s="330" t="s">
        <v>123</v>
      </c>
      <c r="I20" s="325">
        <v>201094.62597999995</v>
      </c>
      <c r="M20" s="375"/>
    </row>
    <row r="21" spans="2:15" s="316" customFormat="1" x14ac:dyDescent="0.25">
      <c r="B21"/>
      <c r="C21"/>
      <c r="D21"/>
      <c r="E21"/>
      <c r="F21"/>
      <c r="H21" s="331" t="s">
        <v>47</v>
      </c>
      <c r="I21" s="325">
        <v>201094.62597999995</v>
      </c>
      <c r="K21" s="339"/>
      <c r="M21" s="375"/>
    </row>
    <row r="22" spans="2:15" s="316" customFormat="1" x14ac:dyDescent="0.25">
      <c r="H22" s="330" t="s">
        <v>191</v>
      </c>
      <c r="I22" s="325">
        <v>201304.66600584995</v>
      </c>
      <c r="M22" s="375"/>
    </row>
    <row r="23" spans="2:15" s="316" customFormat="1" x14ac:dyDescent="0.25">
      <c r="K23" s="353"/>
      <c r="M23" s="375"/>
      <c r="O23" s="316">
        <v>823826.11</v>
      </c>
    </row>
    <row r="24" spans="2:15" s="316" customFormat="1" x14ac:dyDescent="0.25">
      <c r="K24" s="353"/>
      <c r="M24" s="375"/>
      <c r="O24" s="316">
        <v>826126.84</v>
      </c>
    </row>
    <row r="25" spans="2:15" s="316" customFormat="1" x14ac:dyDescent="0.25">
      <c r="H25" s="330"/>
      <c r="I25" s="325"/>
      <c r="M25" s="375"/>
      <c r="O25" s="316">
        <f>O23-O24</f>
        <v>-2300.7299999999814</v>
      </c>
    </row>
    <row r="26" spans="2:15" s="316" customFormat="1" x14ac:dyDescent="0.25">
      <c r="H26" s="368" t="s">
        <v>248</v>
      </c>
      <c r="I26" s="369">
        <f>GETPIVOTDATA("Suma de CAPITAL",$B$8)+GETPIVOTDATA("Valor Comprado Con Comisión",$H$17)</f>
        <v>592523.86600585002</v>
      </c>
      <c r="K26" s="49"/>
      <c r="M26" s="375"/>
    </row>
    <row r="27" spans="2:15" s="316" customFormat="1" x14ac:dyDescent="0.25">
      <c r="M27" s="375"/>
    </row>
    <row r="28" spans="2:15" s="316" customFormat="1" x14ac:dyDescent="0.25">
      <c r="M28" s="375"/>
    </row>
    <row r="29" spans="2:15" s="316" customFormat="1" x14ac:dyDescent="0.25">
      <c r="I29" s="325"/>
      <c r="M29" s="375"/>
    </row>
    <row r="30" spans="2:15" s="316" customFormat="1" x14ac:dyDescent="0.25">
      <c r="K30" s="322"/>
      <c r="M30" s="375"/>
    </row>
    <row r="31" spans="2:15" s="316" customFormat="1" x14ac:dyDescent="0.25">
      <c r="I31" s="322"/>
      <c r="K31" s="322"/>
      <c r="M31" s="375"/>
    </row>
    <row r="32" spans="2:15" s="316" customFormat="1" x14ac:dyDescent="0.25">
      <c r="I32" s="353"/>
      <c r="M32" s="375"/>
    </row>
    <row r="33" spans="9:13" s="316" customFormat="1" x14ac:dyDescent="0.25">
      <c r="I33" s="325"/>
      <c r="M33" s="375"/>
    </row>
    <row r="34" spans="9:13" s="316" customFormat="1" x14ac:dyDescent="0.25">
      <c r="M34" s="375"/>
    </row>
    <row r="35" spans="9:13" s="316" customFormat="1" x14ac:dyDescent="0.25">
      <c r="K35" s="49"/>
      <c r="M35" s="375"/>
    </row>
    <row r="36" spans="9:13" s="316" customFormat="1" x14ac:dyDescent="0.25">
      <c r="I36" s="409">
        <v>858584.48</v>
      </c>
      <c r="M36" s="375"/>
    </row>
    <row r="37" spans="9:13" s="316" customFormat="1" x14ac:dyDescent="0.25">
      <c r="M37" s="375"/>
    </row>
    <row r="38" spans="9:13" s="316" customFormat="1" x14ac:dyDescent="0.25">
      <c r="M38" s="375"/>
    </row>
    <row r="39" spans="9:13" s="316" customFormat="1" x14ac:dyDescent="0.25">
      <c r="M39" s="375"/>
    </row>
    <row r="40" spans="9:13" s="316" customFormat="1" x14ac:dyDescent="0.25">
      <c r="M40" s="375"/>
    </row>
    <row r="41" spans="9:13" s="316" customFormat="1" x14ac:dyDescent="0.25">
      <c r="M41" s="375"/>
    </row>
    <row r="42" spans="9:13" s="316" customFormat="1" x14ac:dyDescent="0.25">
      <c r="M42" s="375"/>
    </row>
    <row r="43" spans="9:13" s="316" customFormat="1" x14ac:dyDescent="0.25">
      <c r="M43" s="375"/>
    </row>
    <row r="44" spans="9:13" s="316" customFormat="1" x14ac:dyDescent="0.25">
      <c r="M44" s="375"/>
    </row>
    <row r="45" spans="9:13" s="316" customFormat="1" x14ac:dyDescent="0.25">
      <c r="M45" s="375"/>
    </row>
    <row r="46" spans="9:13" s="316" customFormat="1" x14ac:dyDescent="0.25">
      <c r="M46" s="375"/>
    </row>
    <row r="47" spans="9:13" s="316" customFormat="1" x14ac:dyDescent="0.25">
      <c r="M47" s="375"/>
    </row>
    <row r="48" spans="9:13" s="316" customFormat="1" x14ac:dyDescent="0.25">
      <c r="M48" s="375"/>
    </row>
    <row r="49" spans="13:13" s="316" customFormat="1" x14ac:dyDescent="0.25">
      <c r="M49" s="375"/>
    </row>
    <row r="50" spans="13:13" s="316" customFormat="1" x14ac:dyDescent="0.25">
      <c r="M50" s="375"/>
    </row>
    <row r="51" spans="13:13" s="316" customFormat="1" x14ac:dyDescent="0.25">
      <c r="M51" s="375"/>
    </row>
    <row r="52" spans="13:13" s="316" customFormat="1" x14ac:dyDescent="0.25">
      <c r="M52" s="375"/>
    </row>
    <row r="53" spans="13:13" s="316" customFormat="1" x14ac:dyDescent="0.25">
      <c r="M53" s="375"/>
    </row>
    <row r="54" spans="13:13" s="316" customFormat="1" x14ac:dyDescent="0.25">
      <c r="M54" s="375"/>
    </row>
    <row r="55" spans="13:13" s="316" customFormat="1" x14ac:dyDescent="0.25">
      <c r="M55" s="375"/>
    </row>
    <row r="56" spans="13:13" s="316" customFormat="1" x14ac:dyDescent="0.25">
      <c r="M56" s="375"/>
    </row>
    <row r="57" spans="13:13" s="316" customFormat="1" x14ac:dyDescent="0.25">
      <c r="M57" s="375"/>
    </row>
    <row r="58" spans="13:13" s="316" customFormat="1" x14ac:dyDescent="0.25">
      <c r="M58" s="375"/>
    </row>
    <row r="59" spans="13:13" s="316" customFormat="1" x14ac:dyDescent="0.25">
      <c r="M59" s="375"/>
    </row>
    <row r="60" spans="13:13" s="316" customFormat="1" x14ac:dyDescent="0.25">
      <c r="M60" s="375"/>
    </row>
    <row r="61" spans="13:13" s="316" customFormat="1" x14ac:dyDescent="0.25">
      <c r="M61" s="375"/>
    </row>
    <row r="62" spans="13:13" s="316" customFormat="1" x14ac:dyDescent="0.25">
      <c r="M62" s="375"/>
    </row>
    <row r="63" spans="13:13" s="316" customFormat="1" x14ac:dyDescent="0.25">
      <c r="M63" s="375"/>
    </row>
    <row r="64" spans="13:13" s="316" customFormat="1" x14ac:dyDescent="0.25">
      <c r="M64" s="375"/>
    </row>
    <row r="65" spans="13:13" s="316" customFormat="1" x14ac:dyDescent="0.25">
      <c r="M65" s="375"/>
    </row>
    <row r="66" spans="13:13" s="316" customFormat="1" x14ac:dyDescent="0.25">
      <c r="M66" s="375"/>
    </row>
    <row r="67" spans="13:13" s="316" customFormat="1" x14ac:dyDescent="0.25">
      <c r="M67" s="375"/>
    </row>
    <row r="68" spans="13:13" s="316" customFormat="1" x14ac:dyDescent="0.25">
      <c r="M68" s="375"/>
    </row>
    <row r="69" spans="13:13" s="316" customFormat="1" x14ac:dyDescent="0.25">
      <c r="M69" s="375"/>
    </row>
    <row r="70" spans="13:13" s="316" customFormat="1" x14ac:dyDescent="0.25">
      <c r="M70" s="375"/>
    </row>
    <row r="71" spans="13:13" s="316" customFormat="1" x14ac:dyDescent="0.25">
      <c r="M71" s="375"/>
    </row>
    <row r="72" spans="13:13" s="316" customFormat="1" x14ac:dyDescent="0.25">
      <c r="M72" s="375"/>
    </row>
    <row r="73" spans="13:13" s="316" customFormat="1" x14ac:dyDescent="0.25">
      <c r="M73" s="375"/>
    </row>
    <row r="74" spans="13:13" s="316" customFormat="1" x14ac:dyDescent="0.25">
      <c r="M74" s="375"/>
    </row>
    <row r="75" spans="13:13" s="316" customFormat="1" x14ac:dyDescent="0.25">
      <c r="M75" s="375"/>
    </row>
    <row r="76" spans="13:13" s="316" customFormat="1" x14ac:dyDescent="0.25">
      <c r="M76" s="375"/>
    </row>
    <row r="77" spans="13:13" s="316" customFormat="1" x14ac:dyDescent="0.25">
      <c r="M77" s="375"/>
    </row>
    <row r="78" spans="13:13" s="316" customFormat="1" x14ac:dyDescent="0.25">
      <c r="M78" s="375"/>
    </row>
    <row r="79" spans="13:13" s="316" customFormat="1" x14ac:dyDescent="0.25">
      <c r="M79" s="375"/>
    </row>
    <row r="80" spans="13:13" s="316" customFormat="1" x14ac:dyDescent="0.25">
      <c r="M80" s="375"/>
    </row>
    <row r="81" spans="13:13" s="316" customFormat="1" x14ac:dyDescent="0.25">
      <c r="M81" s="375"/>
    </row>
    <row r="82" spans="13:13" s="316" customFormat="1" x14ac:dyDescent="0.25">
      <c r="M82" s="375"/>
    </row>
    <row r="83" spans="13:13" s="316" customFormat="1" x14ac:dyDescent="0.25">
      <c r="M83" s="375"/>
    </row>
    <row r="84" spans="13:13" s="316" customFormat="1" x14ac:dyDescent="0.25">
      <c r="M84" s="375"/>
    </row>
    <row r="85" spans="13:13" s="316" customFormat="1" x14ac:dyDescent="0.25">
      <c r="M85" s="375"/>
    </row>
    <row r="86" spans="13:13" s="316" customFormat="1" x14ac:dyDescent="0.25">
      <c r="M86" s="375"/>
    </row>
    <row r="87" spans="13:13" s="316" customFormat="1" x14ac:dyDescent="0.25">
      <c r="M87" s="375"/>
    </row>
    <row r="88" spans="13:13" s="316" customFormat="1" x14ac:dyDescent="0.25">
      <c r="M88" s="375"/>
    </row>
    <row r="89" spans="13:13" s="316" customFormat="1" x14ac:dyDescent="0.25">
      <c r="M89" s="375"/>
    </row>
    <row r="90" spans="13:13" s="316" customFormat="1" x14ac:dyDescent="0.25">
      <c r="M90" s="375"/>
    </row>
    <row r="91" spans="13:13" s="316" customFormat="1" x14ac:dyDescent="0.25">
      <c r="M91" s="375"/>
    </row>
    <row r="92" spans="13:13" s="316" customFormat="1" x14ac:dyDescent="0.25">
      <c r="M92" s="375"/>
    </row>
    <row r="93" spans="13:13" s="316" customFormat="1" x14ac:dyDescent="0.25">
      <c r="M93" s="375"/>
    </row>
    <row r="94" spans="13:13" s="316" customFormat="1" x14ac:dyDescent="0.25">
      <c r="M94" s="375"/>
    </row>
    <row r="95" spans="13:13" s="316" customFormat="1" x14ac:dyDescent="0.25">
      <c r="M95" s="375"/>
    </row>
    <row r="96" spans="13:13" s="316" customFormat="1" x14ac:dyDescent="0.25">
      <c r="M96" s="375"/>
    </row>
    <row r="97" spans="13:13" s="316" customFormat="1" x14ac:dyDescent="0.25">
      <c r="M97" s="375"/>
    </row>
    <row r="98" spans="13:13" s="316" customFormat="1" x14ac:dyDescent="0.25">
      <c r="M98" s="375"/>
    </row>
    <row r="99" spans="13:13" s="316" customFormat="1" x14ac:dyDescent="0.25">
      <c r="M99" s="375"/>
    </row>
    <row r="100" spans="13:13" s="316" customFormat="1" x14ac:dyDescent="0.25">
      <c r="M100" s="375"/>
    </row>
    <row r="101" spans="13:13" s="316" customFormat="1" x14ac:dyDescent="0.25">
      <c r="M101" s="375"/>
    </row>
  </sheetData>
  <mergeCells count="1">
    <mergeCell ref="I2:J2"/>
  </mergeCells>
  <dataValidations count="1">
    <dataValidation type="list" allowBlank="1" showInputMessage="1" showErrorMessage="1" sqref="C2" xr:uid="{00000000-0002-0000-0500-000000000000}">
      <formula1>"AYER, HOY, MAÑANA"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B1:AB43"/>
  <sheetViews>
    <sheetView zoomScaleNormal="100" workbookViewId="0">
      <pane ySplit="2" topLeftCell="A15" activePane="bottomLeft" state="frozen"/>
      <selection pane="bottomLeft" activeCell="A40" sqref="A40"/>
    </sheetView>
  </sheetViews>
  <sheetFormatPr baseColWidth="10" defaultColWidth="8.85546875" defaultRowHeight="15" x14ac:dyDescent="0.25"/>
  <cols>
    <col min="1" max="1" width="2.7109375" customWidth="1"/>
    <col min="2" max="2" width="13.28515625" customWidth="1"/>
    <col min="3" max="3" width="14.5703125" bestFit="1" customWidth="1"/>
    <col min="4" max="4" width="11.28515625" bestFit="1" customWidth="1"/>
    <col min="5" max="5" width="13.140625" customWidth="1"/>
    <col min="6" max="7" width="11.28515625" customWidth="1"/>
    <col min="8" max="8" width="11.140625" customWidth="1"/>
    <col min="9" max="9" width="12.85546875" customWidth="1"/>
    <col min="10" max="10" width="9.28515625" customWidth="1"/>
    <col min="11" max="11" width="9.42578125" customWidth="1"/>
    <col min="12" max="12" width="11.140625" customWidth="1"/>
    <col min="13" max="13" width="9" customWidth="1"/>
    <col min="14" max="14" width="10.7109375" customWidth="1"/>
    <col min="15" max="15" width="11.7109375" style="325" customWidth="1"/>
    <col min="16" max="16" width="10.85546875" style="325" customWidth="1"/>
    <col min="17" max="17" width="12" bestFit="1" customWidth="1"/>
    <col min="18" max="18" width="12.7109375" customWidth="1"/>
    <col min="19" max="19" width="14" customWidth="1"/>
    <col min="20" max="20" width="15.28515625" customWidth="1"/>
    <col min="21" max="21" width="14" bestFit="1" customWidth="1"/>
    <col min="22" max="22" width="13.28515625" customWidth="1"/>
    <col min="23" max="23" width="10.7109375" customWidth="1"/>
    <col min="24" max="24" width="8.85546875" customWidth="1"/>
    <col min="25" max="26" width="10.7109375" customWidth="1"/>
    <col min="27" max="27" width="13.28515625" bestFit="1" customWidth="1"/>
    <col min="28" max="28" width="10.85546875" bestFit="1" customWidth="1"/>
  </cols>
  <sheetData>
    <row r="1" spans="2:28" x14ac:dyDescent="0.25">
      <c r="Q1" s="326">
        <f>SUBTOTAL(9,TitulosActivos[Valor 
Nominal])</f>
        <v>258802.37000000002</v>
      </c>
      <c r="U1" s="326">
        <f>SUBTOTAL(9,TitulosActivos[Valor Comprado Con Comisión])</f>
        <v>228352.25999999998</v>
      </c>
    </row>
    <row r="2" spans="2:28" s="343" customFormat="1" ht="43.15" customHeight="1" x14ac:dyDescent="0.25">
      <c r="B2" s="342" t="s">
        <v>249</v>
      </c>
      <c r="C2" s="342" t="s">
        <v>3</v>
      </c>
      <c r="D2" s="343" t="s">
        <v>62</v>
      </c>
      <c r="E2" s="342" t="s">
        <v>250</v>
      </c>
      <c r="F2" s="342" t="s">
        <v>251</v>
      </c>
      <c r="G2" s="342" t="s">
        <v>252</v>
      </c>
      <c r="H2" s="342" t="s">
        <v>253</v>
      </c>
      <c r="I2" s="343" t="s">
        <v>254</v>
      </c>
      <c r="J2" s="343" t="s">
        <v>255</v>
      </c>
      <c r="K2" s="343" t="s">
        <v>256</v>
      </c>
      <c r="L2" s="343" t="s">
        <v>257</v>
      </c>
      <c r="M2" s="343" t="s">
        <v>258</v>
      </c>
      <c r="N2" s="343" t="s">
        <v>259</v>
      </c>
      <c r="O2" s="343" t="s">
        <v>260</v>
      </c>
      <c r="P2" s="344" t="s">
        <v>261</v>
      </c>
      <c r="Q2" s="345" t="s">
        <v>262</v>
      </c>
      <c r="R2" s="343" t="s">
        <v>263</v>
      </c>
      <c r="S2" s="343" t="s">
        <v>264</v>
      </c>
      <c r="T2" s="343" t="s">
        <v>265</v>
      </c>
      <c r="U2" s="351" t="s">
        <v>266</v>
      </c>
      <c r="V2" s="343" t="s">
        <v>267</v>
      </c>
      <c r="W2" s="343" t="s">
        <v>268</v>
      </c>
      <c r="X2" s="343" t="s">
        <v>269</v>
      </c>
      <c r="Y2" s="343" t="s">
        <v>270</v>
      </c>
      <c r="Z2" s="343" t="s">
        <v>271</v>
      </c>
      <c r="AA2" s="343" t="s">
        <v>72</v>
      </c>
    </row>
    <row r="3" spans="2:28" x14ac:dyDescent="0.25">
      <c r="B3" s="328">
        <f t="shared" ref="B3:B40" ca="1" si="0">TODAY()</f>
        <v>46306</v>
      </c>
      <c r="C3" s="328" t="s">
        <v>233</v>
      </c>
      <c r="D3" t="s">
        <v>47</v>
      </c>
      <c r="E3" s="328">
        <v>46141</v>
      </c>
      <c r="F3" s="328">
        <v>46167</v>
      </c>
      <c r="G3" s="328">
        <v>45498</v>
      </c>
      <c r="H3" s="328">
        <v>48785</v>
      </c>
      <c r="I3">
        <v>6.21</v>
      </c>
      <c r="J3" s="3">
        <f t="shared" ref="J3:J39" si="1">L3*12/U3*100</f>
        <v>7.0434730972763457</v>
      </c>
      <c r="K3" s="3">
        <v>9.2721727000000005</v>
      </c>
      <c r="L3" s="325">
        <f t="shared" ref="L3:L39" si="2">Q3*I3/100/12</f>
        <v>186.8175</v>
      </c>
      <c r="M3" s="325">
        <f t="shared" ref="M3:M31" si="3">L3-W3</f>
        <v>161.9075</v>
      </c>
      <c r="N3">
        <f t="shared" ref="N3:N39" ca="1" si="4">IF(F3="", 0, IF(B3&gt;F3,INT((B3-F3)/30),0))</f>
        <v>4</v>
      </c>
      <c r="P3" s="325">
        <f t="shared" ref="P3:P39" ca="1" si="5">L3*N3+M3+IF(B3&gt;F3,O3,0)</f>
        <v>909.17750000000001</v>
      </c>
      <c r="Q3" s="325">
        <v>36100</v>
      </c>
      <c r="R3" s="367">
        <v>88.034687090000006</v>
      </c>
      <c r="S3" s="367">
        <f>TitulosActivos[[#This Row],[Valor Comprado Con Comisión]]/TitulosActivos[[#This Row],[Valor 
Nominal]]*100</f>
        <v>88.166731301939052</v>
      </c>
      <c r="T3" s="325">
        <f t="shared" ref="T3:T39" si="6">Q3*R3/100</f>
        <v>31780.522039490002</v>
      </c>
      <c r="U3" s="325">
        <f>ROUND(TitulosActivos[[#This Row],[Valor 
Comprado Sin Comisión]]+TitulosActivos[[#This Row],[Total 
Comisiones]],2)</f>
        <v>31828.19</v>
      </c>
      <c r="V3" s="325">
        <f t="shared" ref="V3:V39" si="7">U3+W3</f>
        <v>31853.1</v>
      </c>
      <c r="W3" s="325">
        <v>24.91</v>
      </c>
      <c r="X3" s="325">
        <v>15.89021</v>
      </c>
      <c r="Y3" s="325">
        <v>31.78</v>
      </c>
      <c r="Z3" s="325">
        <f t="shared" ref="Z3:Z39" si="8">X3+Y3</f>
        <v>47.670209999999997</v>
      </c>
      <c r="AA3" s="185"/>
      <c r="AB3" s="325"/>
    </row>
    <row r="4" spans="2:28" x14ac:dyDescent="0.25">
      <c r="B4" s="328">
        <f t="shared" ca="1" si="0"/>
        <v>46306</v>
      </c>
      <c r="C4" s="328" t="s">
        <v>233</v>
      </c>
      <c r="D4" t="s">
        <v>47</v>
      </c>
      <c r="E4" s="328">
        <v>46121</v>
      </c>
      <c r="F4" s="328">
        <v>46124</v>
      </c>
      <c r="G4" s="328">
        <v>45455</v>
      </c>
      <c r="H4" s="328">
        <v>46916</v>
      </c>
      <c r="I4">
        <v>4.71</v>
      </c>
      <c r="J4" s="3">
        <f t="shared" si="1"/>
        <v>5.0855387863809778</v>
      </c>
      <c r="K4" s="3">
        <v>9.5</v>
      </c>
      <c r="L4" s="325">
        <f t="shared" si="2"/>
        <v>3.5325000000000002</v>
      </c>
      <c r="M4" s="325">
        <f t="shared" si="3"/>
        <v>0.35250000000000004</v>
      </c>
      <c r="N4">
        <f t="shared" ca="1" si="4"/>
        <v>6</v>
      </c>
      <c r="P4" s="325">
        <f t="shared" ca="1" si="5"/>
        <v>21.547499999999999</v>
      </c>
      <c r="Q4" s="325">
        <v>900</v>
      </c>
      <c r="R4" s="367">
        <v>91.615113800000003</v>
      </c>
      <c r="S4" s="367">
        <f>TitulosActivos[[#This Row],[Valor Comprado Con Comisión]]/TitulosActivos[[#This Row],[Valor 
Nominal]]*100</f>
        <v>92.615555555555545</v>
      </c>
      <c r="T4" s="325">
        <f t="shared" si="6"/>
        <v>824.53602419999993</v>
      </c>
      <c r="U4" s="325">
        <f>ROUND(TitulosActivos[[#This Row],[Valor 
Comprado Sin Comisión]]+TitulosActivos[[#This Row],[Total 
Comisiones]],2)</f>
        <v>833.54</v>
      </c>
      <c r="V4" s="325">
        <f t="shared" si="7"/>
        <v>836.71999999999991</v>
      </c>
      <c r="W4" s="325">
        <v>3.18</v>
      </c>
      <c r="X4" s="325">
        <v>5</v>
      </c>
      <c r="Y4" s="325">
        <v>4</v>
      </c>
      <c r="Z4" s="325">
        <f t="shared" si="8"/>
        <v>9</v>
      </c>
      <c r="AA4" s="185"/>
      <c r="AB4" s="325"/>
    </row>
    <row r="5" spans="2:28" x14ac:dyDescent="0.25">
      <c r="B5" s="328">
        <f t="shared" ca="1" si="0"/>
        <v>46306</v>
      </c>
      <c r="C5" s="328" t="s">
        <v>233</v>
      </c>
      <c r="D5" t="s">
        <v>46</v>
      </c>
      <c r="E5" s="328">
        <v>46083</v>
      </c>
      <c r="F5" s="328">
        <v>46106</v>
      </c>
      <c r="G5" s="328">
        <v>45498</v>
      </c>
      <c r="H5" s="328">
        <v>48785</v>
      </c>
      <c r="I5">
        <v>6.21</v>
      </c>
      <c r="J5" s="3">
        <f t="shared" si="1"/>
        <v>7.6973992458779863</v>
      </c>
      <c r="K5" s="3">
        <v>10.75</v>
      </c>
      <c r="L5" s="325">
        <f t="shared" si="2"/>
        <v>25.875</v>
      </c>
      <c r="M5" s="325">
        <f t="shared" si="3"/>
        <v>19.835000000000001</v>
      </c>
      <c r="N5">
        <f t="shared" ca="1" si="4"/>
        <v>6</v>
      </c>
      <c r="P5" s="325">
        <f t="shared" ca="1" si="5"/>
        <v>175.08500000000001</v>
      </c>
      <c r="Q5" s="325">
        <v>5000</v>
      </c>
      <c r="R5" s="367">
        <v>80.395518249999995</v>
      </c>
      <c r="S5" s="367">
        <f>TitulosActivos[[#This Row],[Valor Comprado Con Comisión]]/TitulosActivos[[#This Row],[Valor 
Nominal]]*100</f>
        <v>80.676599999999993</v>
      </c>
      <c r="T5" s="325">
        <f t="shared" si="6"/>
        <v>4019.7759124999998</v>
      </c>
      <c r="U5" s="325">
        <f>ROUND(TitulosActivos[[#This Row],[Valor 
Comprado Sin Comisión]]+TitulosActivos[[#This Row],[Total 
Comisiones]],2)</f>
        <v>4033.83</v>
      </c>
      <c r="V5" s="325">
        <f t="shared" si="7"/>
        <v>4039.87</v>
      </c>
      <c r="W5" s="325">
        <v>6.04</v>
      </c>
      <c r="X5" s="325">
        <v>10.050000000000001</v>
      </c>
      <c r="Y5" s="325">
        <v>4</v>
      </c>
      <c r="Z5" s="325">
        <f t="shared" si="8"/>
        <v>14.05</v>
      </c>
      <c r="AA5" s="185"/>
      <c r="AB5" s="325"/>
    </row>
    <row r="6" spans="2:28" x14ac:dyDescent="0.25">
      <c r="B6" s="328">
        <f t="shared" ca="1" si="0"/>
        <v>46306</v>
      </c>
      <c r="C6" s="328" t="s">
        <v>233</v>
      </c>
      <c r="D6" t="s">
        <v>47</v>
      </c>
      <c r="E6" s="328">
        <v>46080</v>
      </c>
      <c r="F6" s="328">
        <v>46108</v>
      </c>
      <c r="G6" s="328">
        <v>45470</v>
      </c>
      <c r="H6" s="328">
        <v>48392</v>
      </c>
      <c r="I6">
        <v>5.93</v>
      </c>
      <c r="J6" s="3">
        <f t="shared" si="1"/>
        <v>7.2810368349249659</v>
      </c>
      <c r="K6" s="3">
        <v>10.6</v>
      </c>
      <c r="L6" s="325">
        <f t="shared" si="2"/>
        <v>17.79</v>
      </c>
      <c r="M6" s="325">
        <f t="shared" si="3"/>
        <v>17.79</v>
      </c>
      <c r="N6">
        <f t="shared" ca="1" si="4"/>
        <v>6</v>
      </c>
      <c r="P6" s="325">
        <f t="shared" ca="1" si="5"/>
        <v>124.53</v>
      </c>
      <c r="Q6" s="325">
        <v>3600</v>
      </c>
      <c r="R6" s="367">
        <v>81.130529519999996</v>
      </c>
      <c r="S6" s="367">
        <f>TitulosActivos[[#This Row],[Valor Comprado Con Comisión]]/TitulosActivos[[#This Row],[Valor 
Nominal]]*100</f>
        <v>81.444444444444443</v>
      </c>
      <c r="T6" s="325">
        <f t="shared" si="6"/>
        <v>2920.6990627199998</v>
      </c>
      <c r="U6" s="325">
        <f>ROUND(TitulosActivos[[#This Row],[Valor 
Comprado Sin Comisión]]+TitulosActivos[[#This Row],[Total 
Comisiones]],2)</f>
        <v>2932</v>
      </c>
      <c r="V6" s="325">
        <f t="shared" si="7"/>
        <v>2932</v>
      </c>
      <c r="W6" s="325">
        <v>0</v>
      </c>
      <c r="X6" s="325">
        <v>7.3</v>
      </c>
      <c r="Y6" s="325">
        <v>4</v>
      </c>
      <c r="Z6" s="325">
        <f t="shared" si="8"/>
        <v>11.3</v>
      </c>
      <c r="AA6" s="185"/>
      <c r="AB6" s="325"/>
    </row>
    <row r="7" spans="2:28" x14ac:dyDescent="0.25">
      <c r="B7" s="328">
        <f t="shared" ca="1" si="0"/>
        <v>46306</v>
      </c>
      <c r="C7" s="328" t="s">
        <v>233</v>
      </c>
      <c r="D7" t="s">
        <v>47</v>
      </c>
      <c r="E7" s="328">
        <v>46057</v>
      </c>
      <c r="F7" s="328">
        <v>46080</v>
      </c>
      <c r="G7" s="328">
        <v>45470</v>
      </c>
      <c r="H7" s="328">
        <v>48757</v>
      </c>
      <c r="I7">
        <v>6.21</v>
      </c>
      <c r="J7" s="3">
        <f t="shared" si="1"/>
        <v>7.7793949060459555</v>
      </c>
      <c r="K7" s="3">
        <v>11</v>
      </c>
      <c r="L7" s="325">
        <f t="shared" si="2"/>
        <v>15.607799999999999</v>
      </c>
      <c r="M7" s="325">
        <f t="shared" si="3"/>
        <v>11.967799999999999</v>
      </c>
      <c r="N7">
        <f t="shared" ca="1" si="4"/>
        <v>7</v>
      </c>
      <c r="P7" s="325">
        <f t="shared" ca="1" si="5"/>
        <v>121.22239999999999</v>
      </c>
      <c r="Q7" s="325">
        <v>3016</v>
      </c>
      <c r="R7" s="367">
        <v>79.455339390000006</v>
      </c>
      <c r="S7" s="367">
        <f>TitulosActivos[[#This Row],[Valor Comprado Con Comisión]]/TitulosActivos[[#This Row],[Valor 
Nominal]]*100</f>
        <v>79.826259946949591</v>
      </c>
      <c r="T7" s="325">
        <f t="shared" si="6"/>
        <v>2396.3730360024001</v>
      </c>
      <c r="U7" s="325">
        <f>ROUND(TitulosActivos[[#This Row],[Valor 
Comprado Sin Comisión]]+TitulosActivos[[#This Row],[Total 
Comisiones]],2)</f>
        <v>2407.56</v>
      </c>
      <c r="V7" s="325">
        <f t="shared" si="7"/>
        <v>2411.1999999999998</v>
      </c>
      <c r="W7" s="325">
        <v>3.64</v>
      </c>
      <c r="X7" s="325">
        <v>7.19</v>
      </c>
      <c r="Y7" s="325">
        <v>4</v>
      </c>
      <c r="Z7" s="325">
        <f t="shared" si="8"/>
        <v>11.190000000000001</v>
      </c>
      <c r="AA7" s="185"/>
      <c r="AB7" s="325"/>
    </row>
    <row r="8" spans="2:28" x14ac:dyDescent="0.25">
      <c r="B8" s="328">
        <f t="shared" ca="1" si="0"/>
        <v>46306</v>
      </c>
      <c r="C8" s="328" t="s">
        <v>233</v>
      </c>
      <c r="D8" t="s">
        <v>47</v>
      </c>
      <c r="E8" s="328">
        <v>46057</v>
      </c>
      <c r="F8" s="328">
        <v>46059</v>
      </c>
      <c r="G8" s="328">
        <v>45967</v>
      </c>
      <c r="H8" s="328">
        <v>48158</v>
      </c>
      <c r="I8">
        <v>7.35</v>
      </c>
      <c r="J8" s="3">
        <f t="shared" si="1"/>
        <v>8.6060527677185714</v>
      </c>
      <c r="K8" s="3">
        <v>11</v>
      </c>
      <c r="L8" s="325">
        <f t="shared" si="2"/>
        <v>20.794374999999999</v>
      </c>
      <c r="M8" s="325">
        <f t="shared" si="3"/>
        <v>1.3843749999999986</v>
      </c>
      <c r="N8">
        <f t="shared" ca="1" si="4"/>
        <v>8</v>
      </c>
      <c r="P8" s="325">
        <f t="shared" ca="1" si="5"/>
        <v>167.739375</v>
      </c>
      <c r="Q8" s="325">
        <v>3395</v>
      </c>
      <c r="R8" s="367">
        <v>84.983512989999994</v>
      </c>
      <c r="S8" s="367">
        <f>TitulosActivos[[#This Row],[Valor Comprado Con Comisión]]/TitulosActivos[[#This Row],[Valor 
Nominal]]*100</f>
        <v>85.405007363770252</v>
      </c>
      <c r="T8" s="325">
        <f t="shared" si="6"/>
        <v>2885.1902660104997</v>
      </c>
      <c r="U8" s="325">
        <f>ROUND(TitulosActivos[[#This Row],[Valor 
Comprado Sin Comisión]]+TitulosActivos[[#This Row],[Total 
Comisiones]],2)</f>
        <v>2899.5</v>
      </c>
      <c r="V8" s="325">
        <f t="shared" si="7"/>
        <v>2918.91</v>
      </c>
      <c r="W8" s="325">
        <v>19.41</v>
      </c>
      <c r="X8" s="325">
        <v>10.31</v>
      </c>
      <c r="Y8" s="325">
        <v>4</v>
      </c>
      <c r="Z8" s="325">
        <f t="shared" si="8"/>
        <v>14.31</v>
      </c>
      <c r="AA8" s="185"/>
      <c r="AB8" s="325"/>
    </row>
    <row r="9" spans="2:28" x14ac:dyDescent="0.25">
      <c r="B9" s="328">
        <f t="shared" ca="1" si="0"/>
        <v>46306</v>
      </c>
      <c r="C9" s="328" t="s">
        <v>233</v>
      </c>
      <c r="D9" t="s">
        <v>47</v>
      </c>
      <c r="E9" s="328">
        <v>46057</v>
      </c>
      <c r="F9" s="328">
        <v>46059</v>
      </c>
      <c r="G9" s="328">
        <v>45875</v>
      </c>
      <c r="H9" s="328">
        <v>49162</v>
      </c>
      <c r="I9">
        <v>7.93</v>
      </c>
      <c r="J9" s="3">
        <f t="shared" si="1"/>
        <v>9.409931424462842</v>
      </c>
      <c r="K9" s="3">
        <v>11.25</v>
      </c>
      <c r="L9" s="325">
        <f t="shared" si="2"/>
        <v>58.021166666666659</v>
      </c>
      <c r="M9" s="325">
        <f t="shared" si="3"/>
        <v>3.8711666666666602</v>
      </c>
      <c r="N9">
        <f t="shared" ca="1" si="4"/>
        <v>8</v>
      </c>
      <c r="P9" s="325">
        <f t="shared" ca="1" si="5"/>
        <v>468.04049999999995</v>
      </c>
      <c r="Q9" s="325">
        <v>8780</v>
      </c>
      <c r="R9" s="367">
        <v>84.06242263</v>
      </c>
      <c r="S9" s="367">
        <f>TitulosActivos[[#This Row],[Valor Comprado Con Comisión]]/TitulosActivos[[#This Row],[Valor 
Nominal]]*100</f>
        <v>84.27266514806378</v>
      </c>
      <c r="T9" s="325">
        <f t="shared" si="6"/>
        <v>7380.6807069139995</v>
      </c>
      <c r="U9" s="325">
        <f>ROUND(TitulosActivos[[#This Row],[Valor 
Comprado Sin Comisión]]+TitulosActivos[[#This Row],[Total 
Comisiones]],2)</f>
        <v>7399.14</v>
      </c>
      <c r="V9" s="325">
        <f t="shared" si="7"/>
        <v>7453.29</v>
      </c>
      <c r="W9" s="325">
        <v>54.15</v>
      </c>
      <c r="X9" s="325">
        <v>14.77</v>
      </c>
      <c r="Y9" s="325">
        <v>3.69</v>
      </c>
      <c r="Z9" s="325">
        <f t="shared" si="8"/>
        <v>18.46</v>
      </c>
      <c r="AA9" s="185"/>
      <c r="AB9" s="325"/>
    </row>
    <row r="10" spans="2:28" x14ac:dyDescent="0.25">
      <c r="B10" s="328">
        <f t="shared" ca="1" si="0"/>
        <v>46306</v>
      </c>
      <c r="C10" s="328" t="s">
        <v>233</v>
      </c>
      <c r="D10" t="s">
        <v>46</v>
      </c>
      <c r="E10" s="328">
        <v>46006</v>
      </c>
      <c r="F10" s="328">
        <v>46009</v>
      </c>
      <c r="G10" s="328">
        <v>45614</v>
      </c>
      <c r="H10" s="328">
        <v>48536</v>
      </c>
      <c r="I10">
        <v>5.93</v>
      </c>
      <c r="J10" s="3">
        <f t="shared" si="1"/>
        <v>7.5471904970732364</v>
      </c>
      <c r="K10" s="3">
        <v>11</v>
      </c>
      <c r="L10" s="325">
        <f t="shared" si="2"/>
        <v>23.089937500000001</v>
      </c>
      <c r="M10" s="325">
        <f t="shared" si="3"/>
        <v>2.3099375000000002</v>
      </c>
      <c r="N10">
        <f t="shared" ca="1" si="4"/>
        <v>9</v>
      </c>
      <c r="P10" s="325">
        <f t="shared" ca="1" si="5"/>
        <v>210.11937499999999</v>
      </c>
      <c r="Q10" s="325">
        <v>4672.5</v>
      </c>
      <c r="R10" s="367">
        <v>78.096182159999998</v>
      </c>
      <c r="S10" s="367">
        <f>TitulosActivos[[#This Row],[Valor Comprado Con Comisión]]/TitulosActivos[[#This Row],[Valor 
Nominal]]*100</f>
        <v>78.572284644194752</v>
      </c>
      <c r="T10" s="325">
        <f t="shared" si="6"/>
        <v>3649.0441114260002</v>
      </c>
      <c r="U10" s="325">
        <f>ROUND(TitulosActivos[[#This Row],[Valor 
Comprado Sin Comisión]]+TitulosActivos[[#This Row],[Total 
Comisiones]],2)</f>
        <v>3671.29</v>
      </c>
      <c r="V10" s="325">
        <f t="shared" si="7"/>
        <v>3692.07</v>
      </c>
      <c r="W10" s="325">
        <v>20.78</v>
      </c>
      <c r="X10" s="325">
        <v>18.25</v>
      </c>
      <c r="Y10" s="325">
        <v>4</v>
      </c>
      <c r="Z10" s="325">
        <f t="shared" si="8"/>
        <v>22.25</v>
      </c>
      <c r="AA10" s="185"/>
      <c r="AB10" s="325"/>
    </row>
    <row r="11" spans="2:28" x14ac:dyDescent="0.25">
      <c r="B11" s="328">
        <f t="shared" ca="1" si="0"/>
        <v>46306</v>
      </c>
      <c r="C11" s="328" t="s">
        <v>233</v>
      </c>
      <c r="D11" t="s">
        <v>46</v>
      </c>
      <c r="E11" s="328">
        <v>46001</v>
      </c>
      <c r="F11" s="328">
        <v>46028</v>
      </c>
      <c r="G11" s="328">
        <v>45967</v>
      </c>
      <c r="H11" s="328">
        <v>48524</v>
      </c>
      <c r="I11">
        <v>7.54</v>
      </c>
      <c r="J11" s="3">
        <f t="shared" si="1"/>
        <v>8.8446584491386737</v>
      </c>
      <c r="K11" s="3">
        <v>11</v>
      </c>
      <c r="L11" s="325">
        <f t="shared" si="2"/>
        <v>7.7913333333333341</v>
      </c>
      <c r="M11" s="325">
        <f t="shared" si="3"/>
        <v>6.4913333333333343</v>
      </c>
      <c r="N11">
        <f t="shared" ca="1" si="4"/>
        <v>9</v>
      </c>
      <c r="P11" s="325">
        <f t="shared" ca="1" si="5"/>
        <v>76.613333333333344</v>
      </c>
      <c r="Q11" s="325">
        <v>1240</v>
      </c>
      <c r="R11" s="367">
        <v>84.171185390000005</v>
      </c>
      <c r="S11" s="367">
        <f>TitulosActivos[[#This Row],[Valor Comprado Con Comisión]]/TitulosActivos[[#This Row],[Valor 
Nominal]]*100</f>
        <v>85.249193548387098</v>
      </c>
      <c r="T11" s="325">
        <f t="shared" si="6"/>
        <v>1043.7226988360001</v>
      </c>
      <c r="U11" s="325">
        <f>ROUND(TitulosActivos[[#This Row],[Valor 
Comprado Sin Comisión]]+TitulosActivos[[#This Row],[Total 
Comisiones]],2)</f>
        <v>1057.0899999999999</v>
      </c>
      <c r="V11" s="325">
        <f t="shared" si="7"/>
        <v>1058.3899999999999</v>
      </c>
      <c r="W11" s="325">
        <v>1.3</v>
      </c>
      <c r="X11" s="325">
        <v>9.3699999999999992</v>
      </c>
      <c r="Y11" s="325">
        <v>4</v>
      </c>
      <c r="Z11" s="325">
        <f t="shared" si="8"/>
        <v>13.37</v>
      </c>
      <c r="AA11" s="185"/>
      <c r="AB11" s="325"/>
    </row>
    <row r="12" spans="2:28" x14ac:dyDescent="0.25">
      <c r="B12" s="328">
        <f t="shared" ca="1" si="0"/>
        <v>46306</v>
      </c>
      <c r="C12" s="328" t="s">
        <v>233</v>
      </c>
      <c r="D12" t="s">
        <v>46</v>
      </c>
      <c r="E12" s="328">
        <v>45987</v>
      </c>
      <c r="F12" s="328">
        <v>45989</v>
      </c>
      <c r="G12" s="328">
        <v>45775</v>
      </c>
      <c r="H12" s="328">
        <v>47236</v>
      </c>
      <c r="I12">
        <v>6.82</v>
      </c>
      <c r="J12" s="3">
        <f t="shared" si="1"/>
        <v>7.5407026563838908</v>
      </c>
      <c r="K12" s="3">
        <v>11</v>
      </c>
      <c r="L12" s="325">
        <f t="shared" si="2"/>
        <v>6.82</v>
      </c>
      <c r="M12" s="325">
        <f t="shared" si="3"/>
        <v>0.45000000000000018</v>
      </c>
      <c r="N12">
        <f t="shared" ca="1" si="4"/>
        <v>10</v>
      </c>
      <c r="P12" s="325">
        <f t="shared" ca="1" si="5"/>
        <v>68.650000000000006</v>
      </c>
      <c r="Q12" s="325">
        <v>1200</v>
      </c>
      <c r="R12" s="367">
        <v>88.858973000000006</v>
      </c>
      <c r="S12" s="367">
        <f>TitulosActivos[[#This Row],[Valor Comprado Con Comisión]]/TitulosActivos[[#This Row],[Valor 
Nominal]]*100</f>
        <v>90.442499999999995</v>
      </c>
      <c r="T12" s="325">
        <f t="shared" si="6"/>
        <v>1066.3076760000001</v>
      </c>
      <c r="U12" s="325">
        <f>ROUND(TitulosActivos[[#This Row],[Valor 
Comprado Sin Comisión]]+TitulosActivos[[#This Row],[Total 
Comisiones]],2)</f>
        <v>1085.31</v>
      </c>
      <c r="V12" s="325">
        <f t="shared" si="7"/>
        <v>1091.6799999999998</v>
      </c>
      <c r="W12" s="325">
        <v>6.37</v>
      </c>
      <c r="X12" s="325">
        <v>15</v>
      </c>
      <c r="Y12" s="325">
        <v>4</v>
      </c>
      <c r="Z12" s="325">
        <f t="shared" si="8"/>
        <v>19</v>
      </c>
      <c r="AA12" s="185"/>
      <c r="AB12" s="325"/>
    </row>
    <row r="13" spans="2:28" x14ac:dyDescent="0.25">
      <c r="B13" s="328">
        <f t="shared" ca="1" si="0"/>
        <v>46306</v>
      </c>
      <c r="C13" s="328" t="s">
        <v>233</v>
      </c>
      <c r="D13" t="s">
        <v>47</v>
      </c>
      <c r="E13" s="328">
        <v>45943</v>
      </c>
      <c r="F13" s="328">
        <v>45971</v>
      </c>
      <c r="G13" s="328">
        <v>45910</v>
      </c>
      <c r="H13" s="328">
        <v>48467</v>
      </c>
      <c r="I13">
        <v>7.54</v>
      </c>
      <c r="J13" s="3">
        <f t="shared" si="1"/>
        <v>8.4219810851169736</v>
      </c>
      <c r="K13" s="3">
        <v>9.85</v>
      </c>
      <c r="L13" s="325">
        <f t="shared" si="2"/>
        <v>35.249500000000005</v>
      </c>
      <c r="M13" s="325">
        <f t="shared" si="3"/>
        <v>30.549500000000005</v>
      </c>
      <c r="N13">
        <f t="shared" ca="1" si="4"/>
        <v>11</v>
      </c>
      <c r="P13" s="325">
        <f t="shared" ca="1" si="5"/>
        <v>418.2940000000001</v>
      </c>
      <c r="Q13" s="325">
        <v>5610</v>
      </c>
      <c r="R13" s="367">
        <v>89.073556049999993</v>
      </c>
      <c r="S13" s="367">
        <f>TitulosActivos[[#This Row],[Valor Comprado Con Comisión]]/TitulosActivos[[#This Row],[Valor 
Nominal]]*100</f>
        <v>89.52762923351159</v>
      </c>
      <c r="T13" s="325">
        <f t="shared" si="6"/>
        <v>4997.0264944049995</v>
      </c>
      <c r="U13" s="325">
        <f>ROUND(TitulosActivos[[#This Row],[Valor 
Comprado Sin Comisión]]+TitulosActivos[[#This Row],[Total 
Comisiones]],2)</f>
        <v>5022.5</v>
      </c>
      <c r="V13" s="325">
        <f t="shared" si="7"/>
        <v>5027.2</v>
      </c>
      <c r="W13" s="325">
        <v>4.7</v>
      </c>
      <c r="X13" s="325">
        <v>21.47</v>
      </c>
      <c r="Y13" s="325">
        <v>4</v>
      </c>
      <c r="Z13" s="325">
        <f t="shared" si="8"/>
        <v>25.47</v>
      </c>
      <c r="AA13" s="185"/>
      <c r="AB13" s="325"/>
    </row>
    <row r="14" spans="2:28" x14ac:dyDescent="0.25">
      <c r="B14" s="328">
        <f t="shared" ca="1" si="0"/>
        <v>46306</v>
      </c>
      <c r="C14" s="328" t="s">
        <v>233</v>
      </c>
      <c r="D14" t="s">
        <v>47</v>
      </c>
      <c r="E14" s="328">
        <v>45888</v>
      </c>
      <c r="F14" s="328">
        <v>45894</v>
      </c>
      <c r="G14" s="328">
        <v>45498</v>
      </c>
      <c r="H14" s="328">
        <v>48785</v>
      </c>
      <c r="I14">
        <v>6.21</v>
      </c>
      <c r="J14" s="3">
        <f t="shared" si="1"/>
        <v>7.4337488648559411</v>
      </c>
      <c r="K14" s="3">
        <v>9.75</v>
      </c>
      <c r="L14" s="325">
        <f t="shared" si="2"/>
        <v>4.5022500000000001</v>
      </c>
      <c r="M14" s="325">
        <f t="shared" si="3"/>
        <v>0.90225</v>
      </c>
      <c r="N14">
        <f t="shared" ca="1" si="4"/>
        <v>13</v>
      </c>
      <c r="P14" s="325">
        <f t="shared" ca="1" si="5"/>
        <v>59.431500000000007</v>
      </c>
      <c r="Q14" s="325">
        <v>870</v>
      </c>
      <c r="R14" s="367">
        <v>83.246360999999993</v>
      </c>
      <c r="S14" s="367">
        <f>TitulosActivos[[#This Row],[Valor Comprado Con Comisión]]/TitulosActivos[[#This Row],[Valor 
Nominal]]*100</f>
        <v>83.537931034482753</v>
      </c>
      <c r="T14" s="325">
        <f t="shared" si="6"/>
        <v>724.24334069999998</v>
      </c>
      <c r="U14" s="325">
        <f>ROUND(TitulosActivos[[#This Row],[Valor 
Comprado Sin Comisión]]+TitulosActivos[[#This Row],[Total 
Comisiones]],2)</f>
        <v>726.78</v>
      </c>
      <c r="V14" s="325">
        <f t="shared" si="7"/>
        <v>730.38</v>
      </c>
      <c r="W14" s="325">
        <v>3.6</v>
      </c>
      <c r="X14" s="325">
        <v>2.1745169171540679</v>
      </c>
      <c r="Y14" s="325">
        <v>0.36199007921818321</v>
      </c>
      <c r="Z14" s="325">
        <f t="shared" si="8"/>
        <v>2.5365069963722511</v>
      </c>
      <c r="AA14" s="185"/>
      <c r="AB14" s="325"/>
    </row>
    <row r="15" spans="2:28" x14ac:dyDescent="0.25">
      <c r="B15" s="328">
        <f t="shared" ca="1" si="0"/>
        <v>46306</v>
      </c>
      <c r="C15" s="328" t="s">
        <v>233</v>
      </c>
      <c r="D15" t="s">
        <v>47</v>
      </c>
      <c r="E15" s="328">
        <v>45832</v>
      </c>
      <c r="F15" s="328">
        <v>45833</v>
      </c>
      <c r="G15" s="328">
        <v>45498</v>
      </c>
      <c r="H15" s="328">
        <v>48785</v>
      </c>
      <c r="I15">
        <v>6.21</v>
      </c>
      <c r="J15" s="3">
        <f t="shared" si="1"/>
        <v>7.9503100080717397</v>
      </c>
      <c r="K15" s="3">
        <v>11</v>
      </c>
      <c r="L15" s="325">
        <f t="shared" si="2"/>
        <v>22.407749999999997</v>
      </c>
      <c r="M15" s="325">
        <f t="shared" si="3"/>
        <v>0.74774999999999636</v>
      </c>
      <c r="N15">
        <f t="shared" ca="1" si="4"/>
        <v>15</v>
      </c>
      <c r="P15" s="325">
        <f t="shared" ca="1" si="5"/>
        <v>336.86399999999992</v>
      </c>
      <c r="Q15" s="325">
        <v>4330</v>
      </c>
      <c r="R15" s="367">
        <v>77.784468820000001</v>
      </c>
      <c r="S15" s="367">
        <f>TitulosActivos[[#This Row],[Valor Comprado Con Comisión]]/TitulosActivos[[#This Row],[Valor 
Nominal]]*100</f>
        <v>78.110161662817561</v>
      </c>
      <c r="T15" s="325">
        <f t="shared" si="6"/>
        <v>3368.0674999059997</v>
      </c>
      <c r="U15" s="325">
        <f>ROUND(TitulosActivos[[#This Row],[Valor 
Comprado Sin Comisión]]+TitulosActivos[[#This Row],[Total 
Comisiones]],2)</f>
        <v>3382.17</v>
      </c>
      <c r="V15" s="325">
        <f t="shared" si="7"/>
        <v>3403.83</v>
      </c>
      <c r="W15" s="325">
        <v>21.66</v>
      </c>
      <c r="X15" s="325">
        <v>10.1</v>
      </c>
      <c r="Y15" s="325">
        <v>4</v>
      </c>
      <c r="Z15" s="325">
        <f t="shared" si="8"/>
        <v>14.1</v>
      </c>
      <c r="AA15" s="185"/>
      <c r="AB15" s="325"/>
    </row>
    <row r="16" spans="2:28" x14ac:dyDescent="0.25">
      <c r="B16" s="328">
        <f t="shared" ca="1" si="0"/>
        <v>46306</v>
      </c>
      <c r="C16" s="328" t="s">
        <v>233</v>
      </c>
      <c r="D16" t="s">
        <v>47</v>
      </c>
      <c r="E16" s="328">
        <v>45734</v>
      </c>
      <c r="F16" s="328">
        <v>45765</v>
      </c>
      <c r="G16" s="328">
        <v>45614</v>
      </c>
      <c r="H16" s="328">
        <v>48536</v>
      </c>
      <c r="I16">
        <v>5.93</v>
      </c>
      <c r="J16" s="3">
        <f t="shared" si="1"/>
        <v>8.1067220543806648</v>
      </c>
      <c r="K16" s="3">
        <v>12</v>
      </c>
      <c r="L16" s="325">
        <f t="shared" si="2"/>
        <v>8.9444166666666671</v>
      </c>
      <c r="M16" s="325">
        <f t="shared" si="3"/>
        <v>8.9444166666666671</v>
      </c>
      <c r="N16">
        <f t="shared" ca="1" si="4"/>
        <v>18</v>
      </c>
      <c r="P16" s="325">
        <f t="shared" ca="1" si="5"/>
        <v>169.94391666666667</v>
      </c>
      <c r="Q16" s="325">
        <v>1810</v>
      </c>
      <c r="R16" s="367">
        <v>72.344290740000005</v>
      </c>
      <c r="S16" s="367">
        <f>TitulosActivos[[#This Row],[Valor Comprado Con Comisión]]/TitulosActivos[[#This Row],[Valor 
Nominal]]*100</f>
        <v>73.149171270718227</v>
      </c>
      <c r="T16" s="325">
        <f t="shared" si="6"/>
        <v>1309.4316623940001</v>
      </c>
      <c r="U16" s="325">
        <f>ROUND(TitulosActivos[[#This Row],[Valor 
Comprado Sin Comisión]]+TitulosActivos[[#This Row],[Total 
Comisiones]],2)</f>
        <v>1324</v>
      </c>
      <c r="V16" s="325">
        <f t="shared" si="7"/>
        <v>1324</v>
      </c>
      <c r="W16" s="325">
        <v>0</v>
      </c>
      <c r="X16" s="325">
        <v>10.57</v>
      </c>
      <c r="Y16" s="325">
        <v>4</v>
      </c>
      <c r="Z16" s="325">
        <f t="shared" si="8"/>
        <v>14.57</v>
      </c>
      <c r="AA16" s="185"/>
      <c r="AB16" s="325"/>
    </row>
    <row r="17" spans="2:28" x14ac:dyDescent="0.25">
      <c r="B17" s="328">
        <f t="shared" ca="1" si="0"/>
        <v>46306</v>
      </c>
      <c r="C17" s="328" t="s">
        <v>233</v>
      </c>
      <c r="D17" t="s">
        <v>46</v>
      </c>
      <c r="E17" s="328">
        <v>45708</v>
      </c>
      <c r="F17" s="328">
        <v>45720</v>
      </c>
      <c r="G17" s="328">
        <v>45630</v>
      </c>
      <c r="H17" s="328">
        <v>47821</v>
      </c>
      <c r="I17">
        <v>5.36</v>
      </c>
      <c r="J17" s="3">
        <f t="shared" si="1"/>
        <v>7.0678426765329929</v>
      </c>
      <c r="K17" s="3">
        <v>11.35</v>
      </c>
      <c r="L17" s="325">
        <f t="shared" si="2"/>
        <v>16.794666666666668</v>
      </c>
      <c r="M17" s="325">
        <f t="shared" si="3"/>
        <v>7.8346666666666671</v>
      </c>
      <c r="N17">
        <f t="shared" ca="1" si="4"/>
        <v>19</v>
      </c>
      <c r="P17" s="325">
        <f t="shared" ca="1" si="5"/>
        <v>326.93333333333339</v>
      </c>
      <c r="Q17" s="325">
        <v>3760</v>
      </c>
      <c r="R17" s="367">
        <v>75.463999999999999</v>
      </c>
      <c r="S17" s="367">
        <f>TitulosActivos[[#This Row],[Valor Comprado Con Comisión]]/TitulosActivos[[#This Row],[Valor 
Nominal]]*100</f>
        <v>75.836436170212764</v>
      </c>
      <c r="T17" s="325">
        <f t="shared" si="6"/>
        <v>2837.4464000000003</v>
      </c>
      <c r="U17" s="325">
        <f>ROUND(TitulosActivos[[#This Row],[Valor 
Comprado Sin Comisión]]+TitulosActivos[[#This Row],[Total 
Comisiones]],2)</f>
        <v>2851.45</v>
      </c>
      <c r="V17" s="325">
        <f t="shared" si="7"/>
        <v>2860.41</v>
      </c>
      <c r="W17" s="325">
        <v>8.9600000000000009</v>
      </c>
      <c r="X17" s="325">
        <v>10</v>
      </c>
      <c r="Y17" s="325">
        <v>4</v>
      </c>
      <c r="Z17" s="325">
        <f t="shared" si="8"/>
        <v>14</v>
      </c>
      <c r="AA17" s="185"/>
      <c r="AB17" s="325"/>
    </row>
    <row r="18" spans="2:28" x14ac:dyDescent="0.25">
      <c r="B18" s="328">
        <f t="shared" ca="1" si="0"/>
        <v>46306</v>
      </c>
      <c r="C18" s="328" t="s">
        <v>233</v>
      </c>
      <c r="D18" t="s">
        <v>47</v>
      </c>
      <c r="E18" s="328">
        <v>45593</v>
      </c>
      <c r="F18" s="328">
        <v>45622</v>
      </c>
      <c r="G18" s="328">
        <v>45042</v>
      </c>
      <c r="H18" s="328">
        <v>46869</v>
      </c>
      <c r="I18">
        <v>5.07</v>
      </c>
      <c r="J18" s="3">
        <f t="shared" si="1"/>
        <v>6.3662364841297521</v>
      </c>
      <c r="K18" s="3">
        <v>13</v>
      </c>
      <c r="L18" s="325">
        <f t="shared" si="2"/>
        <v>11.407499999999999</v>
      </c>
      <c r="M18" s="325">
        <f t="shared" si="3"/>
        <v>10.647499999999999</v>
      </c>
      <c r="N18">
        <f t="shared" ca="1" si="4"/>
        <v>22</v>
      </c>
      <c r="P18" s="325">
        <f t="shared" ca="1" si="5"/>
        <v>261.61249999999995</v>
      </c>
      <c r="Q18" s="325">
        <v>2700</v>
      </c>
      <c r="R18" s="367">
        <v>79.120330190000004</v>
      </c>
      <c r="S18" s="367">
        <f>TitulosActivos[[#This Row],[Valor Comprado Con Comisión]]/TitulosActivos[[#This Row],[Valor 
Nominal]]*100</f>
        <v>79.638888888888886</v>
      </c>
      <c r="T18" s="325">
        <f t="shared" si="6"/>
        <v>2136.2489151300001</v>
      </c>
      <c r="U18" s="325">
        <f>ROUND(TitulosActivos[[#This Row],[Valor 
Comprado Sin Comisión]]+TitulosActivos[[#This Row],[Total 
Comisiones]],2)</f>
        <v>2150.25</v>
      </c>
      <c r="V18" s="325">
        <f t="shared" si="7"/>
        <v>2151.0100000000002</v>
      </c>
      <c r="W18" s="325">
        <v>0.76</v>
      </c>
      <c r="X18" s="325">
        <v>10</v>
      </c>
      <c r="Y18" s="325">
        <v>4</v>
      </c>
      <c r="Z18" s="325">
        <f t="shared" si="8"/>
        <v>14</v>
      </c>
      <c r="AA18" s="185"/>
      <c r="AB18" s="325"/>
    </row>
    <row r="19" spans="2:28" x14ac:dyDescent="0.25">
      <c r="B19" s="328">
        <f t="shared" ca="1" si="0"/>
        <v>46306</v>
      </c>
      <c r="C19" s="328" t="s">
        <v>233</v>
      </c>
      <c r="D19" t="s">
        <v>47</v>
      </c>
      <c r="E19" s="328">
        <v>45590</v>
      </c>
      <c r="F19" s="328">
        <v>45599</v>
      </c>
      <c r="G19" s="328">
        <v>45110</v>
      </c>
      <c r="H19" s="328">
        <v>47302</v>
      </c>
      <c r="I19">
        <v>5.36</v>
      </c>
      <c r="J19" s="3">
        <f t="shared" si="1"/>
        <v>7.0382111838526331</v>
      </c>
      <c r="K19" s="3">
        <v>12.5</v>
      </c>
      <c r="L19" s="325">
        <f t="shared" si="2"/>
        <v>12.506666666666668</v>
      </c>
      <c r="M19" s="325">
        <f t="shared" si="3"/>
        <v>3.3366666666666678</v>
      </c>
      <c r="N19">
        <f t="shared" ca="1" si="4"/>
        <v>23</v>
      </c>
      <c r="P19" s="325">
        <f t="shared" ca="1" si="5"/>
        <v>290.99</v>
      </c>
      <c r="Q19" s="325">
        <v>2800</v>
      </c>
      <c r="R19" s="367">
        <v>75.785262380000006</v>
      </c>
      <c r="S19" s="367">
        <f>TitulosActivos[[#This Row],[Valor Comprado Con Comisión]]/TitulosActivos[[#This Row],[Valor 
Nominal]]*100</f>
        <v>76.155714285714296</v>
      </c>
      <c r="T19" s="325">
        <f t="shared" si="6"/>
        <v>2121.9873466400004</v>
      </c>
      <c r="U19" s="325">
        <f>ROUND(TitulosActivos[[#This Row],[Valor 
Comprado Sin Comisión]]+TitulosActivos[[#This Row],[Total 
Comisiones]],2)</f>
        <v>2132.36</v>
      </c>
      <c r="V19" s="325">
        <f t="shared" si="7"/>
        <v>2141.5300000000002</v>
      </c>
      <c r="W19" s="325">
        <v>9.17</v>
      </c>
      <c r="X19" s="325">
        <v>6.37</v>
      </c>
      <c r="Y19" s="325">
        <v>4</v>
      </c>
      <c r="Z19" s="325">
        <f t="shared" si="8"/>
        <v>10.370000000000001</v>
      </c>
      <c r="AA19" s="185"/>
      <c r="AB19" s="325"/>
    </row>
    <row r="20" spans="2:28" x14ac:dyDescent="0.25">
      <c r="B20" s="328">
        <f t="shared" ca="1" si="0"/>
        <v>46306</v>
      </c>
      <c r="C20" s="328" t="s">
        <v>233</v>
      </c>
      <c r="D20" t="s">
        <v>47</v>
      </c>
      <c r="E20" s="328">
        <v>45552</v>
      </c>
      <c r="F20" s="328">
        <v>45556</v>
      </c>
      <c r="G20" s="328">
        <v>45037</v>
      </c>
      <c r="H20" s="328">
        <v>47229</v>
      </c>
      <c r="I20">
        <v>5.36</v>
      </c>
      <c r="J20" s="3">
        <f t="shared" si="1"/>
        <v>7.2934100774244479</v>
      </c>
      <c r="K20" s="3">
        <v>13.75</v>
      </c>
      <c r="L20" s="325">
        <f t="shared" si="2"/>
        <v>4.4666666666666668</v>
      </c>
      <c r="M20" s="325">
        <f t="shared" si="3"/>
        <v>0.59666666666666668</v>
      </c>
      <c r="N20">
        <f t="shared" ca="1" si="4"/>
        <v>25</v>
      </c>
      <c r="P20" s="325">
        <f t="shared" ca="1" si="5"/>
        <v>112.26333333333334</v>
      </c>
      <c r="Q20" s="325">
        <v>1000</v>
      </c>
      <c r="R20" s="367">
        <v>72.691412850000006</v>
      </c>
      <c r="S20" s="367">
        <f>TitulosActivos[[#This Row],[Valor Comprado Con Comisión]]/TitulosActivos[[#This Row],[Valor 
Nominal]]*100</f>
        <v>73.491</v>
      </c>
      <c r="T20" s="325">
        <f t="shared" si="6"/>
        <v>726.91412850000006</v>
      </c>
      <c r="U20" s="325">
        <f>ROUND(TitulosActivos[[#This Row],[Valor 
Comprado Sin Comisión]]+TitulosActivos[[#This Row],[Total 
Comisiones]],2)</f>
        <v>734.91</v>
      </c>
      <c r="V20" s="325">
        <f t="shared" si="7"/>
        <v>738.78</v>
      </c>
      <c r="W20" s="325">
        <v>3.87</v>
      </c>
      <c r="X20" s="325">
        <v>4</v>
      </c>
      <c r="Y20" s="325">
        <v>4</v>
      </c>
      <c r="Z20" s="325">
        <f t="shared" si="8"/>
        <v>8</v>
      </c>
      <c r="AA20" s="185"/>
      <c r="AB20" s="325"/>
    </row>
    <row r="21" spans="2:28" x14ac:dyDescent="0.25">
      <c r="B21" s="328">
        <f t="shared" ca="1" si="0"/>
        <v>46306</v>
      </c>
      <c r="C21" s="328" t="s">
        <v>233</v>
      </c>
      <c r="D21" t="s">
        <v>47</v>
      </c>
      <c r="E21" s="328">
        <v>45552</v>
      </c>
      <c r="F21" s="328">
        <v>45568</v>
      </c>
      <c r="G21" s="328">
        <v>45110</v>
      </c>
      <c r="H21" s="328">
        <v>47302</v>
      </c>
      <c r="I21">
        <v>5.36</v>
      </c>
      <c r="J21" s="3">
        <f t="shared" si="1"/>
        <v>7.3613372834468018</v>
      </c>
      <c r="K21" s="3">
        <v>13.5</v>
      </c>
      <c r="L21" s="325">
        <f t="shared" si="2"/>
        <v>15.633333333333333</v>
      </c>
      <c r="M21" s="325">
        <f t="shared" si="3"/>
        <v>8.3333333333333321</v>
      </c>
      <c r="N21">
        <f t="shared" ca="1" si="4"/>
        <v>24</v>
      </c>
      <c r="P21" s="325">
        <f t="shared" ca="1" si="5"/>
        <v>383.5333333333333</v>
      </c>
      <c r="Q21" s="325">
        <v>3500</v>
      </c>
      <c r="R21" s="367">
        <v>72.481129999999993</v>
      </c>
      <c r="S21" s="367">
        <f>TitulosActivos[[#This Row],[Valor Comprado Con Comisión]]/TitulosActivos[[#This Row],[Valor 
Nominal]]*100</f>
        <v>72.812857142857141</v>
      </c>
      <c r="T21" s="325">
        <f t="shared" si="6"/>
        <v>2536.8395499999997</v>
      </c>
      <c r="U21" s="325">
        <f>ROUND(TitulosActivos[[#This Row],[Valor 
Comprado Sin Comisión]]+TitulosActivos[[#This Row],[Total 
Comisiones]],2)</f>
        <v>2548.4499999999998</v>
      </c>
      <c r="V21" s="325">
        <f t="shared" si="7"/>
        <v>2555.75</v>
      </c>
      <c r="W21" s="325">
        <v>7.3</v>
      </c>
      <c r="X21" s="325">
        <v>7.61</v>
      </c>
      <c r="Y21" s="325">
        <v>4</v>
      </c>
      <c r="Z21" s="325">
        <f t="shared" si="8"/>
        <v>11.61</v>
      </c>
      <c r="AA21" s="185"/>
      <c r="AB21" s="325"/>
    </row>
    <row r="22" spans="2:28" x14ac:dyDescent="0.25">
      <c r="B22" s="328">
        <f t="shared" ca="1" si="0"/>
        <v>46306</v>
      </c>
      <c r="C22" s="328" t="s">
        <v>233</v>
      </c>
      <c r="D22" t="s">
        <v>47</v>
      </c>
      <c r="E22" s="328">
        <v>45447</v>
      </c>
      <c r="F22" s="328">
        <v>45467</v>
      </c>
      <c r="G22" s="328">
        <v>45070</v>
      </c>
      <c r="H22" s="328">
        <v>47992</v>
      </c>
      <c r="I22">
        <v>5.93</v>
      </c>
      <c r="J22" s="3">
        <f t="shared" si="1"/>
        <v>8.4311397678237565</v>
      </c>
      <c r="K22" s="3">
        <v>13.25</v>
      </c>
      <c r="L22" s="325">
        <f t="shared" si="2"/>
        <v>29.650000000000002</v>
      </c>
      <c r="M22" s="325">
        <f t="shared" si="3"/>
        <v>18.78</v>
      </c>
      <c r="N22">
        <f t="shared" ca="1" si="4"/>
        <v>27</v>
      </c>
      <c r="P22" s="325">
        <f t="shared" ca="1" si="5"/>
        <v>819.33</v>
      </c>
      <c r="Q22" s="325">
        <v>6000</v>
      </c>
      <c r="R22" s="367">
        <v>70.05767419</v>
      </c>
      <c r="S22" s="367">
        <f>TitulosActivos[[#This Row],[Valor Comprado Con Comisión]]/TitulosActivos[[#This Row],[Valor 
Nominal]]*100</f>
        <v>70.334500000000006</v>
      </c>
      <c r="T22" s="325">
        <f t="shared" si="6"/>
        <v>4203.4604514000002</v>
      </c>
      <c r="U22" s="325">
        <f>ROUND(TitulosActivos[[#This Row],[Valor 
Comprado Sin Comisión]]+TitulosActivos[[#This Row],[Total 
Comisiones]],2)</f>
        <v>4220.07</v>
      </c>
      <c r="V22" s="325">
        <f t="shared" si="7"/>
        <v>4230.9399999999996</v>
      </c>
      <c r="W22" s="325">
        <v>10.87</v>
      </c>
      <c r="X22" s="325">
        <v>12.61</v>
      </c>
      <c r="Y22" s="325">
        <v>4</v>
      </c>
      <c r="Z22" s="325">
        <f t="shared" si="8"/>
        <v>16.61</v>
      </c>
      <c r="AA22" s="185"/>
      <c r="AB22" s="325"/>
    </row>
    <row r="23" spans="2:28" x14ac:dyDescent="0.25">
      <c r="B23" s="328">
        <f t="shared" ca="1" si="0"/>
        <v>46306</v>
      </c>
      <c r="C23" s="328" t="s">
        <v>233</v>
      </c>
      <c r="D23" t="s">
        <v>46</v>
      </c>
      <c r="E23" s="328">
        <v>45302</v>
      </c>
      <c r="F23" s="328">
        <v>45308</v>
      </c>
      <c r="G23" s="328">
        <v>45063</v>
      </c>
      <c r="H23" s="328">
        <v>47620</v>
      </c>
      <c r="I23">
        <v>5.64</v>
      </c>
      <c r="J23" s="3">
        <f t="shared" si="1"/>
        <v>7.9088071651513108</v>
      </c>
      <c r="K23" s="3">
        <v>12.75</v>
      </c>
      <c r="L23" s="325">
        <f t="shared" si="2"/>
        <v>7.2850000000000001</v>
      </c>
      <c r="M23" s="325">
        <f t="shared" si="3"/>
        <v>1.4550000000000001</v>
      </c>
      <c r="N23">
        <f t="shared" ca="1" si="4"/>
        <v>33</v>
      </c>
      <c r="P23" s="325">
        <f t="shared" ca="1" si="5"/>
        <v>241.86</v>
      </c>
      <c r="Q23" s="325">
        <v>1550</v>
      </c>
      <c r="R23" s="367">
        <v>70.842847190000001</v>
      </c>
      <c r="S23" s="367">
        <f>TitulosActivos[[#This Row],[Valor Comprado Con Comisión]]/TitulosActivos[[#This Row],[Valor 
Nominal]]*100</f>
        <v>71.312903225806451</v>
      </c>
      <c r="T23" s="325">
        <f t="shared" si="6"/>
        <v>1098.0641314449999</v>
      </c>
      <c r="U23" s="325">
        <f>ROUND(TitulosActivos[[#This Row],[Valor 
Comprado Sin Comisión]]+TitulosActivos[[#This Row],[Total 
Comisiones]],2)</f>
        <v>1105.3499999999999</v>
      </c>
      <c r="V23" s="325">
        <f t="shared" si="7"/>
        <v>1111.1799999999998</v>
      </c>
      <c r="W23" s="325">
        <v>5.83</v>
      </c>
      <c r="X23" s="325">
        <v>3.29</v>
      </c>
      <c r="Y23" s="325">
        <v>4</v>
      </c>
      <c r="Z23" s="325">
        <f t="shared" si="8"/>
        <v>7.29</v>
      </c>
      <c r="AA23" s="185"/>
      <c r="AB23" s="325"/>
    </row>
    <row r="24" spans="2:28" x14ac:dyDescent="0.25">
      <c r="B24" s="328">
        <f t="shared" ca="1" si="0"/>
        <v>46306</v>
      </c>
      <c r="C24" s="328" t="s">
        <v>233</v>
      </c>
      <c r="D24" t="s">
        <v>46</v>
      </c>
      <c r="E24" s="328">
        <v>45279</v>
      </c>
      <c r="F24" s="328">
        <v>45281</v>
      </c>
      <c r="G24" s="328">
        <v>45403</v>
      </c>
      <c r="H24" s="328">
        <v>47229</v>
      </c>
      <c r="I24">
        <v>5.36</v>
      </c>
      <c r="J24" s="3">
        <f t="shared" si="1"/>
        <v>7.3600376633057412</v>
      </c>
      <c r="K24" s="3">
        <v>13</v>
      </c>
      <c r="L24" s="325">
        <f t="shared" si="2"/>
        <v>3.1266666666666669</v>
      </c>
      <c r="M24" s="325">
        <f t="shared" si="3"/>
        <v>0.206666666666667</v>
      </c>
      <c r="N24">
        <f t="shared" ca="1" si="4"/>
        <v>34</v>
      </c>
      <c r="P24" s="325">
        <f t="shared" ca="1" si="5"/>
        <v>106.51333333333334</v>
      </c>
      <c r="Q24" s="325">
        <v>700</v>
      </c>
      <c r="R24" s="367">
        <v>71.682355000000001</v>
      </c>
      <c r="S24" s="367">
        <f>TitulosActivos[[#This Row],[Valor Comprado Con Comisión]]/TitulosActivos[[#This Row],[Valor 
Nominal]]*100</f>
        <v>72.825714285714284</v>
      </c>
      <c r="T24" s="325">
        <f t="shared" si="6"/>
        <v>501.77648500000004</v>
      </c>
      <c r="U24" s="325">
        <f>ROUND(TitulosActivos[[#This Row],[Valor 
Comprado Sin Comisión]]+TitulosActivos[[#This Row],[Total 
Comisiones]],2)</f>
        <v>509.78</v>
      </c>
      <c r="V24" s="325">
        <f t="shared" si="7"/>
        <v>512.69999999999993</v>
      </c>
      <c r="W24" s="325">
        <v>2.92</v>
      </c>
      <c r="X24" s="325">
        <v>4</v>
      </c>
      <c r="Y24" s="325">
        <v>4</v>
      </c>
      <c r="Z24" s="325">
        <f t="shared" si="8"/>
        <v>8</v>
      </c>
      <c r="AA24" s="185"/>
      <c r="AB24" s="325"/>
    </row>
    <row r="25" spans="2:28" x14ac:dyDescent="0.25">
      <c r="B25" s="328">
        <f t="shared" ca="1" si="0"/>
        <v>46306</v>
      </c>
      <c r="C25" s="328" t="s">
        <v>233</v>
      </c>
      <c r="D25" t="s">
        <v>46</v>
      </c>
      <c r="E25" s="328">
        <v>45264</v>
      </c>
      <c r="F25" s="328">
        <v>45281</v>
      </c>
      <c r="G25" s="328">
        <v>45037</v>
      </c>
      <c r="H25" s="328">
        <v>47229</v>
      </c>
      <c r="I25">
        <v>5.36</v>
      </c>
      <c r="J25" s="3">
        <f t="shared" si="1"/>
        <v>7.4379156074112736</v>
      </c>
      <c r="K25" s="3">
        <v>13</v>
      </c>
      <c r="L25" s="325">
        <f t="shared" si="2"/>
        <v>5.583333333333333</v>
      </c>
      <c r="M25" s="325">
        <f t="shared" si="3"/>
        <v>2.9733333333333332</v>
      </c>
      <c r="N25">
        <f t="shared" ca="1" si="4"/>
        <v>34</v>
      </c>
      <c r="P25" s="325">
        <f t="shared" ca="1" si="5"/>
        <v>192.80666666666664</v>
      </c>
      <c r="Q25" s="325">
        <v>1250</v>
      </c>
      <c r="R25" s="367">
        <v>71.529168049999996</v>
      </c>
      <c r="S25" s="367">
        <f>TitulosActivos[[#This Row],[Valor Comprado Con Comisión]]/TitulosActivos[[#This Row],[Valor 
Nominal]]*100</f>
        <v>72.063199999999995</v>
      </c>
      <c r="T25" s="325">
        <f t="shared" si="6"/>
        <v>894.11460062499987</v>
      </c>
      <c r="U25" s="325">
        <f>ROUND(TitulosActivos[[#This Row],[Valor 
Comprado Sin Comisión]]+TitulosActivos[[#This Row],[Total 
Comisiones]],2)</f>
        <v>900.79</v>
      </c>
      <c r="V25" s="325">
        <f t="shared" si="7"/>
        <v>903.4</v>
      </c>
      <c r="W25" s="325">
        <v>2.61</v>
      </c>
      <c r="X25" s="325">
        <v>2.68</v>
      </c>
      <c r="Y25" s="325">
        <v>4</v>
      </c>
      <c r="Z25" s="325">
        <f t="shared" si="8"/>
        <v>6.68</v>
      </c>
      <c r="AA25" s="185"/>
      <c r="AB25" s="325"/>
    </row>
    <row r="26" spans="2:28" x14ac:dyDescent="0.25">
      <c r="B26" s="328">
        <f t="shared" ca="1" si="0"/>
        <v>46306</v>
      </c>
      <c r="C26" s="328" t="s">
        <v>233</v>
      </c>
      <c r="D26" t="s">
        <v>46</v>
      </c>
      <c r="E26" s="328">
        <v>45264</v>
      </c>
      <c r="F26" s="328">
        <v>45277</v>
      </c>
      <c r="G26" s="328">
        <v>45063</v>
      </c>
      <c r="H26" s="328">
        <v>47620</v>
      </c>
      <c r="I26">
        <v>5.64</v>
      </c>
      <c r="J26" s="3">
        <f t="shared" si="1"/>
        <v>8.055761869393816</v>
      </c>
      <c r="K26" s="3">
        <v>13</v>
      </c>
      <c r="L26" s="325">
        <f t="shared" si="2"/>
        <v>14.1</v>
      </c>
      <c r="M26" s="325">
        <f t="shared" si="3"/>
        <v>5.6399999999999988</v>
      </c>
      <c r="N26">
        <f t="shared" ca="1" si="4"/>
        <v>34</v>
      </c>
      <c r="P26" s="325">
        <f t="shared" ca="1" si="5"/>
        <v>485.03999999999996</v>
      </c>
      <c r="Q26" s="325">
        <v>3000</v>
      </c>
      <c r="R26" s="367">
        <v>69.669799999999995</v>
      </c>
      <c r="S26" s="367">
        <f>TitulosActivos[[#This Row],[Valor Comprado Con Comisión]]/TitulosActivos[[#This Row],[Valor 
Nominal]]*100</f>
        <v>70.012</v>
      </c>
      <c r="T26" s="325">
        <f t="shared" si="6"/>
        <v>2090.0940000000001</v>
      </c>
      <c r="U26" s="325">
        <f>ROUND(TitulosActivos[[#This Row],[Valor 
Comprado Sin Comisión]]+TitulosActivos[[#This Row],[Total 
Comisiones]],2)</f>
        <v>2100.36</v>
      </c>
      <c r="V26" s="325">
        <f t="shared" si="7"/>
        <v>2108.8200000000002</v>
      </c>
      <c r="W26" s="325">
        <v>8.4600000000000009</v>
      </c>
      <c r="X26" s="325">
        <v>6.27</v>
      </c>
      <c r="Y26" s="325">
        <v>4</v>
      </c>
      <c r="Z26" s="325">
        <f t="shared" si="8"/>
        <v>10.27</v>
      </c>
      <c r="AA26" s="185"/>
      <c r="AB26" s="325"/>
    </row>
    <row r="27" spans="2:28" x14ac:dyDescent="0.25">
      <c r="B27" s="328">
        <f t="shared" ca="1" si="0"/>
        <v>46306</v>
      </c>
      <c r="C27" s="328" t="s">
        <v>233</v>
      </c>
      <c r="D27" t="s">
        <v>47</v>
      </c>
      <c r="E27" s="328">
        <v>44830</v>
      </c>
      <c r="F27" s="328">
        <v>44861</v>
      </c>
      <c r="G27" s="328">
        <v>44769</v>
      </c>
      <c r="H27" s="328">
        <v>47326</v>
      </c>
      <c r="I27">
        <v>5.64</v>
      </c>
      <c r="J27" s="3">
        <f t="shared" si="1"/>
        <v>7.1300797077173002</v>
      </c>
      <c r="K27" s="3">
        <v>10.199999999999999</v>
      </c>
      <c r="L27" s="325">
        <f t="shared" si="2"/>
        <v>9.4</v>
      </c>
      <c r="M27" s="325">
        <f t="shared" si="3"/>
        <v>9.4</v>
      </c>
      <c r="N27">
        <f t="shared" ca="1" si="4"/>
        <v>48</v>
      </c>
      <c r="P27" s="325">
        <f t="shared" ca="1" si="5"/>
        <v>460.6</v>
      </c>
      <c r="Q27" s="325">
        <v>2000</v>
      </c>
      <c r="R27" s="367">
        <v>78.820539109999999</v>
      </c>
      <c r="S27" s="367">
        <f>TitulosActivos[[#This Row],[Valor Comprado Con Comisión]]/TitulosActivos[[#This Row],[Valor 
Nominal]]*100</f>
        <v>79.101500000000001</v>
      </c>
      <c r="T27" s="325">
        <f t="shared" si="6"/>
        <v>1576.4107821999999</v>
      </c>
      <c r="U27" s="325">
        <f>ROUND(TitulosActivos[[#This Row],[Valor 
Comprado Sin Comisión]]+TitulosActivos[[#This Row],[Total 
Comisiones]],2)</f>
        <v>1582.03</v>
      </c>
      <c r="V27" s="325">
        <f t="shared" si="7"/>
        <v>1582.03</v>
      </c>
      <c r="W27" s="325">
        <v>0</v>
      </c>
      <c r="X27" s="325">
        <v>4.7288888888888891</v>
      </c>
      <c r="Y27" s="325">
        <v>0.88888888888888884</v>
      </c>
      <c r="Z27" s="325">
        <f t="shared" si="8"/>
        <v>5.6177777777777784</v>
      </c>
      <c r="AA27" s="185"/>
      <c r="AB27" s="325"/>
    </row>
    <row r="28" spans="2:28" x14ac:dyDescent="0.25">
      <c r="B28" s="328">
        <f t="shared" ca="1" si="0"/>
        <v>46306</v>
      </c>
      <c r="C28" s="328" t="s">
        <v>233</v>
      </c>
      <c r="D28" t="s">
        <v>46</v>
      </c>
      <c r="E28" s="328">
        <v>44462</v>
      </c>
      <c r="F28" s="328">
        <v>44486</v>
      </c>
      <c r="G28" s="328">
        <v>44333</v>
      </c>
      <c r="H28" s="328">
        <v>46890</v>
      </c>
      <c r="I28">
        <v>5.64</v>
      </c>
      <c r="J28" s="3">
        <f t="shared" si="1"/>
        <v>6.3800486095767175</v>
      </c>
      <c r="K28" s="3">
        <v>8.1999999999999993</v>
      </c>
      <c r="L28" s="325">
        <f t="shared" si="2"/>
        <v>5.0531579999999998</v>
      </c>
      <c r="M28" s="325">
        <f t="shared" si="3"/>
        <v>-7.8368420000000008</v>
      </c>
      <c r="N28">
        <f t="shared" ca="1" si="4"/>
        <v>60</v>
      </c>
      <c r="P28" s="325">
        <f t="shared" ca="1" si="5"/>
        <v>295.35263800000001</v>
      </c>
      <c r="Q28" s="325">
        <v>1075.1400000000001</v>
      </c>
      <c r="R28" s="367">
        <v>87.686999999999998</v>
      </c>
      <c r="S28" s="367">
        <f>TitulosActivos[[#This Row],[Valor Comprado Con Comisión]]/TitulosActivos[[#This Row],[Valor 
Nominal]]*100</f>
        <v>88.400580389530646</v>
      </c>
      <c r="T28" s="325">
        <f t="shared" si="6"/>
        <v>942.75801180000008</v>
      </c>
      <c r="U28" s="325">
        <f>ROUND(TitulosActivos[[#This Row],[Valor 
Comprado Sin Comisión]]+TitulosActivos[[#This Row],[Total 
Comisiones]],2)</f>
        <v>950.43</v>
      </c>
      <c r="V28" s="325">
        <f t="shared" si="7"/>
        <v>963.31999999999994</v>
      </c>
      <c r="W28" s="325">
        <v>12.89</v>
      </c>
      <c r="X28" s="325">
        <v>7.2</v>
      </c>
      <c r="Y28" s="325">
        <v>0.47</v>
      </c>
      <c r="Z28" s="325">
        <f t="shared" si="8"/>
        <v>7.67</v>
      </c>
      <c r="AA28" s="185"/>
      <c r="AB28" s="325"/>
    </row>
    <row r="29" spans="2:28" x14ac:dyDescent="0.25">
      <c r="B29" s="328">
        <f t="shared" ca="1" si="0"/>
        <v>46306</v>
      </c>
      <c r="C29" s="328" t="s">
        <v>233</v>
      </c>
      <c r="D29" t="s">
        <v>138</v>
      </c>
      <c r="E29" s="328">
        <v>46149</v>
      </c>
      <c r="F29" s="328">
        <v>46150</v>
      </c>
      <c r="G29" s="328">
        <v>45785</v>
      </c>
      <c r="H29" s="328">
        <v>48707</v>
      </c>
      <c r="I29">
        <v>7.72</v>
      </c>
      <c r="J29" s="3">
        <f t="shared" si="1"/>
        <v>8.1592800990467751</v>
      </c>
      <c r="K29" s="3">
        <v>9</v>
      </c>
      <c r="L29" s="325">
        <f t="shared" si="2"/>
        <v>67.55</v>
      </c>
      <c r="M29" s="325">
        <f t="shared" si="3"/>
        <v>2.25</v>
      </c>
      <c r="N29">
        <f t="shared" ca="1" si="4"/>
        <v>5</v>
      </c>
      <c r="P29" s="325">
        <f t="shared" ca="1" si="5"/>
        <v>340</v>
      </c>
      <c r="Q29" s="325">
        <v>10500</v>
      </c>
      <c r="R29" s="367">
        <v>94.102588749999995</v>
      </c>
      <c r="S29" s="367">
        <v>95.238100000000003</v>
      </c>
      <c r="T29" s="325">
        <f t="shared" si="6"/>
        <v>9880.7718187499995</v>
      </c>
      <c r="U29" s="325">
        <f>ROUND(TitulosActivos[[#This Row],[Valor 
Comprado Sin Comisión]]+TitulosActivos[[#This Row],[Total 
Comisiones]],2)</f>
        <v>9934.7000000000007</v>
      </c>
      <c r="V29" s="325">
        <f t="shared" si="7"/>
        <v>10000</v>
      </c>
      <c r="W29" s="325">
        <v>65.3</v>
      </c>
      <c r="X29" s="325">
        <v>48.99</v>
      </c>
      <c r="Y29" s="325">
        <v>4.9399999999999977</v>
      </c>
      <c r="Z29" s="325">
        <f t="shared" si="8"/>
        <v>53.93</v>
      </c>
      <c r="AA29" s="185">
        <v>367011</v>
      </c>
    </row>
    <row r="30" spans="2:28" x14ac:dyDescent="0.25">
      <c r="B30" s="328">
        <f t="shared" ca="1" si="0"/>
        <v>46306</v>
      </c>
      <c r="C30" s="328" t="s">
        <v>233</v>
      </c>
      <c r="D30" t="s">
        <v>47</v>
      </c>
      <c r="E30" s="328">
        <v>46149</v>
      </c>
      <c r="F30" s="328">
        <v>46150</v>
      </c>
      <c r="G30" s="328">
        <v>45785</v>
      </c>
      <c r="H30" s="328">
        <v>48707</v>
      </c>
      <c r="I30">
        <v>7.72</v>
      </c>
      <c r="J30" s="3">
        <f t="shared" si="1"/>
        <v>8.1751953949707161</v>
      </c>
      <c r="K30" s="3">
        <v>9</v>
      </c>
      <c r="L30" s="325">
        <f t="shared" si="2"/>
        <v>122.45849999999997</v>
      </c>
      <c r="M30" s="325">
        <f t="shared" si="3"/>
        <v>4.0784999999999769</v>
      </c>
      <c r="N30">
        <f t="shared" ca="1" si="4"/>
        <v>5</v>
      </c>
      <c r="P30" s="325">
        <f t="shared" ca="1" si="5"/>
        <v>616.37099999999987</v>
      </c>
      <c r="Q30" s="325">
        <v>19035</v>
      </c>
      <c r="R30" s="367">
        <v>94.102588749999995</v>
      </c>
      <c r="S30" s="367">
        <v>95.053899999999999</v>
      </c>
      <c r="T30" s="325">
        <f t="shared" si="6"/>
        <v>17912.427768562498</v>
      </c>
      <c r="U30" s="325">
        <f>ROUND(TitulosActivos[[#This Row],[Valor 
Comprado Sin Comisión]]+TitulosActivos[[#This Row],[Total 
Comisiones]],2)</f>
        <v>17975.13</v>
      </c>
      <c r="V30" s="325">
        <f t="shared" si="7"/>
        <v>18093.510000000002</v>
      </c>
      <c r="W30" s="325">
        <v>118.38</v>
      </c>
      <c r="X30" s="325">
        <v>53.74</v>
      </c>
      <c r="Y30" s="325">
        <v>8.9600000000000009</v>
      </c>
      <c r="Z30" s="325">
        <f t="shared" si="8"/>
        <v>62.7</v>
      </c>
      <c r="AA30" s="185">
        <v>367012</v>
      </c>
    </row>
    <row r="31" spans="2:28" x14ac:dyDescent="0.25">
      <c r="B31" s="328">
        <f t="shared" ca="1" si="0"/>
        <v>46306</v>
      </c>
      <c r="C31" s="328" t="s">
        <v>233</v>
      </c>
      <c r="D31" t="s">
        <v>47</v>
      </c>
      <c r="E31" s="328">
        <v>46149</v>
      </c>
      <c r="F31" s="328">
        <v>46344</v>
      </c>
      <c r="G31" s="328">
        <v>45614</v>
      </c>
      <c r="H31" s="328">
        <v>48901</v>
      </c>
      <c r="I31">
        <v>6.21</v>
      </c>
      <c r="J31" s="3">
        <f t="shared" si="1"/>
        <v>7.1013604149573917</v>
      </c>
      <c r="K31" s="3">
        <v>9</v>
      </c>
      <c r="L31" s="325">
        <f t="shared" si="2"/>
        <v>188.11125000000001</v>
      </c>
      <c r="M31" s="325">
        <f t="shared" si="3"/>
        <v>68.971250000000012</v>
      </c>
      <c r="N31">
        <f t="shared" ca="1" si="4"/>
        <v>0</v>
      </c>
      <c r="P31" s="325">
        <f t="shared" ca="1" si="5"/>
        <v>68.971250000000012</v>
      </c>
      <c r="Q31" s="325">
        <v>36350</v>
      </c>
      <c r="R31" s="367">
        <v>87.142490370000004</v>
      </c>
      <c r="S31" s="367">
        <v>87.775800000000004</v>
      </c>
      <c r="T31" s="325">
        <f t="shared" si="6"/>
        <v>31676.295249495004</v>
      </c>
      <c r="U31" s="325">
        <f>ROUND(TitulosActivos[[#This Row],[Valor 
Comprado Sin Comisión]]+TitulosActivos[[#This Row],[Total 
Comisiones]],2)</f>
        <v>31787.360000000001</v>
      </c>
      <c r="V31" s="325">
        <f t="shared" si="7"/>
        <v>31906.5</v>
      </c>
      <c r="W31" s="325">
        <v>119.14</v>
      </c>
      <c r="X31" s="325">
        <v>95.22</v>
      </c>
      <c r="Y31" s="325">
        <v>15.84</v>
      </c>
      <c r="Z31" s="325">
        <f t="shared" si="8"/>
        <v>111.06</v>
      </c>
      <c r="AA31" s="185">
        <v>367031</v>
      </c>
    </row>
    <row r="32" spans="2:28" x14ac:dyDescent="0.25">
      <c r="B32" s="328">
        <f t="shared" ca="1" si="0"/>
        <v>46306</v>
      </c>
      <c r="C32" s="328" t="s">
        <v>233</v>
      </c>
      <c r="D32" t="s">
        <v>46</v>
      </c>
      <c r="E32" s="328">
        <v>46154</v>
      </c>
      <c r="F32" s="328">
        <v>46350</v>
      </c>
      <c r="G32" s="328">
        <v>45985</v>
      </c>
      <c r="H32" s="328">
        <v>47811</v>
      </c>
      <c r="I32">
        <v>9.25</v>
      </c>
      <c r="J32" s="3">
        <f t="shared" si="1"/>
        <v>9.3024382557521665</v>
      </c>
      <c r="K32" s="3">
        <v>9.7256250000000009</v>
      </c>
      <c r="L32" s="325">
        <f t="shared" si="2"/>
        <v>174.77281458333334</v>
      </c>
      <c r="M32" s="325">
        <f>1048.64/6</f>
        <v>174.77333333333334</v>
      </c>
      <c r="N32">
        <f t="shared" ca="1" si="4"/>
        <v>0</v>
      </c>
      <c r="P32" s="325">
        <f t="shared" ca="1" si="5"/>
        <v>174.77333333333334</v>
      </c>
      <c r="Q32" s="325">
        <v>22673.23</v>
      </c>
      <c r="R32" s="367">
        <v>99.089471349999997</v>
      </c>
      <c r="S32" s="367">
        <v>10.375299999999999</v>
      </c>
      <c r="T32" s="325">
        <f t="shared" si="6"/>
        <v>22466.783744969605</v>
      </c>
      <c r="U32" s="325">
        <f>ROUND(TitulosActivos[[#This Row],[Valor 
Comprado Sin Comisión]]+TitulosActivos[[#This Row],[Total 
Comisiones]],2)</f>
        <v>22545.42</v>
      </c>
      <c r="V32" s="325">
        <f t="shared" si="7"/>
        <v>23524.149999999998</v>
      </c>
      <c r="W32" s="325">
        <v>978.73</v>
      </c>
      <c r="X32" s="325">
        <v>67.41</v>
      </c>
      <c r="Y32" s="325">
        <v>11.23</v>
      </c>
      <c r="Z32" s="325">
        <f t="shared" si="8"/>
        <v>78.64</v>
      </c>
      <c r="AA32" s="185">
        <v>367248</v>
      </c>
    </row>
    <row r="33" spans="2:27" x14ac:dyDescent="0.25">
      <c r="B33" s="328">
        <f t="shared" ca="1" si="0"/>
        <v>46306</v>
      </c>
      <c r="C33" s="328" t="s">
        <v>233</v>
      </c>
      <c r="D33" t="s">
        <v>47</v>
      </c>
      <c r="E33" s="328">
        <v>46157</v>
      </c>
      <c r="F33" s="328">
        <v>46180</v>
      </c>
      <c r="G33" s="328">
        <v>46149</v>
      </c>
      <c r="H33" s="328">
        <v>49436</v>
      </c>
      <c r="I33">
        <v>7.93</v>
      </c>
      <c r="J33" s="3">
        <f t="shared" si="1"/>
        <v>8.7106450450091284</v>
      </c>
      <c r="K33" s="3">
        <v>9.9247584100000008</v>
      </c>
      <c r="L33" s="325">
        <f t="shared" si="2"/>
        <v>131.09281250000001</v>
      </c>
      <c r="M33" s="325">
        <f t="shared" ref="M33:M39" si="9">L33-W33</f>
        <v>96.1328125</v>
      </c>
      <c r="N33">
        <f t="shared" ca="1" si="4"/>
        <v>4</v>
      </c>
      <c r="P33" s="325">
        <f t="shared" ca="1" si="5"/>
        <v>620.50406250000003</v>
      </c>
      <c r="Q33" s="325">
        <v>19837.5</v>
      </c>
      <c r="R33" s="367">
        <v>90.540085669999996</v>
      </c>
      <c r="S33" s="367">
        <v>91.214299999999994</v>
      </c>
      <c r="T33" s="325">
        <f t="shared" si="6"/>
        <v>17960.88949478625</v>
      </c>
      <c r="U33" s="325">
        <f>ROUND(TitulosActivos[[#This Row],[Valor 
Comprado Sin Comisión]]+TitulosActivos[[#This Row],[Total 
Comisiones]],2)</f>
        <v>18059.669999999998</v>
      </c>
      <c r="V33" s="325">
        <f t="shared" si="7"/>
        <v>18094.629999999997</v>
      </c>
      <c r="W33" s="325">
        <v>34.96</v>
      </c>
      <c r="X33" s="325">
        <v>89.8</v>
      </c>
      <c r="Y33" s="325">
        <v>8.980000000000004</v>
      </c>
      <c r="Z33" s="325">
        <f t="shared" si="8"/>
        <v>98.78</v>
      </c>
      <c r="AA33" s="185">
        <v>367517</v>
      </c>
    </row>
    <row r="34" spans="2:27" x14ac:dyDescent="0.25">
      <c r="B34" s="328">
        <f t="shared" ca="1" si="0"/>
        <v>46306</v>
      </c>
      <c r="C34" s="328" t="s">
        <v>233</v>
      </c>
      <c r="D34" t="s">
        <v>47</v>
      </c>
      <c r="E34" s="328">
        <v>46162</v>
      </c>
      <c r="F34" s="328">
        <v>46168</v>
      </c>
      <c r="G34" s="328">
        <v>45042</v>
      </c>
      <c r="H34" s="328">
        <v>47234</v>
      </c>
      <c r="I34">
        <v>5.36</v>
      </c>
      <c r="J34" s="3">
        <f t="shared" si="1"/>
        <v>5.8463063956370842</v>
      </c>
      <c r="K34" s="3">
        <v>9</v>
      </c>
      <c r="L34" s="325">
        <f t="shared" si="2"/>
        <v>12.774666666666667</v>
      </c>
      <c r="M34" s="325">
        <f t="shared" si="9"/>
        <v>2.554666666666666</v>
      </c>
      <c r="N34">
        <f t="shared" ca="1" si="4"/>
        <v>4</v>
      </c>
      <c r="P34" s="325">
        <f t="shared" ca="1" si="5"/>
        <v>53.653333333333336</v>
      </c>
      <c r="Q34" s="325">
        <v>2860</v>
      </c>
      <c r="R34" s="367">
        <v>91.358956419999998</v>
      </c>
      <c r="S34" s="367">
        <v>92.039199999999994</v>
      </c>
      <c r="T34" s="325">
        <f t="shared" si="6"/>
        <v>2612.8661536119998</v>
      </c>
      <c r="U34" s="325">
        <f>ROUND(TitulosActivos[[#This Row],[Valor 
Comprado Sin Comisión]]+TitulosActivos[[#This Row],[Total 
Comisiones]],2)</f>
        <v>2622.1</v>
      </c>
      <c r="V34" s="325">
        <f t="shared" si="7"/>
        <v>2632.3199999999997</v>
      </c>
      <c r="W34" s="325">
        <v>10.220000000000001</v>
      </c>
      <c r="X34" s="325">
        <v>5.23</v>
      </c>
      <c r="Y34" s="325">
        <v>4</v>
      </c>
      <c r="Z34" s="325">
        <f t="shared" si="8"/>
        <v>9.23</v>
      </c>
      <c r="AA34" s="185">
        <v>367706</v>
      </c>
    </row>
    <row r="35" spans="2:27" x14ac:dyDescent="0.25">
      <c r="B35" s="328">
        <f t="shared" ca="1" si="0"/>
        <v>46306</v>
      </c>
      <c r="C35" s="328" t="s">
        <v>233</v>
      </c>
      <c r="D35" t="s">
        <v>47</v>
      </c>
      <c r="E35" s="328">
        <v>46185</v>
      </c>
      <c r="F35" s="328">
        <v>46199</v>
      </c>
      <c r="G35" s="328">
        <v>45042</v>
      </c>
      <c r="H35" s="328">
        <v>47234</v>
      </c>
      <c r="I35">
        <v>5.36</v>
      </c>
      <c r="J35" s="3">
        <f t="shared" si="1"/>
        <v>5.8313852608557379</v>
      </c>
      <c r="K35" s="3">
        <v>9</v>
      </c>
      <c r="L35" s="325">
        <f t="shared" si="2"/>
        <v>17.419999999999998</v>
      </c>
      <c r="M35" s="325">
        <f t="shared" si="9"/>
        <v>6.3899999999999988</v>
      </c>
      <c r="N35">
        <f t="shared" ca="1" si="4"/>
        <v>3</v>
      </c>
      <c r="P35" s="325">
        <f t="shared" ca="1" si="5"/>
        <v>58.649999999999991</v>
      </c>
      <c r="Q35" s="325">
        <v>3900</v>
      </c>
      <c r="R35" s="367">
        <v>91.557485029999995</v>
      </c>
      <c r="S35" s="367">
        <v>92.039199999999994</v>
      </c>
      <c r="T35" s="325">
        <f t="shared" si="6"/>
        <v>3570.74191617</v>
      </c>
      <c r="U35" s="325">
        <f>ROUND(TitulosActivos[[#This Row],[Valor 
Comprado Sin Comisión]]+TitulosActivos[[#This Row],[Total 
Comisiones]],2)</f>
        <v>3584.74</v>
      </c>
      <c r="V35" s="325">
        <f t="shared" si="7"/>
        <v>3595.77</v>
      </c>
      <c r="W35" s="325">
        <v>11.03</v>
      </c>
      <c r="X35" s="325">
        <v>10</v>
      </c>
      <c r="Y35" s="325">
        <v>4</v>
      </c>
      <c r="Z35" s="325">
        <f t="shared" si="8"/>
        <v>14</v>
      </c>
      <c r="AA35" s="185">
        <v>369184</v>
      </c>
    </row>
    <row r="36" spans="2:27" x14ac:dyDescent="0.25">
      <c r="B36" s="328">
        <f t="shared" ca="1" si="0"/>
        <v>46306</v>
      </c>
      <c r="C36" s="328" t="s">
        <v>233</v>
      </c>
      <c r="D36" t="s">
        <v>48</v>
      </c>
      <c r="E36" s="328">
        <v>46188</v>
      </c>
      <c r="F36" s="328">
        <v>46190</v>
      </c>
      <c r="G36" s="328">
        <v>45063</v>
      </c>
      <c r="H36" s="328">
        <v>48351</v>
      </c>
      <c r="I36">
        <v>6.21</v>
      </c>
      <c r="J36" s="3">
        <f t="shared" si="1"/>
        <v>6.8860554897139732</v>
      </c>
      <c r="K36" s="3">
        <v>8.5</v>
      </c>
      <c r="L36" s="325">
        <f t="shared" si="2"/>
        <v>51.905250000000002</v>
      </c>
      <c r="M36" s="325">
        <f t="shared" si="9"/>
        <v>3.4652500000000046</v>
      </c>
      <c r="N36">
        <f t="shared" ca="1" si="4"/>
        <v>3</v>
      </c>
      <c r="P36" s="325">
        <f t="shared" ca="1" si="5"/>
        <v>159.18100000000001</v>
      </c>
      <c r="Q36" s="325">
        <v>10030</v>
      </c>
      <c r="R36" s="367">
        <v>89.957270289999997</v>
      </c>
      <c r="S36" s="367">
        <v>90.665199999999999</v>
      </c>
      <c r="T36" s="325">
        <f t="shared" si="6"/>
        <v>9022.7142100869987</v>
      </c>
      <c r="U36" s="325">
        <f>ROUND(TitulosActivos[[#This Row],[Valor 
Comprado Sin Comisión]]+TitulosActivos[[#This Row],[Total 
Comisiones]],2)</f>
        <v>9045.2800000000007</v>
      </c>
      <c r="V36" s="325">
        <f t="shared" si="7"/>
        <v>9093.7200000000012</v>
      </c>
      <c r="W36" s="325">
        <v>48.44</v>
      </c>
      <c r="X36" s="325">
        <v>18.059999999999999</v>
      </c>
      <c r="Y36" s="325">
        <v>4.51</v>
      </c>
      <c r="Z36" s="325">
        <f t="shared" si="8"/>
        <v>22.57</v>
      </c>
      <c r="AA36" s="185">
        <v>369242</v>
      </c>
    </row>
    <row r="37" spans="2:27" x14ac:dyDescent="0.25">
      <c r="B37" s="328">
        <f t="shared" ca="1" si="0"/>
        <v>46306</v>
      </c>
      <c r="C37" s="328" t="s">
        <v>233</v>
      </c>
      <c r="D37" t="s">
        <v>48</v>
      </c>
      <c r="E37" s="328">
        <v>46188</v>
      </c>
      <c r="F37" s="328">
        <v>46210</v>
      </c>
      <c r="G37" s="328">
        <v>46149</v>
      </c>
      <c r="H37" s="328">
        <v>47610</v>
      </c>
      <c r="I37">
        <v>6.82</v>
      </c>
      <c r="J37" s="3">
        <f t="shared" si="1"/>
        <v>7.1868349580502491</v>
      </c>
      <c r="K37" s="3">
        <v>9</v>
      </c>
      <c r="L37" s="325">
        <f t="shared" si="2"/>
        <v>78.657333333333341</v>
      </c>
      <c r="M37" s="325">
        <f t="shared" si="9"/>
        <v>57.677333333333337</v>
      </c>
      <c r="N37">
        <f t="shared" ca="1" si="4"/>
        <v>3</v>
      </c>
      <c r="P37" s="325">
        <f t="shared" ca="1" si="5"/>
        <v>293.6493333333334</v>
      </c>
      <c r="Q37" s="325">
        <v>13840</v>
      </c>
      <c r="R37" s="367">
        <v>94.753583449999994</v>
      </c>
      <c r="S37" s="367">
        <v>95.047300000000007</v>
      </c>
      <c r="T37" s="325">
        <f t="shared" si="6"/>
        <v>13113.895949479998</v>
      </c>
      <c r="U37" s="325">
        <f>ROUND(TitulosActivos[[#This Row],[Valor 
Comprado Sin Comisión]]+TitulosActivos[[#This Row],[Total 
Comisiones]],2)</f>
        <v>13133.57</v>
      </c>
      <c r="V37" s="325">
        <f t="shared" si="7"/>
        <v>13154.55</v>
      </c>
      <c r="W37" s="325">
        <v>20.98</v>
      </c>
      <c r="X37" s="325">
        <v>13.11</v>
      </c>
      <c r="Y37" s="325">
        <v>6.56</v>
      </c>
      <c r="Z37" s="325">
        <f t="shared" si="8"/>
        <v>19.669999999999998</v>
      </c>
      <c r="AA37" s="185">
        <v>369237</v>
      </c>
    </row>
    <row r="38" spans="2:27" x14ac:dyDescent="0.25">
      <c r="B38" s="328">
        <f t="shared" ca="1" si="0"/>
        <v>46306</v>
      </c>
      <c r="C38" s="328" t="s">
        <v>233</v>
      </c>
      <c r="D38" t="s">
        <v>47</v>
      </c>
      <c r="E38" s="328">
        <v>46211</v>
      </c>
      <c r="F38" s="328">
        <v>46236</v>
      </c>
      <c r="G38" s="328">
        <v>46205</v>
      </c>
      <c r="H38" s="328">
        <v>49127</v>
      </c>
      <c r="I38">
        <v>7.72</v>
      </c>
      <c r="J38" s="3">
        <f t="shared" si="1"/>
        <v>8.4239624631724439</v>
      </c>
      <c r="K38" s="3">
        <v>9.25</v>
      </c>
      <c r="L38" s="325">
        <f t="shared" si="2"/>
        <v>15.44</v>
      </c>
      <c r="M38" s="325">
        <f t="shared" si="9"/>
        <v>12.35</v>
      </c>
      <c r="N38">
        <f t="shared" ca="1" si="4"/>
        <v>2</v>
      </c>
      <c r="P38" s="325">
        <f t="shared" ca="1" si="5"/>
        <v>43.23</v>
      </c>
      <c r="Q38" s="325">
        <v>2400</v>
      </c>
      <c r="R38" s="367">
        <v>91.385374780000006</v>
      </c>
      <c r="S38" s="367">
        <v>91.772099999999995</v>
      </c>
      <c r="T38" s="325">
        <f t="shared" si="6"/>
        <v>2193.2489947200002</v>
      </c>
      <c r="U38" s="325">
        <f>ROUND(TitulosActivos[[#This Row],[Valor 
Comprado Sin Comisión]]+TitulosActivos[[#This Row],[Total 
Comisiones]],2)</f>
        <v>2199.44</v>
      </c>
      <c r="V38" s="325">
        <f t="shared" si="7"/>
        <v>2202.5300000000002</v>
      </c>
      <c r="W38" s="325">
        <v>3.09</v>
      </c>
      <c r="X38" s="325">
        <v>2.19</v>
      </c>
      <c r="Y38" s="325">
        <v>4</v>
      </c>
      <c r="Z38" s="325">
        <f t="shared" si="8"/>
        <v>6.1899999999999995</v>
      </c>
      <c r="AA38" s="185">
        <v>370488</v>
      </c>
    </row>
    <row r="39" spans="2:27" x14ac:dyDescent="0.25">
      <c r="B39" s="328">
        <f t="shared" ca="1" si="0"/>
        <v>46306</v>
      </c>
      <c r="C39" s="328" t="s">
        <v>233</v>
      </c>
      <c r="D39" t="s">
        <v>138</v>
      </c>
      <c r="E39" s="328">
        <v>46218</v>
      </c>
      <c r="F39" s="328">
        <v>46236</v>
      </c>
      <c r="G39" s="328">
        <v>46205</v>
      </c>
      <c r="H39" s="328">
        <v>48762</v>
      </c>
      <c r="I39">
        <v>7.54</v>
      </c>
      <c r="J39" s="3">
        <f t="shared" si="1"/>
        <v>8.2232616756743653</v>
      </c>
      <c r="K39" s="3">
        <v>9.25</v>
      </c>
      <c r="L39" s="325">
        <f t="shared" si="2"/>
        <v>19.7925</v>
      </c>
      <c r="M39" s="325">
        <f t="shared" si="9"/>
        <v>10.5525</v>
      </c>
      <c r="N39">
        <f t="shared" ca="1" si="4"/>
        <v>2</v>
      </c>
      <c r="P39" s="325">
        <f t="shared" ca="1" si="5"/>
        <v>50.137500000000003</v>
      </c>
      <c r="Q39" s="325">
        <v>3150</v>
      </c>
      <c r="R39" s="367">
        <v>91.246731530000005</v>
      </c>
      <c r="S39" s="367">
        <f>TitulosActivos[[#This Row],[Valor Comprado Con Comisión]]/TitulosActivos[[#This Row],[Valor 
Nominal]]*100</f>
        <v>91.691111111111113</v>
      </c>
      <c r="T39" s="325">
        <f t="shared" si="6"/>
        <v>2874.2720431950002</v>
      </c>
      <c r="U39" s="325">
        <f>ROUND(TitulosActivos[[#This Row],[Valor 
Comprado Sin Comisión]]+TitulosActivos[[#This Row],[Total 
Comisiones]],2)</f>
        <v>2888.27</v>
      </c>
      <c r="V39" s="325">
        <f t="shared" si="7"/>
        <v>2897.5099999999998</v>
      </c>
      <c r="W39" s="325">
        <v>9.24</v>
      </c>
      <c r="X39" s="325">
        <v>10</v>
      </c>
      <c r="Y39" s="325">
        <v>4</v>
      </c>
      <c r="Z39" s="325">
        <f t="shared" si="8"/>
        <v>14</v>
      </c>
      <c r="AA39" s="185">
        <v>371008</v>
      </c>
    </row>
    <row r="40" spans="2:27" x14ac:dyDescent="0.25">
      <c r="B40" s="328">
        <f t="shared" ca="1" si="0"/>
        <v>46306</v>
      </c>
      <c r="C40" s="328" t="s">
        <v>233</v>
      </c>
      <c r="D40" t="s">
        <v>138</v>
      </c>
      <c r="E40" s="328">
        <v>46300</v>
      </c>
      <c r="F40" s="328">
        <v>46310</v>
      </c>
      <c r="G40" s="328">
        <v>45488</v>
      </c>
      <c r="H40" s="328">
        <v>46949</v>
      </c>
      <c r="I40">
        <v>4.91</v>
      </c>
      <c r="J40" s="3">
        <f t="shared" ref="J40" si="10">L40*12/U40*100</f>
        <v>5.121704139750924</v>
      </c>
      <c r="K40" s="3">
        <v>8</v>
      </c>
      <c r="L40" s="325">
        <f t="shared" ref="L40" si="11">Q40*I40/100/12</f>
        <v>17.872400000000003</v>
      </c>
      <c r="M40" s="325">
        <f t="shared" ref="M40" si="12">L40-W40</f>
        <v>5.8724000000000025</v>
      </c>
      <c r="N40">
        <f t="shared" ref="N40" ca="1" si="13">IF(F40="", 0, IF(B40&gt;F40,INT((B40-F40)/30),0))</f>
        <v>0</v>
      </c>
      <c r="P40" s="325">
        <f t="shared" ref="P40" ca="1" si="14">L40*N40+M40+IF(B40&gt;F40,O40,0)</f>
        <v>5.8724000000000025</v>
      </c>
      <c r="Q40" s="325">
        <v>4368</v>
      </c>
      <c r="R40" s="367">
        <v>95.298428860000001</v>
      </c>
      <c r="S40" s="367">
        <f>TitulosActivos[[#This Row],[Valor Comprado Con Comisión]]/TitulosActivos[[#This Row],[Valor 
Nominal]]*100</f>
        <v>95.866529304029299</v>
      </c>
      <c r="T40" s="325">
        <f t="shared" ref="T40" si="15">Q40*R40/100</f>
        <v>4162.6353726048001</v>
      </c>
      <c r="U40" s="325">
        <f>ROUND(TitulosActivos[[#This Row],[Valor 
Comprado Sin Comisión]]+TitulosActivos[[#This Row],[Total 
Comisiones]],2)</f>
        <v>4187.45</v>
      </c>
      <c r="V40" s="325">
        <f t="shared" ref="V40" si="16">U40+W40</f>
        <v>4199.45</v>
      </c>
      <c r="W40" s="325">
        <v>12</v>
      </c>
      <c r="X40" s="325">
        <v>20.81</v>
      </c>
      <c r="Y40" s="325">
        <v>4</v>
      </c>
      <c r="Z40" s="325">
        <f t="shared" ref="Z40" si="17">X40+Y40</f>
        <v>24.81</v>
      </c>
      <c r="AA40" s="185">
        <v>375852</v>
      </c>
    </row>
    <row r="43" spans="2:27" x14ac:dyDescent="0.25">
      <c r="Q43" s="325"/>
    </row>
  </sheetData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AQ158"/>
  <sheetViews>
    <sheetView zoomScale="120" zoomScaleNormal="120" workbookViewId="0">
      <pane ySplit="2" topLeftCell="A145" activePane="bottomLeft" state="frozen"/>
      <selection pane="bottomLeft" activeCell="G167" sqref="G167"/>
    </sheetView>
  </sheetViews>
  <sheetFormatPr baseColWidth="10" defaultRowHeight="15" x14ac:dyDescent="0.25"/>
  <cols>
    <col min="1" max="1" width="2.7109375" customWidth="1"/>
    <col min="2" max="2" width="13.5703125" customWidth="1"/>
    <col min="3" max="3" width="42.28515625" customWidth="1"/>
    <col min="5" max="5" width="13" customWidth="1"/>
    <col min="9" max="9" width="13.7109375" customWidth="1"/>
    <col min="12" max="12" width="12" customWidth="1"/>
    <col min="13" max="13" width="11.28515625" customWidth="1"/>
    <col min="14" max="14" width="18.7109375" customWidth="1"/>
    <col min="17" max="17" width="19.28515625" customWidth="1"/>
    <col min="18" max="18" width="10.28515625" customWidth="1"/>
    <col min="19" max="19" width="13.42578125" bestFit="1" customWidth="1"/>
    <col min="20" max="20" width="15.7109375" customWidth="1"/>
    <col min="21" max="21" width="15.42578125" bestFit="1" customWidth="1"/>
    <col min="22" max="22" width="16.42578125" bestFit="1" customWidth="1"/>
    <col min="26" max="26" width="17.28515625" customWidth="1"/>
    <col min="27" max="27" width="11.85546875" bestFit="1" customWidth="1"/>
    <col min="28" max="28" width="17" customWidth="1"/>
    <col min="29" max="29" width="13.140625" customWidth="1"/>
    <col min="30" max="30" width="13.42578125" bestFit="1" customWidth="1"/>
    <col min="31" max="31" width="14.5703125" bestFit="1" customWidth="1"/>
    <col min="33" max="33" width="14.5703125" customWidth="1"/>
    <col min="34" max="34" width="15.42578125" bestFit="1" customWidth="1"/>
    <col min="35" max="35" width="19.85546875" customWidth="1"/>
    <col min="36" max="36" width="19.28515625" customWidth="1"/>
    <col min="37" max="37" width="17.7109375" customWidth="1"/>
    <col min="38" max="38" width="13.7109375" bestFit="1" customWidth="1"/>
    <col min="39" max="39" width="12.5703125" style="416" customWidth="1"/>
    <col min="40" max="40" width="20.42578125" style="416" customWidth="1"/>
    <col min="41" max="41" width="22.7109375" style="416" customWidth="1"/>
    <col min="42" max="42" width="12.7109375" bestFit="1" customWidth="1"/>
    <col min="43" max="43" width="16.85546875" bestFit="1" customWidth="1"/>
  </cols>
  <sheetData>
    <row r="1" spans="2:43" s="32" customFormat="1" x14ac:dyDescent="0.25">
      <c r="M1" s="359"/>
      <c r="T1" s="326">
        <f>SUBTOTAL(9,TitulosVendidos[Valor 
Comprado Sin Comisión])</f>
        <v>1496139.8466237464</v>
      </c>
      <c r="U1" s="326">
        <f>SUBTOTAL(9,TitulosVendidos[Valor Comprado Con Comisión])</f>
        <v>1929922.9437700491</v>
      </c>
      <c r="V1" s="326">
        <f>SUBTOTAL(9,TitulosVendidos[PAGADO
incluye interés acumulado])</f>
        <v>1933894.0843063283</v>
      </c>
      <c r="AD1" s="346">
        <f>SUBTOTAL(9,TitulosVendidos[[Interes Previo Transacción ]])</f>
        <v>3756.7173806378569</v>
      </c>
      <c r="AE1" s="326">
        <f>SUBTOTAL(9,TitulosVendidos[Valor venta 
sin comisión])</f>
        <v>2034715.0921320396</v>
      </c>
      <c r="AH1" s="326">
        <f>SUBTOTAL(9,TitulosVendidos[Valor Venta Con Comisión])</f>
        <v>2022370.5388544421</v>
      </c>
      <c r="AI1" s="326"/>
      <c r="AJ1" s="347">
        <f>SUBTOTAL(9,TitulosVendidos[Utilidad Considera 
Comisión
(Ganancia de Capital)])</f>
        <v>98918.635084393361</v>
      </c>
      <c r="AK1" s="326">
        <f>SUBTOTAL(9,TitulosVendidos[Utilidad / Pérdida
(Rendimiento Total)])</f>
        <v>185987.48147127373</v>
      </c>
      <c r="AL1" s="32">
        <f>SUBTOTAL(9,TitulosVendidos[Dias 
Transcurridos])</f>
        <v>40086</v>
      </c>
      <c r="AM1" s="413"/>
      <c r="AN1" s="413"/>
      <c r="AO1" s="413"/>
      <c r="AP1" s="326">
        <f>SUBTOTAL(9,TitulosVendidos[Total Comisiones Santa Fe])</f>
        <v>16634.026520147494</v>
      </c>
    </row>
    <row r="2" spans="2:43" s="343" customFormat="1" ht="57.6" customHeight="1" x14ac:dyDescent="0.25">
      <c r="B2" s="343" t="s">
        <v>272</v>
      </c>
      <c r="C2" s="343" t="s">
        <v>3</v>
      </c>
      <c r="D2" s="343" t="s">
        <v>62</v>
      </c>
      <c r="E2" s="343" t="s">
        <v>250</v>
      </c>
      <c r="F2" s="343" t="s">
        <v>251</v>
      </c>
      <c r="G2" s="343" t="s">
        <v>252</v>
      </c>
      <c r="H2" s="343" t="s">
        <v>253</v>
      </c>
      <c r="I2" s="343" t="s">
        <v>254</v>
      </c>
      <c r="J2" s="343" t="s">
        <v>255</v>
      </c>
      <c r="K2" s="343" t="s">
        <v>256</v>
      </c>
      <c r="L2" s="348" t="s">
        <v>257</v>
      </c>
      <c r="M2" s="343" t="s">
        <v>258</v>
      </c>
      <c r="N2" s="343" t="s">
        <v>259</v>
      </c>
      <c r="O2" s="343" t="s">
        <v>260</v>
      </c>
      <c r="P2" s="344" t="s">
        <v>261</v>
      </c>
      <c r="Q2" s="345" t="s">
        <v>262</v>
      </c>
      <c r="R2" s="343" t="s">
        <v>263</v>
      </c>
      <c r="S2" s="343" t="s">
        <v>264</v>
      </c>
      <c r="T2" s="343" t="s">
        <v>265</v>
      </c>
      <c r="U2" s="349" t="s">
        <v>266</v>
      </c>
      <c r="V2" s="344" t="s">
        <v>267</v>
      </c>
      <c r="W2" s="344" t="s">
        <v>268</v>
      </c>
      <c r="X2" s="344" t="s">
        <v>269</v>
      </c>
      <c r="Y2" s="344" t="s">
        <v>270</v>
      </c>
      <c r="Z2" s="344" t="s">
        <v>271</v>
      </c>
      <c r="AA2" s="343" t="s">
        <v>72</v>
      </c>
      <c r="AB2" s="350" t="s">
        <v>273</v>
      </c>
      <c r="AC2" s="350" t="s">
        <v>274</v>
      </c>
      <c r="AD2" s="350" t="s">
        <v>275</v>
      </c>
      <c r="AE2" s="343" t="s">
        <v>276</v>
      </c>
      <c r="AF2" s="350" t="s">
        <v>277</v>
      </c>
      <c r="AG2" s="350" t="s">
        <v>278</v>
      </c>
      <c r="AH2" s="351" t="s">
        <v>279</v>
      </c>
      <c r="AI2" s="343" t="s">
        <v>280</v>
      </c>
      <c r="AJ2" s="351" t="s">
        <v>281</v>
      </c>
      <c r="AK2" s="343" t="s">
        <v>282</v>
      </c>
      <c r="AL2" s="343" t="s">
        <v>283</v>
      </c>
      <c r="AM2" s="414" t="s">
        <v>284</v>
      </c>
      <c r="AN2" s="415" t="s">
        <v>285</v>
      </c>
      <c r="AO2" s="414" t="s">
        <v>286</v>
      </c>
      <c r="AP2" s="343" t="s">
        <v>287</v>
      </c>
      <c r="AQ2" s="343" t="s">
        <v>288</v>
      </c>
    </row>
    <row r="3" spans="2:43" x14ac:dyDescent="0.25">
      <c r="B3" s="328">
        <v>46127</v>
      </c>
      <c r="C3" s="328" t="s">
        <v>233</v>
      </c>
      <c r="D3" t="s">
        <v>47</v>
      </c>
      <c r="E3" s="328">
        <v>45819</v>
      </c>
      <c r="F3" s="328">
        <v>45823</v>
      </c>
      <c r="G3" s="328">
        <v>45488</v>
      </c>
      <c r="H3" s="328">
        <v>46583</v>
      </c>
      <c r="I3" s="3">
        <v>4.3</v>
      </c>
      <c r="J3" s="3">
        <f t="shared" ref="J3:J34" si="0">L3*12/U3*100</f>
        <v>4.640367533815235</v>
      </c>
      <c r="K3" s="3">
        <v>9</v>
      </c>
      <c r="L3" s="325">
        <f t="shared" ref="L3:L34" si="1">Q3*I3/100/12</f>
        <v>12.541666666666666</v>
      </c>
      <c r="M3" s="325">
        <f t="shared" ref="M3:M34" si="2">L3-W3</f>
        <v>1.6716666666666669</v>
      </c>
      <c r="N3">
        <f t="shared" ref="N3:N34" si="3">IF(F3="", 0, IF(B3&gt;F3,INT((B3-F3)/30),0))</f>
        <v>10</v>
      </c>
      <c r="O3" s="325"/>
      <c r="P3" s="325">
        <f t="shared" ref="P3:P34" si="4">L3*N3+M3+IF(B3&gt;F3,O3,0)</f>
        <v>127.08833333333332</v>
      </c>
      <c r="Q3" s="325">
        <v>3500</v>
      </c>
      <c r="R3" s="3">
        <v>92.050788089999998</v>
      </c>
      <c r="S3" s="3">
        <v>92.665073804285711</v>
      </c>
      <c r="T3" s="325">
        <f t="shared" ref="T3:T34" si="5">Q3*R3/100</f>
        <v>3221.7775831499998</v>
      </c>
      <c r="U3" s="325">
        <f t="shared" ref="U3:U34" si="6">Q3*S3/100</f>
        <v>3243.2775831499998</v>
      </c>
      <c r="V3" s="325">
        <f t="shared" ref="V3:V34" si="7">U3+W3</f>
        <v>3254.1475831499997</v>
      </c>
      <c r="W3" s="325">
        <v>10.87</v>
      </c>
      <c r="X3" s="325">
        <v>17.5</v>
      </c>
      <c r="Y3" s="325">
        <v>4</v>
      </c>
      <c r="Z3" s="325">
        <f t="shared" ref="Z3:Z34" si="8">X3+Y3</f>
        <v>21.5</v>
      </c>
      <c r="AA3" s="389"/>
      <c r="AB3" s="3">
        <v>95.997330000000005</v>
      </c>
      <c r="AC3" s="3"/>
      <c r="AD3" s="325">
        <v>0</v>
      </c>
      <c r="AE3" s="325">
        <f t="shared" ref="AE3:AE34" si="9">AB3*Q3/100</f>
        <v>3359.9065500000002</v>
      </c>
      <c r="AF3" s="325">
        <v>33.6</v>
      </c>
      <c r="AG3" s="325">
        <v>4</v>
      </c>
      <c r="AH3" s="325">
        <f t="shared" ref="AH3:AH34" si="10">AE3-AF3-AG3</f>
        <v>3322.3065500000002</v>
      </c>
      <c r="AI3" s="325">
        <f t="shared" ref="AI3:AI34" si="11">AE3-T3</f>
        <v>138.12896685000032</v>
      </c>
      <c r="AJ3" s="325">
        <f t="shared" ref="AJ3:AJ34" si="12">AH3-U3</f>
        <v>79.028966850000415</v>
      </c>
      <c r="AK3" s="325">
        <f t="shared" ref="AK3:AK34" si="13">AJ3+P3+AD3</f>
        <v>206.11730018333373</v>
      </c>
      <c r="AL3">
        <f t="shared" ref="AL3:AL34" si="14">B3-E3</f>
        <v>308</v>
      </c>
      <c r="AM3" s="411">
        <f t="shared" ref="AM3:AM34" si="15">AK3/U3</f>
        <v>6.3552161324145567E-2</v>
      </c>
      <c r="AN3" s="411">
        <f t="shared" ref="AN3:AN34" si="16">AK3/U3*365/AL3</f>
        <v>7.5313437932834848E-2</v>
      </c>
      <c r="AO3" s="411">
        <f t="shared" ref="AO3:AO34" si="17">POWER((1+AM3),(365/AL3))-1</f>
        <v>7.5748896006265776E-2</v>
      </c>
      <c r="AP3" s="384">
        <f>TitulosVendidos[[#This Row],[Comisión Santa Fe
Venta]]+TitulosVendidos[[#This Row],[Comisión Santa Fé
Compra]]</f>
        <v>51.1</v>
      </c>
      <c r="AQ3" s="385"/>
    </row>
    <row r="4" spans="2:43" x14ac:dyDescent="0.25">
      <c r="B4" s="328">
        <v>46126</v>
      </c>
      <c r="C4" s="328" t="s">
        <v>233</v>
      </c>
      <c r="D4" t="s">
        <v>47</v>
      </c>
      <c r="E4" s="328">
        <v>46078</v>
      </c>
      <c r="F4" s="328">
        <v>46092</v>
      </c>
      <c r="G4" s="328">
        <v>45118</v>
      </c>
      <c r="H4" s="328">
        <v>48771</v>
      </c>
      <c r="I4" s="3">
        <v>6.5</v>
      </c>
      <c r="J4" s="3">
        <f t="shared" si="0"/>
        <v>7.9820037861132036</v>
      </c>
      <c r="K4" s="3">
        <v>11.25</v>
      </c>
      <c r="L4" s="325">
        <f t="shared" si="1"/>
        <v>140.5625</v>
      </c>
      <c r="M4" s="325">
        <f t="shared" si="2"/>
        <v>74.962500000000006</v>
      </c>
      <c r="N4">
        <f t="shared" si="3"/>
        <v>1</v>
      </c>
      <c r="O4" s="325"/>
      <c r="P4" s="325">
        <f t="shared" si="4"/>
        <v>215.52500000000001</v>
      </c>
      <c r="Q4" s="325">
        <v>25950</v>
      </c>
      <c r="R4" s="3">
        <v>81.189640850000004</v>
      </c>
      <c r="S4" s="3">
        <v>81.433186129383444</v>
      </c>
      <c r="T4" s="325">
        <f t="shared" si="5"/>
        <v>21068.711800575002</v>
      </c>
      <c r="U4" s="325">
        <f t="shared" si="6"/>
        <v>21131.911800575006</v>
      </c>
      <c r="V4" s="325">
        <f t="shared" si="7"/>
        <v>21197.511800575005</v>
      </c>
      <c r="W4" s="325">
        <v>65.599999999999994</v>
      </c>
      <c r="X4" s="325">
        <v>52.67</v>
      </c>
      <c r="Y4" s="325">
        <v>10.53</v>
      </c>
      <c r="Z4" s="325">
        <f t="shared" si="8"/>
        <v>63.2</v>
      </c>
      <c r="AA4" s="389"/>
      <c r="AB4" s="3">
        <v>88.388559999999998</v>
      </c>
      <c r="AC4" s="3"/>
      <c r="AD4" s="325">
        <v>14.06</v>
      </c>
      <c r="AE4" s="325">
        <f t="shared" si="9"/>
        <v>22936.831319999998</v>
      </c>
      <c r="AF4" s="325">
        <v>229.37</v>
      </c>
      <c r="AG4" s="325">
        <v>11.47</v>
      </c>
      <c r="AH4" s="325">
        <f t="shared" si="10"/>
        <v>22695.991319999997</v>
      </c>
      <c r="AI4" s="325">
        <f t="shared" si="11"/>
        <v>1868.1195194249958</v>
      </c>
      <c r="AJ4" s="325">
        <f t="shared" si="12"/>
        <v>1564.0795194249913</v>
      </c>
      <c r="AK4" s="325">
        <f t="shared" si="13"/>
        <v>1793.6645194249913</v>
      </c>
      <c r="AL4">
        <f t="shared" si="14"/>
        <v>48</v>
      </c>
      <c r="AM4" s="411">
        <f t="shared" si="15"/>
        <v>8.4879424841068335E-2</v>
      </c>
      <c r="AN4" s="411">
        <f t="shared" si="16"/>
        <v>0.64543729306229047</v>
      </c>
      <c r="AO4" s="411">
        <f t="shared" si="17"/>
        <v>0.85800387506468745</v>
      </c>
      <c r="AP4" s="384">
        <f>TitulosVendidos[[#This Row],[Comisión Santa Fe
Venta]]+TitulosVendidos[[#This Row],[Comisión Santa Fé
Compra]]</f>
        <v>282.04000000000002</v>
      </c>
      <c r="AQ4" s="385"/>
    </row>
    <row r="5" spans="2:43" x14ac:dyDescent="0.25">
      <c r="B5" s="328">
        <v>46121</v>
      </c>
      <c r="C5" s="328" t="s">
        <v>233</v>
      </c>
      <c r="D5" t="s">
        <v>47</v>
      </c>
      <c r="E5" s="328">
        <v>45729</v>
      </c>
      <c r="F5" s="328">
        <v>45733</v>
      </c>
      <c r="G5" s="328">
        <v>45063</v>
      </c>
      <c r="H5" s="328">
        <v>47985</v>
      </c>
      <c r="I5" s="3">
        <v>5.93</v>
      </c>
      <c r="J5" s="3">
        <f t="shared" si="0"/>
        <v>7.4503161726522809</v>
      </c>
      <c r="K5" s="3">
        <v>11.25</v>
      </c>
      <c r="L5" s="325">
        <f t="shared" si="1"/>
        <v>59.300000000000004</v>
      </c>
      <c r="M5" s="325">
        <f t="shared" si="2"/>
        <v>7.9100000000000037</v>
      </c>
      <c r="N5">
        <f t="shared" si="3"/>
        <v>12</v>
      </c>
      <c r="O5" s="325"/>
      <c r="P5" s="325">
        <f t="shared" si="4"/>
        <v>719.51</v>
      </c>
      <c r="Q5" s="325">
        <v>12000</v>
      </c>
      <c r="R5" s="3">
        <v>79.304270860000003</v>
      </c>
      <c r="S5" s="3">
        <v>79.593937526666664</v>
      </c>
      <c r="T5" s="325">
        <f t="shared" si="5"/>
        <v>9516.5125031999996</v>
      </c>
      <c r="U5" s="325">
        <f t="shared" si="6"/>
        <v>9551.2725031999998</v>
      </c>
      <c r="V5" s="325">
        <f t="shared" si="7"/>
        <v>9602.6625031999993</v>
      </c>
      <c r="W5" s="325">
        <v>51.39</v>
      </c>
      <c r="X5" s="325">
        <v>30</v>
      </c>
      <c r="Y5" s="325">
        <v>4.76</v>
      </c>
      <c r="Z5" s="325">
        <f t="shared" si="8"/>
        <v>34.76</v>
      </c>
      <c r="AA5" s="389"/>
      <c r="AB5" s="3">
        <v>89.557850000000002</v>
      </c>
      <c r="AC5" s="3"/>
      <c r="AD5" s="325">
        <v>43.49</v>
      </c>
      <c r="AE5" s="325">
        <f t="shared" si="9"/>
        <v>10746.941999999999</v>
      </c>
      <c r="AF5" s="325">
        <v>107.47</v>
      </c>
      <c r="AG5" s="325">
        <v>5.37</v>
      </c>
      <c r="AH5" s="325">
        <f t="shared" si="10"/>
        <v>10634.101999999999</v>
      </c>
      <c r="AI5" s="325">
        <f t="shared" si="11"/>
        <v>1230.4294967999995</v>
      </c>
      <c r="AJ5" s="325">
        <f t="shared" si="12"/>
        <v>1082.8294967999991</v>
      </c>
      <c r="AK5" s="325">
        <f t="shared" si="13"/>
        <v>1845.8294967999991</v>
      </c>
      <c r="AL5">
        <f t="shared" si="14"/>
        <v>392</v>
      </c>
      <c r="AM5" s="411">
        <f t="shared" si="15"/>
        <v>0.19325482506980968</v>
      </c>
      <c r="AN5" s="411">
        <f t="shared" si="16"/>
        <v>0.17994390599612381</v>
      </c>
      <c r="AO5" s="411">
        <f t="shared" si="17"/>
        <v>0.17882138103046952</v>
      </c>
      <c r="AP5" s="384">
        <f>TitulosVendidos[[#This Row],[Comisión Santa Fe
Venta]]+TitulosVendidos[[#This Row],[Comisión Santa Fé
Compra]]</f>
        <v>137.47</v>
      </c>
      <c r="AQ5" s="385"/>
    </row>
    <row r="6" spans="2:43" x14ac:dyDescent="0.25">
      <c r="B6" s="328">
        <v>46121</v>
      </c>
      <c r="C6" s="328" t="s">
        <v>233</v>
      </c>
      <c r="D6" t="s">
        <v>47</v>
      </c>
      <c r="E6" s="328">
        <v>45726</v>
      </c>
      <c r="F6" s="328">
        <v>45758</v>
      </c>
      <c r="G6" s="328">
        <v>45118</v>
      </c>
      <c r="H6" s="328">
        <v>48406</v>
      </c>
      <c r="I6" s="3">
        <v>6.21</v>
      </c>
      <c r="J6" s="3">
        <f t="shared" si="0"/>
        <v>7.8610262547473315</v>
      </c>
      <c r="K6" s="3">
        <v>11.25</v>
      </c>
      <c r="L6" s="325">
        <f t="shared" si="1"/>
        <v>31.878</v>
      </c>
      <c r="M6" s="325">
        <f t="shared" si="2"/>
        <v>31.878</v>
      </c>
      <c r="N6">
        <f t="shared" si="3"/>
        <v>12</v>
      </c>
      <c r="O6" s="325"/>
      <c r="P6" s="325">
        <f t="shared" si="4"/>
        <v>414.41399999999999</v>
      </c>
      <c r="Q6" s="325">
        <v>6160</v>
      </c>
      <c r="R6" s="3">
        <v>78.696182800000003</v>
      </c>
      <c r="S6" s="3">
        <v>78.997319163636362</v>
      </c>
      <c r="T6" s="325">
        <f t="shared" si="5"/>
        <v>4847.6848604799998</v>
      </c>
      <c r="U6" s="325">
        <f t="shared" si="6"/>
        <v>4866.23486048</v>
      </c>
      <c r="V6" s="325">
        <f t="shared" si="7"/>
        <v>4866.23486048</v>
      </c>
      <c r="W6" s="325">
        <v>0</v>
      </c>
      <c r="X6" s="325">
        <v>14.55</v>
      </c>
      <c r="Y6" s="325">
        <v>4</v>
      </c>
      <c r="Z6" s="325">
        <f t="shared" si="8"/>
        <v>18.55</v>
      </c>
      <c r="AA6" s="389"/>
      <c r="AB6" s="3">
        <v>89.340159999999997</v>
      </c>
      <c r="AC6" s="3"/>
      <c r="AD6" s="325">
        <v>29.754154195479408</v>
      </c>
      <c r="AE6" s="325">
        <f t="shared" si="9"/>
        <v>5503.3538560000006</v>
      </c>
      <c r="AF6" s="325">
        <v>55.032469811126013</v>
      </c>
      <c r="AG6" s="325">
        <v>2.75289503560739</v>
      </c>
      <c r="AH6" s="325">
        <f t="shared" si="10"/>
        <v>5445.5684911532671</v>
      </c>
      <c r="AI6" s="325">
        <f t="shared" si="11"/>
        <v>655.66899552000086</v>
      </c>
      <c r="AJ6" s="325">
        <f t="shared" si="12"/>
        <v>579.33363067326718</v>
      </c>
      <c r="AK6" s="325">
        <f t="shared" si="13"/>
        <v>1023.5017848687465</v>
      </c>
      <c r="AL6">
        <f t="shared" si="14"/>
        <v>395</v>
      </c>
      <c r="AM6" s="411">
        <f t="shared" si="15"/>
        <v>0.210327247700451</v>
      </c>
      <c r="AN6" s="411">
        <f t="shared" si="16"/>
        <v>0.19435302635611296</v>
      </c>
      <c r="AO6" s="411">
        <f t="shared" si="17"/>
        <v>0.19290647124430937</v>
      </c>
      <c r="AP6" s="384">
        <f>TitulosVendidos[[#This Row],[Comisión Santa Fe
Venta]]+TitulosVendidos[[#This Row],[Comisión Santa Fé
Compra]]</f>
        <v>69.582469811126018</v>
      </c>
      <c r="AQ6" s="385"/>
    </row>
    <row r="7" spans="2:43" x14ac:dyDescent="0.25">
      <c r="B7" s="328">
        <v>46121</v>
      </c>
      <c r="C7" s="328" t="s">
        <v>233</v>
      </c>
      <c r="D7" t="s">
        <v>47</v>
      </c>
      <c r="E7" s="328">
        <v>46057</v>
      </c>
      <c r="F7" s="328">
        <v>46064</v>
      </c>
      <c r="G7" s="328">
        <v>45118</v>
      </c>
      <c r="H7" s="328">
        <v>48406</v>
      </c>
      <c r="I7" s="3">
        <v>6.21</v>
      </c>
      <c r="J7" s="3">
        <f t="shared" si="0"/>
        <v>7.5394021598707974</v>
      </c>
      <c r="K7" s="3">
        <v>11</v>
      </c>
      <c r="L7" s="325">
        <f t="shared" si="1"/>
        <v>18.262575000000002</v>
      </c>
      <c r="M7" s="325">
        <f t="shared" si="2"/>
        <v>4.2625750000000018</v>
      </c>
      <c r="N7">
        <f t="shared" si="3"/>
        <v>1</v>
      </c>
      <c r="O7" s="325"/>
      <c r="P7" s="325">
        <f t="shared" si="4"/>
        <v>22.525150000000004</v>
      </c>
      <c r="Q7" s="325">
        <v>3529</v>
      </c>
      <c r="R7" s="3">
        <v>82.007964950000002</v>
      </c>
      <c r="S7" s="3">
        <v>82.367273536001704</v>
      </c>
      <c r="T7" s="325">
        <f t="shared" si="5"/>
        <v>2894.0610830855003</v>
      </c>
      <c r="U7" s="325">
        <f t="shared" si="6"/>
        <v>2906.7410830855001</v>
      </c>
      <c r="V7" s="325">
        <f t="shared" si="7"/>
        <v>2920.7410830855001</v>
      </c>
      <c r="W7" s="325">
        <v>14</v>
      </c>
      <c r="X7" s="325">
        <v>8.68</v>
      </c>
      <c r="Y7" s="325">
        <v>4</v>
      </c>
      <c r="Z7" s="325">
        <f t="shared" si="8"/>
        <v>12.68</v>
      </c>
      <c r="AA7" s="389"/>
      <c r="AB7" s="3">
        <v>89.340159999999997</v>
      </c>
      <c r="AC7" s="3"/>
      <c r="AD7" s="325">
        <v>17.045845804520589</v>
      </c>
      <c r="AE7" s="325">
        <f t="shared" si="9"/>
        <v>3152.8142463999998</v>
      </c>
      <c r="AF7" s="325">
        <v>31.527530188873978</v>
      </c>
      <c r="AG7" s="325">
        <v>1.5771049643926101</v>
      </c>
      <c r="AH7" s="325">
        <f t="shared" si="10"/>
        <v>3119.7096112467329</v>
      </c>
      <c r="AI7" s="325">
        <f t="shared" si="11"/>
        <v>258.75316331449949</v>
      </c>
      <c r="AJ7" s="325">
        <f t="shared" si="12"/>
        <v>212.96852816123283</v>
      </c>
      <c r="AK7" s="325">
        <f t="shared" si="13"/>
        <v>252.5395239657534</v>
      </c>
      <c r="AL7">
        <f t="shared" si="14"/>
        <v>64</v>
      </c>
      <c r="AM7" s="411">
        <f t="shared" si="15"/>
        <v>8.6880639433383311E-2</v>
      </c>
      <c r="AN7" s="411">
        <f t="shared" si="16"/>
        <v>0.49549114676851419</v>
      </c>
      <c r="AO7" s="411">
        <f t="shared" si="17"/>
        <v>0.60823544266991703</v>
      </c>
      <c r="AP7" s="384">
        <f>TitulosVendidos[[#This Row],[Comisión Santa Fe
Venta]]+TitulosVendidos[[#This Row],[Comisión Santa Fé
Compra]]</f>
        <v>40.207530188873974</v>
      </c>
      <c r="AQ7" s="385"/>
    </row>
    <row r="8" spans="2:43" x14ac:dyDescent="0.25">
      <c r="B8" s="328">
        <v>46121</v>
      </c>
      <c r="C8" s="328" t="s">
        <v>233</v>
      </c>
      <c r="D8" t="s">
        <v>47</v>
      </c>
      <c r="E8" s="328">
        <v>45590</v>
      </c>
      <c r="F8" s="328">
        <v>45614</v>
      </c>
      <c r="G8" s="328">
        <v>45217</v>
      </c>
      <c r="H8" s="328">
        <v>47409</v>
      </c>
      <c r="I8" s="3">
        <v>5.36</v>
      </c>
      <c r="J8" s="3">
        <f t="shared" si="0"/>
        <v>7.3038866053650038</v>
      </c>
      <c r="K8" s="3">
        <v>13</v>
      </c>
      <c r="L8" s="325">
        <f t="shared" si="1"/>
        <v>44.666666666666664</v>
      </c>
      <c r="M8" s="325">
        <f t="shared" si="2"/>
        <v>34.246666666666663</v>
      </c>
      <c r="N8">
        <f t="shared" si="3"/>
        <v>16</v>
      </c>
      <c r="O8" s="325"/>
      <c r="P8" s="325">
        <f t="shared" si="4"/>
        <v>748.9133333333333</v>
      </c>
      <c r="Q8" s="325">
        <v>10000</v>
      </c>
      <c r="R8" s="3">
        <v>73.126186189999999</v>
      </c>
      <c r="S8" s="3">
        <v>73.385586189999998</v>
      </c>
      <c r="T8" s="325">
        <f t="shared" si="5"/>
        <v>7312.6186189999999</v>
      </c>
      <c r="U8" s="325">
        <f t="shared" si="6"/>
        <v>7338.5586190000004</v>
      </c>
      <c r="V8" s="325">
        <f t="shared" si="7"/>
        <v>7348.9786190000004</v>
      </c>
      <c r="W8" s="325">
        <v>10.42</v>
      </c>
      <c r="X8" s="325">
        <v>21.94</v>
      </c>
      <c r="Y8" s="325">
        <v>4</v>
      </c>
      <c r="Z8" s="325">
        <f t="shared" si="8"/>
        <v>25.94</v>
      </c>
      <c r="AA8" s="389"/>
      <c r="AB8" s="3">
        <v>91.057169999999999</v>
      </c>
      <c r="AC8" s="3"/>
      <c r="AD8" s="325">
        <v>31.27</v>
      </c>
      <c r="AE8" s="325">
        <f t="shared" si="9"/>
        <v>9105.7169999999987</v>
      </c>
      <c r="AF8" s="325">
        <v>91.06</v>
      </c>
      <c r="AG8" s="325">
        <v>4.55</v>
      </c>
      <c r="AH8" s="325">
        <f t="shared" si="10"/>
        <v>9010.107</v>
      </c>
      <c r="AI8" s="325">
        <f t="shared" si="11"/>
        <v>1793.0983809999989</v>
      </c>
      <c r="AJ8" s="325">
        <f t="shared" si="12"/>
        <v>1671.5483809999996</v>
      </c>
      <c r="AK8" s="325">
        <f t="shared" si="13"/>
        <v>2451.731714333333</v>
      </c>
      <c r="AL8">
        <f t="shared" si="14"/>
        <v>531</v>
      </c>
      <c r="AM8" s="411">
        <f t="shared" si="15"/>
        <v>0.33408900052738449</v>
      </c>
      <c r="AN8" s="411">
        <f t="shared" si="16"/>
        <v>0.22964686476929441</v>
      </c>
      <c r="AO8" s="411">
        <f t="shared" si="17"/>
        <v>0.2191294369542347</v>
      </c>
      <c r="AP8" s="384">
        <f>TitulosVendidos[[#This Row],[Comisión Santa Fe
Venta]]+TitulosVendidos[[#This Row],[Comisión Santa Fé
Compra]]</f>
        <v>113</v>
      </c>
      <c r="AQ8" s="385"/>
    </row>
    <row r="9" spans="2:43" x14ac:dyDescent="0.25">
      <c r="B9" s="328">
        <v>46121</v>
      </c>
      <c r="C9" s="328" t="s">
        <v>233</v>
      </c>
      <c r="D9" t="s">
        <v>47</v>
      </c>
      <c r="E9" s="328">
        <v>45615</v>
      </c>
      <c r="F9" s="328">
        <v>45638</v>
      </c>
      <c r="G9" s="328">
        <v>45455</v>
      </c>
      <c r="H9" s="328">
        <v>47281</v>
      </c>
      <c r="I9" s="3">
        <v>5.07</v>
      </c>
      <c r="J9" s="3">
        <f t="shared" si="0"/>
        <v>6.8319580053597289</v>
      </c>
      <c r="K9" s="3">
        <v>13</v>
      </c>
      <c r="L9" s="325">
        <f t="shared" si="1"/>
        <v>34.222500000000004</v>
      </c>
      <c r="M9" s="325">
        <f t="shared" si="2"/>
        <v>26.232500000000002</v>
      </c>
      <c r="N9">
        <f t="shared" si="3"/>
        <v>16</v>
      </c>
      <c r="O9" s="325"/>
      <c r="P9" s="325">
        <f t="shared" si="4"/>
        <v>573.79250000000002</v>
      </c>
      <c r="Q9" s="325">
        <v>8100</v>
      </c>
      <c r="R9" s="3">
        <v>73.938699999999997</v>
      </c>
      <c r="S9" s="3">
        <v>74.210058024691349</v>
      </c>
      <c r="T9" s="325">
        <f t="shared" si="5"/>
        <v>5989.0347000000002</v>
      </c>
      <c r="U9" s="325">
        <f t="shared" si="6"/>
        <v>6011.0146999999997</v>
      </c>
      <c r="V9" s="325">
        <f t="shared" si="7"/>
        <v>6019.0046999999995</v>
      </c>
      <c r="W9" s="325">
        <v>7.99</v>
      </c>
      <c r="X9" s="325">
        <v>17.98</v>
      </c>
      <c r="Y9" s="325">
        <v>4</v>
      </c>
      <c r="Z9" s="325">
        <f t="shared" si="8"/>
        <v>21.98</v>
      </c>
      <c r="AA9" s="389"/>
      <c r="AB9" s="3">
        <v>91.151719999999997</v>
      </c>
      <c r="AC9" s="3"/>
      <c r="AD9" s="325">
        <v>30.8</v>
      </c>
      <c r="AE9" s="325">
        <f t="shared" si="9"/>
        <v>7383.2893199999999</v>
      </c>
      <c r="AF9" s="325">
        <v>73.83</v>
      </c>
      <c r="AG9" s="325">
        <v>4</v>
      </c>
      <c r="AH9" s="325">
        <f t="shared" si="10"/>
        <v>7305.4593199999999</v>
      </c>
      <c r="AI9" s="325">
        <f t="shared" si="11"/>
        <v>1394.2546199999997</v>
      </c>
      <c r="AJ9" s="325">
        <f t="shared" si="12"/>
        <v>1294.4446200000002</v>
      </c>
      <c r="AK9" s="325">
        <f t="shared" si="13"/>
        <v>1899.0371200000002</v>
      </c>
      <c r="AL9">
        <f t="shared" si="14"/>
        <v>506</v>
      </c>
      <c r="AM9" s="411">
        <f t="shared" si="15"/>
        <v>0.31592621458736414</v>
      </c>
      <c r="AN9" s="411">
        <f t="shared" si="16"/>
        <v>0.22789143937626069</v>
      </c>
      <c r="AO9" s="411">
        <f t="shared" si="17"/>
        <v>0.21900907817313398</v>
      </c>
      <c r="AP9" s="384">
        <f>TitulosVendidos[[#This Row],[Comisión Santa Fe
Venta]]+TitulosVendidos[[#This Row],[Comisión Santa Fé
Compra]]</f>
        <v>91.81</v>
      </c>
      <c r="AQ9" s="385"/>
    </row>
    <row r="10" spans="2:43" x14ac:dyDescent="0.25">
      <c r="B10" s="328">
        <v>46121</v>
      </c>
      <c r="C10" s="328" t="s">
        <v>233</v>
      </c>
      <c r="D10" t="s">
        <v>47</v>
      </c>
      <c r="E10" s="328">
        <v>45587</v>
      </c>
      <c r="F10" s="328">
        <v>45608</v>
      </c>
      <c r="G10" s="328">
        <v>45455</v>
      </c>
      <c r="H10" s="328">
        <v>47646</v>
      </c>
      <c r="I10" s="3">
        <v>5.36</v>
      </c>
      <c r="J10" s="3">
        <f t="shared" si="0"/>
        <v>7.6568367166648414</v>
      </c>
      <c r="K10" s="3">
        <v>13.25</v>
      </c>
      <c r="L10" s="325">
        <f t="shared" si="1"/>
        <v>30.998666666666669</v>
      </c>
      <c r="M10" s="325">
        <f t="shared" si="2"/>
        <v>20.668666666666667</v>
      </c>
      <c r="N10">
        <f t="shared" si="3"/>
        <v>17</v>
      </c>
      <c r="O10" s="325"/>
      <c r="P10" s="325">
        <f t="shared" si="4"/>
        <v>547.64600000000007</v>
      </c>
      <c r="Q10" s="325">
        <v>6940</v>
      </c>
      <c r="R10" s="3">
        <v>69.740839129999998</v>
      </c>
      <c r="S10" s="3">
        <v>70.002798784178665</v>
      </c>
      <c r="T10" s="325">
        <f t="shared" si="5"/>
        <v>4840.0142356219994</v>
      </c>
      <c r="U10" s="325">
        <f t="shared" si="6"/>
        <v>4858.1942356219988</v>
      </c>
      <c r="V10" s="325">
        <f t="shared" si="7"/>
        <v>4868.5242356219987</v>
      </c>
      <c r="W10" s="325">
        <v>10.33</v>
      </c>
      <c r="X10" s="325">
        <v>14.18</v>
      </c>
      <c r="Y10" s="325">
        <v>4</v>
      </c>
      <c r="Z10" s="325">
        <f t="shared" si="8"/>
        <v>18.18</v>
      </c>
      <c r="AA10" s="389"/>
      <c r="AB10" s="3">
        <v>89.245310000000003</v>
      </c>
      <c r="AC10" s="3"/>
      <c r="AD10" s="325">
        <v>27.898661338661341</v>
      </c>
      <c r="AE10" s="325">
        <f t="shared" si="9"/>
        <v>6193.6245140000001</v>
      </c>
      <c r="AF10" s="325">
        <v>61.93308691308691</v>
      </c>
      <c r="AG10" s="325">
        <v>3.0990809190809192</v>
      </c>
      <c r="AH10" s="325">
        <f t="shared" si="10"/>
        <v>6128.5923461678321</v>
      </c>
      <c r="AI10" s="325">
        <f t="shared" si="11"/>
        <v>1353.6102783780007</v>
      </c>
      <c r="AJ10" s="325">
        <f t="shared" si="12"/>
        <v>1270.3981105458333</v>
      </c>
      <c r="AK10" s="325">
        <f t="shared" si="13"/>
        <v>1845.942771884495</v>
      </c>
      <c r="AL10">
        <f t="shared" si="14"/>
        <v>534</v>
      </c>
      <c r="AM10" s="411">
        <f t="shared" si="15"/>
        <v>0.37996479398649596</v>
      </c>
      <c r="AN10" s="411">
        <f t="shared" si="16"/>
        <v>0.25971376367990828</v>
      </c>
      <c r="AO10" s="411">
        <f t="shared" si="17"/>
        <v>0.24624280434490431</v>
      </c>
      <c r="AP10" s="384">
        <f>TitulosVendidos[[#This Row],[Comisión Santa Fe
Venta]]+TitulosVendidos[[#This Row],[Comisión Santa Fé
Compra]]</f>
        <v>76.113086913086903</v>
      </c>
      <c r="AQ10" s="385"/>
    </row>
    <row r="11" spans="2:43" x14ac:dyDescent="0.25">
      <c r="B11" s="328">
        <v>46121</v>
      </c>
      <c r="C11" s="328" t="s">
        <v>233</v>
      </c>
      <c r="D11" t="s">
        <v>47</v>
      </c>
      <c r="E11" s="328">
        <v>45590</v>
      </c>
      <c r="F11" s="328">
        <v>45608</v>
      </c>
      <c r="G11" s="328">
        <v>45455</v>
      </c>
      <c r="H11" s="328">
        <v>47646</v>
      </c>
      <c r="I11" s="3">
        <v>5.36</v>
      </c>
      <c r="J11" s="3">
        <f t="shared" si="0"/>
        <v>7.6321760849195632</v>
      </c>
      <c r="K11" s="3">
        <v>13.25</v>
      </c>
      <c r="L11" s="325">
        <f t="shared" si="1"/>
        <v>13.712666666666669</v>
      </c>
      <c r="M11" s="325">
        <f t="shared" si="2"/>
        <v>7.7726666666666686</v>
      </c>
      <c r="N11">
        <f t="shared" si="3"/>
        <v>17</v>
      </c>
      <c r="O11" s="325"/>
      <c r="P11" s="325">
        <f t="shared" si="4"/>
        <v>240.88800000000006</v>
      </c>
      <c r="Q11" s="325">
        <v>3070</v>
      </c>
      <c r="R11" s="3">
        <v>69.772961589999994</v>
      </c>
      <c r="S11" s="3">
        <v>70.228987648631929</v>
      </c>
      <c r="T11" s="325">
        <f t="shared" si="5"/>
        <v>2142.029920813</v>
      </c>
      <c r="U11" s="325">
        <f t="shared" si="6"/>
        <v>2156.0299208130004</v>
      </c>
      <c r="V11" s="325">
        <f t="shared" si="7"/>
        <v>2161.9699208130005</v>
      </c>
      <c r="W11" s="325">
        <v>5.94</v>
      </c>
      <c r="X11" s="325">
        <v>10</v>
      </c>
      <c r="Y11" s="325">
        <v>4</v>
      </c>
      <c r="Z11" s="325">
        <f t="shared" si="8"/>
        <v>14</v>
      </c>
      <c r="AA11" s="389"/>
      <c r="AB11" s="3">
        <v>89.245310000000003</v>
      </c>
      <c r="AC11" s="3"/>
      <c r="AD11" s="325">
        <v>12.341338661338661</v>
      </c>
      <c r="AE11" s="325">
        <f t="shared" si="9"/>
        <v>2739.831017</v>
      </c>
      <c r="AF11" s="325">
        <v>27.396913086913081</v>
      </c>
      <c r="AG11" s="325">
        <v>1.370919080919081</v>
      </c>
      <c r="AH11" s="325">
        <f t="shared" si="10"/>
        <v>2711.0631848321677</v>
      </c>
      <c r="AI11" s="325">
        <f t="shared" si="11"/>
        <v>597.80109618699998</v>
      </c>
      <c r="AJ11" s="325">
        <f t="shared" si="12"/>
        <v>555.03326401916729</v>
      </c>
      <c r="AK11" s="325">
        <f t="shared" si="13"/>
        <v>808.26260268050601</v>
      </c>
      <c r="AL11">
        <f t="shared" si="14"/>
        <v>531</v>
      </c>
      <c r="AM11" s="411">
        <f t="shared" si="15"/>
        <v>0.37488468730328406</v>
      </c>
      <c r="AN11" s="411">
        <f t="shared" si="16"/>
        <v>0.25768909767551545</v>
      </c>
      <c r="AO11" s="411">
        <f t="shared" si="17"/>
        <v>0.24463437049247494</v>
      </c>
      <c r="AP11" s="384">
        <f>TitulosVendidos[[#This Row],[Comisión Santa Fe
Venta]]+TitulosVendidos[[#This Row],[Comisión Santa Fé
Compra]]</f>
        <v>37.396913086913081</v>
      </c>
      <c r="AQ11" s="385"/>
    </row>
    <row r="12" spans="2:43" x14ac:dyDescent="0.25">
      <c r="B12" s="328">
        <v>46121</v>
      </c>
      <c r="C12" s="328" t="s">
        <v>233</v>
      </c>
      <c r="D12" t="s">
        <v>47</v>
      </c>
      <c r="E12" s="328">
        <v>45798</v>
      </c>
      <c r="F12" s="328">
        <v>45804</v>
      </c>
      <c r="G12" s="328">
        <v>45470</v>
      </c>
      <c r="H12" s="328">
        <v>48392</v>
      </c>
      <c r="I12" s="3">
        <v>5.93</v>
      </c>
      <c r="J12" s="3">
        <f t="shared" si="0"/>
        <v>7.6105252051048673</v>
      </c>
      <c r="K12" s="3">
        <v>11</v>
      </c>
      <c r="L12" s="325">
        <f t="shared" si="1"/>
        <v>40.768750000000004</v>
      </c>
      <c r="M12" s="325">
        <f t="shared" si="2"/>
        <v>8.1487500000000068</v>
      </c>
      <c r="N12">
        <f t="shared" si="3"/>
        <v>10</v>
      </c>
      <c r="O12" s="325"/>
      <c r="P12" s="325">
        <f t="shared" si="4"/>
        <v>415.83625000000006</v>
      </c>
      <c r="Q12" s="325">
        <v>8250</v>
      </c>
      <c r="R12" s="3">
        <v>77.636952399999998</v>
      </c>
      <c r="S12" s="3">
        <v>77.918406945454549</v>
      </c>
      <c r="T12" s="325">
        <f t="shared" si="5"/>
        <v>6405.048573</v>
      </c>
      <c r="U12" s="325">
        <f t="shared" si="6"/>
        <v>6428.2685730000003</v>
      </c>
      <c r="V12" s="325">
        <f t="shared" si="7"/>
        <v>6460.8885730000002</v>
      </c>
      <c r="W12" s="325">
        <v>32.619999999999997</v>
      </c>
      <c r="X12" s="325">
        <v>19.22</v>
      </c>
      <c r="Y12" s="325">
        <v>4</v>
      </c>
      <c r="Z12" s="325">
        <f t="shared" si="8"/>
        <v>23.22</v>
      </c>
      <c r="AA12" s="389"/>
      <c r="AB12" s="3">
        <v>87.792270000000002</v>
      </c>
      <c r="AC12" s="3"/>
      <c r="AD12" s="325">
        <v>16.309999999999999</v>
      </c>
      <c r="AE12" s="325">
        <f t="shared" si="9"/>
        <v>7242.8622750000004</v>
      </c>
      <c r="AF12" s="325">
        <v>72.430000000000007</v>
      </c>
      <c r="AG12" s="325">
        <v>4</v>
      </c>
      <c r="AH12" s="325">
        <f t="shared" si="10"/>
        <v>7166.4322750000001</v>
      </c>
      <c r="AI12" s="325">
        <f t="shared" si="11"/>
        <v>837.81370200000038</v>
      </c>
      <c r="AJ12" s="325">
        <f t="shared" si="12"/>
        <v>738.16370199999983</v>
      </c>
      <c r="AK12" s="325">
        <f t="shared" si="13"/>
        <v>1170.3099519999998</v>
      </c>
      <c r="AL12">
        <f t="shared" si="14"/>
        <v>323</v>
      </c>
      <c r="AM12" s="411">
        <f t="shared" si="15"/>
        <v>0.18205679160879076</v>
      </c>
      <c r="AN12" s="411">
        <f t="shared" si="16"/>
        <v>0.20572981095111029</v>
      </c>
      <c r="AO12" s="411">
        <f t="shared" si="17"/>
        <v>0.20804629023955301</v>
      </c>
      <c r="AP12" s="384">
        <f>TitulosVendidos[[#This Row],[Comisión Santa Fe
Venta]]+TitulosVendidos[[#This Row],[Comisión Santa Fé
Compra]]</f>
        <v>91.65</v>
      </c>
      <c r="AQ12" s="385"/>
    </row>
    <row r="13" spans="2:43" x14ac:dyDescent="0.25">
      <c r="B13" s="328">
        <v>46121</v>
      </c>
      <c r="C13" s="328" t="s">
        <v>233</v>
      </c>
      <c r="D13" t="s">
        <v>47</v>
      </c>
      <c r="E13" s="328">
        <v>46083</v>
      </c>
      <c r="F13" s="328">
        <v>46106</v>
      </c>
      <c r="G13" s="328">
        <v>45498</v>
      </c>
      <c r="H13" s="328">
        <v>48420</v>
      </c>
      <c r="I13" s="3">
        <v>5.93</v>
      </c>
      <c r="J13" s="3">
        <f t="shared" si="0"/>
        <v>7.3514831415049997</v>
      </c>
      <c r="K13" s="3">
        <v>10.75</v>
      </c>
      <c r="L13" s="325">
        <f t="shared" si="1"/>
        <v>111.68166666666667</v>
      </c>
      <c r="M13" s="325">
        <f t="shared" si="2"/>
        <v>85.62166666666667</v>
      </c>
      <c r="N13">
        <f t="shared" si="3"/>
        <v>0</v>
      </c>
      <c r="O13" s="325"/>
      <c r="P13" s="325">
        <f t="shared" si="4"/>
        <v>85.62166666666667</v>
      </c>
      <c r="Q13" s="325">
        <v>22600</v>
      </c>
      <c r="R13" s="3">
        <v>80.422711899999996</v>
      </c>
      <c r="S13" s="3">
        <v>80.663995085840696</v>
      </c>
      <c r="T13" s="325">
        <f t="shared" si="5"/>
        <v>18175.532889399998</v>
      </c>
      <c r="U13" s="325">
        <f t="shared" si="6"/>
        <v>18230.062889399996</v>
      </c>
      <c r="V13" s="325">
        <f t="shared" si="7"/>
        <v>18256.122889399998</v>
      </c>
      <c r="W13" s="325">
        <v>26.06</v>
      </c>
      <c r="X13" s="325">
        <v>45.44</v>
      </c>
      <c r="Y13" s="325">
        <v>9.09</v>
      </c>
      <c r="Z13" s="325">
        <f t="shared" si="8"/>
        <v>54.53</v>
      </c>
      <c r="AA13" s="389"/>
      <c r="AB13" s="3">
        <v>87.164420000000007</v>
      </c>
      <c r="AC13" s="3"/>
      <c r="AD13" s="325">
        <v>52.120441537203597</v>
      </c>
      <c r="AE13" s="325">
        <f t="shared" si="9"/>
        <v>19699.158920000002</v>
      </c>
      <c r="AF13" s="325">
        <v>196.98773507767791</v>
      </c>
      <c r="AG13" s="325">
        <v>9.8493867538838913</v>
      </c>
      <c r="AH13" s="325">
        <f t="shared" si="10"/>
        <v>19492.321798168439</v>
      </c>
      <c r="AI13" s="325">
        <f t="shared" si="11"/>
        <v>1523.626030600004</v>
      </c>
      <c r="AJ13" s="325">
        <f t="shared" si="12"/>
        <v>1262.2589087684428</v>
      </c>
      <c r="AK13" s="325">
        <f t="shared" si="13"/>
        <v>1400.001016972313</v>
      </c>
      <c r="AL13">
        <f t="shared" si="14"/>
        <v>38</v>
      </c>
      <c r="AM13" s="411">
        <f t="shared" si="15"/>
        <v>7.6796280159096647E-2</v>
      </c>
      <c r="AN13" s="411">
        <f t="shared" si="16"/>
        <v>0.73764848047553355</v>
      </c>
      <c r="AO13" s="411">
        <f t="shared" si="17"/>
        <v>1.0354065662333873</v>
      </c>
      <c r="AP13" s="384">
        <f>TitulosVendidos[[#This Row],[Comisión Santa Fe
Venta]]+TitulosVendidos[[#This Row],[Comisión Santa Fé
Compra]]</f>
        <v>242.42773507767791</v>
      </c>
      <c r="AQ13" s="385"/>
    </row>
    <row r="14" spans="2:43" x14ac:dyDescent="0.25">
      <c r="B14" s="328">
        <v>46121</v>
      </c>
      <c r="C14" s="328" t="s">
        <v>233</v>
      </c>
      <c r="D14" t="s">
        <v>47</v>
      </c>
      <c r="E14" s="328">
        <v>45827</v>
      </c>
      <c r="F14" s="328">
        <v>45833</v>
      </c>
      <c r="G14" s="328">
        <v>45498</v>
      </c>
      <c r="H14" s="328">
        <v>48420</v>
      </c>
      <c r="I14" s="3">
        <v>5.93</v>
      </c>
      <c r="J14" s="3">
        <f t="shared" si="0"/>
        <v>7.3834546907154213</v>
      </c>
      <c r="K14" s="3">
        <v>10.5</v>
      </c>
      <c r="L14" s="325">
        <f t="shared" si="1"/>
        <v>9.1914999999999996</v>
      </c>
      <c r="M14" s="325">
        <f t="shared" si="2"/>
        <v>1.8414999999999999</v>
      </c>
      <c r="N14">
        <f t="shared" si="3"/>
        <v>9</v>
      </c>
      <c r="O14" s="325"/>
      <c r="P14" s="325">
        <f t="shared" si="4"/>
        <v>84.564999999999998</v>
      </c>
      <c r="Q14" s="325">
        <v>1860</v>
      </c>
      <c r="R14" s="3">
        <v>79.562018809999998</v>
      </c>
      <c r="S14" s="3">
        <v>80.314706982043006</v>
      </c>
      <c r="T14" s="325">
        <f t="shared" si="5"/>
        <v>1479.8535498659999</v>
      </c>
      <c r="U14" s="325">
        <f t="shared" si="6"/>
        <v>1493.8535498659999</v>
      </c>
      <c r="V14" s="325">
        <f t="shared" si="7"/>
        <v>1501.2035498659998</v>
      </c>
      <c r="W14" s="325">
        <v>7.35</v>
      </c>
      <c r="X14" s="325">
        <v>10</v>
      </c>
      <c r="Y14" s="325">
        <v>4</v>
      </c>
      <c r="Z14" s="325">
        <f t="shared" si="8"/>
        <v>14</v>
      </c>
      <c r="AA14" s="389"/>
      <c r="AB14" s="3">
        <v>87.164420000000007</v>
      </c>
      <c r="AC14" s="3"/>
      <c r="AD14" s="325">
        <v>4.2895584627964016</v>
      </c>
      <c r="AE14" s="325">
        <f t="shared" si="9"/>
        <v>1621.258212</v>
      </c>
      <c r="AF14" s="325">
        <v>16.212264922322159</v>
      </c>
      <c r="AG14" s="325">
        <v>0.81061324611610786</v>
      </c>
      <c r="AH14" s="325">
        <f t="shared" si="10"/>
        <v>1604.2353338315615</v>
      </c>
      <c r="AI14" s="325">
        <f t="shared" si="11"/>
        <v>141.40466213400009</v>
      </c>
      <c r="AJ14" s="325">
        <f t="shared" si="12"/>
        <v>110.38178396556168</v>
      </c>
      <c r="AK14" s="325">
        <f t="shared" si="13"/>
        <v>199.23634242835809</v>
      </c>
      <c r="AL14">
        <f t="shared" si="14"/>
        <v>294</v>
      </c>
      <c r="AM14" s="411">
        <f t="shared" si="15"/>
        <v>0.13337073265731422</v>
      </c>
      <c r="AN14" s="411">
        <f t="shared" si="16"/>
        <v>0.16557931095210779</v>
      </c>
      <c r="AO14" s="411">
        <f t="shared" si="17"/>
        <v>0.16816084446088686</v>
      </c>
      <c r="AP14" s="384">
        <f>TitulosVendidos[[#This Row],[Comisión Santa Fe
Venta]]+TitulosVendidos[[#This Row],[Comisión Santa Fé
Compra]]</f>
        <v>26.212264922322159</v>
      </c>
      <c r="AQ14" s="385"/>
    </row>
    <row r="15" spans="2:43" x14ac:dyDescent="0.25">
      <c r="B15" s="328">
        <v>46121</v>
      </c>
      <c r="C15" s="328" t="s">
        <v>233</v>
      </c>
      <c r="D15" t="s">
        <v>46</v>
      </c>
      <c r="E15" s="328">
        <v>45649</v>
      </c>
      <c r="F15" s="328">
        <v>45660</v>
      </c>
      <c r="G15" s="328">
        <v>45110</v>
      </c>
      <c r="H15" s="328">
        <v>47302</v>
      </c>
      <c r="I15" s="3">
        <v>5.36</v>
      </c>
      <c r="J15" s="3">
        <f t="shared" si="0"/>
        <v>7.1167314757507292</v>
      </c>
      <c r="K15" s="3">
        <v>13</v>
      </c>
      <c r="L15" s="325">
        <f t="shared" si="1"/>
        <v>43.371333333333332</v>
      </c>
      <c r="M15" s="325">
        <f t="shared" si="2"/>
        <v>14.461333333333332</v>
      </c>
      <c r="N15">
        <f t="shared" si="3"/>
        <v>15</v>
      </c>
      <c r="O15" s="325"/>
      <c r="P15" s="325">
        <f t="shared" si="4"/>
        <v>665.03133333333324</v>
      </c>
      <c r="Q15" s="325">
        <v>9710</v>
      </c>
      <c r="R15" s="3">
        <v>75.049149999999997</v>
      </c>
      <c r="S15" s="3">
        <v>75.315473377960856</v>
      </c>
      <c r="T15" s="325">
        <f t="shared" si="5"/>
        <v>7287.272465</v>
      </c>
      <c r="U15" s="325">
        <f t="shared" si="6"/>
        <v>7313.1324649999988</v>
      </c>
      <c r="V15" s="325">
        <f t="shared" si="7"/>
        <v>7342.0424649999986</v>
      </c>
      <c r="W15" s="325">
        <v>28.91</v>
      </c>
      <c r="X15" s="325">
        <v>21.86</v>
      </c>
      <c r="Y15" s="325">
        <v>4</v>
      </c>
      <c r="Z15" s="325">
        <f t="shared" si="8"/>
        <v>25.86</v>
      </c>
      <c r="AA15" s="389"/>
      <c r="AB15" s="3">
        <v>91.757549999999995</v>
      </c>
      <c r="AC15" s="3"/>
      <c r="AD15" s="325">
        <v>8.67</v>
      </c>
      <c r="AE15" s="325">
        <f t="shared" si="9"/>
        <v>8909.6581049999986</v>
      </c>
      <c r="AF15" s="325">
        <v>89.1</v>
      </c>
      <c r="AG15" s="325">
        <v>4.45</v>
      </c>
      <c r="AH15" s="325">
        <f t="shared" si="10"/>
        <v>8816.1081049999975</v>
      </c>
      <c r="AI15" s="325">
        <f t="shared" si="11"/>
        <v>1622.3856399999986</v>
      </c>
      <c r="AJ15" s="325">
        <f t="shared" si="12"/>
        <v>1502.9756399999987</v>
      </c>
      <c r="AK15" s="325">
        <f t="shared" si="13"/>
        <v>2176.6769733333322</v>
      </c>
      <c r="AL15">
        <f t="shared" si="14"/>
        <v>472</v>
      </c>
      <c r="AM15" s="411">
        <f t="shared" si="15"/>
        <v>0.29763948400370355</v>
      </c>
      <c r="AN15" s="411">
        <f t="shared" si="16"/>
        <v>0.23016612640116907</v>
      </c>
      <c r="AO15" s="411">
        <f t="shared" si="17"/>
        <v>0.22321445179995569</v>
      </c>
      <c r="AP15" s="384">
        <f>TitulosVendidos[[#This Row],[Comisión Santa Fe
Venta]]+TitulosVendidos[[#This Row],[Comisión Santa Fé
Compra]]</f>
        <v>110.96</v>
      </c>
      <c r="AQ15" s="385"/>
    </row>
    <row r="16" spans="2:43" x14ac:dyDescent="0.25">
      <c r="B16" s="328">
        <v>46121</v>
      </c>
      <c r="C16" s="328" t="s">
        <v>233</v>
      </c>
      <c r="D16" t="s">
        <v>46</v>
      </c>
      <c r="E16" s="328">
        <v>45707</v>
      </c>
      <c r="F16" s="328">
        <v>45720</v>
      </c>
      <c r="G16" s="328">
        <v>45630</v>
      </c>
      <c r="H16" s="328">
        <v>48186</v>
      </c>
      <c r="I16" s="3">
        <v>5.64</v>
      </c>
      <c r="J16" s="3">
        <f t="shared" si="0"/>
        <v>7.4222859786356219</v>
      </c>
      <c r="K16" s="3">
        <v>11</v>
      </c>
      <c r="L16" s="325">
        <f t="shared" si="1"/>
        <v>31.160999999999998</v>
      </c>
      <c r="M16" s="325">
        <f t="shared" si="2"/>
        <v>15.580999999999998</v>
      </c>
      <c r="N16">
        <f t="shared" si="3"/>
        <v>13</v>
      </c>
      <c r="O16" s="325"/>
      <c r="P16" s="325">
        <f t="shared" si="4"/>
        <v>420.67399999999998</v>
      </c>
      <c r="Q16" s="325">
        <v>6630</v>
      </c>
      <c r="R16" s="3">
        <v>75.775455690000001</v>
      </c>
      <c r="S16" s="3">
        <v>75.987371225444946</v>
      </c>
      <c r="T16" s="325">
        <f t="shared" si="5"/>
        <v>5023.9127122469999</v>
      </c>
      <c r="U16" s="325">
        <f t="shared" si="6"/>
        <v>5037.9627122470001</v>
      </c>
      <c r="V16" s="325">
        <f t="shared" si="7"/>
        <v>5053.5427122470001</v>
      </c>
      <c r="W16" s="325">
        <v>15.58</v>
      </c>
      <c r="X16" s="325">
        <v>10.050000000000001</v>
      </c>
      <c r="Y16" s="325">
        <v>4</v>
      </c>
      <c r="Z16" s="325">
        <f t="shared" si="8"/>
        <v>14.05</v>
      </c>
      <c r="AA16" s="389"/>
      <c r="AB16" s="3">
        <v>86.210440000000006</v>
      </c>
      <c r="AC16" s="3"/>
      <c r="AD16" s="325">
        <v>5.195955555555555</v>
      </c>
      <c r="AE16" s="325">
        <f t="shared" si="9"/>
        <v>5715.7521720000004</v>
      </c>
      <c r="AF16" s="325">
        <v>57.15551111111111</v>
      </c>
      <c r="AG16" s="325">
        <v>2.8582666666666672</v>
      </c>
      <c r="AH16" s="325">
        <f t="shared" si="10"/>
        <v>5655.7383942222223</v>
      </c>
      <c r="AI16" s="325">
        <f t="shared" si="11"/>
        <v>691.83945975300048</v>
      </c>
      <c r="AJ16" s="325">
        <f t="shared" si="12"/>
        <v>617.77568197522214</v>
      </c>
      <c r="AK16" s="325">
        <f t="shared" si="13"/>
        <v>1043.6456375307778</v>
      </c>
      <c r="AL16">
        <f t="shared" si="14"/>
        <v>414</v>
      </c>
      <c r="AM16" s="411">
        <f t="shared" si="15"/>
        <v>0.20715628462150676</v>
      </c>
      <c r="AN16" s="411">
        <f t="shared" si="16"/>
        <v>0.18263778716630424</v>
      </c>
      <c r="AO16" s="411">
        <f t="shared" si="17"/>
        <v>0.18055487055467756</v>
      </c>
      <c r="AP16" s="384">
        <f>TitulosVendidos[[#This Row],[Comisión Santa Fe
Venta]]+TitulosVendidos[[#This Row],[Comisión Santa Fé
Compra]]</f>
        <v>67.205511111111107</v>
      </c>
      <c r="AQ16" s="385"/>
    </row>
    <row r="17" spans="2:43" x14ac:dyDescent="0.25">
      <c r="B17" s="328">
        <v>46121</v>
      </c>
      <c r="C17" s="328" t="s">
        <v>233</v>
      </c>
      <c r="D17" t="s">
        <v>46</v>
      </c>
      <c r="E17" s="328">
        <v>45708</v>
      </c>
      <c r="F17" s="328">
        <v>45720</v>
      </c>
      <c r="G17" s="328">
        <v>45630</v>
      </c>
      <c r="H17" s="328">
        <v>48186</v>
      </c>
      <c r="I17" s="3">
        <v>5.64</v>
      </c>
      <c r="J17" s="3">
        <f t="shared" si="0"/>
        <v>7.6039315656211848</v>
      </c>
      <c r="K17" s="3">
        <v>11.5</v>
      </c>
      <c r="L17" s="325">
        <f t="shared" si="1"/>
        <v>32.288999999999994</v>
      </c>
      <c r="M17" s="325">
        <f t="shared" si="2"/>
        <v>15.068999999999996</v>
      </c>
      <c r="N17">
        <f t="shared" si="3"/>
        <v>13</v>
      </c>
      <c r="O17" s="325"/>
      <c r="P17" s="325">
        <f t="shared" si="4"/>
        <v>434.82599999999996</v>
      </c>
      <c r="Q17" s="325">
        <v>6870</v>
      </c>
      <c r="R17" s="3">
        <v>73.892243559999997</v>
      </c>
      <c r="S17" s="3">
        <v>74.172156223755451</v>
      </c>
      <c r="T17" s="325">
        <f t="shared" si="5"/>
        <v>5076.3971325719995</v>
      </c>
      <c r="U17" s="325">
        <f t="shared" si="6"/>
        <v>5095.6271325719999</v>
      </c>
      <c r="V17" s="325">
        <f t="shared" si="7"/>
        <v>5112.8471325720002</v>
      </c>
      <c r="W17" s="325">
        <v>17.22</v>
      </c>
      <c r="X17" s="325">
        <v>15.23</v>
      </c>
      <c r="Y17" s="325">
        <v>4</v>
      </c>
      <c r="Z17" s="325">
        <f t="shared" si="8"/>
        <v>19.23</v>
      </c>
      <c r="AA17" s="389"/>
      <c r="AB17" s="3">
        <v>86.210440000000006</v>
      </c>
      <c r="AC17" s="3"/>
      <c r="AD17" s="325">
        <v>5.3840444444444451</v>
      </c>
      <c r="AE17" s="325">
        <f t="shared" si="9"/>
        <v>5922.657228</v>
      </c>
      <c r="AF17" s="325">
        <v>59.224488888888892</v>
      </c>
      <c r="AG17" s="325">
        <v>2.961733333333334</v>
      </c>
      <c r="AH17" s="325">
        <f t="shared" si="10"/>
        <v>5860.4710057777775</v>
      </c>
      <c r="AI17" s="325">
        <f t="shared" si="11"/>
        <v>846.26009542800057</v>
      </c>
      <c r="AJ17" s="325">
        <f t="shared" si="12"/>
        <v>764.84387320577753</v>
      </c>
      <c r="AK17" s="325">
        <f t="shared" si="13"/>
        <v>1205.053917650222</v>
      </c>
      <c r="AL17">
        <f t="shared" si="14"/>
        <v>413</v>
      </c>
      <c r="AM17" s="411">
        <f t="shared" si="15"/>
        <v>0.23648785248577936</v>
      </c>
      <c r="AN17" s="411">
        <f t="shared" si="16"/>
        <v>0.20900258149469603</v>
      </c>
      <c r="AO17" s="411">
        <f t="shared" si="17"/>
        <v>0.2063554617256329</v>
      </c>
      <c r="AP17" s="384">
        <f>TitulosVendidos[[#This Row],[Comisión Santa Fe
Venta]]+TitulosVendidos[[#This Row],[Comisión Santa Fé
Compra]]</f>
        <v>74.454488888888889</v>
      </c>
      <c r="AQ17" s="385"/>
    </row>
    <row r="18" spans="2:43" x14ac:dyDescent="0.25">
      <c r="B18" s="328">
        <v>46119</v>
      </c>
      <c r="C18" s="328" t="s">
        <v>233</v>
      </c>
      <c r="D18" t="s">
        <v>47</v>
      </c>
      <c r="E18" s="328">
        <v>45191</v>
      </c>
      <c r="F18" s="328">
        <v>45216</v>
      </c>
      <c r="G18" s="328">
        <v>45063</v>
      </c>
      <c r="H18" s="328">
        <v>48351</v>
      </c>
      <c r="I18" s="3">
        <v>6.21</v>
      </c>
      <c r="J18" s="3">
        <f t="shared" si="0"/>
        <v>9.0035993977045425</v>
      </c>
      <c r="K18" s="3">
        <v>13</v>
      </c>
      <c r="L18" s="325">
        <f t="shared" si="1"/>
        <v>47.183062500000005</v>
      </c>
      <c r="M18" s="325">
        <f t="shared" si="2"/>
        <v>34.603062500000007</v>
      </c>
      <c r="N18">
        <f t="shared" si="3"/>
        <v>30</v>
      </c>
      <c r="O18" s="325"/>
      <c r="P18" s="325">
        <f t="shared" si="4"/>
        <v>1450.0949375000002</v>
      </c>
      <c r="Q18" s="325">
        <v>9117.5</v>
      </c>
      <c r="R18" s="3">
        <v>68.722347099999993</v>
      </c>
      <c r="S18" s="3">
        <v>68.972415649492731</v>
      </c>
      <c r="T18" s="325">
        <f t="shared" si="5"/>
        <v>6265.7599968425002</v>
      </c>
      <c r="U18" s="325">
        <f t="shared" si="6"/>
        <v>6288.5599968424995</v>
      </c>
      <c r="V18" s="325">
        <f t="shared" si="7"/>
        <v>6301.1399968424994</v>
      </c>
      <c r="W18" s="325">
        <v>12.58</v>
      </c>
      <c r="X18" s="325">
        <v>18.8</v>
      </c>
      <c r="Y18" s="325">
        <v>4</v>
      </c>
      <c r="Z18" s="325">
        <f t="shared" si="8"/>
        <v>22.8</v>
      </c>
      <c r="AA18" s="389"/>
      <c r="AB18" s="3">
        <v>89.605003530000005</v>
      </c>
      <c r="AC18" s="3"/>
      <c r="AD18" s="325">
        <v>31.455764304013659</v>
      </c>
      <c r="AE18" s="325">
        <f t="shared" si="9"/>
        <v>8169.7361968477499</v>
      </c>
      <c r="AF18" s="325">
        <v>45.588449521984543</v>
      </c>
      <c r="AG18" s="325">
        <v>3.4638561996209201</v>
      </c>
      <c r="AH18" s="325">
        <f t="shared" si="10"/>
        <v>8120.6838911261448</v>
      </c>
      <c r="AI18" s="325">
        <f t="shared" si="11"/>
        <v>1903.9762000052497</v>
      </c>
      <c r="AJ18" s="325">
        <f t="shared" si="12"/>
        <v>1832.1238942836453</v>
      </c>
      <c r="AK18" s="325">
        <f t="shared" si="13"/>
        <v>3313.6745960876592</v>
      </c>
      <c r="AL18">
        <f t="shared" si="14"/>
        <v>928</v>
      </c>
      <c r="AM18" s="411">
        <f t="shared" si="15"/>
        <v>0.52693694546151471</v>
      </c>
      <c r="AN18" s="411">
        <f t="shared" si="16"/>
        <v>0.207254294281738</v>
      </c>
      <c r="AO18" s="411">
        <f t="shared" si="17"/>
        <v>0.18113714109279599</v>
      </c>
      <c r="AP18" s="384">
        <f>TitulosVendidos[[#This Row],[Comisión Santa Fe
Venta]]+TitulosVendidos[[#This Row],[Comisión Santa Fé
Compra]]</f>
        <v>64.388449521984541</v>
      </c>
      <c r="AQ18" s="385"/>
    </row>
    <row r="19" spans="2:43" x14ac:dyDescent="0.25">
      <c r="B19" s="328">
        <v>46119</v>
      </c>
      <c r="C19" s="328" t="s">
        <v>233</v>
      </c>
      <c r="D19" t="s">
        <v>47</v>
      </c>
      <c r="E19" s="328">
        <v>45231</v>
      </c>
      <c r="F19" s="328">
        <v>45247</v>
      </c>
      <c r="G19" s="328">
        <v>45063</v>
      </c>
      <c r="H19" s="328">
        <v>48351</v>
      </c>
      <c r="I19" s="3">
        <v>6.21</v>
      </c>
      <c r="J19" s="3">
        <f t="shared" si="0"/>
        <v>8.7050501907120896</v>
      </c>
      <c r="K19" s="3">
        <v>12.5</v>
      </c>
      <c r="L19" s="325">
        <f t="shared" si="1"/>
        <v>14.49</v>
      </c>
      <c r="M19" s="325">
        <f t="shared" si="2"/>
        <v>7.73</v>
      </c>
      <c r="N19">
        <f t="shared" si="3"/>
        <v>29</v>
      </c>
      <c r="O19" s="325"/>
      <c r="P19" s="325">
        <f t="shared" si="4"/>
        <v>427.94</v>
      </c>
      <c r="Q19" s="325">
        <v>2800</v>
      </c>
      <c r="R19" s="3">
        <v>70.837900000000005</v>
      </c>
      <c r="S19" s="3">
        <v>71.337900000000005</v>
      </c>
      <c r="T19" s="325">
        <f t="shared" si="5"/>
        <v>1983.4612000000002</v>
      </c>
      <c r="U19" s="325">
        <f t="shared" si="6"/>
        <v>1997.4612000000002</v>
      </c>
      <c r="V19" s="325">
        <f t="shared" si="7"/>
        <v>2004.2212000000002</v>
      </c>
      <c r="W19" s="325">
        <v>6.76</v>
      </c>
      <c r="X19" s="325">
        <v>10</v>
      </c>
      <c r="Y19" s="325">
        <v>4</v>
      </c>
      <c r="Z19" s="325">
        <f t="shared" si="8"/>
        <v>14</v>
      </c>
      <c r="AA19" s="389"/>
      <c r="AB19" s="3">
        <v>89.605003530000005</v>
      </c>
      <c r="AC19" s="3"/>
      <c r="AD19" s="325">
        <v>9.6601195559350987</v>
      </c>
      <c r="AE19" s="325">
        <f t="shared" si="9"/>
        <v>2508.9400988399998</v>
      </c>
      <c r="AF19" s="325">
        <v>14.000291599841701</v>
      </c>
      <c r="AG19" s="325">
        <v>1.063756222532336</v>
      </c>
      <c r="AH19" s="325">
        <f t="shared" si="10"/>
        <v>2493.8760510176257</v>
      </c>
      <c r="AI19" s="325">
        <f t="shared" si="11"/>
        <v>525.4788988399996</v>
      </c>
      <c r="AJ19" s="325">
        <f t="shared" si="12"/>
        <v>496.41485101762555</v>
      </c>
      <c r="AK19" s="325">
        <f t="shared" si="13"/>
        <v>934.01497057356073</v>
      </c>
      <c r="AL19">
        <f t="shared" si="14"/>
        <v>888</v>
      </c>
      <c r="AM19" s="411">
        <f t="shared" si="15"/>
        <v>0.46760105806989427</v>
      </c>
      <c r="AN19" s="411">
        <f t="shared" si="16"/>
        <v>0.19220088535530563</v>
      </c>
      <c r="AO19" s="411">
        <f t="shared" si="17"/>
        <v>0.17079780229007735</v>
      </c>
      <c r="AP19" s="384">
        <f>TitulosVendidos[[#This Row],[Comisión Santa Fe
Venta]]+TitulosVendidos[[#This Row],[Comisión Santa Fé
Compra]]</f>
        <v>24.000291599841702</v>
      </c>
      <c r="AQ19" s="385"/>
    </row>
    <row r="20" spans="2:43" x14ac:dyDescent="0.25">
      <c r="B20" s="328">
        <v>46119</v>
      </c>
      <c r="C20" s="328" t="s">
        <v>233</v>
      </c>
      <c r="D20" t="s">
        <v>47</v>
      </c>
      <c r="E20" s="328">
        <v>45687</v>
      </c>
      <c r="F20" s="328">
        <v>45705</v>
      </c>
      <c r="G20" s="328">
        <v>45063</v>
      </c>
      <c r="H20" s="328">
        <v>48351</v>
      </c>
      <c r="I20" s="3">
        <v>6.21</v>
      </c>
      <c r="J20" s="3">
        <f t="shared" si="0"/>
        <v>8.1299147375194121</v>
      </c>
      <c r="K20" s="3">
        <v>12</v>
      </c>
      <c r="L20" s="325">
        <f t="shared" si="1"/>
        <v>50.663250000000005</v>
      </c>
      <c r="M20" s="325">
        <f t="shared" si="2"/>
        <v>28.713250000000006</v>
      </c>
      <c r="N20">
        <f t="shared" si="3"/>
        <v>13</v>
      </c>
      <c r="O20" s="325"/>
      <c r="P20" s="325">
        <f t="shared" si="4"/>
        <v>687.33550000000014</v>
      </c>
      <c r="Q20" s="325">
        <v>9790</v>
      </c>
      <c r="R20" s="3">
        <v>76.112654800000001</v>
      </c>
      <c r="S20" s="3">
        <v>76.384564912359551</v>
      </c>
      <c r="T20" s="325">
        <f t="shared" si="5"/>
        <v>7451.4289049200006</v>
      </c>
      <c r="U20" s="325">
        <f t="shared" si="6"/>
        <v>7478.0489049200005</v>
      </c>
      <c r="V20" s="325">
        <f t="shared" si="7"/>
        <v>7499.9989049200003</v>
      </c>
      <c r="W20" s="325">
        <v>21.95</v>
      </c>
      <c r="X20" s="325">
        <v>22.62</v>
      </c>
      <c r="Y20" s="325">
        <v>4</v>
      </c>
      <c r="Z20" s="325">
        <f t="shared" si="8"/>
        <v>26.62</v>
      </c>
      <c r="AA20" s="389"/>
      <c r="AB20" s="3">
        <v>89.605003530000005</v>
      </c>
      <c r="AC20" s="3"/>
      <c r="AD20" s="325">
        <v>33.775918018787358</v>
      </c>
      <c r="AE20" s="325">
        <f t="shared" si="9"/>
        <v>8772.3298455870008</v>
      </c>
      <c r="AF20" s="325">
        <v>48.951019558017947</v>
      </c>
      <c r="AG20" s="325">
        <v>3.7193476494969899</v>
      </c>
      <c r="AH20" s="325">
        <f t="shared" si="10"/>
        <v>8719.6594783794844</v>
      </c>
      <c r="AI20" s="325">
        <f t="shared" si="11"/>
        <v>1320.9009406670002</v>
      </c>
      <c r="AJ20" s="325">
        <f t="shared" si="12"/>
        <v>1241.6105734594839</v>
      </c>
      <c r="AK20" s="325">
        <f t="shared" si="13"/>
        <v>1962.7219914782713</v>
      </c>
      <c r="AL20">
        <f t="shared" si="14"/>
        <v>432</v>
      </c>
      <c r="AM20" s="411">
        <f t="shared" si="15"/>
        <v>0.26246444980948791</v>
      </c>
      <c r="AN20" s="411">
        <f t="shared" si="16"/>
        <v>0.22175815782514602</v>
      </c>
      <c r="AO20" s="411">
        <f t="shared" si="17"/>
        <v>0.21764535379356498</v>
      </c>
      <c r="AP20" s="384">
        <f>TitulosVendidos[[#This Row],[Comisión Santa Fe
Venta]]+TitulosVendidos[[#This Row],[Comisión Santa Fé
Compra]]</f>
        <v>71.571019558017952</v>
      </c>
      <c r="AQ20" s="385"/>
    </row>
    <row r="21" spans="2:43" x14ac:dyDescent="0.25">
      <c r="B21" s="328">
        <v>46119</v>
      </c>
      <c r="C21" s="328" t="s">
        <v>233</v>
      </c>
      <c r="D21" t="s">
        <v>47</v>
      </c>
      <c r="E21" s="328">
        <v>45824</v>
      </c>
      <c r="F21" s="328">
        <v>45825</v>
      </c>
      <c r="G21" s="328">
        <v>45063</v>
      </c>
      <c r="H21" s="328">
        <v>48351</v>
      </c>
      <c r="I21" s="3">
        <v>6.21</v>
      </c>
      <c r="J21" s="3">
        <f t="shared" si="0"/>
        <v>7.397094759223533</v>
      </c>
      <c r="K21" s="3">
        <v>10.5</v>
      </c>
      <c r="L21" s="325">
        <f t="shared" si="1"/>
        <v>2.8255499999999998</v>
      </c>
      <c r="M21" s="325">
        <f t="shared" si="2"/>
        <v>9.5549999999999802E-2</v>
      </c>
      <c r="N21">
        <f t="shared" si="3"/>
        <v>9</v>
      </c>
      <c r="O21" s="325"/>
      <c r="P21" s="325">
        <f t="shared" si="4"/>
        <v>25.525499999999997</v>
      </c>
      <c r="Q21" s="325">
        <v>546</v>
      </c>
      <c r="R21" s="3">
        <v>82.486676970000005</v>
      </c>
      <c r="S21" s="3">
        <v>83.951878435201479</v>
      </c>
      <c r="T21" s="325">
        <f t="shared" si="5"/>
        <v>450.37725625620004</v>
      </c>
      <c r="U21" s="325">
        <f t="shared" si="6"/>
        <v>458.37725625620004</v>
      </c>
      <c r="V21" s="325">
        <f t="shared" si="7"/>
        <v>461.10725625620006</v>
      </c>
      <c r="W21" s="325">
        <v>2.73</v>
      </c>
      <c r="X21" s="325">
        <v>4</v>
      </c>
      <c r="Y21" s="325">
        <v>4</v>
      </c>
      <c r="Z21" s="325">
        <f t="shared" si="8"/>
        <v>8</v>
      </c>
      <c r="AA21" s="389"/>
      <c r="AB21" s="3">
        <v>89.605003530000005</v>
      </c>
      <c r="AC21" s="3"/>
      <c r="AD21" s="325">
        <v>1.8837233134073439</v>
      </c>
      <c r="AE21" s="325">
        <f t="shared" si="9"/>
        <v>489.24331927380001</v>
      </c>
      <c r="AF21" s="325">
        <v>2.7300568619691319</v>
      </c>
      <c r="AG21" s="325">
        <v>0.20743246339380561</v>
      </c>
      <c r="AH21" s="325">
        <f t="shared" si="10"/>
        <v>486.30582994843707</v>
      </c>
      <c r="AI21" s="325">
        <f t="shared" si="11"/>
        <v>38.86606301759997</v>
      </c>
      <c r="AJ21" s="325">
        <f t="shared" si="12"/>
        <v>27.928573692237023</v>
      </c>
      <c r="AK21" s="325">
        <f t="shared" si="13"/>
        <v>55.337797005644362</v>
      </c>
      <c r="AL21">
        <f t="shared" si="14"/>
        <v>295</v>
      </c>
      <c r="AM21" s="411">
        <f t="shared" si="15"/>
        <v>0.12072544230840829</v>
      </c>
      <c r="AN21" s="411">
        <f t="shared" si="16"/>
        <v>0.14937215743243737</v>
      </c>
      <c r="AO21" s="411">
        <f t="shared" si="17"/>
        <v>0.15144927730441959</v>
      </c>
      <c r="AP21" s="384">
        <f>TitulosVendidos[[#This Row],[Comisión Santa Fe
Venta]]+TitulosVendidos[[#This Row],[Comisión Santa Fé
Compra]]</f>
        <v>6.7300568619691319</v>
      </c>
      <c r="AQ21" s="385"/>
    </row>
    <row r="22" spans="2:43" x14ac:dyDescent="0.25">
      <c r="B22" s="328">
        <v>46119</v>
      </c>
      <c r="C22" s="328" t="s">
        <v>233</v>
      </c>
      <c r="D22" t="s">
        <v>47</v>
      </c>
      <c r="E22" s="328">
        <v>46073</v>
      </c>
      <c r="F22" s="328">
        <v>46098</v>
      </c>
      <c r="G22" s="328">
        <v>45063</v>
      </c>
      <c r="H22" s="328">
        <v>48351</v>
      </c>
      <c r="I22" s="3">
        <v>6.21</v>
      </c>
      <c r="J22" s="3">
        <f t="shared" si="0"/>
        <v>7.3877592340912557</v>
      </c>
      <c r="K22" s="3">
        <v>10.75</v>
      </c>
      <c r="L22" s="325">
        <f t="shared" si="1"/>
        <v>9.0665999999999993</v>
      </c>
      <c r="M22" s="325">
        <f t="shared" si="2"/>
        <v>6.6465999999999994</v>
      </c>
      <c r="N22">
        <f t="shared" si="3"/>
        <v>0</v>
      </c>
      <c r="O22" s="325"/>
      <c r="P22" s="325">
        <f t="shared" si="4"/>
        <v>6.6465999999999994</v>
      </c>
      <c r="Q22" s="325">
        <v>1752</v>
      </c>
      <c r="R22" s="3">
        <v>83.412416089999994</v>
      </c>
      <c r="S22" s="3">
        <v>84.057964035205472</v>
      </c>
      <c r="T22" s="325">
        <f t="shared" si="5"/>
        <v>1461.3855298968001</v>
      </c>
      <c r="U22" s="325">
        <f t="shared" si="6"/>
        <v>1472.6955298968001</v>
      </c>
      <c r="V22" s="325">
        <f t="shared" si="7"/>
        <v>1475.1155298968001</v>
      </c>
      <c r="W22" s="325">
        <v>2.42</v>
      </c>
      <c r="X22" s="325">
        <v>7.31</v>
      </c>
      <c r="Y22" s="325">
        <v>4</v>
      </c>
      <c r="Z22" s="325">
        <f t="shared" si="8"/>
        <v>11.309999999999999</v>
      </c>
      <c r="AA22" s="389"/>
      <c r="AB22" s="3">
        <v>89.605003530000005</v>
      </c>
      <c r="AC22" s="3"/>
      <c r="AD22" s="325">
        <v>6.044474807856532</v>
      </c>
      <c r="AE22" s="325">
        <f t="shared" si="9"/>
        <v>1569.8796618456001</v>
      </c>
      <c r="AF22" s="325">
        <v>8.7601824581866659</v>
      </c>
      <c r="AG22" s="325">
        <v>0.66560746495594758</v>
      </c>
      <c r="AH22" s="325">
        <f t="shared" si="10"/>
        <v>1560.4538719224577</v>
      </c>
      <c r="AI22" s="325">
        <f t="shared" si="11"/>
        <v>108.49413194880003</v>
      </c>
      <c r="AJ22" s="325">
        <f t="shared" si="12"/>
        <v>87.758342025657612</v>
      </c>
      <c r="AK22" s="325">
        <f t="shared" si="13"/>
        <v>100.44941683351415</v>
      </c>
      <c r="AL22">
        <f t="shared" si="14"/>
        <v>46</v>
      </c>
      <c r="AM22" s="411">
        <f t="shared" si="15"/>
        <v>6.8207864283089933E-2</v>
      </c>
      <c r="AN22" s="411">
        <f t="shared" si="16"/>
        <v>0.54121457528973527</v>
      </c>
      <c r="AO22" s="411">
        <f t="shared" si="17"/>
        <v>0.68801893211710552</v>
      </c>
      <c r="AP22" s="384">
        <f>TitulosVendidos[[#This Row],[Comisión Santa Fe
Venta]]+TitulosVendidos[[#This Row],[Comisión Santa Fé
Compra]]</f>
        <v>16.070182458186665</v>
      </c>
      <c r="AQ22" s="385"/>
    </row>
    <row r="23" spans="2:43" x14ac:dyDescent="0.25">
      <c r="B23" s="328">
        <v>46119</v>
      </c>
      <c r="C23" s="328" t="s">
        <v>233</v>
      </c>
      <c r="D23" t="s">
        <v>47</v>
      </c>
      <c r="E23" s="328">
        <v>45492</v>
      </c>
      <c r="F23" s="328">
        <v>45497</v>
      </c>
      <c r="G23" s="328">
        <v>45070</v>
      </c>
      <c r="H23" s="328">
        <v>47627</v>
      </c>
      <c r="I23" s="3">
        <v>5.64</v>
      </c>
      <c r="J23" s="3">
        <f t="shared" si="0"/>
        <v>8.176165230035517</v>
      </c>
      <c r="K23" s="3">
        <v>14</v>
      </c>
      <c r="L23" s="325">
        <f t="shared" si="1"/>
        <v>36.283999999999999</v>
      </c>
      <c r="M23" s="325">
        <f t="shared" si="2"/>
        <v>6.0440000000000005</v>
      </c>
      <c r="N23">
        <f t="shared" si="3"/>
        <v>20</v>
      </c>
      <c r="O23" s="325"/>
      <c r="P23" s="325">
        <f t="shared" si="4"/>
        <v>731.72399999999993</v>
      </c>
      <c r="Q23" s="325">
        <v>7720</v>
      </c>
      <c r="R23" s="3">
        <v>68.722962339999995</v>
      </c>
      <c r="S23" s="3">
        <v>68.980993428082911</v>
      </c>
      <c r="T23" s="325">
        <f t="shared" si="5"/>
        <v>5305.4126926480003</v>
      </c>
      <c r="U23" s="325">
        <f t="shared" si="6"/>
        <v>5325.3326926480013</v>
      </c>
      <c r="V23" s="325">
        <f t="shared" si="7"/>
        <v>5355.5726926480011</v>
      </c>
      <c r="W23" s="325">
        <v>30.24</v>
      </c>
      <c r="X23" s="325">
        <v>15.92</v>
      </c>
      <c r="Y23" s="325">
        <v>4</v>
      </c>
      <c r="Z23" s="325">
        <f t="shared" si="8"/>
        <v>19.920000000000002</v>
      </c>
      <c r="AA23" s="389"/>
      <c r="AB23" s="3">
        <v>90.380692679999996</v>
      </c>
      <c r="AC23" s="3"/>
      <c r="AD23" s="325">
        <v>15.72323252354982</v>
      </c>
      <c r="AE23" s="325">
        <f t="shared" si="9"/>
        <v>6977.3894748959992</v>
      </c>
      <c r="AF23" s="325">
        <v>69.774714923153198</v>
      </c>
      <c r="AG23" s="325">
        <v>3.486822012890431</v>
      </c>
      <c r="AH23" s="325">
        <f t="shared" si="10"/>
        <v>6904.1279379599555</v>
      </c>
      <c r="AI23" s="325">
        <f t="shared" si="11"/>
        <v>1671.9767822479989</v>
      </c>
      <c r="AJ23" s="325">
        <f t="shared" si="12"/>
        <v>1578.7952453119542</v>
      </c>
      <c r="AK23" s="325">
        <f t="shared" si="13"/>
        <v>2326.2424778355044</v>
      </c>
      <c r="AL23">
        <f t="shared" si="14"/>
        <v>627</v>
      </c>
      <c r="AM23" s="411">
        <f t="shared" si="15"/>
        <v>0.43682575570293414</v>
      </c>
      <c r="AN23" s="411">
        <f t="shared" si="16"/>
        <v>0.25429250531351033</v>
      </c>
      <c r="AO23" s="411">
        <f t="shared" si="17"/>
        <v>0.23489712183766098</v>
      </c>
      <c r="AP23" s="384">
        <f>TitulosVendidos[[#This Row],[Comisión Santa Fe
Venta]]+TitulosVendidos[[#This Row],[Comisión Santa Fé
Compra]]</f>
        <v>85.694714923153199</v>
      </c>
      <c r="AQ23" s="385"/>
    </row>
    <row r="24" spans="2:43" x14ac:dyDescent="0.25">
      <c r="B24" s="328">
        <v>46119</v>
      </c>
      <c r="C24" s="328" t="s">
        <v>233</v>
      </c>
      <c r="D24" t="s">
        <v>47</v>
      </c>
      <c r="E24" s="328">
        <v>45637</v>
      </c>
      <c r="F24" s="328">
        <v>45650</v>
      </c>
      <c r="G24" s="328">
        <v>45070</v>
      </c>
      <c r="H24" s="328">
        <v>47627</v>
      </c>
      <c r="I24" s="3">
        <v>5.64</v>
      </c>
      <c r="J24" s="3">
        <f t="shared" si="0"/>
        <v>7.659996686390552</v>
      </c>
      <c r="K24" s="3">
        <v>13</v>
      </c>
      <c r="L24" s="325">
        <f t="shared" si="1"/>
        <v>58.514999999999993</v>
      </c>
      <c r="M24" s="325">
        <f t="shared" si="2"/>
        <v>25.354999999999997</v>
      </c>
      <c r="N24">
        <f t="shared" si="3"/>
        <v>15</v>
      </c>
      <c r="O24" s="325"/>
      <c r="P24" s="325">
        <f t="shared" si="4"/>
        <v>903.07999999999993</v>
      </c>
      <c r="Q24" s="325">
        <v>12450</v>
      </c>
      <c r="R24" s="3">
        <v>73.287346959999994</v>
      </c>
      <c r="S24" s="3">
        <v>73.629274670843358</v>
      </c>
      <c r="T24" s="325">
        <f t="shared" si="5"/>
        <v>9124.2746965199985</v>
      </c>
      <c r="U24" s="325">
        <f t="shared" si="6"/>
        <v>9166.8446965199983</v>
      </c>
      <c r="V24" s="325">
        <f t="shared" si="7"/>
        <v>9200.0046965199981</v>
      </c>
      <c r="W24" s="325">
        <v>33.159999999999997</v>
      </c>
      <c r="X24" s="325">
        <v>38.01</v>
      </c>
      <c r="Y24" s="325">
        <v>4.5599999999999996</v>
      </c>
      <c r="Z24" s="325">
        <f t="shared" si="8"/>
        <v>42.57</v>
      </c>
      <c r="AA24" s="389"/>
      <c r="AB24" s="3">
        <v>90.380692679999996</v>
      </c>
      <c r="AC24" s="3"/>
      <c r="AD24" s="325">
        <v>25.35676747645017</v>
      </c>
      <c r="AE24" s="325">
        <f t="shared" si="9"/>
        <v>11252.39623866</v>
      </c>
      <c r="AF24" s="325">
        <v>112.5252850768468</v>
      </c>
      <c r="AG24" s="325">
        <v>5.6231779871095684</v>
      </c>
      <c r="AH24" s="325">
        <f t="shared" si="10"/>
        <v>11134.247775596043</v>
      </c>
      <c r="AI24" s="325">
        <f t="shared" si="11"/>
        <v>2128.1215421400011</v>
      </c>
      <c r="AJ24" s="325">
        <f t="shared" si="12"/>
        <v>1967.4030790760444</v>
      </c>
      <c r="AK24" s="325">
        <f t="shared" si="13"/>
        <v>2895.8398465524947</v>
      </c>
      <c r="AL24">
        <f t="shared" si="14"/>
        <v>482</v>
      </c>
      <c r="AM24" s="411">
        <f t="shared" si="15"/>
        <v>0.31590366613845222</v>
      </c>
      <c r="AN24" s="411">
        <f t="shared" si="16"/>
        <v>0.23922165589322625</v>
      </c>
      <c r="AO24" s="411">
        <f t="shared" si="17"/>
        <v>0.23107300389190399</v>
      </c>
      <c r="AP24" s="384">
        <f>TitulosVendidos[[#This Row],[Comisión Santa Fe
Venta]]+TitulosVendidos[[#This Row],[Comisión Santa Fé
Compra]]</f>
        <v>150.5352850768468</v>
      </c>
      <c r="AQ24" s="385"/>
    </row>
    <row r="25" spans="2:43" x14ac:dyDescent="0.25">
      <c r="B25" s="328">
        <v>46119</v>
      </c>
      <c r="C25" s="328" t="s">
        <v>233</v>
      </c>
      <c r="D25" t="s">
        <v>47</v>
      </c>
      <c r="E25" s="328">
        <v>45492</v>
      </c>
      <c r="F25" s="328">
        <v>45519</v>
      </c>
      <c r="G25" s="328">
        <v>44910</v>
      </c>
      <c r="H25" s="328">
        <v>47832</v>
      </c>
      <c r="I25" s="3">
        <v>5.93</v>
      </c>
      <c r="J25" s="3">
        <f t="shared" si="0"/>
        <v>8.4787172626193001</v>
      </c>
      <c r="K25" s="3">
        <v>14</v>
      </c>
      <c r="L25" s="325">
        <f t="shared" si="1"/>
        <v>131.89308333333332</v>
      </c>
      <c r="M25" s="325">
        <f t="shared" si="2"/>
        <v>114.30308333333332</v>
      </c>
      <c r="N25">
        <f t="shared" si="3"/>
        <v>20</v>
      </c>
      <c r="O25" s="325"/>
      <c r="P25" s="325">
        <f t="shared" si="4"/>
        <v>2752.1647499999999</v>
      </c>
      <c r="Q25" s="325">
        <v>26690</v>
      </c>
      <c r="R25" s="3">
        <v>69.695875770000001</v>
      </c>
      <c r="S25" s="3">
        <v>69.93982481458599</v>
      </c>
      <c r="T25" s="325">
        <f t="shared" si="5"/>
        <v>18601.829243012999</v>
      </c>
      <c r="U25" s="325">
        <f t="shared" si="6"/>
        <v>18666.939243012999</v>
      </c>
      <c r="V25" s="325">
        <f t="shared" si="7"/>
        <v>18684.529243012999</v>
      </c>
      <c r="W25" s="325">
        <v>17.59</v>
      </c>
      <c r="X25" s="325">
        <v>55.81</v>
      </c>
      <c r="Y25" s="325">
        <v>9.3000000000000007</v>
      </c>
      <c r="Z25" s="325">
        <f t="shared" si="8"/>
        <v>65.11</v>
      </c>
      <c r="AA25" s="389"/>
      <c r="AB25" s="3">
        <v>91.566382840000003</v>
      </c>
      <c r="AC25" s="3"/>
      <c r="AD25" s="325">
        <v>96.72</v>
      </c>
      <c r="AE25" s="325">
        <f t="shared" si="9"/>
        <v>24439.067579996001</v>
      </c>
      <c r="AF25" s="325">
        <v>244.39</v>
      </c>
      <c r="AG25" s="325">
        <v>12.22</v>
      </c>
      <c r="AH25" s="325">
        <f t="shared" si="10"/>
        <v>24182.457579996</v>
      </c>
      <c r="AI25" s="325">
        <f t="shared" si="11"/>
        <v>5837.2383369830022</v>
      </c>
      <c r="AJ25" s="325">
        <f t="shared" si="12"/>
        <v>5515.5183369830011</v>
      </c>
      <c r="AK25" s="325">
        <f t="shared" si="13"/>
        <v>8364.4030869830003</v>
      </c>
      <c r="AL25">
        <f t="shared" si="14"/>
        <v>627</v>
      </c>
      <c r="AM25" s="411">
        <f t="shared" si="15"/>
        <v>0.44808647942183566</v>
      </c>
      <c r="AN25" s="411">
        <f t="shared" si="16"/>
        <v>0.26084779105098888</v>
      </c>
      <c r="AO25" s="411">
        <f t="shared" si="17"/>
        <v>0.24052194938635196</v>
      </c>
      <c r="AP25" s="384">
        <f>TitulosVendidos[[#This Row],[Comisión Santa Fe
Venta]]+TitulosVendidos[[#This Row],[Comisión Santa Fé
Compra]]</f>
        <v>300.2</v>
      </c>
      <c r="AQ25" s="385"/>
    </row>
    <row r="26" spans="2:43" x14ac:dyDescent="0.25">
      <c r="B26" s="328">
        <v>46119</v>
      </c>
      <c r="C26" s="328" t="s">
        <v>233</v>
      </c>
      <c r="D26" t="s">
        <v>47</v>
      </c>
      <c r="E26" s="328">
        <v>45805</v>
      </c>
      <c r="F26" s="328">
        <v>45816</v>
      </c>
      <c r="G26" s="328">
        <v>45785</v>
      </c>
      <c r="H26" s="328">
        <v>49072</v>
      </c>
      <c r="I26" s="3">
        <v>7.93</v>
      </c>
      <c r="J26" s="3">
        <f t="shared" si="0"/>
        <v>9.8593663519730139</v>
      </c>
      <c r="K26" s="3">
        <v>12</v>
      </c>
      <c r="L26" s="325">
        <f t="shared" si="1"/>
        <v>113.66333333333334</v>
      </c>
      <c r="M26" s="325">
        <f t="shared" si="2"/>
        <v>37.88333333333334</v>
      </c>
      <c r="N26">
        <f t="shared" si="3"/>
        <v>10</v>
      </c>
      <c r="O26" s="325"/>
      <c r="P26" s="325">
        <f t="shared" si="4"/>
        <v>1174.5166666666669</v>
      </c>
      <c r="Q26" s="325">
        <v>17200</v>
      </c>
      <c r="R26" s="3">
        <v>80.150609099999997</v>
      </c>
      <c r="S26" s="3">
        <v>80.431132355813958</v>
      </c>
      <c r="T26" s="325">
        <f t="shared" si="5"/>
        <v>13785.904765200001</v>
      </c>
      <c r="U26" s="325">
        <f t="shared" si="6"/>
        <v>13834.154765200001</v>
      </c>
      <c r="V26" s="325">
        <f t="shared" si="7"/>
        <v>13909.934765200001</v>
      </c>
      <c r="W26" s="325">
        <v>75.78</v>
      </c>
      <c r="X26" s="325">
        <v>41.36</v>
      </c>
      <c r="Y26" s="325">
        <v>6.89</v>
      </c>
      <c r="Z26" s="325">
        <f t="shared" si="8"/>
        <v>48.25</v>
      </c>
      <c r="AA26" s="389"/>
      <c r="AB26" s="3">
        <v>92.384955239999996</v>
      </c>
      <c r="AC26" s="3"/>
      <c r="AD26" s="325">
        <v>109.8737373737374</v>
      </c>
      <c r="AE26" s="325">
        <f t="shared" si="9"/>
        <v>15890.21230128</v>
      </c>
      <c r="AF26" s="325">
        <v>158.90404040404039</v>
      </c>
      <c r="AG26" s="325">
        <v>7.9444444444444446</v>
      </c>
      <c r="AH26" s="325">
        <f t="shared" si="10"/>
        <v>15723.363816431514</v>
      </c>
      <c r="AI26" s="325">
        <f t="shared" si="11"/>
        <v>2104.3075360799994</v>
      </c>
      <c r="AJ26" s="325">
        <f t="shared" si="12"/>
        <v>1889.2090512315135</v>
      </c>
      <c r="AK26" s="325">
        <f t="shared" si="13"/>
        <v>3173.5994552719176</v>
      </c>
      <c r="AL26">
        <f t="shared" si="14"/>
        <v>314</v>
      </c>
      <c r="AM26" s="411">
        <f t="shared" si="15"/>
        <v>0.22940320598806288</v>
      </c>
      <c r="AN26" s="411">
        <f t="shared" si="16"/>
        <v>0.26666296237465908</v>
      </c>
      <c r="AO26" s="411">
        <f t="shared" si="17"/>
        <v>0.27134239799444182</v>
      </c>
      <c r="AP26" s="384">
        <f>TitulosVendidos[[#This Row],[Comisión Santa Fe
Venta]]+TitulosVendidos[[#This Row],[Comisión Santa Fé
Compra]]</f>
        <v>200.26404040404037</v>
      </c>
      <c r="AQ26" s="385"/>
    </row>
    <row r="27" spans="2:43" x14ac:dyDescent="0.25">
      <c r="B27" s="328">
        <v>46119</v>
      </c>
      <c r="C27" s="328" t="s">
        <v>233</v>
      </c>
      <c r="D27" t="s">
        <v>47</v>
      </c>
      <c r="E27" s="328">
        <v>45902</v>
      </c>
      <c r="F27" s="328">
        <v>45908</v>
      </c>
      <c r="G27" s="328">
        <v>45785</v>
      </c>
      <c r="H27" s="328">
        <v>49072</v>
      </c>
      <c r="I27" s="3">
        <v>7.93</v>
      </c>
      <c r="J27" s="3">
        <f t="shared" si="0"/>
        <v>8.8323509878686597</v>
      </c>
      <c r="K27" s="3">
        <v>10</v>
      </c>
      <c r="L27" s="325">
        <f t="shared" si="1"/>
        <v>58.523400000000002</v>
      </c>
      <c r="M27" s="325">
        <f t="shared" si="2"/>
        <v>9.7533999999999992</v>
      </c>
      <c r="N27">
        <f t="shared" si="3"/>
        <v>7</v>
      </c>
      <c r="O27" s="325"/>
      <c r="P27" s="325">
        <f t="shared" si="4"/>
        <v>419.41720000000004</v>
      </c>
      <c r="Q27" s="325">
        <v>8856</v>
      </c>
      <c r="R27" s="3">
        <v>89.487950850000004</v>
      </c>
      <c r="S27" s="3">
        <v>89.783569639521232</v>
      </c>
      <c r="T27" s="325">
        <f t="shared" si="5"/>
        <v>7925.0529272760004</v>
      </c>
      <c r="U27" s="325">
        <f t="shared" si="6"/>
        <v>7951.2329272760007</v>
      </c>
      <c r="V27" s="325">
        <f t="shared" si="7"/>
        <v>8000.0029272760012</v>
      </c>
      <c r="W27" s="325">
        <v>48.77</v>
      </c>
      <c r="X27" s="325">
        <v>22.18</v>
      </c>
      <c r="Y27" s="325">
        <v>4</v>
      </c>
      <c r="Z27" s="325">
        <f t="shared" si="8"/>
        <v>26.18</v>
      </c>
      <c r="AA27" s="389"/>
      <c r="AB27" s="3">
        <v>92.384955239999996</v>
      </c>
      <c r="AC27" s="3"/>
      <c r="AD27" s="325">
        <v>56.572198731501061</v>
      </c>
      <c r="AE27" s="325">
        <f t="shared" si="9"/>
        <v>8181.6116360543992</v>
      </c>
      <c r="AF27" s="325">
        <v>81.817103594080336</v>
      </c>
      <c r="AG27" s="325">
        <v>4.0904651162790699</v>
      </c>
      <c r="AH27" s="325">
        <f t="shared" si="10"/>
        <v>8095.7040673440397</v>
      </c>
      <c r="AI27" s="325">
        <f t="shared" si="11"/>
        <v>256.5587087783988</v>
      </c>
      <c r="AJ27" s="325">
        <f t="shared" si="12"/>
        <v>144.47114006803895</v>
      </c>
      <c r="AK27" s="325">
        <f t="shared" si="13"/>
        <v>620.46053879954013</v>
      </c>
      <c r="AL27">
        <f t="shared" si="14"/>
        <v>217</v>
      </c>
      <c r="AM27" s="411">
        <f t="shared" si="15"/>
        <v>7.8033248990996756E-2</v>
      </c>
      <c r="AN27" s="411">
        <f t="shared" si="16"/>
        <v>0.13125408240421113</v>
      </c>
      <c r="AO27" s="411">
        <f t="shared" si="17"/>
        <v>0.13471863755614577</v>
      </c>
      <c r="AP27" s="384">
        <f>TitulosVendidos[[#This Row],[Comisión Santa Fe
Venta]]+TitulosVendidos[[#This Row],[Comisión Santa Fé
Compra]]</f>
        <v>103.99710359408033</v>
      </c>
      <c r="AQ27" s="385"/>
    </row>
    <row r="28" spans="2:43" x14ac:dyDescent="0.25">
      <c r="B28" s="328">
        <v>46119</v>
      </c>
      <c r="C28" s="328" t="s">
        <v>233</v>
      </c>
      <c r="D28" t="s">
        <v>47</v>
      </c>
      <c r="E28" s="328">
        <v>45902</v>
      </c>
      <c r="F28" s="328">
        <v>45915</v>
      </c>
      <c r="G28" s="328">
        <v>45785</v>
      </c>
      <c r="H28" s="328">
        <v>49072</v>
      </c>
      <c r="I28" s="3">
        <v>7.93</v>
      </c>
      <c r="J28" s="3">
        <f t="shared" si="0"/>
        <v>9.0619912131534655</v>
      </c>
      <c r="K28" s="3">
        <v>10.5</v>
      </c>
      <c r="L28" s="325">
        <f t="shared" si="1"/>
        <v>52.866666666666667</v>
      </c>
      <c r="M28" s="325">
        <f t="shared" si="2"/>
        <v>40.526666666666671</v>
      </c>
      <c r="N28">
        <f t="shared" si="3"/>
        <v>6</v>
      </c>
      <c r="O28" s="325"/>
      <c r="P28" s="325">
        <f t="shared" si="4"/>
        <v>357.72666666666669</v>
      </c>
      <c r="Q28" s="325">
        <v>8000</v>
      </c>
      <c r="R28" s="3">
        <v>87.196861170000005</v>
      </c>
      <c r="S28" s="3">
        <v>87.508361170000001</v>
      </c>
      <c r="T28" s="325">
        <f t="shared" si="5"/>
        <v>6975.7488936</v>
      </c>
      <c r="U28" s="325">
        <f t="shared" si="6"/>
        <v>7000.6688936</v>
      </c>
      <c r="V28" s="325">
        <f t="shared" si="7"/>
        <v>7013.0088936000002</v>
      </c>
      <c r="W28" s="325">
        <v>12.34</v>
      </c>
      <c r="X28" s="325">
        <v>20.92</v>
      </c>
      <c r="Y28" s="325">
        <v>4</v>
      </c>
      <c r="Z28" s="325">
        <f t="shared" si="8"/>
        <v>24.92</v>
      </c>
      <c r="AA28" s="389"/>
      <c r="AB28" s="3">
        <v>92.384955239999996</v>
      </c>
      <c r="AC28" s="3"/>
      <c r="AD28" s="325">
        <v>51.104063894761573</v>
      </c>
      <c r="AE28" s="325">
        <f t="shared" si="9"/>
        <v>7390.7964191999999</v>
      </c>
      <c r="AF28" s="325">
        <v>73.908856001879244</v>
      </c>
      <c r="AG28" s="325">
        <v>3.6950904392764858</v>
      </c>
      <c r="AH28" s="325">
        <f t="shared" si="10"/>
        <v>7313.1924727588448</v>
      </c>
      <c r="AI28" s="325">
        <f t="shared" si="11"/>
        <v>415.04752559999997</v>
      </c>
      <c r="AJ28" s="325">
        <f t="shared" si="12"/>
        <v>312.52357915884477</v>
      </c>
      <c r="AK28" s="325">
        <f t="shared" si="13"/>
        <v>721.35430972027302</v>
      </c>
      <c r="AL28">
        <f t="shared" si="14"/>
        <v>217</v>
      </c>
      <c r="AM28" s="411">
        <f t="shared" si="15"/>
        <v>0.10304076948700344</v>
      </c>
      <c r="AN28" s="411">
        <f t="shared" si="16"/>
        <v>0.17331742333067399</v>
      </c>
      <c r="AO28" s="411">
        <f t="shared" si="17"/>
        <v>0.17934315161409287</v>
      </c>
      <c r="AP28" s="384">
        <f>TitulosVendidos[[#This Row],[Comisión Santa Fe
Venta]]+TitulosVendidos[[#This Row],[Comisión Santa Fé
Compra]]</f>
        <v>94.828856001879245</v>
      </c>
      <c r="AQ28" s="385"/>
    </row>
    <row r="29" spans="2:43" x14ac:dyDescent="0.25">
      <c r="B29" s="328">
        <v>46119</v>
      </c>
      <c r="C29" s="328" t="s">
        <v>233</v>
      </c>
      <c r="D29" t="s">
        <v>47</v>
      </c>
      <c r="E29" s="328">
        <v>45967</v>
      </c>
      <c r="F29" s="328">
        <v>45996</v>
      </c>
      <c r="G29" s="328">
        <v>45905</v>
      </c>
      <c r="H29" s="328">
        <v>48462</v>
      </c>
      <c r="I29" s="3">
        <v>7.54</v>
      </c>
      <c r="J29" s="3">
        <f t="shared" si="0"/>
        <v>8.4534171083638459</v>
      </c>
      <c r="K29" s="3">
        <v>10</v>
      </c>
      <c r="L29" s="325">
        <f t="shared" si="1"/>
        <v>64.09</v>
      </c>
      <c r="M29" s="325">
        <f t="shared" si="2"/>
        <v>61.95</v>
      </c>
      <c r="N29">
        <f t="shared" si="3"/>
        <v>4</v>
      </c>
      <c r="O29" s="325"/>
      <c r="P29" s="325">
        <f t="shared" si="4"/>
        <v>318.31</v>
      </c>
      <c r="Q29" s="325">
        <v>10200</v>
      </c>
      <c r="R29" s="3">
        <v>88.512248670000005</v>
      </c>
      <c r="S29" s="3">
        <v>89.194699650392167</v>
      </c>
      <c r="T29" s="325">
        <f t="shared" si="5"/>
        <v>9028.2493643400012</v>
      </c>
      <c r="U29" s="325">
        <f t="shared" si="6"/>
        <v>9097.8593643400018</v>
      </c>
      <c r="V29" s="325">
        <f t="shared" si="7"/>
        <v>9099.9993643400012</v>
      </c>
      <c r="W29" s="325">
        <v>2.14</v>
      </c>
      <c r="X29" s="325">
        <v>65.099999999999994</v>
      </c>
      <c r="Y29" s="325">
        <v>4.51</v>
      </c>
      <c r="Z29" s="325">
        <f t="shared" si="8"/>
        <v>69.61</v>
      </c>
      <c r="AA29" s="389"/>
      <c r="AB29" s="3">
        <v>93.335567310000002</v>
      </c>
      <c r="AC29" s="3"/>
      <c r="AD29" s="325">
        <v>4.2732591054916016</v>
      </c>
      <c r="AE29" s="325">
        <f t="shared" si="9"/>
        <v>9520.2278656199996</v>
      </c>
      <c r="AF29" s="325">
        <v>95.201283260992639</v>
      </c>
      <c r="AG29" s="325">
        <v>4.7583317607095674</v>
      </c>
      <c r="AH29" s="325">
        <f t="shared" si="10"/>
        <v>9420.2682505982975</v>
      </c>
      <c r="AI29" s="325">
        <f t="shared" si="11"/>
        <v>491.97850127999845</v>
      </c>
      <c r="AJ29" s="325">
        <f t="shared" si="12"/>
        <v>322.40888625829575</v>
      </c>
      <c r="AK29" s="325">
        <f t="shared" si="13"/>
        <v>644.99214536378724</v>
      </c>
      <c r="AL29">
        <f t="shared" si="14"/>
        <v>152</v>
      </c>
      <c r="AM29" s="411">
        <f t="shared" si="15"/>
        <v>7.0894934680118329E-2</v>
      </c>
      <c r="AN29" s="411">
        <f t="shared" si="16"/>
        <v>0.17024112604107364</v>
      </c>
      <c r="AO29" s="411">
        <f t="shared" si="17"/>
        <v>0.17877689596052337</v>
      </c>
      <c r="AP29" s="384">
        <f>TitulosVendidos[[#This Row],[Comisión Santa Fe
Venta]]+TitulosVendidos[[#This Row],[Comisión Santa Fé
Compra]]</f>
        <v>160.30128326099265</v>
      </c>
      <c r="AQ29" s="385"/>
    </row>
    <row r="30" spans="2:43" x14ac:dyDescent="0.25">
      <c r="B30" s="328">
        <v>46119</v>
      </c>
      <c r="C30" s="328" t="s">
        <v>233</v>
      </c>
      <c r="D30" t="s">
        <v>47</v>
      </c>
      <c r="E30" s="328">
        <v>46030</v>
      </c>
      <c r="F30" s="328">
        <v>46058</v>
      </c>
      <c r="G30" s="328">
        <v>45905</v>
      </c>
      <c r="H30" s="328">
        <v>48462</v>
      </c>
      <c r="I30" s="3">
        <v>7.54</v>
      </c>
      <c r="J30" s="3">
        <f t="shared" si="0"/>
        <v>9.2983230898470683</v>
      </c>
      <c r="K30" s="3">
        <v>12</v>
      </c>
      <c r="L30" s="325">
        <f t="shared" si="1"/>
        <v>75.651333333333341</v>
      </c>
      <c r="M30" s="325">
        <f t="shared" si="2"/>
        <v>65.561333333333337</v>
      </c>
      <c r="N30">
        <f t="shared" si="3"/>
        <v>2</v>
      </c>
      <c r="O30" s="325"/>
      <c r="P30" s="325">
        <f t="shared" si="4"/>
        <v>216.86400000000003</v>
      </c>
      <c r="Q30" s="325">
        <v>12040</v>
      </c>
      <c r="R30" s="3">
        <v>80.686402000000001</v>
      </c>
      <c r="S30" s="3">
        <v>81.089890372093024</v>
      </c>
      <c r="T30" s="325">
        <f t="shared" si="5"/>
        <v>9714.6428008000003</v>
      </c>
      <c r="U30" s="325">
        <f t="shared" si="6"/>
        <v>9763.2228008000002</v>
      </c>
      <c r="V30" s="325">
        <f t="shared" si="7"/>
        <v>9773.3128008000003</v>
      </c>
      <c r="W30" s="325">
        <v>10.09</v>
      </c>
      <c r="X30" s="325">
        <v>43.72</v>
      </c>
      <c r="Y30" s="325">
        <v>4.8600000000000003</v>
      </c>
      <c r="Z30" s="325">
        <f t="shared" si="8"/>
        <v>48.58</v>
      </c>
      <c r="AA30" s="389"/>
      <c r="AB30" s="3">
        <v>93.335567310000002</v>
      </c>
      <c r="AC30" s="3"/>
      <c r="AD30" s="325">
        <v>5.0441215323645974</v>
      </c>
      <c r="AE30" s="325">
        <f t="shared" si="9"/>
        <v>11237.602304124001</v>
      </c>
      <c r="AF30" s="325">
        <v>112.3748480845443</v>
      </c>
      <c r="AG30" s="325">
        <v>5.6166974900924709</v>
      </c>
      <c r="AH30" s="325">
        <f t="shared" si="10"/>
        <v>11119.610758549365</v>
      </c>
      <c r="AI30" s="325">
        <f t="shared" si="11"/>
        <v>1522.9595033240003</v>
      </c>
      <c r="AJ30" s="325">
        <f t="shared" si="12"/>
        <v>1356.3879577493644</v>
      </c>
      <c r="AK30" s="325">
        <f t="shared" si="13"/>
        <v>1578.2960792817291</v>
      </c>
      <c r="AL30">
        <f t="shared" si="14"/>
        <v>89</v>
      </c>
      <c r="AM30" s="411">
        <f t="shared" si="15"/>
        <v>0.16165728381742997</v>
      </c>
      <c r="AN30" s="411">
        <f t="shared" si="16"/>
        <v>0.66297650104901051</v>
      </c>
      <c r="AO30" s="411">
        <f t="shared" si="17"/>
        <v>0.84881307080287072</v>
      </c>
      <c r="AP30" s="384">
        <f>TitulosVendidos[[#This Row],[Comisión Santa Fe
Venta]]+TitulosVendidos[[#This Row],[Comisión Santa Fé
Compra]]</f>
        <v>156.09484808454431</v>
      </c>
      <c r="AQ30" s="385"/>
    </row>
    <row r="31" spans="2:43" x14ac:dyDescent="0.25">
      <c r="B31" s="328">
        <v>46118</v>
      </c>
      <c r="C31" s="328" t="s">
        <v>233</v>
      </c>
      <c r="D31" t="s">
        <v>48</v>
      </c>
      <c r="E31" s="328">
        <v>45308</v>
      </c>
      <c r="F31" s="328">
        <v>45309</v>
      </c>
      <c r="G31" s="328">
        <v>45217</v>
      </c>
      <c r="H31" s="328">
        <v>47409</v>
      </c>
      <c r="I31" s="3">
        <v>5.36</v>
      </c>
      <c r="J31" s="3">
        <f t="shared" si="0"/>
        <v>7.6179723637082812</v>
      </c>
      <c r="K31" s="3">
        <v>13</v>
      </c>
      <c r="L31" s="325">
        <f t="shared" si="1"/>
        <v>33.053333333333335</v>
      </c>
      <c r="M31" s="325">
        <f t="shared" si="2"/>
        <v>1.1033333333333353</v>
      </c>
      <c r="N31">
        <f t="shared" si="3"/>
        <v>26</v>
      </c>
      <c r="O31" s="325"/>
      <c r="P31" s="325">
        <f t="shared" si="4"/>
        <v>860.49</v>
      </c>
      <c r="Q31" s="325">
        <v>7400</v>
      </c>
      <c r="R31" s="3">
        <v>70.095605379999995</v>
      </c>
      <c r="S31" s="3">
        <v>70.359929704324315</v>
      </c>
      <c r="T31" s="325">
        <f t="shared" si="5"/>
        <v>5187.0747981199993</v>
      </c>
      <c r="U31" s="325">
        <f t="shared" si="6"/>
        <v>5206.6347981199997</v>
      </c>
      <c r="V31" s="325">
        <f t="shared" si="7"/>
        <v>5238.5847981199995</v>
      </c>
      <c r="W31" s="325">
        <v>31.95</v>
      </c>
      <c r="X31" s="325">
        <v>15.56</v>
      </c>
      <c r="Y31" s="325">
        <v>4</v>
      </c>
      <c r="Z31" s="325">
        <f t="shared" si="8"/>
        <v>19.560000000000002</v>
      </c>
      <c r="AA31" s="389"/>
      <c r="AB31" s="3">
        <v>91.037367149999994</v>
      </c>
      <c r="AC31" s="3">
        <v>90.340900000000005</v>
      </c>
      <c r="AD31" s="325">
        <v>19.829999999999998</v>
      </c>
      <c r="AE31" s="325">
        <f t="shared" si="9"/>
        <v>6736.7651691000001</v>
      </c>
      <c r="AF31" s="325">
        <v>67.37</v>
      </c>
      <c r="AG31" s="325">
        <v>4</v>
      </c>
      <c r="AH31" s="325">
        <f t="shared" si="10"/>
        <v>6665.3951691000002</v>
      </c>
      <c r="AI31" s="325">
        <f t="shared" si="11"/>
        <v>1549.6903709800008</v>
      </c>
      <c r="AJ31" s="325">
        <f t="shared" si="12"/>
        <v>1458.7603709800005</v>
      </c>
      <c r="AK31" s="325">
        <f t="shared" si="13"/>
        <v>2339.0803709800002</v>
      </c>
      <c r="AL31">
        <f t="shared" si="14"/>
        <v>810</v>
      </c>
      <c r="AM31" s="411">
        <f t="shared" si="15"/>
        <v>0.44924994006197444</v>
      </c>
      <c r="AN31" s="411">
        <f t="shared" si="16"/>
        <v>0.20243978780570454</v>
      </c>
      <c r="AO31" s="411">
        <f t="shared" si="17"/>
        <v>0.18199040785959508</v>
      </c>
      <c r="AP31" s="384">
        <f>TitulosVendidos[[#This Row],[Comisión Santa Fe
Venta]]+TitulosVendidos[[#This Row],[Comisión Santa Fé
Compra]]</f>
        <v>82.93</v>
      </c>
      <c r="AQ31" s="385"/>
    </row>
    <row r="32" spans="2:43" x14ac:dyDescent="0.25">
      <c r="B32" s="328">
        <v>46118</v>
      </c>
      <c r="C32" s="328" t="s">
        <v>233</v>
      </c>
      <c r="D32" t="s">
        <v>48</v>
      </c>
      <c r="E32" s="328">
        <v>45492</v>
      </c>
      <c r="F32" s="328">
        <v>45521</v>
      </c>
      <c r="G32" s="328">
        <v>45063</v>
      </c>
      <c r="H32" s="328">
        <v>48351</v>
      </c>
      <c r="I32" s="3">
        <v>6.21</v>
      </c>
      <c r="J32" s="3">
        <f t="shared" si="0"/>
        <v>9.135973464212535</v>
      </c>
      <c r="K32" s="3">
        <v>14</v>
      </c>
      <c r="L32" s="325">
        <f t="shared" si="1"/>
        <v>29.280150000000003</v>
      </c>
      <c r="M32" s="325">
        <f t="shared" si="2"/>
        <v>27.330150000000003</v>
      </c>
      <c r="N32">
        <f t="shared" si="3"/>
        <v>19</v>
      </c>
      <c r="O32" s="325"/>
      <c r="P32" s="325">
        <f t="shared" si="4"/>
        <v>583.65300000000002</v>
      </c>
      <c r="Q32" s="325">
        <v>5658</v>
      </c>
      <c r="R32" s="3">
        <v>67.699280419999994</v>
      </c>
      <c r="S32" s="3">
        <v>67.973052070759977</v>
      </c>
      <c r="T32" s="325">
        <f t="shared" si="5"/>
        <v>3830.4252861635996</v>
      </c>
      <c r="U32" s="325">
        <f t="shared" si="6"/>
        <v>3845.9152861635994</v>
      </c>
      <c r="V32" s="325">
        <f t="shared" si="7"/>
        <v>3847.8652861635992</v>
      </c>
      <c r="W32" s="325">
        <v>1.95</v>
      </c>
      <c r="X32" s="325">
        <v>11.49</v>
      </c>
      <c r="Y32" s="325">
        <v>4</v>
      </c>
      <c r="Z32" s="325">
        <f t="shared" si="8"/>
        <v>15.49</v>
      </c>
      <c r="AA32" s="389"/>
      <c r="AB32" s="3">
        <v>89.07777256</v>
      </c>
      <c r="AC32" s="3">
        <v>89.077799999999996</v>
      </c>
      <c r="AD32" s="325">
        <v>18.54</v>
      </c>
      <c r="AE32" s="325">
        <f t="shared" si="9"/>
        <v>5040.0203714447998</v>
      </c>
      <c r="AF32" s="325">
        <v>50.4</v>
      </c>
      <c r="AG32" s="325">
        <v>4</v>
      </c>
      <c r="AH32" s="325">
        <f t="shared" si="10"/>
        <v>4985.6203714448002</v>
      </c>
      <c r="AI32" s="325">
        <f t="shared" si="11"/>
        <v>1209.5950852812002</v>
      </c>
      <c r="AJ32" s="325">
        <f t="shared" si="12"/>
        <v>1139.7050852812008</v>
      </c>
      <c r="AK32" s="325">
        <f t="shared" si="13"/>
        <v>1741.8980852812008</v>
      </c>
      <c r="AL32">
        <f t="shared" si="14"/>
        <v>626</v>
      </c>
      <c r="AM32" s="411">
        <f t="shared" si="15"/>
        <v>0.45292159490564066</v>
      </c>
      <c r="AN32" s="411">
        <f t="shared" si="16"/>
        <v>0.26408367754082879</v>
      </c>
      <c r="AO32" s="411">
        <f t="shared" si="17"/>
        <v>0.24336338934534241</v>
      </c>
      <c r="AP32" s="384">
        <f>TitulosVendidos[[#This Row],[Comisión Santa Fe
Venta]]+TitulosVendidos[[#This Row],[Comisión Santa Fé
Compra]]</f>
        <v>61.89</v>
      </c>
      <c r="AQ32" s="385"/>
    </row>
    <row r="33" spans="2:43" x14ac:dyDescent="0.25">
      <c r="B33" s="328">
        <v>46118</v>
      </c>
      <c r="C33" s="328" t="s">
        <v>233</v>
      </c>
      <c r="D33" t="s">
        <v>48</v>
      </c>
      <c r="E33" s="328">
        <v>45492</v>
      </c>
      <c r="F33" s="328">
        <v>45497</v>
      </c>
      <c r="G33" s="328">
        <v>45070</v>
      </c>
      <c r="H33" s="328">
        <v>47627</v>
      </c>
      <c r="I33" s="3">
        <v>5.64</v>
      </c>
      <c r="J33" s="3">
        <f t="shared" si="0"/>
        <v>8.1769429055954088</v>
      </c>
      <c r="K33" s="3">
        <v>14</v>
      </c>
      <c r="L33" s="325">
        <f t="shared" si="1"/>
        <v>41.547999999999995</v>
      </c>
      <c r="M33" s="325">
        <f t="shared" si="2"/>
        <v>6.9279999999999973</v>
      </c>
      <c r="N33">
        <f t="shared" si="3"/>
        <v>20</v>
      </c>
      <c r="O33" s="325"/>
      <c r="P33" s="325">
        <f t="shared" si="4"/>
        <v>837.88799999999992</v>
      </c>
      <c r="Q33" s="325">
        <v>8840</v>
      </c>
      <c r="R33" s="3">
        <v>68.722962339999995</v>
      </c>
      <c r="S33" s="3">
        <v>68.974432928235288</v>
      </c>
      <c r="T33" s="325">
        <f t="shared" si="5"/>
        <v>6075.1098708559994</v>
      </c>
      <c r="U33" s="325">
        <f t="shared" si="6"/>
        <v>6097.3398708559989</v>
      </c>
      <c r="V33" s="325">
        <f t="shared" si="7"/>
        <v>6131.9598708559988</v>
      </c>
      <c r="W33" s="325">
        <v>34.619999999999997</v>
      </c>
      <c r="X33" s="325">
        <v>18.23</v>
      </c>
      <c r="Y33" s="325">
        <v>4</v>
      </c>
      <c r="Z33" s="325">
        <f t="shared" si="8"/>
        <v>22.23</v>
      </c>
      <c r="AA33" s="389"/>
      <c r="AB33" s="3">
        <v>90.374424860000005</v>
      </c>
      <c r="AC33" s="3">
        <v>89.613500000000002</v>
      </c>
      <c r="AD33" s="325">
        <v>16.62</v>
      </c>
      <c r="AE33" s="325">
        <f t="shared" si="9"/>
        <v>7989.0991576240003</v>
      </c>
      <c r="AF33" s="325">
        <v>79.89</v>
      </c>
      <c r="AG33" s="325">
        <v>4</v>
      </c>
      <c r="AH33" s="325">
        <f t="shared" si="10"/>
        <v>7905.209157624</v>
      </c>
      <c r="AI33" s="325">
        <f t="shared" si="11"/>
        <v>1913.989286768001</v>
      </c>
      <c r="AJ33" s="325">
        <f t="shared" si="12"/>
        <v>1807.8692867680011</v>
      </c>
      <c r="AK33" s="325">
        <f t="shared" si="13"/>
        <v>2662.3772867680009</v>
      </c>
      <c r="AL33">
        <f t="shared" si="14"/>
        <v>626</v>
      </c>
      <c r="AM33" s="411">
        <f t="shared" si="15"/>
        <v>0.4366457083184101</v>
      </c>
      <c r="AN33" s="411">
        <f t="shared" si="16"/>
        <v>0.25459374366808257</v>
      </c>
      <c r="AO33" s="411">
        <f t="shared" si="17"/>
        <v>0.23522314410442369</v>
      </c>
      <c r="AP33" s="384">
        <f>TitulosVendidos[[#This Row],[Comisión Santa Fe
Venta]]+TitulosVendidos[[#This Row],[Comisión Santa Fé
Compra]]</f>
        <v>98.12</v>
      </c>
      <c r="AQ33" s="385"/>
    </row>
    <row r="34" spans="2:43" x14ac:dyDescent="0.25">
      <c r="B34" s="328">
        <v>46118</v>
      </c>
      <c r="C34" s="328" t="s">
        <v>233</v>
      </c>
      <c r="D34" t="s">
        <v>46</v>
      </c>
      <c r="E34" s="328">
        <v>45260</v>
      </c>
      <c r="F34" s="328">
        <v>45277</v>
      </c>
      <c r="G34" s="328">
        <v>45063</v>
      </c>
      <c r="H34" s="328">
        <v>48351</v>
      </c>
      <c r="I34" s="3">
        <v>6.21</v>
      </c>
      <c r="J34" s="3">
        <f t="shared" si="0"/>
        <v>8.9388314888665032</v>
      </c>
      <c r="K34" s="3">
        <v>13</v>
      </c>
      <c r="L34" s="325">
        <f t="shared" si="1"/>
        <v>52.2468</v>
      </c>
      <c r="M34" s="325">
        <f t="shared" si="2"/>
        <v>27.866800000000001</v>
      </c>
      <c r="N34">
        <f t="shared" si="3"/>
        <v>28</v>
      </c>
      <c r="O34" s="325"/>
      <c r="P34" s="325">
        <f t="shared" si="4"/>
        <v>1490.7772</v>
      </c>
      <c r="Q34" s="325">
        <v>10096</v>
      </c>
      <c r="R34" s="3">
        <v>69.224841999999995</v>
      </c>
      <c r="S34" s="3">
        <v>69.472167673534074</v>
      </c>
      <c r="T34" s="325">
        <f t="shared" si="5"/>
        <v>6988.9400483199997</v>
      </c>
      <c r="U34" s="325">
        <f t="shared" si="6"/>
        <v>7013.91004832</v>
      </c>
      <c r="V34" s="325">
        <f t="shared" si="7"/>
        <v>7038.2900483200001</v>
      </c>
      <c r="W34" s="325">
        <v>24.38</v>
      </c>
      <c r="X34" s="325">
        <v>20.97</v>
      </c>
      <c r="Y34" s="325">
        <v>4</v>
      </c>
      <c r="Z34" s="325">
        <f t="shared" si="8"/>
        <v>24.97</v>
      </c>
      <c r="AA34" s="389"/>
      <c r="AB34" s="3">
        <v>89.599852729999995</v>
      </c>
      <c r="AC34" s="3">
        <v>88.986800000000002</v>
      </c>
      <c r="AD34" s="325">
        <v>33.088388429752072</v>
      </c>
      <c r="AE34" s="325">
        <f t="shared" si="9"/>
        <v>9046.0011316208002</v>
      </c>
      <c r="AF34" s="325">
        <v>90.45854338842976</v>
      </c>
      <c r="AG34" s="325">
        <v>4.5239049586776856</v>
      </c>
      <c r="AH34" s="325">
        <f t="shared" si="10"/>
        <v>8951.0186832736927</v>
      </c>
      <c r="AI34" s="325">
        <f t="shared" si="11"/>
        <v>2057.0610833008004</v>
      </c>
      <c r="AJ34" s="325">
        <f t="shared" si="12"/>
        <v>1937.1086349536927</v>
      </c>
      <c r="AK34" s="325">
        <f t="shared" si="13"/>
        <v>3460.974223383445</v>
      </c>
      <c r="AL34">
        <f t="shared" si="14"/>
        <v>858</v>
      </c>
      <c r="AM34" s="411">
        <f t="shared" si="15"/>
        <v>0.49344434125048858</v>
      </c>
      <c r="AN34" s="411">
        <f t="shared" si="16"/>
        <v>0.20991513351565075</v>
      </c>
      <c r="AO34" s="411">
        <f t="shared" si="17"/>
        <v>0.18604563311973821</v>
      </c>
      <c r="AP34" s="384">
        <f>TitulosVendidos[[#This Row],[Comisión Santa Fe
Venta]]+TitulosVendidos[[#This Row],[Comisión Santa Fé
Compra]]</f>
        <v>111.42854338842976</v>
      </c>
      <c r="AQ34" s="385"/>
    </row>
    <row r="35" spans="2:43" x14ac:dyDescent="0.25">
      <c r="B35" s="328">
        <v>46118</v>
      </c>
      <c r="C35" s="328" t="s">
        <v>233</v>
      </c>
      <c r="D35" t="s">
        <v>46</v>
      </c>
      <c r="E35" s="328">
        <v>46083</v>
      </c>
      <c r="F35" s="328">
        <v>46098</v>
      </c>
      <c r="G35" s="328">
        <v>45063</v>
      </c>
      <c r="H35" s="328">
        <v>48351</v>
      </c>
      <c r="I35" s="3">
        <v>6.21</v>
      </c>
      <c r="J35" s="3">
        <f t="shared" ref="J35:J66" si="18">L35*12/U35*100</f>
        <v>7.3455808860519944</v>
      </c>
      <c r="K35" s="3">
        <v>10.5</v>
      </c>
      <c r="L35" s="325">
        <f t="shared" ref="L35:L66" si="19">Q35*I35/100/12</f>
        <v>108.05400000000002</v>
      </c>
      <c r="M35" s="325">
        <f t="shared" ref="M35:M66" si="20">L35-W35</f>
        <v>54.024000000000015</v>
      </c>
      <c r="N35">
        <f t="shared" ref="N35:N66" si="21">IF(F35="", 0, IF(B35&gt;F35,INT((B35-F35)/30),0))</f>
        <v>0</v>
      </c>
      <c r="O35" s="325"/>
      <c r="P35" s="325">
        <f t="shared" ref="P35:P66" si="22">L35*N35+M35+IF(B35&gt;F35,O35,0)</f>
        <v>54.024000000000015</v>
      </c>
      <c r="Q35" s="325">
        <v>20880</v>
      </c>
      <c r="R35" s="3">
        <v>84.287751560000004</v>
      </c>
      <c r="S35" s="3">
        <v>84.540625123218391</v>
      </c>
      <c r="T35" s="325">
        <f t="shared" ref="T35:T66" si="23">Q35*R35/100</f>
        <v>17599.282525728002</v>
      </c>
      <c r="U35" s="325">
        <f t="shared" ref="U35:U66" si="24">Q35*S35/100</f>
        <v>17652.082525728001</v>
      </c>
      <c r="V35" s="325">
        <f t="shared" ref="V35:V66" si="25">U35+W35</f>
        <v>17706.112525728</v>
      </c>
      <c r="W35" s="325">
        <v>54.03</v>
      </c>
      <c r="X35" s="325">
        <v>44</v>
      </c>
      <c r="Y35" s="325">
        <v>8.8000000000000007</v>
      </c>
      <c r="Z35" s="325">
        <f t="shared" ref="Z35:Z66" si="26">X35+Y35</f>
        <v>52.8</v>
      </c>
      <c r="AA35" s="389"/>
      <c r="AB35" s="3">
        <v>89.599852729999995</v>
      </c>
      <c r="AC35" s="3">
        <v>88.986800000000002</v>
      </c>
      <c r="AD35" s="325">
        <v>68.431611570247924</v>
      </c>
      <c r="AE35" s="325">
        <f t="shared" ref="AE35:AE66" si="27">AB35*Q35/100</f>
        <v>18708.449250023998</v>
      </c>
      <c r="AF35" s="325">
        <v>187.08145661157019</v>
      </c>
      <c r="AG35" s="325">
        <v>9.3560950413223143</v>
      </c>
      <c r="AH35" s="325">
        <f t="shared" ref="AH35:AH66" si="28">AE35-AF35-AG35</f>
        <v>18512.011698371105</v>
      </c>
      <c r="AI35" s="325">
        <f t="shared" ref="AI35:AI66" si="29">AE35-T35</f>
        <v>1109.1667242959957</v>
      </c>
      <c r="AJ35" s="325">
        <f t="shared" ref="AJ35:AJ66" si="30">AH35-U35</f>
        <v>859.92917264310381</v>
      </c>
      <c r="AK35" s="325">
        <f t="shared" ref="AK35:AK66" si="31">AJ35+P35+AD35</f>
        <v>982.38478421335174</v>
      </c>
      <c r="AL35">
        <f t="shared" ref="AL35:AL66" si="32">B35-E35</f>
        <v>35</v>
      </c>
      <c r="AM35" s="411">
        <f t="shared" ref="AM35:AM66" si="33">AK35/U35</f>
        <v>5.565262811237829E-2</v>
      </c>
      <c r="AN35" s="411">
        <f t="shared" ref="AN35:AN66" si="34">AK35/U35*365/AL35</f>
        <v>0.58037740745765931</v>
      </c>
      <c r="AO35" s="411">
        <f t="shared" ref="AO35:AO66" si="35">POWER((1+AM35),(365/AL35))-1</f>
        <v>0.75910099900971884</v>
      </c>
      <c r="AP35" s="384">
        <f>TitulosVendidos[[#This Row],[Comisión Santa Fe
Venta]]+TitulosVendidos[[#This Row],[Comisión Santa Fé
Compra]]</f>
        <v>231.08145661157019</v>
      </c>
      <c r="AQ35" s="385"/>
    </row>
    <row r="36" spans="2:43" x14ac:dyDescent="0.25">
      <c r="B36" s="328">
        <v>46118</v>
      </c>
      <c r="C36" s="328" t="s">
        <v>233</v>
      </c>
      <c r="D36" t="s">
        <v>46</v>
      </c>
      <c r="E36" s="328">
        <v>45286</v>
      </c>
      <c r="F36" s="328">
        <v>45315</v>
      </c>
      <c r="G36" s="328">
        <v>45042</v>
      </c>
      <c r="H36" s="328">
        <v>47627</v>
      </c>
      <c r="I36" s="3">
        <v>5.64</v>
      </c>
      <c r="J36" s="3">
        <f t="shared" si="18"/>
        <v>8.1448013262861192</v>
      </c>
      <c r="K36" s="3">
        <v>13.25</v>
      </c>
      <c r="L36" s="325">
        <f t="shared" si="19"/>
        <v>35.278199999999998</v>
      </c>
      <c r="M36" s="325">
        <f t="shared" si="20"/>
        <v>32.928199999999997</v>
      </c>
      <c r="N36">
        <f t="shared" si="21"/>
        <v>26</v>
      </c>
      <c r="O36" s="325"/>
      <c r="P36" s="325">
        <f t="shared" si="22"/>
        <v>950.16139999999984</v>
      </c>
      <c r="Q36" s="325">
        <v>7506</v>
      </c>
      <c r="R36" s="3">
        <v>68.979371749999999</v>
      </c>
      <c r="S36" s="3">
        <v>69.246624614375179</v>
      </c>
      <c r="T36" s="325">
        <f t="shared" si="23"/>
        <v>5177.5916435549998</v>
      </c>
      <c r="U36" s="325">
        <f t="shared" si="24"/>
        <v>5197.6516435550011</v>
      </c>
      <c r="V36" s="325">
        <f t="shared" si="25"/>
        <v>5200.0016435550015</v>
      </c>
      <c r="W36" s="325">
        <v>2.35</v>
      </c>
      <c r="X36" s="325">
        <v>16.059999999999999</v>
      </c>
      <c r="Y36" s="325">
        <v>4</v>
      </c>
      <c r="Z36" s="325">
        <f t="shared" si="26"/>
        <v>20.059999999999999</v>
      </c>
      <c r="AA36" s="389"/>
      <c r="AB36" s="3">
        <v>90.374424860000005</v>
      </c>
      <c r="AC36" s="3">
        <v>89.613500000000002</v>
      </c>
      <c r="AD36" s="325">
        <v>14.10979475844648</v>
      </c>
      <c r="AE36" s="325">
        <f t="shared" si="27"/>
        <v>6783.5043299916006</v>
      </c>
      <c r="AF36" s="325">
        <v>67.835247868645396</v>
      </c>
      <c r="AG36" s="325">
        <v>3.393144932112409</v>
      </c>
      <c r="AH36" s="325">
        <f t="shared" si="28"/>
        <v>6712.2759371908423</v>
      </c>
      <c r="AI36" s="325">
        <f t="shared" si="29"/>
        <v>1605.9126864366008</v>
      </c>
      <c r="AJ36" s="325">
        <f t="shared" si="30"/>
        <v>1514.6242936358412</v>
      </c>
      <c r="AK36" s="325">
        <f t="shared" si="31"/>
        <v>2478.8954883942879</v>
      </c>
      <c r="AL36">
        <f t="shared" si="32"/>
        <v>832</v>
      </c>
      <c r="AM36" s="411">
        <f t="shared" si="33"/>
        <v>0.4769260539936484</v>
      </c>
      <c r="AN36" s="411">
        <f t="shared" si="34"/>
        <v>0.20922837705250202</v>
      </c>
      <c r="AO36" s="411">
        <f t="shared" si="35"/>
        <v>0.18658269436929653</v>
      </c>
      <c r="AP36" s="384">
        <f>TitulosVendidos[[#This Row],[Comisión Santa Fe
Venta]]+TitulosVendidos[[#This Row],[Comisión Santa Fé
Compra]]</f>
        <v>83.895247868645399</v>
      </c>
      <c r="AQ36" s="385"/>
    </row>
    <row r="37" spans="2:43" x14ac:dyDescent="0.25">
      <c r="B37" s="328">
        <v>46118</v>
      </c>
      <c r="C37" s="328" t="s">
        <v>233</v>
      </c>
      <c r="D37" t="s">
        <v>46</v>
      </c>
      <c r="E37" s="328">
        <v>45622</v>
      </c>
      <c r="F37" s="328">
        <v>45650</v>
      </c>
      <c r="G37" s="328">
        <v>45070</v>
      </c>
      <c r="H37" s="328">
        <v>47627</v>
      </c>
      <c r="I37" s="3">
        <v>5.64</v>
      </c>
      <c r="J37" s="3">
        <f t="shared" si="18"/>
        <v>7.6813457298500696</v>
      </c>
      <c r="K37" s="3">
        <v>13</v>
      </c>
      <c r="L37" s="325">
        <f t="shared" si="19"/>
        <v>54.031199999999991</v>
      </c>
      <c r="M37" s="325">
        <f t="shared" si="20"/>
        <v>50.43119999999999</v>
      </c>
      <c r="N37">
        <f t="shared" si="21"/>
        <v>15</v>
      </c>
      <c r="O37" s="325"/>
      <c r="P37" s="325">
        <f t="shared" si="22"/>
        <v>860.89919999999984</v>
      </c>
      <c r="Q37" s="325">
        <v>11496</v>
      </c>
      <c r="R37" s="3">
        <v>73.127139369999995</v>
      </c>
      <c r="S37" s="3">
        <v>73.424634150793324</v>
      </c>
      <c r="T37" s="325">
        <f t="shared" si="23"/>
        <v>8406.6959419752002</v>
      </c>
      <c r="U37" s="325">
        <f t="shared" si="24"/>
        <v>8440.8959419752009</v>
      </c>
      <c r="V37" s="325">
        <f t="shared" si="25"/>
        <v>8444.4959419752013</v>
      </c>
      <c r="W37" s="325">
        <v>3.6</v>
      </c>
      <c r="X37" s="325">
        <v>30</v>
      </c>
      <c r="Y37" s="325">
        <v>4.2</v>
      </c>
      <c r="Z37" s="325">
        <f t="shared" si="26"/>
        <v>34.200000000000003</v>
      </c>
      <c r="AA37" s="389"/>
      <c r="AB37" s="3">
        <v>90.374424860000005</v>
      </c>
      <c r="AC37" s="3">
        <v>89.613500000000002</v>
      </c>
      <c r="AD37" s="325">
        <v>21.610205241553519</v>
      </c>
      <c r="AE37" s="325">
        <f t="shared" si="27"/>
        <v>10389.443881905601</v>
      </c>
      <c r="AF37" s="325">
        <v>103.89475213135459</v>
      </c>
      <c r="AG37" s="325">
        <v>5.1968550678875909</v>
      </c>
      <c r="AH37" s="325">
        <f t="shared" si="28"/>
        <v>10280.352274706358</v>
      </c>
      <c r="AI37" s="325">
        <f t="shared" si="29"/>
        <v>1982.7479399304011</v>
      </c>
      <c r="AJ37" s="325">
        <f t="shared" si="30"/>
        <v>1839.4563327311571</v>
      </c>
      <c r="AK37" s="325">
        <f t="shared" si="31"/>
        <v>2721.9657379727105</v>
      </c>
      <c r="AL37">
        <f t="shared" si="32"/>
        <v>496</v>
      </c>
      <c r="AM37" s="411">
        <f t="shared" si="33"/>
        <v>0.32247355691672708</v>
      </c>
      <c r="AN37" s="411">
        <f t="shared" si="34"/>
        <v>0.23730412958589794</v>
      </c>
      <c r="AO37" s="411">
        <f t="shared" si="35"/>
        <v>0.22836412682539042</v>
      </c>
      <c r="AP37" s="384">
        <f>TitulosVendidos[[#This Row],[Comisión Santa Fe
Venta]]+TitulosVendidos[[#This Row],[Comisión Santa Fé
Compra]]</f>
        <v>133.89475213135461</v>
      </c>
      <c r="AQ37" s="385"/>
    </row>
    <row r="38" spans="2:43" x14ac:dyDescent="0.25">
      <c r="B38" s="328">
        <v>46118</v>
      </c>
      <c r="C38" s="328" t="s">
        <v>233</v>
      </c>
      <c r="D38" t="s">
        <v>46</v>
      </c>
      <c r="E38" s="328">
        <v>45260</v>
      </c>
      <c r="F38" s="328">
        <v>45275</v>
      </c>
      <c r="G38" s="328">
        <v>44910</v>
      </c>
      <c r="H38" s="328">
        <v>47832</v>
      </c>
      <c r="I38" s="3">
        <v>5.93</v>
      </c>
      <c r="J38" s="3">
        <f t="shared" si="18"/>
        <v>8.3637129200416602</v>
      </c>
      <c r="K38" s="3">
        <v>13</v>
      </c>
      <c r="L38" s="325">
        <f t="shared" si="19"/>
        <v>72.148333333333326</v>
      </c>
      <c r="M38" s="325">
        <f t="shared" si="20"/>
        <v>36.078333333333326</v>
      </c>
      <c r="N38">
        <f t="shared" si="21"/>
        <v>28</v>
      </c>
      <c r="O38" s="325"/>
      <c r="P38" s="325">
        <f t="shared" si="22"/>
        <v>2056.2316666666666</v>
      </c>
      <c r="Q38" s="325">
        <v>14600</v>
      </c>
      <c r="R38" s="3">
        <v>70.654196150000004</v>
      </c>
      <c r="S38" s="3">
        <v>70.901524917123311</v>
      </c>
      <c r="T38" s="325">
        <f t="shared" si="23"/>
        <v>10315.512637900001</v>
      </c>
      <c r="U38" s="325">
        <f t="shared" si="24"/>
        <v>10351.622637900004</v>
      </c>
      <c r="V38" s="325">
        <f t="shared" si="25"/>
        <v>10387.692637900003</v>
      </c>
      <c r="W38" s="325">
        <v>36.07</v>
      </c>
      <c r="X38" s="325">
        <v>30.95</v>
      </c>
      <c r="Y38" s="325">
        <v>5.16</v>
      </c>
      <c r="Z38" s="325">
        <f t="shared" si="26"/>
        <v>36.11</v>
      </c>
      <c r="AA38" s="389"/>
      <c r="AB38" s="3">
        <v>91.189790529999996</v>
      </c>
      <c r="AC38" s="3">
        <v>90.578199999999995</v>
      </c>
      <c r="AD38" s="325">
        <v>50.50218380345769</v>
      </c>
      <c r="AE38" s="325">
        <f t="shared" si="27"/>
        <v>13313.70941738</v>
      </c>
      <c r="AF38" s="325">
        <v>133.14030937215651</v>
      </c>
      <c r="AG38" s="325">
        <v>6.6556869881710652</v>
      </c>
      <c r="AH38" s="325">
        <f t="shared" si="28"/>
        <v>13173.913421019672</v>
      </c>
      <c r="AI38" s="325">
        <f t="shared" si="29"/>
        <v>2998.1967794799984</v>
      </c>
      <c r="AJ38" s="325">
        <f t="shared" si="30"/>
        <v>2822.290783119668</v>
      </c>
      <c r="AK38" s="325">
        <f t="shared" si="31"/>
        <v>4929.0246335897928</v>
      </c>
      <c r="AL38">
        <f t="shared" si="32"/>
        <v>858</v>
      </c>
      <c r="AM38" s="411">
        <f t="shared" si="33"/>
        <v>0.47615961342556495</v>
      </c>
      <c r="AN38" s="411">
        <f t="shared" si="34"/>
        <v>0.20256207331040932</v>
      </c>
      <c r="AO38" s="411">
        <f t="shared" si="35"/>
        <v>0.1801865324553813</v>
      </c>
      <c r="AP38" s="384">
        <f>TitulosVendidos[[#This Row],[Comisión Santa Fe
Venta]]+TitulosVendidos[[#This Row],[Comisión Santa Fé
Compra]]</f>
        <v>164.0903093721565</v>
      </c>
      <c r="AQ38" s="385"/>
    </row>
    <row r="39" spans="2:43" x14ac:dyDescent="0.25">
      <c r="B39" s="328">
        <v>46118</v>
      </c>
      <c r="C39" s="328" t="s">
        <v>233</v>
      </c>
      <c r="D39" t="s">
        <v>46</v>
      </c>
      <c r="E39" s="328">
        <v>45265</v>
      </c>
      <c r="F39" s="328">
        <v>45275</v>
      </c>
      <c r="G39" s="328">
        <v>44910</v>
      </c>
      <c r="H39" s="328">
        <v>47832</v>
      </c>
      <c r="I39" s="3">
        <v>5.93</v>
      </c>
      <c r="J39" s="3">
        <f t="shared" si="18"/>
        <v>8.3561686941264668</v>
      </c>
      <c r="K39" s="3">
        <v>13</v>
      </c>
      <c r="L39" s="325">
        <f t="shared" si="19"/>
        <v>36.469500000000004</v>
      </c>
      <c r="M39" s="325">
        <f t="shared" si="20"/>
        <v>12.159500000000005</v>
      </c>
      <c r="N39">
        <f t="shared" si="21"/>
        <v>28</v>
      </c>
      <c r="O39" s="325"/>
      <c r="P39" s="325">
        <f t="shared" si="22"/>
        <v>1033.3055000000002</v>
      </c>
      <c r="Q39" s="325">
        <v>7380</v>
      </c>
      <c r="R39" s="3">
        <v>70.699276999999995</v>
      </c>
      <c r="S39" s="3">
        <v>70.96553716260162</v>
      </c>
      <c r="T39" s="325">
        <f t="shared" si="23"/>
        <v>5217.6066425999998</v>
      </c>
      <c r="U39" s="325">
        <f t="shared" si="24"/>
        <v>5237.2566425999994</v>
      </c>
      <c r="V39" s="325">
        <f t="shared" si="25"/>
        <v>5261.5666425999998</v>
      </c>
      <c r="W39" s="325">
        <v>24.31</v>
      </c>
      <c r="X39" s="325">
        <v>15.65</v>
      </c>
      <c r="Y39" s="325">
        <v>4</v>
      </c>
      <c r="Z39" s="325">
        <f t="shared" si="26"/>
        <v>19.649999999999999</v>
      </c>
      <c r="AA39" s="389"/>
      <c r="AB39" s="3">
        <v>91.189790529999996</v>
      </c>
      <c r="AC39" s="3">
        <v>90.578199999999995</v>
      </c>
      <c r="AD39" s="325">
        <v>25.527816196542311</v>
      </c>
      <c r="AE39" s="325">
        <f t="shared" si="27"/>
        <v>6729.8065411140005</v>
      </c>
      <c r="AF39" s="325">
        <v>67.299690627843503</v>
      </c>
      <c r="AG39" s="325">
        <v>3.3643130118289348</v>
      </c>
      <c r="AH39" s="325">
        <f t="shared" si="28"/>
        <v>6659.1425374743285</v>
      </c>
      <c r="AI39" s="325">
        <f t="shared" si="29"/>
        <v>1512.1998985140008</v>
      </c>
      <c r="AJ39" s="325">
        <f t="shared" si="30"/>
        <v>1421.8858948743291</v>
      </c>
      <c r="AK39" s="325">
        <f t="shared" si="31"/>
        <v>2480.719211070872</v>
      </c>
      <c r="AL39">
        <f t="shared" si="32"/>
        <v>853</v>
      </c>
      <c r="AM39" s="411">
        <f t="shared" si="33"/>
        <v>0.47366768145227583</v>
      </c>
      <c r="AN39" s="411">
        <f t="shared" si="34"/>
        <v>0.20268312277852368</v>
      </c>
      <c r="AO39" s="411">
        <f t="shared" si="35"/>
        <v>0.18047944142310812</v>
      </c>
      <c r="AP39" s="384">
        <f>TitulosVendidos[[#This Row],[Comisión Santa Fe
Venta]]+TitulosVendidos[[#This Row],[Comisión Santa Fé
Compra]]</f>
        <v>82.949690627843509</v>
      </c>
      <c r="AQ39" s="385"/>
    </row>
    <row r="40" spans="2:43" x14ac:dyDescent="0.25">
      <c r="B40" s="328">
        <v>46076</v>
      </c>
      <c r="C40" s="328" t="s">
        <v>233</v>
      </c>
      <c r="D40" t="s">
        <v>46</v>
      </c>
      <c r="E40" s="328">
        <v>45709</v>
      </c>
      <c r="F40" s="328">
        <v>45735</v>
      </c>
      <c r="G40" s="328">
        <v>45645</v>
      </c>
      <c r="H40" s="328">
        <v>47471</v>
      </c>
      <c r="I40" s="3">
        <v>5.07</v>
      </c>
      <c r="J40" s="3">
        <f t="shared" si="18"/>
        <v>6.4115926045731717</v>
      </c>
      <c r="K40" s="3">
        <v>11</v>
      </c>
      <c r="L40" s="325">
        <f t="shared" si="19"/>
        <v>21.125</v>
      </c>
      <c r="M40" s="325">
        <f t="shared" si="20"/>
        <v>19.715</v>
      </c>
      <c r="N40">
        <f t="shared" si="21"/>
        <v>11</v>
      </c>
      <c r="O40" s="325"/>
      <c r="P40" s="325">
        <f t="shared" si="22"/>
        <v>252.09</v>
      </c>
      <c r="Q40" s="325">
        <v>5000</v>
      </c>
      <c r="R40" s="3">
        <v>78.759316999999996</v>
      </c>
      <c r="S40" s="3">
        <v>79.075516999999991</v>
      </c>
      <c r="T40" s="325">
        <f t="shared" si="23"/>
        <v>3937.9658499999996</v>
      </c>
      <c r="U40" s="325">
        <f t="shared" si="24"/>
        <v>3953.7758499999995</v>
      </c>
      <c r="V40" s="325">
        <f t="shared" si="25"/>
        <v>3955.1858499999994</v>
      </c>
      <c r="W40" s="325">
        <v>1.41</v>
      </c>
      <c r="X40" s="325">
        <v>11.81</v>
      </c>
      <c r="Y40" s="325">
        <v>4</v>
      </c>
      <c r="Z40" s="325">
        <f t="shared" si="26"/>
        <v>15.81</v>
      </c>
      <c r="AA40" s="389"/>
      <c r="AB40" s="3">
        <v>88.040100590000009</v>
      </c>
      <c r="AC40" s="3"/>
      <c r="AD40" s="325">
        <v>2.8196022727272729</v>
      </c>
      <c r="AE40" s="325">
        <f t="shared" si="27"/>
        <v>4402.0050295000001</v>
      </c>
      <c r="AF40" s="325">
        <v>11.00852272727273</v>
      </c>
      <c r="AG40" s="325">
        <v>2.8409090909090908</v>
      </c>
      <c r="AH40" s="325">
        <f t="shared" si="28"/>
        <v>4388.1555976818181</v>
      </c>
      <c r="AI40" s="325">
        <f t="shared" si="29"/>
        <v>464.0391795000005</v>
      </c>
      <c r="AJ40" s="325">
        <f t="shared" si="30"/>
        <v>434.37974768181857</v>
      </c>
      <c r="AK40" s="325">
        <f t="shared" si="31"/>
        <v>689.28934995454586</v>
      </c>
      <c r="AL40">
        <f t="shared" si="32"/>
        <v>367</v>
      </c>
      <c r="AM40" s="411">
        <f t="shared" si="33"/>
        <v>0.17433698219248972</v>
      </c>
      <c r="AN40" s="411">
        <f t="shared" si="34"/>
        <v>0.17338691689443803</v>
      </c>
      <c r="AO40" s="411">
        <f t="shared" si="35"/>
        <v>0.17330898379782211</v>
      </c>
      <c r="AP40" s="384">
        <f>TitulosVendidos[[#This Row],[Comisión Santa Fe
Venta]]+TitulosVendidos[[#This Row],[Comisión Santa Fé
Compra]]</f>
        <v>22.818522727272729</v>
      </c>
      <c r="AQ40" s="385"/>
    </row>
    <row r="41" spans="2:43" x14ac:dyDescent="0.25">
      <c r="B41" s="328">
        <v>46076</v>
      </c>
      <c r="C41" s="328" t="s">
        <v>233</v>
      </c>
      <c r="D41" t="s">
        <v>46</v>
      </c>
      <c r="E41" s="328">
        <v>45982</v>
      </c>
      <c r="F41" s="328">
        <v>46010</v>
      </c>
      <c r="G41" s="328">
        <v>45645</v>
      </c>
      <c r="H41" s="328">
        <v>47471</v>
      </c>
      <c r="I41" s="3">
        <v>5.07</v>
      </c>
      <c r="J41" s="3">
        <f t="shared" si="18"/>
        <v>5.9214308397326523</v>
      </c>
      <c r="K41" s="3">
        <v>10</v>
      </c>
      <c r="L41" s="325">
        <f t="shared" si="19"/>
        <v>8.6190000000000015</v>
      </c>
      <c r="M41" s="325">
        <f t="shared" si="20"/>
        <v>7.179000000000002</v>
      </c>
      <c r="N41">
        <f t="shared" si="21"/>
        <v>2</v>
      </c>
      <c r="O41" s="325"/>
      <c r="P41" s="325">
        <f t="shared" si="22"/>
        <v>24.417000000000005</v>
      </c>
      <c r="Q41" s="325">
        <v>2040</v>
      </c>
      <c r="R41" s="3">
        <v>84.412374069999998</v>
      </c>
      <c r="S41" s="3">
        <v>85.621197599411758</v>
      </c>
      <c r="T41" s="325">
        <f t="shared" si="23"/>
        <v>1722.0124310279998</v>
      </c>
      <c r="U41" s="325">
        <f t="shared" si="24"/>
        <v>1746.6724310279999</v>
      </c>
      <c r="V41" s="325">
        <f t="shared" si="25"/>
        <v>1748.1124310279999</v>
      </c>
      <c r="W41" s="325">
        <v>1.44</v>
      </c>
      <c r="X41" s="325">
        <v>20.66</v>
      </c>
      <c r="Y41" s="325">
        <v>4</v>
      </c>
      <c r="Z41" s="325">
        <f t="shared" si="26"/>
        <v>24.66</v>
      </c>
      <c r="AA41" s="389"/>
      <c r="AB41" s="3">
        <v>88.040100590000009</v>
      </c>
      <c r="AC41" s="3"/>
      <c r="AD41" s="325">
        <v>1.150397727272727</v>
      </c>
      <c r="AE41" s="325">
        <f t="shared" si="27"/>
        <v>1796.0180520360002</v>
      </c>
      <c r="AF41" s="325">
        <v>4.4914772727272716</v>
      </c>
      <c r="AG41" s="325">
        <v>1.1590909090909089</v>
      </c>
      <c r="AH41" s="325">
        <f t="shared" si="28"/>
        <v>1790.367483854182</v>
      </c>
      <c r="AI41" s="325">
        <f t="shared" si="29"/>
        <v>74.005621008000389</v>
      </c>
      <c r="AJ41" s="325">
        <f t="shared" si="30"/>
        <v>43.695052826182064</v>
      </c>
      <c r="AK41" s="325">
        <f t="shared" si="31"/>
        <v>69.262450553454798</v>
      </c>
      <c r="AL41">
        <f t="shared" si="32"/>
        <v>94</v>
      </c>
      <c r="AM41" s="411">
        <f t="shared" si="33"/>
        <v>3.9653943878126333E-2</v>
      </c>
      <c r="AN41" s="411">
        <f t="shared" si="34"/>
        <v>0.15397542037783099</v>
      </c>
      <c r="AO41" s="411">
        <f t="shared" si="35"/>
        <v>0.16299774314735238</v>
      </c>
      <c r="AP41" s="384">
        <f>TitulosVendidos[[#This Row],[Comisión Santa Fe
Venta]]+TitulosVendidos[[#This Row],[Comisión Santa Fé
Compra]]</f>
        <v>25.15147727272727</v>
      </c>
      <c r="AQ41" s="385"/>
    </row>
    <row r="42" spans="2:43" x14ac:dyDescent="0.25">
      <c r="B42" s="328">
        <v>46076</v>
      </c>
      <c r="C42" s="328" t="s">
        <v>233</v>
      </c>
      <c r="D42" t="s">
        <v>46</v>
      </c>
      <c r="E42" s="328">
        <v>46006</v>
      </c>
      <c r="F42" s="328">
        <v>46019</v>
      </c>
      <c r="G42" s="328">
        <v>44923</v>
      </c>
      <c r="H42" s="328">
        <v>47480</v>
      </c>
      <c r="I42" s="3">
        <v>5.64</v>
      </c>
      <c r="J42" s="3">
        <f t="shared" si="18"/>
        <v>6.4356826961201916</v>
      </c>
      <c r="K42" s="3">
        <v>10</v>
      </c>
      <c r="L42" s="325">
        <f t="shared" si="19"/>
        <v>17.953999999999997</v>
      </c>
      <c r="M42" s="325">
        <f t="shared" si="20"/>
        <v>7.7839999999999971</v>
      </c>
      <c r="N42">
        <f t="shared" si="21"/>
        <v>1</v>
      </c>
      <c r="O42" s="325"/>
      <c r="P42" s="325">
        <f t="shared" si="22"/>
        <v>25.737999999999992</v>
      </c>
      <c r="Q42" s="325">
        <v>3820</v>
      </c>
      <c r="R42" s="3">
        <v>87.096076069999995</v>
      </c>
      <c r="S42" s="3">
        <v>87.636390206125654</v>
      </c>
      <c r="T42" s="325">
        <f t="shared" si="23"/>
        <v>3327.0701058740001</v>
      </c>
      <c r="U42" s="325">
        <f t="shared" si="24"/>
        <v>3347.710105874</v>
      </c>
      <c r="V42" s="325">
        <f t="shared" si="25"/>
        <v>3357.880105874</v>
      </c>
      <c r="W42" s="325">
        <v>10.17</v>
      </c>
      <c r="X42" s="325">
        <v>16.64</v>
      </c>
      <c r="Y42" s="325">
        <v>4</v>
      </c>
      <c r="Z42" s="325">
        <f t="shared" si="26"/>
        <v>20.64</v>
      </c>
      <c r="AA42" s="389"/>
      <c r="AB42" s="3">
        <v>90.347949020000001</v>
      </c>
      <c r="AC42" s="3"/>
      <c r="AD42" s="325">
        <v>14.96</v>
      </c>
      <c r="AE42" s="325">
        <f t="shared" si="27"/>
        <v>3451.2916525640003</v>
      </c>
      <c r="AF42" s="325">
        <v>8.6300000000000008</v>
      </c>
      <c r="AG42" s="325">
        <v>4</v>
      </c>
      <c r="AH42" s="325">
        <f t="shared" si="28"/>
        <v>3438.6616525640002</v>
      </c>
      <c r="AI42" s="325">
        <f t="shared" si="29"/>
        <v>124.2215466900002</v>
      </c>
      <c r="AJ42" s="325">
        <f t="shared" si="30"/>
        <v>90.951546690000214</v>
      </c>
      <c r="AK42" s="325">
        <f t="shared" si="31"/>
        <v>131.64954669000022</v>
      </c>
      <c r="AL42">
        <f t="shared" si="32"/>
        <v>70</v>
      </c>
      <c r="AM42" s="411">
        <f t="shared" si="33"/>
        <v>3.9325252942004653E-2</v>
      </c>
      <c r="AN42" s="411">
        <f t="shared" si="34"/>
        <v>0.20505310462616713</v>
      </c>
      <c r="AO42" s="411">
        <f t="shared" si="35"/>
        <v>0.22277626758729419</v>
      </c>
      <c r="AP42" s="384">
        <f>TitulosVendidos[[#This Row],[Comisión Santa Fe
Venta]]+TitulosVendidos[[#This Row],[Comisión Santa Fé
Compra]]</f>
        <v>25.270000000000003</v>
      </c>
      <c r="AQ42" s="385"/>
    </row>
    <row r="43" spans="2:43" x14ac:dyDescent="0.25">
      <c r="B43" s="328">
        <v>46076</v>
      </c>
      <c r="C43" s="328" t="s">
        <v>233</v>
      </c>
      <c r="D43" t="s">
        <v>46</v>
      </c>
      <c r="E43" s="328">
        <v>45707</v>
      </c>
      <c r="F43" s="328">
        <v>45716</v>
      </c>
      <c r="G43" s="328">
        <v>45532</v>
      </c>
      <c r="H43" s="328">
        <v>47723</v>
      </c>
      <c r="I43" s="3">
        <v>5.36</v>
      </c>
      <c r="J43" s="3">
        <f t="shared" si="18"/>
        <v>6.8966957379669989</v>
      </c>
      <c r="K43" s="3">
        <v>11</v>
      </c>
      <c r="L43" s="325">
        <f t="shared" si="19"/>
        <v>36.18</v>
      </c>
      <c r="M43" s="325">
        <f t="shared" si="20"/>
        <v>10.850000000000001</v>
      </c>
      <c r="N43">
        <f t="shared" si="21"/>
        <v>12</v>
      </c>
      <c r="O43" s="325"/>
      <c r="P43" s="325">
        <f t="shared" si="22"/>
        <v>445.01</v>
      </c>
      <c r="Q43" s="325">
        <v>8100</v>
      </c>
      <c r="R43" s="3">
        <v>77.513932639999993</v>
      </c>
      <c r="S43" s="3">
        <v>77.718377084444441</v>
      </c>
      <c r="T43" s="325">
        <f t="shared" si="23"/>
        <v>6278.6285438399991</v>
      </c>
      <c r="U43" s="325">
        <f t="shared" si="24"/>
        <v>6295.1885438399995</v>
      </c>
      <c r="V43" s="325">
        <f t="shared" si="25"/>
        <v>6320.5185438399994</v>
      </c>
      <c r="W43" s="325">
        <v>25.33</v>
      </c>
      <c r="X43" s="325">
        <v>12.56</v>
      </c>
      <c r="Y43" s="325">
        <v>4</v>
      </c>
      <c r="Z43" s="325">
        <f t="shared" si="26"/>
        <v>16.560000000000002</v>
      </c>
      <c r="AA43" s="389"/>
      <c r="AB43" s="3">
        <v>86.343850029999999</v>
      </c>
      <c r="AC43" s="3"/>
      <c r="AD43" s="325">
        <v>30.15</v>
      </c>
      <c r="AE43" s="325">
        <f t="shared" si="27"/>
        <v>6993.8518524300007</v>
      </c>
      <c r="AF43" s="325">
        <v>17.48</v>
      </c>
      <c r="AG43" s="325">
        <v>4</v>
      </c>
      <c r="AH43" s="325">
        <f t="shared" si="28"/>
        <v>6972.3718524300011</v>
      </c>
      <c r="AI43" s="325">
        <f t="shared" si="29"/>
        <v>715.22330859000158</v>
      </c>
      <c r="AJ43" s="325">
        <f t="shared" si="30"/>
        <v>677.18330859000162</v>
      </c>
      <c r="AK43" s="325">
        <f t="shared" si="31"/>
        <v>1152.3433085900017</v>
      </c>
      <c r="AL43">
        <f t="shared" si="32"/>
        <v>369</v>
      </c>
      <c r="AM43" s="411">
        <f t="shared" si="33"/>
        <v>0.18305143691329129</v>
      </c>
      <c r="AN43" s="411">
        <f t="shared" si="34"/>
        <v>0.18106713949417702</v>
      </c>
      <c r="AO43" s="411">
        <f t="shared" si="35"/>
        <v>0.1808976548423733</v>
      </c>
      <c r="AP43" s="384">
        <f>TitulosVendidos[[#This Row],[Comisión Santa Fe
Venta]]+TitulosVendidos[[#This Row],[Comisión Santa Fé
Compra]]</f>
        <v>30.04</v>
      </c>
      <c r="AQ43" s="385"/>
    </row>
    <row r="44" spans="2:43" x14ac:dyDescent="0.25">
      <c r="B44" s="328">
        <v>46076</v>
      </c>
      <c r="C44" s="328" t="s">
        <v>233</v>
      </c>
      <c r="D44" t="s">
        <v>46</v>
      </c>
      <c r="E44" s="328">
        <v>46043</v>
      </c>
      <c r="F44" s="328">
        <v>46059</v>
      </c>
      <c r="G44" s="328">
        <v>45967</v>
      </c>
      <c r="H44" s="328">
        <v>47793</v>
      </c>
      <c r="I44" s="3">
        <v>7.13</v>
      </c>
      <c r="J44" s="3">
        <f t="shared" si="18"/>
        <v>8.191695033435515</v>
      </c>
      <c r="K44" s="3">
        <v>11</v>
      </c>
      <c r="L44" s="325">
        <f t="shared" si="19"/>
        <v>6.8032083333333331</v>
      </c>
      <c r="M44" s="325">
        <f t="shared" si="20"/>
        <v>3.4032083333333332</v>
      </c>
      <c r="N44">
        <f t="shared" si="21"/>
        <v>0</v>
      </c>
      <c r="O44" s="325"/>
      <c r="P44" s="325">
        <f t="shared" si="22"/>
        <v>3.4032083333333332</v>
      </c>
      <c r="Q44" s="325">
        <v>1145</v>
      </c>
      <c r="R44" s="3">
        <v>86.221905809999996</v>
      </c>
      <c r="S44" s="3">
        <v>87.039373058908282</v>
      </c>
      <c r="T44" s="325">
        <f t="shared" si="23"/>
        <v>987.24082152449989</v>
      </c>
      <c r="U44" s="325">
        <f t="shared" si="24"/>
        <v>996.60082152449979</v>
      </c>
      <c r="V44" s="325">
        <f t="shared" si="25"/>
        <v>1000.0008215244998</v>
      </c>
      <c r="W44" s="325">
        <v>3.4</v>
      </c>
      <c r="X44" s="325">
        <v>5.36</v>
      </c>
      <c r="Y44" s="325">
        <v>4</v>
      </c>
      <c r="Z44" s="325">
        <f t="shared" si="26"/>
        <v>9.36</v>
      </c>
      <c r="AA44" s="389"/>
      <c r="AB44" s="3">
        <v>92.29010006</v>
      </c>
      <c r="AC44" s="3"/>
      <c r="AD44" s="325">
        <v>3.8552665978672169</v>
      </c>
      <c r="AE44" s="325">
        <f t="shared" si="27"/>
        <v>1056.7216456870001</v>
      </c>
      <c r="AF44" s="325">
        <v>2.6421259029927762</v>
      </c>
      <c r="AG44" s="325">
        <v>0.52858273133814926</v>
      </c>
      <c r="AH44" s="325">
        <f t="shared" si="28"/>
        <v>1053.550937052669</v>
      </c>
      <c r="AI44" s="325">
        <f t="shared" si="29"/>
        <v>69.480824162500198</v>
      </c>
      <c r="AJ44" s="325">
        <f t="shared" si="30"/>
        <v>56.950115528169249</v>
      </c>
      <c r="AK44" s="325">
        <f t="shared" si="31"/>
        <v>64.208590459369802</v>
      </c>
      <c r="AL44">
        <f t="shared" si="32"/>
        <v>33</v>
      </c>
      <c r="AM44" s="411">
        <f t="shared" si="33"/>
        <v>6.4427591341084736E-2</v>
      </c>
      <c r="AN44" s="411">
        <f t="shared" si="34"/>
        <v>0.71260820725745233</v>
      </c>
      <c r="AO44" s="411">
        <f t="shared" si="35"/>
        <v>0.99489829858984669</v>
      </c>
      <c r="AP44" s="384">
        <f>TitulosVendidos[[#This Row],[Comisión Santa Fe
Venta]]+TitulosVendidos[[#This Row],[Comisión Santa Fé
Compra]]</f>
        <v>8.0021259029927769</v>
      </c>
      <c r="AQ44" s="385"/>
    </row>
    <row r="45" spans="2:43" x14ac:dyDescent="0.25">
      <c r="B45" s="328">
        <v>46076</v>
      </c>
      <c r="C45" s="328" t="s">
        <v>233</v>
      </c>
      <c r="D45" t="s">
        <v>46</v>
      </c>
      <c r="E45" s="328">
        <v>45993</v>
      </c>
      <c r="F45" s="328">
        <v>45997</v>
      </c>
      <c r="G45" s="328">
        <v>45967</v>
      </c>
      <c r="H45" s="328">
        <v>47793</v>
      </c>
      <c r="I45" s="3">
        <v>7.13</v>
      </c>
      <c r="J45" s="3">
        <f t="shared" si="18"/>
        <v>8.0089627016022824</v>
      </c>
      <c r="K45" s="3">
        <v>10.25</v>
      </c>
      <c r="L45" s="325">
        <f t="shared" si="19"/>
        <v>68.923333333333332</v>
      </c>
      <c r="M45" s="325">
        <f t="shared" si="20"/>
        <v>9.1933333333333351</v>
      </c>
      <c r="N45">
        <f t="shared" si="21"/>
        <v>2</v>
      </c>
      <c r="O45" s="325"/>
      <c r="P45" s="325">
        <f t="shared" si="22"/>
        <v>147.04</v>
      </c>
      <c r="Q45" s="325">
        <v>11600</v>
      </c>
      <c r="R45" s="3">
        <v>88.45034785</v>
      </c>
      <c r="S45" s="3">
        <v>89.025261643103462</v>
      </c>
      <c r="T45" s="325">
        <f t="shared" si="23"/>
        <v>10260.240350600001</v>
      </c>
      <c r="U45" s="325">
        <f t="shared" si="24"/>
        <v>10326.930350600001</v>
      </c>
      <c r="V45" s="325">
        <f t="shared" si="25"/>
        <v>10386.660350600001</v>
      </c>
      <c r="W45" s="325">
        <v>59.73</v>
      </c>
      <c r="X45" s="325">
        <v>61.56</v>
      </c>
      <c r="Y45" s="325">
        <v>5.13</v>
      </c>
      <c r="Z45" s="325">
        <f t="shared" si="26"/>
        <v>66.69</v>
      </c>
      <c r="AA45" s="389"/>
      <c r="AB45" s="3">
        <v>92.29010006</v>
      </c>
      <c r="AC45" s="3"/>
      <c r="AD45" s="325">
        <v>39.057722738218089</v>
      </c>
      <c r="AE45" s="325">
        <f t="shared" si="27"/>
        <v>10705.65160696</v>
      </c>
      <c r="AF45" s="325">
        <v>26.76738906088751</v>
      </c>
      <c r="AG45" s="325">
        <v>5.3550739594083243</v>
      </c>
      <c r="AH45" s="325">
        <f t="shared" si="28"/>
        <v>10673.529143939704</v>
      </c>
      <c r="AI45" s="325">
        <f t="shared" si="29"/>
        <v>445.41125635999924</v>
      </c>
      <c r="AJ45" s="325">
        <f t="shared" si="30"/>
        <v>346.59879333970275</v>
      </c>
      <c r="AK45" s="325">
        <f t="shared" si="31"/>
        <v>532.69651607792082</v>
      </c>
      <c r="AL45">
        <f t="shared" si="32"/>
        <v>83</v>
      </c>
      <c r="AM45" s="411">
        <f t="shared" si="33"/>
        <v>5.1583238967712296E-2</v>
      </c>
      <c r="AN45" s="411">
        <f t="shared" si="34"/>
        <v>0.22684195449656613</v>
      </c>
      <c r="AO45" s="411">
        <f t="shared" si="35"/>
        <v>0.247554273305848</v>
      </c>
      <c r="AP45" s="384">
        <f>TitulosVendidos[[#This Row],[Comisión Santa Fe
Venta]]+TitulosVendidos[[#This Row],[Comisión Santa Fé
Compra]]</f>
        <v>88.327389060887512</v>
      </c>
      <c r="AQ45" s="385"/>
    </row>
    <row r="46" spans="2:43" x14ac:dyDescent="0.25">
      <c r="B46" s="328">
        <v>46076</v>
      </c>
      <c r="C46" s="328" t="s">
        <v>233</v>
      </c>
      <c r="D46" t="s">
        <v>46</v>
      </c>
      <c r="E46" s="328">
        <v>45993</v>
      </c>
      <c r="F46" s="328">
        <v>45997</v>
      </c>
      <c r="G46" s="328">
        <v>45967</v>
      </c>
      <c r="H46" s="328">
        <v>47793</v>
      </c>
      <c r="I46" s="3">
        <v>7.13</v>
      </c>
      <c r="J46" s="3">
        <f t="shared" si="18"/>
        <v>7.9561942009378797</v>
      </c>
      <c r="K46" s="3">
        <v>10.25</v>
      </c>
      <c r="L46" s="325">
        <f t="shared" si="19"/>
        <v>10.635583333333333</v>
      </c>
      <c r="M46" s="325">
        <f t="shared" si="20"/>
        <v>1.4155833333333323</v>
      </c>
      <c r="N46">
        <f t="shared" si="21"/>
        <v>2</v>
      </c>
      <c r="O46" s="325"/>
      <c r="P46" s="325">
        <f t="shared" si="22"/>
        <v>22.686749999999996</v>
      </c>
      <c r="Q46" s="325">
        <v>1790</v>
      </c>
      <c r="R46" s="3">
        <v>88.45034785</v>
      </c>
      <c r="S46" s="3">
        <v>89.615710978491606</v>
      </c>
      <c r="T46" s="325">
        <f t="shared" si="23"/>
        <v>1583.2612265149999</v>
      </c>
      <c r="U46" s="325">
        <f t="shared" si="24"/>
        <v>1604.1212265149998</v>
      </c>
      <c r="V46" s="325">
        <f t="shared" si="25"/>
        <v>1613.3412265149998</v>
      </c>
      <c r="W46" s="325">
        <v>9.2200000000000006</v>
      </c>
      <c r="X46" s="325">
        <v>16.86</v>
      </c>
      <c r="Y46" s="325">
        <v>4</v>
      </c>
      <c r="Z46" s="325">
        <f t="shared" si="26"/>
        <v>20.86</v>
      </c>
      <c r="AA46" s="389"/>
      <c r="AB46" s="3">
        <v>92.29010006</v>
      </c>
      <c r="AC46" s="3"/>
      <c r="AD46" s="325">
        <v>6.0270106639146874</v>
      </c>
      <c r="AE46" s="325">
        <f t="shared" si="27"/>
        <v>1651.992791074</v>
      </c>
      <c r="AF46" s="325">
        <v>4.1304850361197101</v>
      </c>
      <c r="AG46" s="325">
        <v>0.82634330925352595</v>
      </c>
      <c r="AH46" s="325">
        <f t="shared" si="28"/>
        <v>1647.0359627286266</v>
      </c>
      <c r="AI46" s="325">
        <f t="shared" si="29"/>
        <v>68.731564559000162</v>
      </c>
      <c r="AJ46" s="325">
        <f t="shared" si="30"/>
        <v>42.914736213626838</v>
      </c>
      <c r="AK46" s="325">
        <f t="shared" si="31"/>
        <v>71.628496877541522</v>
      </c>
      <c r="AL46">
        <f t="shared" si="32"/>
        <v>83</v>
      </c>
      <c r="AM46" s="411">
        <f t="shared" si="33"/>
        <v>4.4652795370806561E-2</v>
      </c>
      <c r="AN46" s="411">
        <f t="shared" si="34"/>
        <v>0.19636470253426982</v>
      </c>
      <c r="AO46" s="411">
        <f t="shared" si="35"/>
        <v>0.21180002074516313</v>
      </c>
      <c r="AP46" s="384">
        <f>TitulosVendidos[[#This Row],[Comisión Santa Fe
Venta]]+TitulosVendidos[[#This Row],[Comisión Santa Fé
Compra]]</f>
        <v>20.990485036119708</v>
      </c>
      <c r="AQ46" s="385"/>
    </row>
    <row r="47" spans="2:43" x14ac:dyDescent="0.25">
      <c r="B47" s="328">
        <v>46076</v>
      </c>
      <c r="C47" s="328" t="s">
        <v>233</v>
      </c>
      <c r="D47" t="s">
        <v>46</v>
      </c>
      <c r="E47" s="328">
        <v>45796</v>
      </c>
      <c r="F47" s="328">
        <v>45802</v>
      </c>
      <c r="G47" s="328">
        <v>45498</v>
      </c>
      <c r="H47" s="328">
        <v>48054</v>
      </c>
      <c r="I47" s="3">
        <v>5.64</v>
      </c>
      <c r="J47" s="3">
        <f t="shared" si="18"/>
        <v>7.0867606176273146</v>
      </c>
      <c r="K47" s="3">
        <v>10.5</v>
      </c>
      <c r="L47" s="325">
        <f t="shared" si="19"/>
        <v>55.835999999999991</v>
      </c>
      <c r="M47" s="325">
        <f t="shared" si="20"/>
        <v>9.3059999999999903</v>
      </c>
      <c r="N47">
        <f t="shared" si="21"/>
        <v>9</v>
      </c>
      <c r="O47" s="325"/>
      <c r="P47" s="325">
        <f t="shared" si="22"/>
        <v>511.82999999999993</v>
      </c>
      <c r="Q47" s="325">
        <v>11880</v>
      </c>
      <c r="R47" s="3">
        <v>79.307412619999994</v>
      </c>
      <c r="S47" s="3">
        <v>79.585022047609414</v>
      </c>
      <c r="T47" s="325">
        <f t="shared" si="23"/>
        <v>9421.7206192559988</v>
      </c>
      <c r="U47" s="325">
        <f t="shared" si="24"/>
        <v>9454.7006192559984</v>
      </c>
      <c r="V47" s="325">
        <f t="shared" si="25"/>
        <v>9501.230619255999</v>
      </c>
      <c r="W47" s="325">
        <v>46.53</v>
      </c>
      <c r="X47" s="325">
        <v>28.27</v>
      </c>
      <c r="Y47" s="325">
        <v>4.71</v>
      </c>
      <c r="Z47" s="325">
        <f t="shared" si="26"/>
        <v>32.979999999999997</v>
      </c>
      <c r="AA47" s="389"/>
      <c r="AB47" s="3">
        <v>84.899334979999992</v>
      </c>
      <c r="AC47" s="3"/>
      <c r="AD47" s="325">
        <v>52.11</v>
      </c>
      <c r="AE47" s="325">
        <f t="shared" si="27"/>
        <v>10086.040995623998</v>
      </c>
      <c r="AF47" s="325">
        <v>25.22</v>
      </c>
      <c r="AG47" s="325">
        <v>5.04</v>
      </c>
      <c r="AH47" s="325">
        <f t="shared" si="28"/>
        <v>10055.780995623998</v>
      </c>
      <c r="AI47" s="325">
        <f t="shared" si="29"/>
        <v>664.32037636799942</v>
      </c>
      <c r="AJ47" s="325">
        <f t="shared" si="30"/>
        <v>601.08037636799963</v>
      </c>
      <c r="AK47" s="325">
        <f t="shared" si="31"/>
        <v>1165.0203763679995</v>
      </c>
      <c r="AL47">
        <f t="shared" si="32"/>
        <v>280</v>
      </c>
      <c r="AM47" s="411">
        <f t="shared" si="33"/>
        <v>0.12322128677403603</v>
      </c>
      <c r="AN47" s="411">
        <f t="shared" si="34"/>
        <v>0.16062774883043981</v>
      </c>
      <c r="AO47" s="411">
        <f t="shared" si="35"/>
        <v>0.16355028357035439</v>
      </c>
      <c r="AP47" s="384">
        <f>TitulosVendidos[[#This Row],[Comisión Santa Fe
Venta]]+TitulosVendidos[[#This Row],[Comisión Santa Fé
Compra]]</f>
        <v>53.489999999999995</v>
      </c>
      <c r="AQ47" s="385"/>
    </row>
    <row r="48" spans="2:43" x14ac:dyDescent="0.25">
      <c r="B48" s="328">
        <v>46076</v>
      </c>
      <c r="C48" s="328" t="s">
        <v>233</v>
      </c>
      <c r="D48" t="s">
        <v>46</v>
      </c>
      <c r="E48" s="328">
        <v>46014</v>
      </c>
      <c r="F48" s="328">
        <v>46019</v>
      </c>
      <c r="G48" s="328">
        <v>45532</v>
      </c>
      <c r="H48" s="328">
        <v>48088</v>
      </c>
      <c r="I48" s="3">
        <v>5.64</v>
      </c>
      <c r="J48" s="3">
        <f t="shared" si="18"/>
        <v>7.1033269154054306</v>
      </c>
      <c r="K48" s="3">
        <v>11</v>
      </c>
      <c r="L48" s="325">
        <f t="shared" si="19"/>
        <v>31.49</v>
      </c>
      <c r="M48" s="325">
        <f t="shared" si="20"/>
        <v>5.25</v>
      </c>
      <c r="N48">
        <f t="shared" si="21"/>
        <v>1</v>
      </c>
      <c r="O48" s="325"/>
      <c r="P48" s="325">
        <f t="shared" si="22"/>
        <v>36.739999999999995</v>
      </c>
      <c r="Q48" s="325">
        <v>6700</v>
      </c>
      <c r="R48" s="3">
        <v>78.945832679999995</v>
      </c>
      <c r="S48" s="3">
        <v>79.399414769552237</v>
      </c>
      <c r="T48" s="325">
        <f t="shared" si="23"/>
        <v>5289.3707895599991</v>
      </c>
      <c r="U48" s="325">
        <f t="shared" si="24"/>
        <v>5319.7607895600004</v>
      </c>
      <c r="V48" s="325">
        <f t="shared" si="25"/>
        <v>5346.0007895600002</v>
      </c>
      <c r="W48" s="325">
        <v>26.24</v>
      </c>
      <c r="X48" s="325">
        <v>26.39</v>
      </c>
      <c r="Y48" s="325">
        <v>4</v>
      </c>
      <c r="Z48" s="325">
        <f t="shared" si="26"/>
        <v>30.39</v>
      </c>
      <c r="AA48" s="389"/>
      <c r="AB48" s="3">
        <v>84.678693240000001</v>
      </c>
      <c r="AC48" s="3"/>
      <c r="AD48" s="325">
        <v>26.24</v>
      </c>
      <c r="AE48" s="325">
        <f t="shared" si="27"/>
        <v>5673.4724470800002</v>
      </c>
      <c r="AF48" s="325">
        <v>14.18</v>
      </c>
      <c r="AG48" s="325">
        <v>4</v>
      </c>
      <c r="AH48" s="325">
        <f t="shared" si="28"/>
        <v>5655.2924470799999</v>
      </c>
      <c r="AI48" s="325">
        <f t="shared" si="29"/>
        <v>384.10165752000103</v>
      </c>
      <c r="AJ48" s="325">
        <f t="shared" si="30"/>
        <v>335.5316575199995</v>
      </c>
      <c r="AK48" s="325">
        <f t="shared" si="31"/>
        <v>398.51165751999952</v>
      </c>
      <c r="AL48">
        <f t="shared" si="32"/>
        <v>62</v>
      </c>
      <c r="AM48" s="411">
        <f t="shared" si="33"/>
        <v>7.4911574652393453E-2</v>
      </c>
      <c r="AN48" s="411">
        <f t="shared" si="34"/>
        <v>0.44101168948586472</v>
      </c>
      <c r="AO48" s="411">
        <f t="shared" si="35"/>
        <v>0.53001029438053693</v>
      </c>
      <c r="AP48" s="384">
        <f>TitulosVendidos[[#This Row],[Comisión Santa Fe
Venta]]+TitulosVendidos[[#This Row],[Comisión Santa Fé
Compra]]</f>
        <v>40.57</v>
      </c>
      <c r="AQ48" s="385"/>
    </row>
    <row r="49" spans="2:43" x14ac:dyDescent="0.25">
      <c r="B49" s="328">
        <v>46076</v>
      </c>
      <c r="C49" s="328" t="s">
        <v>233</v>
      </c>
      <c r="D49" t="s">
        <v>47</v>
      </c>
      <c r="E49" s="328">
        <v>45848</v>
      </c>
      <c r="F49" s="328">
        <v>45866</v>
      </c>
      <c r="G49" s="328">
        <v>45532</v>
      </c>
      <c r="H49" s="328">
        <v>47723</v>
      </c>
      <c r="I49" s="3">
        <v>5.36</v>
      </c>
      <c r="J49" s="3">
        <f t="shared" si="18"/>
        <v>6.6257184317530537</v>
      </c>
      <c r="K49" s="3">
        <v>10.5</v>
      </c>
      <c r="L49" s="325">
        <f t="shared" si="19"/>
        <v>31.266666666666666</v>
      </c>
      <c r="M49" s="325">
        <f t="shared" si="20"/>
        <v>18.756666666666668</v>
      </c>
      <c r="N49">
        <f t="shared" si="21"/>
        <v>7</v>
      </c>
      <c r="O49" s="325"/>
      <c r="P49" s="325">
        <f t="shared" si="22"/>
        <v>237.62333333333333</v>
      </c>
      <c r="Q49" s="325">
        <v>7000</v>
      </c>
      <c r="R49" s="3">
        <v>80.437601999999998</v>
      </c>
      <c r="S49" s="3">
        <v>80.896887714285711</v>
      </c>
      <c r="T49" s="325">
        <f t="shared" si="23"/>
        <v>5630.6321400000006</v>
      </c>
      <c r="U49" s="325">
        <f t="shared" si="24"/>
        <v>5662.7821399999993</v>
      </c>
      <c r="V49" s="325">
        <f t="shared" si="25"/>
        <v>5675.2921399999996</v>
      </c>
      <c r="W49" s="325">
        <v>12.51</v>
      </c>
      <c r="X49" s="325">
        <v>28.15</v>
      </c>
      <c r="Y49" s="325">
        <v>4</v>
      </c>
      <c r="Z49" s="325">
        <f t="shared" si="26"/>
        <v>32.15</v>
      </c>
      <c r="AA49" s="389"/>
      <c r="AB49" s="3">
        <v>86.343850000000003</v>
      </c>
      <c r="AC49" s="3"/>
      <c r="AD49" s="325">
        <v>26.02</v>
      </c>
      <c r="AE49" s="325">
        <f t="shared" si="27"/>
        <v>6044.0695000000005</v>
      </c>
      <c r="AF49" s="325">
        <v>15.11</v>
      </c>
      <c r="AG49" s="325">
        <v>4</v>
      </c>
      <c r="AH49" s="325">
        <f t="shared" si="28"/>
        <v>6024.9595000000008</v>
      </c>
      <c r="AI49" s="325">
        <f t="shared" si="29"/>
        <v>413.4373599999999</v>
      </c>
      <c r="AJ49" s="325">
        <f t="shared" si="30"/>
        <v>362.1773600000015</v>
      </c>
      <c r="AK49" s="325">
        <f t="shared" si="31"/>
        <v>625.82069333333482</v>
      </c>
      <c r="AL49">
        <f t="shared" si="32"/>
        <v>228</v>
      </c>
      <c r="AM49" s="411">
        <f t="shared" si="33"/>
        <v>0.11051470423217356</v>
      </c>
      <c r="AN49" s="411">
        <f t="shared" si="34"/>
        <v>0.17692046949448836</v>
      </c>
      <c r="AO49" s="411">
        <f t="shared" si="35"/>
        <v>0.18271154181990146</v>
      </c>
      <c r="AP49" s="384">
        <f>TitulosVendidos[[#This Row],[Comisión Santa Fe
Venta]]+TitulosVendidos[[#This Row],[Comisión Santa Fé
Compra]]</f>
        <v>43.26</v>
      </c>
      <c r="AQ49" s="385"/>
    </row>
    <row r="50" spans="2:43" x14ac:dyDescent="0.25">
      <c r="B50" s="328">
        <v>46076</v>
      </c>
      <c r="C50" s="328" t="s">
        <v>233</v>
      </c>
      <c r="D50" t="s">
        <v>47</v>
      </c>
      <c r="E50" s="328">
        <v>44908</v>
      </c>
      <c r="F50" s="328">
        <v>44893</v>
      </c>
      <c r="G50" s="328">
        <v>44832</v>
      </c>
      <c r="H50" s="328">
        <v>47754</v>
      </c>
      <c r="I50" s="3">
        <v>5.93</v>
      </c>
      <c r="J50" s="3">
        <f t="shared" si="18"/>
        <v>7.7597838832578994</v>
      </c>
      <c r="K50" s="3">
        <v>11</v>
      </c>
      <c r="L50" s="325">
        <f t="shared" si="19"/>
        <v>33.989623416666667</v>
      </c>
      <c r="M50" s="325">
        <f t="shared" si="20"/>
        <v>16.999623416666669</v>
      </c>
      <c r="N50">
        <f t="shared" si="21"/>
        <v>39</v>
      </c>
      <c r="O50" s="325"/>
      <c r="P50" s="325">
        <f t="shared" si="22"/>
        <v>1342.5949366666669</v>
      </c>
      <c r="Q50" s="325">
        <v>6878.17</v>
      </c>
      <c r="R50" s="3">
        <v>75.906000000000006</v>
      </c>
      <c r="S50" s="3">
        <v>76.4196540678698</v>
      </c>
      <c r="T50" s="325">
        <f t="shared" si="23"/>
        <v>5220.9437202000008</v>
      </c>
      <c r="U50" s="325">
        <f t="shared" si="24"/>
        <v>5256.2737201999998</v>
      </c>
      <c r="V50" s="325">
        <f t="shared" si="25"/>
        <v>5273.2637201999996</v>
      </c>
      <c r="W50" s="325">
        <v>16.989999999999998</v>
      </c>
      <c r="X50" s="325">
        <v>31.33</v>
      </c>
      <c r="Y50" s="325">
        <v>4</v>
      </c>
      <c r="Z50" s="325">
        <f t="shared" si="26"/>
        <v>35.33</v>
      </c>
      <c r="AA50" s="389"/>
      <c r="AB50" s="3">
        <v>89.946522180000002</v>
      </c>
      <c r="AC50" s="3"/>
      <c r="AD50" s="325">
        <v>28.32</v>
      </c>
      <c r="AE50" s="325">
        <f t="shared" si="27"/>
        <v>6186.6747046281062</v>
      </c>
      <c r="AF50" s="325">
        <v>15.47</v>
      </c>
      <c r="AG50" s="325">
        <v>4</v>
      </c>
      <c r="AH50" s="325">
        <f t="shared" si="28"/>
        <v>6167.2047046281059</v>
      </c>
      <c r="AI50" s="325">
        <f t="shared" si="29"/>
        <v>965.73098442810533</v>
      </c>
      <c r="AJ50" s="325">
        <f t="shared" si="30"/>
        <v>910.93098442810606</v>
      </c>
      <c r="AK50" s="325">
        <f t="shared" si="31"/>
        <v>2281.8459210947731</v>
      </c>
      <c r="AL50">
        <f t="shared" si="32"/>
        <v>1168</v>
      </c>
      <c r="AM50" s="411">
        <f t="shared" si="33"/>
        <v>0.43411854910172931</v>
      </c>
      <c r="AN50" s="411">
        <f t="shared" si="34"/>
        <v>0.1356620465942904</v>
      </c>
      <c r="AO50" s="411">
        <f t="shared" si="35"/>
        <v>0.11926475703784822</v>
      </c>
      <c r="AP50" s="384">
        <f>TitulosVendidos[[#This Row],[Comisión Santa Fe
Venta]]+TitulosVendidos[[#This Row],[Comisión Santa Fé
Compra]]</f>
        <v>46.8</v>
      </c>
      <c r="AQ50" s="385"/>
    </row>
    <row r="51" spans="2:43" x14ac:dyDescent="0.25">
      <c r="B51" s="328">
        <v>46076</v>
      </c>
      <c r="C51" s="328" t="s">
        <v>233</v>
      </c>
      <c r="D51" t="s">
        <v>47</v>
      </c>
      <c r="E51" s="328">
        <v>45775</v>
      </c>
      <c r="F51" s="328">
        <v>45765</v>
      </c>
      <c r="G51" s="328">
        <v>45614</v>
      </c>
      <c r="H51" s="328">
        <v>47805</v>
      </c>
      <c r="I51" s="3">
        <v>5.36</v>
      </c>
      <c r="J51" s="3">
        <f t="shared" si="18"/>
        <v>6.6704590191575219</v>
      </c>
      <c r="K51" s="3">
        <v>10.25</v>
      </c>
      <c r="L51" s="325">
        <f t="shared" si="19"/>
        <v>39.206166666666668</v>
      </c>
      <c r="M51" s="325">
        <f t="shared" si="20"/>
        <v>24.826166666666666</v>
      </c>
      <c r="N51">
        <f t="shared" si="21"/>
        <v>10</v>
      </c>
      <c r="O51" s="325"/>
      <c r="P51" s="325">
        <f t="shared" si="22"/>
        <v>416.88783333333333</v>
      </c>
      <c r="Q51" s="325">
        <v>8777.5</v>
      </c>
      <c r="R51" s="3">
        <v>80.068559669999999</v>
      </c>
      <c r="S51" s="3">
        <v>80.3542902310937</v>
      </c>
      <c r="T51" s="325">
        <f t="shared" si="23"/>
        <v>7028.0178250342506</v>
      </c>
      <c r="U51" s="325">
        <f t="shared" si="24"/>
        <v>7053.0978250342487</v>
      </c>
      <c r="V51" s="325">
        <f t="shared" si="25"/>
        <v>7067.4778250342488</v>
      </c>
      <c r="W51" s="325">
        <v>14.38</v>
      </c>
      <c r="X51" s="325">
        <v>21.08</v>
      </c>
      <c r="Y51" s="325">
        <v>4</v>
      </c>
      <c r="Z51" s="325">
        <f t="shared" si="26"/>
        <v>25.08</v>
      </c>
      <c r="AA51" s="389"/>
      <c r="AB51" s="3">
        <v>85.768299999999996</v>
      </c>
      <c r="AC51" s="3"/>
      <c r="AD51" s="325">
        <v>6.53</v>
      </c>
      <c r="AE51" s="325">
        <f t="shared" si="27"/>
        <v>7528.3125324999992</v>
      </c>
      <c r="AF51" s="325">
        <v>18.82</v>
      </c>
      <c r="AG51" s="325">
        <v>4</v>
      </c>
      <c r="AH51" s="325">
        <f t="shared" si="28"/>
        <v>7505.4925324999995</v>
      </c>
      <c r="AI51" s="325">
        <f t="shared" si="29"/>
        <v>500.29470746574862</v>
      </c>
      <c r="AJ51" s="325">
        <f t="shared" si="30"/>
        <v>452.3947074657508</v>
      </c>
      <c r="AK51" s="325">
        <f t="shared" si="31"/>
        <v>875.8125407990841</v>
      </c>
      <c r="AL51">
        <f t="shared" si="32"/>
        <v>301</v>
      </c>
      <c r="AM51" s="411">
        <f t="shared" si="33"/>
        <v>0.12417416609344013</v>
      </c>
      <c r="AN51" s="411">
        <f t="shared" si="34"/>
        <v>0.15057664659171313</v>
      </c>
      <c r="AO51" s="411">
        <f t="shared" si="35"/>
        <v>0.15250302536612237</v>
      </c>
      <c r="AP51" s="384">
        <f>TitulosVendidos[[#This Row],[Comisión Santa Fe
Venta]]+TitulosVendidos[[#This Row],[Comisión Santa Fé
Compra]]</f>
        <v>39.9</v>
      </c>
      <c r="AQ51" s="385"/>
    </row>
    <row r="52" spans="2:43" x14ac:dyDescent="0.25">
      <c r="B52" s="328">
        <v>46076</v>
      </c>
      <c r="C52" s="328" t="s">
        <v>233</v>
      </c>
      <c r="D52" t="s">
        <v>47</v>
      </c>
      <c r="E52" s="328">
        <v>45721</v>
      </c>
      <c r="F52" s="328">
        <v>45743</v>
      </c>
      <c r="G52" s="328">
        <v>45470</v>
      </c>
      <c r="H52" s="328">
        <v>48026</v>
      </c>
      <c r="I52" s="3">
        <v>5.64</v>
      </c>
      <c r="J52" s="3">
        <f t="shared" si="18"/>
        <v>7.2856806056515149</v>
      </c>
      <c r="K52" s="3">
        <v>11</v>
      </c>
      <c r="L52" s="325">
        <f t="shared" si="19"/>
        <v>23.105199999999996</v>
      </c>
      <c r="M52" s="325">
        <f t="shared" si="20"/>
        <v>16.945199999999996</v>
      </c>
      <c r="N52">
        <f t="shared" si="21"/>
        <v>11</v>
      </c>
      <c r="O52" s="325"/>
      <c r="P52" s="325">
        <f t="shared" si="22"/>
        <v>271.10239999999993</v>
      </c>
      <c r="Q52" s="325">
        <v>4916</v>
      </c>
      <c r="R52" s="3">
        <v>77.099469999999997</v>
      </c>
      <c r="S52" s="3">
        <v>77.412122563059398</v>
      </c>
      <c r="T52" s="325">
        <f t="shared" si="23"/>
        <v>3790.2099452000002</v>
      </c>
      <c r="U52" s="325">
        <f t="shared" si="24"/>
        <v>3805.5799452000001</v>
      </c>
      <c r="V52" s="325">
        <f t="shared" si="25"/>
        <v>3811.7399452</v>
      </c>
      <c r="W52" s="325">
        <v>6.16</v>
      </c>
      <c r="X52" s="325">
        <v>11.37</v>
      </c>
      <c r="Y52" s="325">
        <v>4</v>
      </c>
      <c r="Z52" s="325">
        <f t="shared" si="26"/>
        <v>15.37</v>
      </c>
      <c r="AA52" s="389"/>
      <c r="AB52" s="3">
        <v>85.087832370000001</v>
      </c>
      <c r="AC52" s="3"/>
      <c r="AD52" s="325">
        <v>20.02</v>
      </c>
      <c r="AE52" s="325">
        <f t="shared" si="27"/>
        <v>4182.9178393091997</v>
      </c>
      <c r="AF52" s="325">
        <v>10.46</v>
      </c>
      <c r="AG52" s="325">
        <v>4</v>
      </c>
      <c r="AH52" s="325">
        <f t="shared" si="28"/>
        <v>4168.4578393091997</v>
      </c>
      <c r="AI52" s="325">
        <f t="shared" si="29"/>
        <v>392.70789410919951</v>
      </c>
      <c r="AJ52" s="325">
        <f t="shared" si="30"/>
        <v>362.87789410919959</v>
      </c>
      <c r="AK52" s="325">
        <f t="shared" si="31"/>
        <v>654.00029410919956</v>
      </c>
      <c r="AL52">
        <f t="shared" si="32"/>
        <v>355</v>
      </c>
      <c r="AM52" s="411">
        <f t="shared" si="33"/>
        <v>0.17185299048416888</v>
      </c>
      <c r="AN52" s="411">
        <f t="shared" si="34"/>
        <v>0.17669391979358209</v>
      </c>
      <c r="AO52" s="411">
        <f t="shared" si="35"/>
        <v>0.17709962377462873</v>
      </c>
      <c r="AP52" s="384">
        <f>TitulosVendidos[[#This Row],[Comisión Santa Fe
Venta]]+TitulosVendidos[[#This Row],[Comisión Santa Fé
Compra]]</f>
        <v>21.83</v>
      </c>
      <c r="AQ52" s="385"/>
    </row>
    <row r="53" spans="2:43" x14ac:dyDescent="0.25">
      <c r="B53" s="328">
        <v>46076</v>
      </c>
      <c r="C53" s="328" t="s">
        <v>233</v>
      </c>
      <c r="D53" t="s">
        <v>47</v>
      </c>
      <c r="E53" s="328">
        <v>45714</v>
      </c>
      <c r="F53" s="328">
        <v>45718</v>
      </c>
      <c r="G53" s="328">
        <v>45628</v>
      </c>
      <c r="H53" s="328">
        <v>48184</v>
      </c>
      <c r="I53" s="3">
        <v>5.64</v>
      </c>
      <c r="J53" s="3">
        <f t="shared" si="18"/>
        <v>7.4097600926261427</v>
      </c>
      <c r="K53" s="3">
        <v>11</v>
      </c>
      <c r="L53" s="325">
        <f t="shared" si="19"/>
        <v>152.797</v>
      </c>
      <c r="M53" s="325">
        <f t="shared" si="20"/>
        <v>25.466999999999999</v>
      </c>
      <c r="N53">
        <f t="shared" si="21"/>
        <v>11</v>
      </c>
      <c r="O53" s="325"/>
      <c r="P53" s="325">
        <f t="shared" si="22"/>
        <v>1706.2340000000002</v>
      </c>
      <c r="Q53" s="325">
        <v>32510</v>
      </c>
      <c r="R53" s="3">
        <v>75.850337120000006</v>
      </c>
      <c r="S53" s="3">
        <v>76.115824662294685</v>
      </c>
      <c r="T53" s="325">
        <f t="shared" si="23"/>
        <v>24658.944597712001</v>
      </c>
      <c r="U53" s="325">
        <f t="shared" si="24"/>
        <v>24745.254597712003</v>
      </c>
      <c r="V53" s="325">
        <f t="shared" si="25"/>
        <v>24872.584597712004</v>
      </c>
      <c r="W53" s="325">
        <v>127.33</v>
      </c>
      <c r="X53" s="325">
        <v>73.98</v>
      </c>
      <c r="Y53" s="325">
        <v>12.33</v>
      </c>
      <c r="Z53" s="325">
        <f t="shared" si="26"/>
        <v>86.31</v>
      </c>
      <c r="AA53" s="389"/>
      <c r="AB53" s="3">
        <v>84.060854449999994</v>
      </c>
      <c r="AC53" s="3"/>
      <c r="AD53" s="325">
        <v>106.96</v>
      </c>
      <c r="AE53" s="325">
        <f t="shared" si="27"/>
        <v>27328.183781694999</v>
      </c>
      <c r="AF53" s="325">
        <v>68.319999999999993</v>
      </c>
      <c r="AG53" s="325">
        <v>13.66</v>
      </c>
      <c r="AH53" s="325">
        <f t="shared" si="28"/>
        <v>27246.203781695</v>
      </c>
      <c r="AI53" s="325">
        <f t="shared" si="29"/>
        <v>2669.2391839829979</v>
      </c>
      <c r="AJ53" s="325">
        <f t="shared" si="30"/>
        <v>2500.9491839829971</v>
      </c>
      <c r="AK53" s="325">
        <f t="shared" si="31"/>
        <v>4314.1431839829975</v>
      </c>
      <c r="AL53">
        <f t="shared" si="32"/>
        <v>362</v>
      </c>
      <c r="AM53" s="411">
        <f t="shared" si="33"/>
        <v>0.17434224274992474</v>
      </c>
      <c r="AN53" s="411">
        <f t="shared" si="34"/>
        <v>0.17578706796608434</v>
      </c>
      <c r="AO53" s="411">
        <f t="shared" si="35"/>
        <v>0.17590731587544162</v>
      </c>
      <c r="AP53" s="384">
        <f>TitulosVendidos[[#This Row],[Comisión Santa Fe
Venta]]+TitulosVendidos[[#This Row],[Comisión Santa Fé
Compra]]</f>
        <v>142.30000000000001</v>
      </c>
      <c r="AQ53" s="385"/>
    </row>
    <row r="54" spans="2:43" x14ac:dyDescent="0.25">
      <c r="B54" s="328">
        <v>46076</v>
      </c>
      <c r="C54" s="328" t="s">
        <v>233</v>
      </c>
      <c r="D54" t="s">
        <v>47</v>
      </c>
      <c r="E54" s="328">
        <v>45819</v>
      </c>
      <c r="F54" s="328">
        <v>45842</v>
      </c>
      <c r="G54" s="328">
        <v>45630</v>
      </c>
      <c r="H54" s="328">
        <v>48186</v>
      </c>
      <c r="I54" s="3">
        <v>5.64</v>
      </c>
      <c r="J54" s="3">
        <f t="shared" si="18"/>
        <v>7.0634950046632019</v>
      </c>
      <c r="K54" s="3">
        <v>10.25</v>
      </c>
      <c r="L54" s="325">
        <f t="shared" si="19"/>
        <v>43.945</v>
      </c>
      <c r="M54" s="325">
        <f t="shared" si="20"/>
        <v>33.695</v>
      </c>
      <c r="N54">
        <f t="shared" si="21"/>
        <v>7</v>
      </c>
      <c r="O54" s="325"/>
      <c r="P54" s="325">
        <f t="shared" si="22"/>
        <v>341.31</v>
      </c>
      <c r="Q54" s="325">
        <v>9350</v>
      </c>
      <c r="R54" s="3">
        <v>79.483521400000001</v>
      </c>
      <c r="S54" s="3">
        <v>79.847157763636361</v>
      </c>
      <c r="T54" s="325">
        <f t="shared" si="23"/>
        <v>7431.7092509000004</v>
      </c>
      <c r="U54" s="325">
        <f t="shared" si="24"/>
        <v>7465.7092508999995</v>
      </c>
      <c r="V54" s="325">
        <f t="shared" si="25"/>
        <v>7475.9592508999995</v>
      </c>
      <c r="W54" s="325">
        <v>10.25</v>
      </c>
      <c r="X54" s="325">
        <v>30</v>
      </c>
      <c r="Y54" s="325">
        <v>4</v>
      </c>
      <c r="Z54" s="325">
        <f t="shared" si="26"/>
        <v>34</v>
      </c>
      <c r="AA54" s="389"/>
      <c r="AB54" s="3">
        <v>84.047799999999995</v>
      </c>
      <c r="AC54" s="3"/>
      <c r="AD54" s="325">
        <v>27.829654359780051</v>
      </c>
      <c r="AE54" s="325">
        <f t="shared" si="27"/>
        <v>7858.4692999999997</v>
      </c>
      <c r="AF54" s="325">
        <v>19.6474862529458</v>
      </c>
      <c r="AG54" s="325">
        <v>3.9294972505891601</v>
      </c>
      <c r="AH54" s="325">
        <f t="shared" si="28"/>
        <v>7834.8923164964644</v>
      </c>
      <c r="AI54" s="325">
        <f t="shared" si="29"/>
        <v>426.76004909999938</v>
      </c>
      <c r="AJ54" s="325">
        <f t="shared" si="30"/>
        <v>369.18306559646498</v>
      </c>
      <c r="AK54" s="325">
        <f t="shared" si="31"/>
        <v>738.32271995624501</v>
      </c>
      <c r="AL54">
        <f t="shared" si="32"/>
        <v>257</v>
      </c>
      <c r="AM54" s="411">
        <f t="shared" si="33"/>
        <v>9.8895188004708243E-2</v>
      </c>
      <c r="AN54" s="411">
        <f t="shared" si="34"/>
        <v>0.14045425533742611</v>
      </c>
      <c r="AO54" s="411">
        <f t="shared" si="35"/>
        <v>0.14331912300052707</v>
      </c>
      <c r="AP54" s="384">
        <f>TitulosVendidos[[#This Row],[Comisión Santa Fe
Venta]]+TitulosVendidos[[#This Row],[Comisión Santa Fé
Compra]]</f>
        <v>49.647486252945797</v>
      </c>
      <c r="AQ54" s="385"/>
    </row>
    <row r="55" spans="2:43" x14ac:dyDescent="0.25">
      <c r="B55" s="328">
        <v>46076</v>
      </c>
      <c r="C55" s="328" t="s">
        <v>233</v>
      </c>
      <c r="D55" t="s">
        <v>47</v>
      </c>
      <c r="E55" s="328">
        <v>45824</v>
      </c>
      <c r="F55" s="328">
        <v>45842</v>
      </c>
      <c r="G55" s="328">
        <v>45630</v>
      </c>
      <c r="H55" s="328">
        <v>48186</v>
      </c>
      <c r="I55" s="3">
        <v>5.64</v>
      </c>
      <c r="J55" s="3">
        <f t="shared" si="18"/>
        <v>7.0548745789121154</v>
      </c>
      <c r="K55" s="3">
        <v>10.25</v>
      </c>
      <c r="L55" s="325">
        <f t="shared" si="19"/>
        <v>15.886000000000001</v>
      </c>
      <c r="M55" s="325">
        <f t="shared" si="20"/>
        <v>9.5360000000000014</v>
      </c>
      <c r="N55">
        <f t="shared" si="21"/>
        <v>7</v>
      </c>
      <c r="O55" s="325"/>
      <c r="P55" s="325">
        <f t="shared" si="22"/>
        <v>120.73800000000001</v>
      </c>
      <c r="Q55" s="325">
        <v>3380</v>
      </c>
      <c r="R55" s="3">
        <v>79.518096630000002</v>
      </c>
      <c r="S55" s="3">
        <v>79.944723848934913</v>
      </c>
      <c r="T55" s="325">
        <f t="shared" si="23"/>
        <v>2687.7116660940001</v>
      </c>
      <c r="U55" s="325">
        <f t="shared" si="24"/>
        <v>2702.1316660940001</v>
      </c>
      <c r="V55" s="325">
        <f t="shared" si="25"/>
        <v>2708.481666094</v>
      </c>
      <c r="W55" s="325">
        <v>6.35</v>
      </c>
      <c r="X55" s="325">
        <v>10.42</v>
      </c>
      <c r="Y55" s="325">
        <v>4</v>
      </c>
      <c r="Z55" s="325">
        <f t="shared" si="26"/>
        <v>14.42</v>
      </c>
      <c r="AA55" s="389"/>
      <c r="AB55" s="3">
        <v>84.047799999999995</v>
      </c>
      <c r="AC55" s="3"/>
      <c r="AD55" s="325">
        <v>10.06034564021995</v>
      </c>
      <c r="AE55" s="325">
        <f t="shared" si="27"/>
        <v>2840.8156399999993</v>
      </c>
      <c r="AF55" s="325">
        <v>7.1025137470542026</v>
      </c>
      <c r="AG55" s="325">
        <v>1.42050274941084</v>
      </c>
      <c r="AH55" s="325">
        <f t="shared" si="28"/>
        <v>2832.2926235035343</v>
      </c>
      <c r="AI55" s="325">
        <f t="shared" si="29"/>
        <v>153.10397390599928</v>
      </c>
      <c r="AJ55" s="325">
        <f t="shared" si="30"/>
        <v>130.16095740953415</v>
      </c>
      <c r="AK55" s="325">
        <f t="shared" si="31"/>
        <v>260.95930304975411</v>
      </c>
      <c r="AL55">
        <f t="shared" si="32"/>
        <v>252</v>
      </c>
      <c r="AM55" s="411">
        <f t="shared" si="33"/>
        <v>9.6575346910085028E-2</v>
      </c>
      <c r="AN55" s="411">
        <f t="shared" si="34"/>
        <v>0.13988095881817872</v>
      </c>
      <c r="AO55" s="411">
        <f t="shared" si="35"/>
        <v>0.14285791344863741</v>
      </c>
      <c r="AP55" s="384">
        <f>TitulosVendidos[[#This Row],[Comisión Santa Fe
Venta]]+TitulosVendidos[[#This Row],[Comisión Santa Fé
Compra]]</f>
        <v>17.522513747054202</v>
      </c>
      <c r="AQ55" s="385"/>
    </row>
    <row r="56" spans="2:43" x14ac:dyDescent="0.25">
      <c r="B56" s="328">
        <v>46076</v>
      </c>
      <c r="C56" s="328" t="s">
        <v>233</v>
      </c>
      <c r="D56" t="s">
        <v>47</v>
      </c>
      <c r="E56" s="328">
        <v>46021</v>
      </c>
      <c r="F56" s="328">
        <v>46030</v>
      </c>
      <c r="G56" s="328">
        <v>45999</v>
      </c>
      <c r="H56" s="328">
        <v>48190</v>
      </c>
      <c r="I56" s="3">
        <v>7.35</v>
      </c>
      <c r="J56" s="3">
        <f t="shared" si="18"/>
        <v>8.6585201873284436</v>
      </c>
      <c r="K56" s="3">
        <v>11</v>
      </c>
      <c r="L56" s="325">
        <f t="shared" si="19"/>
        <v>64.924999999999997</v>
      </c>
      <c r="M56" s="325">
        <f t="shared" si="20"/>
        <v>17.314999999999998</v>
      </c>
      <c r="N56">
        <f t="shared" si="21"/>
        <v>1</v>
      </c>
      <c r="O56" s="325"/>
      <c r="P56" s="325">
        <f t="shared" si="22"/>
        <v>82.24</v>
      </c>
      <c r="Q56" s="325">
        <v>10600</v>
      </c>
      <c r="R56" s="3">
        <v>84.622107349999993</v>
      </c>
      <c r="S56" s="3">
        <v>84.887484708490547</v>
      </c>
      <c r="T56" s="325">
        <f t="shared" si="23"/>
        <v>8969.9433790999992</v>
      </c>
      <c r="U56" s="325">
        <f t="shared" si="24"/>
        <v>8998.0733790999984</v>
      </c>
      <c r="V56" s="325">
        <f t="shared" si="25"/>
        <v>9045.683379099999</v>
      </c>
      <c r="W56" s="325">
        <v>47.61</v>
      </c>
      <c r="X56" s="325">
        <v>23.65</v>
      </c>
      <c r="Y56" s="325">
        <v>4.4800000000000004</v>
      </c>
      <c r="Z56" s="325">
        <f t="shared" si="26"/>
        <v>28.13</v>
      </c>
      <c r="AA56" s="389"/>
      <c r="AB56" s="3">
        <v>90.767629999999997</v>
      </c>
      <c r="AC56" s="3"/>
      <c r="AD56" s="325">
        <v>32.46</v>
      </c>
      <c r="AE56" s="325">
        <f t="shared" si="27"/>
        <v>9621.3687799999989</v>
      </c>
      <c r="AF56" s="325">
        <v>24.05</v>
      </c>
      <c r="AG56" s="325">
        <v>4.8099999999999996</v>
      </c>
      <c r="AH56" s="325">
        <f t="shared" si="28"/>
        <v>9592.5087800000001</v>
      </c>
      <c r="AI56" s="325">
        <f t="shared" si="29"/>
        <v>651.42540089999966</v>
      </c>
      <c r="AJ56" s="325">
        <f t="shared" si="30"/>
        <v>594.4354009000017</v>
      </c>
      <c r="AK56" s="325">
        <f t="shared" si="31"/>
        <v>709.13540090000174</v>
      </c>
      <c r="AL56">
        <f t="shared" si="32"/>
        <v>55</v>
      </c>
      <c r="AM56" s="411">
        <f t="shared" si="33"/>
        <v>7.8809693033524766E-2</v>
      </c>
      <c r="AN56" s="411">
        <f t="shared" si="34"/>
        <v>0.52300978104066431</v>
      </c>
      <c r="AO56" s="411">
        <f t="shared" si="35"/>
        <v>0.65437491965803618</v>
      </c>
      <c r="AP56" s="384">
        <f>TitulosVendidos[[#This Row],[Comisión Santa Fe
Venta]]+TitulosVendidos[[#This Row],[Comisión Santa Fé
Compra]]</f>
        <v>47.7</v>
      </c>
      <c r="AQ56" s="385"/>
    </row>
    <row r="57" spans="2:43" x14ac:dyDescent="0.25">
      <c r="B57" s="328">
        <v>46065</v>
      </c>
      <c r="C57" s="328" t="s">
        <v>233</v>
      </c>
      <c r="D57" t="s">
        <v>46</v>
      </c>
      <c r="E57" s="328">
        <v>45875</v>
      </c>
      <c r="F57" s="328">
        <v>45887</v>
      </c>
      <c r="G57" s="328">
        <v>45217</v>
      </c>
      <c r="H57" s="328">
        <v>46678</v>
      </c>
      <c r="I57" s="3">
        <v>4.71</v>
      </c>
      <c r="J57" s="3">
        <f t="shared" si="18"/>
        <v>5.029943328994392</v>
      </c>
      <c r="K57" s="3">
        <v>8.5</v>
      </c>
      <c r="L57" s="325">
        <f t="shared" si="19"/>
        <v>125.60000000000001</v>
      </c>
      <c r="M57" s="325">
        <f t="shared" si="20"/>
        <v>50.240000000000009</v>
      </c>
      <c r="N57">
        <f t="shared" si="21"/>
        <v>5</v>
      </c>
      <c r="O57" s="325"/>
      <c r="P57" s="325">
        <f t="shared" si="22"/>
        <v>678.24</v>
      </c>
      <c r="Q57" s="325">
        <v>32000</v>
      </c>
      <c r="R57" s="3">
        <v>93.219725969999999</v>
      </c>
      <c r="S57" s="3">
        <v>93.639225970000012</v>
      </c>
      <c r="T57" s="325">
        <f t="shared" si="23"/>
        <v>29830.312310400001</v>
      </c>
      <c r="U57" s="325">
        <f t="shared" si="24"/>
        <v>29964.552310400006</v>
      </c>
      <c r="V57" s="325">
        <f t="shared" si="25"/>
        <v>30039.912310400006</v>
      </c>
      <c r="W57" s="325">
        <v>75.36</v>
      </c>
      <c r="X57" s="325">
        <v>119.32</v>
      </c>
      <c r="Y57" s="325">
        <v>14.92</v>
      </c>
      <c r="Z57" s="325">
        <f t="shared" si="26"/>
        <v>134.23999999999998</v>
      </c>
      <c r="AA57" s="389"/>
      <c r="AB57" s="3">
        <v>95.565690050000001</v>
      </c>
      <c r="AC57" s="3"/>
      <c r="AD57" s="325"/>
      <c r="AE57" s="325">
        <f t="shared" si="27"/>
        <v>30581.020816</v>
      </c>
      <c r="AF57" s="325">
        <v>91.13</v>
      </c>
      <c r="AG57" s="325">
        <v>15.29</v>
      </c>
      <c r="AH57" s="325">
        <f t="shared" si="28"/>
        <v>30474.600815999998</v>
      </c>
      <c r="AI57" s="325">
        <f t="shared" si="29"/>
        <v>750.70850559999963</v>
      </c>
      <c r="AJ57" s="325">
        <f t="shared" si="30"/>
        <v>510.0485055999925</v>
      </c>
      <c r="AK57" s="325">
        <f t="shared" si="31"/>
        <v>1188.2885055999925</v>
      </c>
      <c r="AL57">
        <f t="shared" si="32"/>
        <v>190</v>
      </c>
      <c r="AM57" s="411">
        <f t="shared" si="33"/>
        <v>3.9656474533329336E-2</v>
      </c>
      <c r="AN57" s="411">
        <f t="shared" si="34"/>
        <v>7.6182174761395827E-2</v>
      </c>
      <c r="AO57" s="411">
        <f t="shared" si="35"/>
        <v>7.7572041728130037E-2</v>
      </c>
      <c r="AP57" s="384">
        <f>TitulosVendidos[[#This Row],[Comisión Santa Fe
Venta]]+TitulosVendidos[[#This Row],[Comisión Santa Fé
Compra]]</f>
        <v>210.45</v>
      </c>
      <c r="AQ57" s="385"/>
    </row>
    <row r="58" spans="2:43" x14ac:dyDescent="0.25">
      <c r="B58" s="328">
        <v>46056</v>
      </c>
      <c r="C58" s="328" t="s">
        <v>233</v>
      </c>
      <c r="D58" t="s">
        <v>47</v>
      </c>
      <c r="E58" s="328">
        <v>45875</v>
      </c>
      <c r="F58" s="328">
        <v>45887</v>
      </c>
      <c r="G58" s="328">
        <v>45217</v>
      </c>
      <c r="H58" s="328">
        <v>46678</v>
      </c>
      <c r="I58" s="3">
        <v>4.71</v>
      </c>
      <c r="J58" s="3">
        <f t="shared" si="18"/>
        <v>5.0299444746008</v>
      </c>
      <c r="K58" s="3">
        <v>8.5</v>
      </c>
      <c r="L58" s="325">
        <f t="shared" si="19"/>
        <v>82.817499999999995</v>
      </c>
      <c r="M58" s="325">
        <f t="shared" si="20"/>
        <v>33.127499999999998</v>
      </c>
      <c r="N58">
        <f t="shared" si="21"/>
        <v>5</v>
      </c>
      <c r="O58" s="325"/>
      <c r="P58" s="325">
        <f t="shared" si="22"/>
        <v>447.21499999999997</v>
      </c>
      <c r="Q58" s="325">
        <v>21100</v>
      </c>
      <c r="R58" s="3">
        <v>93.219725969999999</v>
      </c>
      <c r="S58" s="3">
        <v>93.639204642985788</v>
      </c>
      <c r="T58" s="325">
        <f t="shared" si="23"/>
        <v>19669.362179670003</v>
      </c>
      <c r="U58" s="325">
        <f t="shared" si="24"/>
        <v>19757.872179670001</v>
      </c>
      <c r="V58" s="325">
        <f t="shared" si="25"/>
        <v>19807.56217967</v>
      </c>
      <c r="W58" s="325">
        <v>49.69</v>
      </c>
      <c r="X58" s="325">
        <v>78.680000000000007</v>
      </c>
      <c r="Y58" s="325">
        <v>9.83</v>
      </c>
      <c r="Z58" s="325">
        <f t="shared" si="26"/>
        <v>88.51</v>
      </c>
      <c r="AA58" s="389"/>
      <c r="AB58" s="3">
        <v>94.167547999999996</v>
      </c>
      <c r="AC58" s="3">
        <v>94.117599999999996</v>
      </c>
      <c r="AD58" s="325">
        <v>41.41096638655462</v>
      </c>
      <c r="AE58" s="325">
        <f t="shared" si="27"/>
        <v>19869.352628000001</v>
      </c>
      <c r="AF58" s="325">
        <v>42.004957983193279</v>
      </c>
      <c r="AG58" s="325">
        <v>9.9382773109243701</v>
      </c>
      <c r="AH58" s="325">
        <f t="shared" si="28"/>
        <v>19817.409392705882</v>
      </c>
      <c r="AI58" s="325">
        <f t="shared" si="29"/>
        <v>199.99044832999789</v>
      </c>
      <c r="AJ58" s="325">
        <f t="shared" si="30"/>
        <v>59.537213035880995</v>
      </c>
      <c r="AK58" s="325">
        <f t="shared" si="31"/>
        <v>548.16317942243563</v>
      </c>
      <c r="AL58">
        <f t="shared" si="32"/>
        <v>181</v>
      </c>
      <c r="AM58" s="411">
        <f t="shared" si="33"/>
        <v>2.7744039157540049E-2</v>
      </c>
      <c r="AN58" s="411">
        <f t="shared" si="34"/>
        <v>5.5947924267967505E-2</v>
      </c>
      <c r="AO58" s="411">
        <f t="shared" si="35"/>
        <v>5.6737018801689576E-2</v>
      </c>
      <c r="AP58" s="384">
        <f>TitulosVendidos[[#This Row],[Comisión Santa Fe
Venta]]+TitulosVendidos[[#This Row],[Comisión Santa Fé
Compra]]</f>
        <v>120.68495798319329</v>
      </c>
      <c r="AQ58" s="385"/>
    </row>
    <row r="59" spans="2:43" x14ac:dyDescent="0.25">
      <c r="B59" s="328">
        <v>46056</v>
      </c>
      <c r="C59" s="328" t="s">
        <v>233</v>
      </c>
      <c r="D59" t="s">
        <v>47</v>
      </c>
      <c r="E59" s="328">
        <v>45419</v>
      </c>
      <c r="F59" s="328">
        <v>45430</v>
      </c>
      <c r="G59" s="328">
        <v>45217</v>
      </c>
      <c r="H59" s="328">
        <v>46678</v>
      </c>
      <c r="I59" s="3">
        <v>4.71</v>
      </c>
      <c r="J59" s="3">
        <f t="shared" si="18"/>
        <v>5.7620048929969228</v>
      </c>
      <c r="K59" s="3">
        <v>11.75</v>
      </c>
      <c r="L59" s="325">
        <f t="shared" si="19"/>
        <v>10.5975</v>
      </c>
      <c r="M59" s="325">
        <f t="shared" si="20"/>
        <v>3.8875000000000002</v>
      </c>
      <c r="N59">
        <f t="shared" si="21"/>
        <v>20</v>
      </c>
      <c r="O59" s="325"/>
      <c r="P59" s="325">
        <f t="shared" si="22"/>
        <v>215.83749999999998</v>
      </c>
      <c r="Q59" s="325">
        <v>2700</v>
      </c>
      <c r="R59" s="3">
        <v>81.328677420000005</v>
      </c>
      <c r="S59" s="3">
        <v>81.742381123703694</v>
      </c>
      <c r="T59" s="325">
        <f t="shared" si="23"/>
        <v>2195.8742903399998</v>
      </c>
      <c r="U59" s="325">
        <f t="shared" si="24"/>
        <v>2207.0442903399999</v>
      </c>
      <c r="V59" s="325">
        <f t="shared" si="25"/>
        <v>2213.7542903399999</v>
      </c>
      <c r="W59" s="325">
        <v>6.71</v>
      </c>
      <c r="X59" s="325">
        <v>7.17</v>
      </c>
      <c r="Y59" s="325">
        <v>4</v>
      </c>
      <c r="Z59" s="325">
        <f t="shared" si="26"/>
        <v>11.17</v>
      </c>
      <c r="AA59" s="389"/>
      <c r="AB59" s="3">
        <v>94.167547999999996</v>
      </c>
      <c r="AC59" s="3">
        <v>94.117599999999996</v>
      </c>
      <c r="AD59" s="325">
        <v>5.2990336134453777</v>
      </c>
      <c r="AE59" s="325">
        <f t="shared" si="27"/>
        <v>2542.5237959999999</v>
      </c>
      <c r="AF59" s="325">
        <v>5.3750420168067219</v>
      </c>
      <c r="AG59" s="325">
        <v>1.2717226890756299</v>
      </c>
      <c r="AH59" s="325">
        <f t="shared" si="28"/>
        <v>2535.8770312941178</v>
      </c>
      <c r="AI59" s="325">
        <f t="shared" si="29"/>
        <v>346.64950566000016</v>
      </c>
      <c r="AJ59" s="325">
        <f t="shared" si="30"/>
        <v>328.83274095411798</v>
      </c>
      <c r="AK59" s="325">
        <f t="shared" si="31"/>
        <v>549.96927456756339</v>
      </c>
      <c r="AL59">
        <f t="shared" si="32"/>
        <v>637</v>
      </c>
      <c r="AM59" s="411">
        <f t="shared" si="33"/>
        <v>0.24918814587216076</v>
      </c>
      <c r="AN59" s="411">
        <f t="shared" si="34"/>
        <v>0.14278441639456621</v>
      </c>
      <c r="AO59" s="411">
        <f t="shared" si="35"/>
        <v>0.13597195305347354</v>
      </c>
      <c r="AP59" s="384">
        <f>TitulosVendidos[[#This Row],[Comisión Santa Fe
Venta]]+TitulosVendidos[[#This Row],[Comisión Santa Fé
Compra]]</f>
        <v>12.545042016806722</v>
      </c>
      <c r="AQ59" s="385"/>
    </row>
    <row r="60" spans="2:43" x14ac:dyDescent="0.25">
      <c r="B60" s="328">
        <v>45805</v>
      </c>
      <c r="C60" s="328" t="s">
        <v>233</v>
      </c>
      <c r="D60" t="s">
        <v>47</v>
      </c>
      <c r="E60" s="328">
        <v>45008</v>
      </c>
      <c r="F60" s="328">
        <v>45013</v>
      </c>
      <c r="G60" s="328">
        <v>44923</v>
      </c>
      <c r="H60" s="328">
        <v>47115</v>
      </c>
      <c r="I60" s="3">
        <v>5.36</v>
      </c>
      <c r="J60" s="3">
        <f t="shared" si="18"/>
        <v>6.341326638659142</v>
      </c>
      <c r="K60" s="3">
        <v>9</v>
      </c>
      <c r="L60" s="325">
        <f t="shared" si="19"/>
        <v>44.666666666666664</v>
      </c>
      <c r="M60" s="325">
        <f t="shared" si="20"/>
        <v>7.4466666666666654</v>
      </c>
      <c r="N60">
        <f t="shared" si="21"/>
        <v>26</v>
      </c>
      <c r="O60" s="325"/>
      <c r="P60" s="325">
        <f t="shared" si="22"/>
        <v>1168.78</v>
      </c>
      <c r="Q60" s="325">
        <v>10000</v>
      </c>
      <c r="R60" s="3">
        <v>84.230099999999993</v>
      </c>
      <c r="S60" s="3">
        <v>84.524899999999974</v>
      </c>
      <c r="T60" s="325">
        <f t="shared" si="23"/>
        <v>8423.0099999999984</v>
      </c>
      <c r="U60" s="325">
        <f t="shared" si="24"/>
        <v>8452.489999999998</v>
      </c>
      <c r="V60" s="325">
        <f t="shared" si="25"/>
        <v>8489.7099999999973</v>
      </c>
      <c r="W60" s="325">
        <v>37.22</v>
      </c>
      <c r="X60" s="325">
        <v>25.27</v>
      </c>
      <c r="Y60" s="325">
        <v>4.21</v>
      </c>
      <c r="Z60" s="325">
        <f t="shared" si="26"/>
        <v>29.48</v>
      </c>
      <c r="AA60" s="389"/>
      <c r="AB60" s="3">
        <v>91.515747849999997</v>
      </c>
      <c r="AC60" s="3"/>
      <c r="AD60" s="325"/>
      <c r="AE60" s="325">
        <f t="shared" si="27"/>
        <v>9151.5747849999989</v>
      </c>
      <c r="AF60" s="325">
        <v>27.45</v>
      </c>
      <c r="AG60" s="325">
        <v>4.58</v>
      </c>
      <c r="AH60" s="325">
        <f t="shared" si="28"/>
        <v>9119.5447849999982</v>
      </c>
      <c r="AI60" s="325">
        <f t="shared" si="29"/>
        <v>728.56478500000048</v>
      </c>
      <c r="AJ60" s="325">
        <f t="shared" si="30"/>
        <v>667.05478500000027</v>
      </c>
      <c r="AK60" s="325">
        <f t="shared" si="31"/>
        <v>1835.8347850000002</v>
      </c>
      <c r="AL60">
        <f t="shared" si="32"/>
        <v>797</v>
      </c>
      <c r="AM60" s="411">
        <f t="shared" si="33"/>
        <v>0.21719455272943247</v>
      </c>
      <c r="AN60" s="411">
        <f t="shared" si="34"/>
        <v>9.9468019756891915E-2</v>
      </c>
      <c r="AO60" s="411">
        <f t="shared" si="35"/>
        <v>9.4188372533719589E-2</v>
      </c>
      <c r="AP60" s="384">
        <f>TitulosVendidos[[#This Row],[Comisión Santa Fe
Venta]]+TitulosVendidos[[#This Row],[Comisión Santa Fé
Compra]]</f>
        <v>52.72</v>
      </c>
      <c r="AQ60" s="385"/>
    </row>
    <row r="61" spans="2:43" x14ac:dyDescent="0.25">
      <c r="B61" s="328">
        <v>45805</v>
      </c>
      <c r="C61" s="328" t="s">
        <v>233</v>
      </c>
      <c r="D61" t="s">
        <v>47</v>
      </c>
      <c r="E61" s="328">
        <v>45714</v>
      </c>
      <c r="F61" s="328">
        <v>45718</v>
      </c>
      <c r="G61" s="328">
        <v>45628</v>
      </c>
      <c r="H61" s="328">
        <v>48184</v>
      </c>
      <c r="I61" s="3">
        <v>5.64</v>
      </c>
      <c r="J61" s="3">
        <f t="shared" si="18"/>
        <v>7.4097610761020265</v>
      </c>
      <c r="K61" s="3">
        <v>11</v>
      </c>
      <c r="L61" s="325">
        <f t="shared" si="19"/>
        <v>71.158000000000001</v>
      </c>
      <c r="M61" s="325">
        <f t="shared" si="20"/>
        <v>11.859401888772304</v>
      </c>
      <c r="N61">
        <f t="shared" si="21"/>
        <v>2</v>
      </c>
      <c r="O61" s="325"/>
      <c r="P61" s="325">
        <f t="shared" si="22"/>
        <v>154.17540188877231</v>
      </c>
      <c r="Q61" s="325">
        <v>15140</v>
      </c>
      <c r="R61" s="3">
        <v>75.850337120000006</v>
      </c>
      <c r="S61" s="3">
        <v>76.11581455966423</v>
      </c>
      <c r="T61" s="325">
        <f t="shared" si="23"/>
        <v>11483.741039968001</v>
      </c>
      <c r="U61" s="325">
        <f t="shared" si="24"/>
        <v>11523.934324333164</v>
      </c>
      <c r="V61" s="325">
        <f t="shared" si="25"/>
        <v>11583.232922444391</v>
      </c>
      <c r="W61" s="325">
        <v>59.298598111227697</v>
      </c>
      <c r="X61" s="325">
        <v>34.451840503672607</v>
      </c>
      <c r="Y61" s="325">
        <v>5.7414438614900316</v>
      </c>
      <c r="Z61" s="325">
        <f t="shared" si="26"/>
        <v>40.19328436516264</v>
      </c>
      <c r="AA61" s="389"/>
      <c r="AB61" s="3">
        <v>78.43812702000001</v>
      </c>
      <c r="AC61" s="3"/>
      <c r="AD61" s="325">
        <v>61.67</v>
      </c>
      <c r="AE61" s="325">
        <f t="shared" si="27"/>
        <v>11875.532430828001</v>
      </c>
      <c r="AF61" s="325">
        <v>35.630000000000003</v>
      </c>
      <c r="AG61" s="325">
        <v>5.94</v>
      </c>
      <c r="AH61" s="325">
        <f t="shared" si="28"/>
        <v>11833.962430828002</v>
      </c>
      <c r="AI61" s="325">
        <f t="shared" si="29"/>
        <v>391.79139086000032</v>
      </c>
      <c r="AJ61" s="325">
        <f t="shared" si="30"/>
        <v>310.02810649483763</v>
      </c>
      <c r="AK61" s="325">
        <f t="shared" si="31"/>
        <v>525.87350838360987</v>
      </c>
      <c r="AL61">
        <f t="shared" si="32"/>
        <v>91</v>
      </c>
      <c r="AM61" s="411">
        <f t="shared" si="33"/>
        <v>4.5633157356095889E-2</v>
      </c>
      <c r="AN61" s="411">
        <f t="shared" si="34"/>
        <v>0.18303409269203297</v>
      </c>
      <c r="AO61" s="411">
        <f t="shared" si="35"/>
        <v>0.19599770276001549</v>
      </c>
      <c r="AP61" s="384">
        <f>TitulosVendidos[[#This Row],[Comisión Santa Fe
Venta]]+TitulosVendidos[[#This Row],[Comisión Santa Fé
Compra]]</f>
        <v>70.081840503672609</v>
      </c>
      <c r="AQ61" s="385"/>
    </row>
    <row r="62" spans="2:43" x14ac:dyDescent="0.25">
      <c r="B62" s="328">
        <v>45791</v>
      </c>
      <c r="C62" s="328" t="s">
        <v>233</v>
      </c>
      <c r="D62" t="s">
        <v>47</v>
      </c>
      <c r="E62" s="328">
        <v>44925</v>
      </c>
      <c r="F62" s="328">
        <v>44954</v>
      </c>
      <c r="G62" s="328">
        <v>44923</v>
      </c>
      <c r="H62" s="328">
        <v>47845</v>
      </c>
      <c r="I62" s="3">
        <v>5.93</v>
      </c>
      <c r="J62" s="3">
        <f t="shared" si="18"/>
        <v>7.2174787033628922</v>
      </c>
      <c r="K62" s="3">
        <v>9.5</v>
      </c>
      <c r="L62" s="325">
        <f t="shared" si="19"/>
        <v>50.583888333333334</v>
      </c>
      <c r="M62" s="325">
        <f t="shared" si="20"/>
        <v>47.210949541278211</v>
      </c>
      <c r="N62">
        <f t="shared" si="21"/>
        <v>27</v>
      </c>
      <c r="O62" s="325"/>
      <c r="P62" s="325">
        <f t="shared" si="22"/>
        <v>1412.9759345412783</v>
      </c>
      <c r="Q62" s="325">
        <v>10236.200000000001</v>
      </c>
      <c r="R62" s="3">
        <v>81.865555509999993</v>
      </c>
      <c r="S62" s="3">
        <v>82.161655665668846</v>
      </c>
      <c r="T62" s="325">
        <f t="shared" si="23"/>
        <v>8379.9219931146199</v>
      </c>
      <c r="U62" s="325">
        <f t="shared" si="24"/>
        <v>8410.2313972491938</v>
      </c>
      <c r="V62" s="325">
        <f t="shared" si="25"/>
        <v>8413.6043360412496</v>
      </c>
      <c r="W62" s="325">
        <v>3.3729387920551268</v>
      </c>
      <c r="X62" s="325">
        <v>26.12</v>
      </c>
      <c r="Y62" s="325">
        <v>4.1894041345764066</v>
      </c>
      <c r="Z62" s="325">
        <f t="shared" si="26"/>
        <v>30.309404134576408</v>
      </c>
      <c r="AA62" s="389"/>
      <c r="AB62" s="3">
        <v>85.069828999999999</v>
      </c>
      <c r="AC62" s="3"/>
      <c r="AD62" s="325">
        <v>25</v>
      </c>
      <c r="AE62" s="325">
        <f t="shared" si="27"/>
        <v>8707.9178360980004</v>
      </c>
      <c r="AF62" s="325">
        <v>20</v>
      </c>
      <c r="AG62" s="325">
        <v>2</v>
      </c>
      <c r="AH62" s="325">
        <f t="shared" si="28"/>
        <v>8685.9178360980004</v>
      </c>
      <c r="AI62" s="325">
        <f t="shared" si="29"/>
        <v>327.9958429833805</v>
      </c>
      <c r="AJ62" s="325">
        <f t="shared" si="30"/>
        <v>275.68643884880657</v>
      </c>
      <c r="AK62" s="325">
        <f t="shared" si="31"/>
        <v>1713.6623733900849</v>
      </c>
      <c r="AL62">
        <f t="shared" si="32"/>
        <v>866</v>
      </c>
      <c r="AM62" s="411">
        <f t="shared" si="33"/>
        <v>0.20375924186230918</v>
      </c>
      <c r="AN62" s="411">
        <f t="shared" si="34"/>
        <v>8.5880049976608377E-2</v>
      </c>
      <c r="AO62" s="411">
        <f t="shared" si="35"/>
        <v>8.1298719979468803E-2</v>
      </c>
      <c r="AP62" s="384">
        <f>TitulosVendidos[[#This Row],[Comisión Santa Fe
Venta]]+TitulosVendidos[[#This Row],[Comisión Santa Fé
Compra]]</f>
        <v>46.120000000000005</v>
      </c>
      <c r="AQ62" s="385"/>
    </row>
    <row r="63" spans="2:43" x14ac:dyDescent="0.25">
      <c r="B63" s="328">
        <v>45791</v>
      </c>
      <c r="C63" s="328" t="s">
        <v>233</v>
      </c>
      <c r="D63" t="s">
        <v>46</v>
      </c>
      <c r="E63" s="328">
        <v>44964</v>
      </c>
      <c r="F63" s="328">
        <v>44985</v>
      </c>
      <c r="G63" s="328">
        <v>44923</v>
      </c>
      <c r="H63" s="328">
        <v>47480</v>
      </c>
      <c r="I63" s="3">
        <v>5.64</v>
      </c>
      <c r="J63" s="3">
        <f t="shared" si="18"/>
        <v>6.7116271647248009</v>
      </c>
      <c r="K63" s="3">
        <v>9</v>
      </c>
      <c r="L63" s="325">
        <f t="shared" si="19"/>
        <v>70.5</v>
      </c>
      <c r="M63" s="325">
        <f t="shared" si="20"/>
        <v>47</v>
      </c>
      <c r="N63">
        <f t="shared" si="21"/>
        <v>26</v>
      </c>
      <c r="O63" s="325"/>
      <c r="P63" s="325">
        <f t="shared" si="22"/>
        <v>1880</v>
      </c>
      <c r="Q63" s="325">
        <v>15000</v>
      </c>
      <c r="R63" s="3">
        <v>83.740206659999998</v>
      </c>
      <c r="S63" s="3">
        <v>84.033273326666674</v>
      </c>
      <c r="T63" s="325">
        <f t="shared" si="23"/>
        <v>12561.030999000001</v>
      </c>
      <c r="U63" s="325">
        <f t="shared" si="24"/>
        <v>12604.990999</v>
      </c>
      <c r="V63" s="325">
        <f t="shared" si="25"/>
        <v>12628.490999</v>
      </c>
      <c r="W63" s="325">
        <v>23.5</v>
      </c>
      <c r="X63" s="325">
        <v>37.68</v>
      </c>
      <c r="Y63" s="325">
        <v>6.28</v>
      </c>
      <c r="Z63" s="325">
        <f t="shared" si="26"/>
        <v>43.96</v>
      </c>
      <c r="AA63" s="389"/>
      <c r="AB63" s="3">
        <v>86.906742999999992</v>
      </c>
      <c r="AC63" s="3"/>
      <c r="AD63" s="325">
        <v>20</v>
      </c>
      <c r="AE63" s="325">
        <f t="shared" si="27"/>
        <v>13036.011449999998</v>
      </c>
      <c r="AF63" s="325">
        <v>25</v>
      </c>
      <c r="AG63" s="325">
        <v>2.5</v>
      </c>
      <c r="AH63" s="325">
        <f t="shared" si="28"/>
        <v>13008.511449999998</v>
      </c>
      <c r="AI63" s="325">
        <f t="shared" si="29"/>
        <v>474.98045099999763</v>
      </c>
      <c r="AJ63" s="325">
        <f t="shared" si="30"/>
        <v>403.5204509999985</v>
      </c>
      <c r="AK63" s="325">
        <f t="shared" si="31"/>
        <v>2303.5204509999985</v>
      </c>
      <c r="AL63">
        <f t="shared" si="32"/>
        <v>827</v>
      </c>
      <c r="AM63" s="411">
        <f t="shared" si="33"/>
        <v>0.18274669543062311</v>
      </c>
      <c r="AN63" s="411">
        <f t="shared" si="34"/>
        <v>8.0656038491145637E-2</v>
      </c>
      <c r="AO63" s="411">
        <f t="shared" si="35"/>
        <v>7.6889354517904573E-2</v>
      </c>
      <c r="AP63" s="384">
        <f>TitulosVendidos[[#This Row],[Comisión Santa Fe
Venta]]+TitulosVendidos[[#This Row],[Comisión Santa Fé
Compra]]</f>
        <v>62.68</v>
      </c>
      <c r="AQ63" s="385"/>
    </row>
    <row r="64" spans="2:43" x14ac:dyDescent="0.25">
      <c r="B64" s="328">
        <v>45791</v>
      </c>
      <c r="C64" s="328" t="s">
        <v>233</v>
      </c>
      <c r="D64" t="s">
        <v>46</v>
      </c>
      <c r="E64" s="328">
        <v>45713</v>
      </c>
      <c r="F64" s="328">
        <v>45716</v>
      </c>
      <c r="G64" s="328">
        <v>44923</v>
      </c>
      <c r="H64" s="328">
        <v>47845</v>
      </c>
      <c r="I64" s="3">
        <v>5.93</v>
      </c>
      <c r="J64" s="3">
        <f t="shared" si="18"/>
        <v>7.1361689397646462</v>
      </c>
      <c r="K64" s="3">
        <v>10.5</v>
      </c>
      <c r="L64" s="325">
        <f t="shared" si="19"/>
        <v>58.805833333333332</v>
      </c>
      <c r="M64" s="325">
        <f t="shared" si="20"/>
        <v>5.8758333333333326</v>
      </c>
      <c r="N64">
        <f t="shared" si="21"/>
        <v>2</v>
      </c>
      <c r="O64" s="325"/>
      <c r="P64" s="325">
        <f t="shared" si="22"/>
        <v>123.4875</v>
      </c>
      <c r="Q64" s="325">
        <v>11900</v>
      </c>
      <c r="R64" s="3">
        <v>82.807976569999994</v>
      </c>
      <c r="S64" s="3">
        <v>83.097808502773105</v>
      </c>
      <c r="T64" s="325">
        <f t="shared" si="23"/>
        <v>9854.1492118299993</v>
      </c>
      <c r="U64" s="325">
        <f t="shared" si="24"/>
        <v>9888.6392118299991</v>
      </c>
      <c r="V64" s="325">
        <f t="shared" si="25"/>
        <v>9941.5692118299994</v>
      </c>
      <c r="W64" s="325">
        <v>52.93</v>
      </c>
      <c r="X64" s="325">
        <v>29.56</v>
      </c>
      <c r="Y64" s="325">
        <v>4.93</v>
      </c>
      <c r="Z64" s="325">
        <f t="shared" si="26"/>
        <v>34.489999999999995</v>
      </c>
      <c r="AA64" s="389"/>
      <c r="AB64" s="3">
        <v>85.069828999999999</v>
      </c>
      <c r="AC64" s="3"/>
      <c r="AD64" s="325">
        <v>30</v>
      </c>
      <c r="AE64" s="325">
        <f t="shared" si="27"/>
        <v>10123.309651</v>
      </c>
      <c r="AF64" s="325">
        <v>20</v>
      </c>
      <c r="AG64" s="325">
        <v>2</v>
      </c>
      <c r="AH64" s="325">
        <f t="shared" si="28"/>
        <v>10101.309651</v>
      </c>
      <c r="AI64" s="325">
        <f t="shared" si="29"/>
        <v>269.16043917000025</v>
      </c>
      <c r="AJ64" s="325">
        <f t="shared" si="30"/>
        <v>212.67043917000046</v>
      </c>
      <c r="AK64" s="325">
        <f t="shared" si="31"/>
        <v>366.15793917000047</v>
      </c>
      <c r="AL64">
        <f t="shared" si="32"/>
        <v>78</v>
      </c>
      <c r="AM64" s="411">
        <f t="shared" si="33"/>
        <v>3.7028142227290242E-2</v>
      </c>
      <c r="AN64" s="411">
        <f t="shared" si="34"/>
        <v>0.17327271683283255</v>
      </c>
      <c r="AO64" s="411">
        <f t="shared" si="35"/>
        <v>0.18547292508147084</v>
      </c>
      <c r="AP64" s="384">
        <f>TitulosVendidos[[#This Row],[Comisión Santa Fe
Venta]]+TitulosVendidos[[#This Row],[Comisión Santa Fé
Compra]]</f>
        <v>49.56</v>
      </c>
      <c r="AQ64" s="385"/>
    </row>
    <row r="65" spans="2:43" x14ac:dyDescent="0.25">
      <c r="B65" s="328">
        <v>45791</v>
      </c>
      <c r="C65" s="328" t="s">
        <v>233</v>
      </c>
      <c r="D65" t="s">
        <v>46</v>
      </c>
      <c r="E65" s="328">
        <v>44925</v>
      </c>
      <c r="F65" s="328">
        <v>44954</v>
      </c>
      <c r="G65" s="328">
        <v>44923</v>
      </c>
      <c r="H65" s="328">
        <v>47845</v>
      </c>
      <c r="I65" s="3">
        <v>5.93</v>
      </c>
      <c r="J65" s="3">
        <f t="shared" si="18"/>
        <v>7.2121733771431025</v>
      </c>
      <c r="K65" s="3">
        <v>9.5</v>
      </c>
      <c r="L65" s="325">
        <f t="shared" si="19"/>
        <v>35.648195000000001</v>
      </c>
      <c r="M65" s="325">
        <f t="shared" si="20"/>
        <v>33.268194999999999</v>
      </c>
      <c r="N65">
        <f t="shared" si="21"/>
        <v>27</v>
      </c>
      <c r="O65" s="325"/>
      <c r="P65" s="325">
        <f t="shared" si="22"/>
        <v>995.76945999999998</v>
      </c>
      <c r="Q65" s="325">
        <v>7213.8</v>
      </c>
      <c r="R65" s="3">
        <v>81.865555509999993</v>
      </c>
      <c r="S65" s="3">
        <v>82.222094366081393</v>
      </c>
      <c r="T65" s="325">
        <f t="shared" si="23"/>
        <v>5905.617443380379</v>
      </c>
      <c r="U65" s="325">
        <f t="shared" si="24"/>
        <v>5931.3374433803792</v>
      </c>
      <c r="V65" s="325">
        <f t="shared" si="25"/>
        <v>5933.7174433803793</v>
      </c>
      <c r="W65" s="325">
        <v>2.38</v>
      </c>
      <c r="X65" s="325">
        <v>21.72</v>
      </c>
      <c r="Y65" s="325">
        <v>4</v>
      </c>
      <c r="Z65" s="325">
        <f t="shared" si="26"/>
        <v>25.72</v>
      </c>
      <c r="AA65" s="389"/>
      <c r="AB65" s="3">
        <v>85.069828999999999</v>
      </c>
      <c r="AC65" s="3"/>
      <c r="AD65" s="325">
        <v>20</v>
      </c>
      <c r="AE65" s="325">
        <f t="shared" si="27"/>
        <v>6136.7673244020007</v>
      </c>
      <c r="AF65" s="325">
        <v>15</v>
      </c>
      <c r="AG65" s="325">
        <v>1.5</v>
      </c>
      <c r="AH65" s="325">
        <f t="shared" si="28"/>
        <v>6120.2673244020007</v>
      </c>
      <c r="AI65" s="325">
        <f t="shared" si="29"/>
        <v>231.1498810216217</v>
      </c>
      <c r="AJ65" s="325">
        <f t="shared" si="30"/>
        <v>188.92988102162144</v>
      </c>
      <c r="AK65" s="325">
        <f t="shared" si="31"/>
        <v>1204.6993410216214</v>
      </c>
      <c r="AL65">
        <f t="shared" si="32"/>
        <v>866</v>
      </c>
      <c r="AM65" s="411">
        <f t="shared" si="33"/>
        <v>0.20310753730022835</v>
      </c>
      <c r="AN65" s="411">
        <f t="shared" si="34"/>
        <v>8.5605370802059294E-2</v>
      </c>
      <c r="AO65" s="411">
        <f t="shared" si="35"/>
        <v>8.1051945744589737E-2</v>
      </c>
      <c r="AP65" s="384">
        <f>TitulosVendidos[[#This Row],[Comisión Santa Fe
Venta]]+TitulosVendidos[[#This Row],[Comisión Santa Fé
Compra]]</f>
        <v>36.72</v>
      </c>
      <c r="AQ65" s="385"/>
    </row>
    <row r="66" spans="2:43" x14ac:dyDescent="0.25">
      <c r="B66" s="328">
        <v>45791</v>
      </c>
      <c r="C66" s="328" t="s">
        <v>233</v>
      </c>
      <c r="D66" t="s">
        <v>46</v>
      </c>
      <c r="E66" s="328">
        <v>45000</v>
      </c>
      <c r="F66" s="328">
        <v>45013</v>
      </c>
      <c r="G66" s="328">
        <v>44923</v>
      </c>
      <c r="H66" s="328">
        <v>47845</v>
      </c>
      <c r="I66" s="3">
        <v>5.93</v>
      </c>
      <c r="J66" s="3">
        <f t="shared" si="18"/>
        <v>7.0882603151031596</v>
      </c>
      <c r="K66" s="3">
        <v>9.25</v>
      </c>
      <c r="L66" s="325">
        <f t="shared" si="19"/>
        <v>64.735833333333332</v>
      </c>
      <c r="M66" s="325">
        <f t="shared" si="20"/>
        <v>28.055833333333332</v>
      </c>
      <c r="N66">
        <f t="shared" si="21"/>
        <v>25</v>
      </c>
      <c r="O66" s="325"/>
      <c r="P66" s="325">
        <f t="shared" si="22"/>
        <v>1646.4516666666666</v>
      </c>
      <c r="Q66" s="325">
        <v>13100</v>
      </c>
      <c r="R66" s="3">
        <v>83.367699999999999</v>
      </c>
      <c r="S66" s="3">
        <v>83.659455725190824</v>
      </c>
      <c r="T66" s="325">
        <f t="shared" si="23"/>
        <v>10921.168699999998</v>
      </c>
      <c r="U66" s="325">
        <f t="shared" si="24"/>
        <v>10959.3887</v>
      </c>
      <c r="V66" s="325">
        <f t="shared" si="25"/>
        <v>10996.0687</v>
      </c>
      <c r="W66" s="325">
        <v>36.68</v>
      </c>
      <c r="X66" s="325">
        <v>32.76</v>
      </c>
      <c r="Y66" s="325">
        <v>5.46</v>
      </c>
      <c r="Z66" s="325">
        <f t="shared" si="26"/>
        <v>38.22</v>
      </c>
      <c r="AA66" s="389"/>
      <c r="AB66" s="3">
        <v>85.069828999999999</v>
      </c>
      <c r="AC66" s="3"/>
      <c r="AD66" s="325">
        <v>36</v>
      </c>
      <c r="AE66" s="325">
        <f t="shared" si="27"/>
        <v>11144.147599</v>
      </c>
      <c r="AF66" s="325">
        <v>20</v>
      </c>
      <c r="AG66" s="325">
        <v>2</v>
      </c>
      <c r="AH66" s="325">
        <f t="shared" si="28"/>
        <v>11122.147599</v>
      </c>
      <c r="AI66" s="325">
        <f t="shared" si="29"/>
        <v>222.97889900000155</v>
      </c>
      <c r="AJ66" s="325">
        <f t="shared" si="30"/>
        <v>162.75889900000038</v>
      </c>
      <c r="AK66" s="325">
        <f t="shared" si="31"/>
        <v>1845.210565666667</v>
      </c>
      <c r="AL66">
        <f t="shared" si="32"/>
        <v>791</v>
      </c>
      <c r="AM66" s="411">
        <f t="shared" si="33"/>
        <v>0.168368019072694</v>
      </c>
      <c r="AN66" s="411">
        <f t="shared" si="34"/>
        <v>7.7691943061356905E-2</v>
      </c>
      <c r="AO66" s="411">
        <f t="shared" si="35"/>
        <v>7.444463262828771E-2</v>
      </c>
      <c r="AP66" s="384">
        <f>TitulosVendidos[[#This Row],[Comisión Santa Fe
Venta]]+TitulosVendidos[[#This Row],[Comisión Santa Fé
Compra]]</f>
        <v>52.76</v>
      </c>
      <c r="AQ66" s="385"/>
    </row>
    <row r="67" spans="2:43" x14ac:dyDescent="0.25">
      <c r="B67" s="328">
        <v>45771</v>
      </c>
      <c r="C67" s="328" t="s">
        <v>233</v>
      </c>
      <c r="D67" t="s">
        <v>47</v>
      </c>
      <c r="E67" s="328">
        <v>44992</v>
      </c>
      <c r="F67" s="328">
        <v>45012</v>
      </c>
      <c r="G67" s="328">
        <v>44922</v>
      </c>
      <c r="H67" s="328">
        <v>47844</v>
      </c>
      <c r="I67" s="3">
        <v>5.93</v>
      </c>
      <c r="J67" s="3">
        <f t="shared" ref="J67:J98" si="36">L67*12/U67*100</f>
        <v>6.9958823628203852</v>
      </c>
      <c r="K67" s="3">
        <v>9</v>
      </c>
      <c r="L67" s="325">
        <f t="shared" ref="L67:L98" si="37">Q67*I67/100/12</f>
        <v>262.40249999999997</v>
      </c>
      <c r="M67" s="325">
        <f t="shared" ref="M67:M98" si="38">L67-W67</f>
        <v>174.93249999999998</v>
      </c>
      <c r="N67">
        <f t="shared" ref="N67:N98" si="39">IF(F67="", 0, IF(B67&gt;F67,INT((B67-F67)/30),0))</f>
        <v>25</v>
      </c>
      <c r="O67" s="325"/>
      <c r="P67" s="325">
        <f t="shared" ref="P67:P98" si="40">L67*N67+M67+IF(B67&gt;F67,O67,0)</f>
        <v>6734.994999999999</v>
      </c>
      <c r="Q67" s="325">
        <v>53100</v>
      </c>
      <c r="R67" s="3">
        <v>84.468497139999997</v>
      </c>
      <c r="S67" s="3">
        <v>84.764146857514106</v>
      </c>
      <c r="T67" s="325">
        <f t="shared" ref="T67:T98" si="41">Q67*R67/100</f>
        <v>44852.771981339996</v>
      </c>
      <c r="U67" s="325">
        <f t="shared" ref="U67:U98" si="42">Q67*S67/100</f>
        <v>45009.761981339994</v>
      </c>
      <c r="V67" s="325">
        <f t="shared" ref="V67:V98" si="43">U67+W67</f>
        <v>45097.231981339995</v>
      </c>
      <c r="W67" s="325">
        <v>87.47</v>
      </c>
      <c r="X67" s="325">
        <v>134.56</v>
      </c>
      <c r="Y67" s="325">
        <v>22.43</v>
      </c>
      <c r="Z67" s="325">
        <f t="shared" ref="Z67:Z98" si="44">X67+Y67</f>
        <v>156.99</v>
      </c>
      <c r="AA67" s="389"/>
      <c r="AB67" s="3">
        <v>84.942212979999994</v>
      </c>
      <c r="AC67" s="3"/>
      <c r="AD67" s="325">
        <v>244.91</v>
      </c>
      <c r="AE67" s="325">
        <f t="shared" ref="AE67:AE98" si="45">AB67*Q67/100</f>
        <v>45104.315092379999</v>
      </c>
      <c r="AF67" s="325">
        <v>126.68</v>
      </c>
      <c r="AG67" s="325">
        <v>22.55</v>
      </c>
      <c r="AH67" s="325">
        <f t="shared" ref="AH67:AH98" si="46">AE67-AF67-AG67</f>
        <v>44955.085092379995</v>
      </c>
      <c r="AI67" s="325">
        <f t="shared" ref="AI67:AI98" si="47">AE67-T67</f>
        <v>251.54311104000226</v>
      </c>
      <c r="AJ67" s="325">
        <f t="shared" ref="AJ67:AJ98" si="48">AH67-U67</f>
        <v>-54.676888959998905</v>
      </c>
      <c r="AK67" s="325">
        <f t="shared" ref="AK67:AK98" si="49">AJ67+P67+AD67</f>
        <v>6925.2281110399999</v>
      </c>
      <c r="AL67">
        <f t="shared" ref="AL67:AL98" si="50">B67-E67</f>
        <v>779</v>
      </c>
      <c r="AM67" s="411">
        <f t="shared" ref="AM67:AM98" si="51">AK67/U67</f>
        <v>0.15386058059829419</v>
      </c>
      <c r="AN67" s="411">
        <f t="shared" ref="AN67:AN98" si="52">AK67/U67*365/AL67</f>
        <v>7.2091286159662871E-2</v>
      </c>
      <c r="AO67" s="411">
        <f t="shared" ref="AO67:AO98" si="53">POWER((1+AM67),(365/AL67))-1</f>
        <v>6.9355013870578075E-2</v>
      </c>
      <c r="AP67" s="384">
        <f>TitulosVendidos[[#This Row],[Comisión Santa Fe
Venta]]+TitulosVendidos[[#This Row],[Comisión Santa Fé
Compra]]</f>
        <v>261.24</v>
      </c>
      <c r="AQ67" s="385"/>
    </row>
    <row r="68" spans="2:43" x14ac:dyDescent="0.25">
      <c r="B68" s="328">
        <v>45713</v>
      </c>
      <c r="C68" s="328" t="s">
        <v>233</v>
      </c>
      <c r="D68" t="s">
        <v>47</v>
      </c>
      <c r="E68" s="328">
        <v>44925</v>
      </c>
      <c r="F68" s="328">
        <v>44954</v>
      </c>
      <c r="G68" s="328">
        <v>44923</v>
      </c>
      <c r="H68" s="328">
        <v>47845</v>
      </c>
      <c r="I68" s="3">
        <v>5.93</v>
      </c>
      <c r="J68" s="3">
        <f t="shared" si="36"/>
        <v>7.2183190553416541</v>
      </c>
      <c r="K68" s="3">
        <v>9.5</v>
      </c>
      <c r="L68" s="325">
        <f t="shared" si="37"/>
        <v>176.17041666666668</v>
      </c>
      <c r="M68" s="325">
        <f t="shared" si="38"/>
        <v>164.4233554587218</v>
      </c>
      <c r="N68">
        <f t="shared" si="39"/>
        <v>25</v>
      </c>
      <c r="O68" s="325"/>
      <c r="P68" s="325">
        <f t="shared" si="40"/>
        <v>4568.6837721253887</v>
      </c>
      <c r="Q68" s="325">
        <v>35650</v>
      </c>
      <c r="R68" s="3">
        <v>81.865555509999993</v>
      </c>
      <c r="S68" s="3">
        <v>82.152090459505516</v>
      </c>
      <c r="T68" s="325">
        <f t="shared" si="41"/>
        <v>29185.070539314998</v>
      </c>
      <c r="U68" s="325">
        <f t="shared" si="42"/>
        <v>29287.220248813719</v>
      </c>
      <c r="V68" s="325">
        <f t="shared" si="43"/>
        <v>29298.967310021664</v>
      </c>
      <c r="W68" s="325">
        <v>11.747061207944871</v>
      </c>
      <c r="X68" s="325">
        <v>87.55911363329281</v>
      </c>
      <c r="Y68" s="325">
        <v>14.590595865423589</v>
      </c>
      <c r="Z68" s="325">
        <f t="shared" si="44"/>
        <v>102.1497094987164</v>
      </c>
      <c r="AA68" s="389"/>
      <c r="AB68" s="3">
        <v>84.952536999999992</v>
      </c>
      <c r="AC68" s="3"/>
      <c r="AD68" s="325">
        <v>164.43</v>
      </c>
      <c r="AE68" s="325">
        <f t="shared" si="45"/>
        <v>30285.579440499994</v>
      </c>
      <c r="AF68" s="325">
        <v>90.86</v>
      </c>
      <c r="AG68" s="325">
        <v>15.14</v>
      </c>
      <c r="AH68" s="325">
        <f t="shared" si="46"/>
        <v>30179.579440499994</v>
      </c>
      <c r="AI68" s="325">
        <f t="shared" si="47"/>
        <v>1100.5089011849959</v>
      </c>
      <c r="AJ68" s="325">
        <f t="shared" si="48"/>
        <v>892.35919168627515</v>
      </c>
      <c r="AK68" s="325">
        <f t="shared" si="49"/>
        <v>5625.4729638116642</v>
      </c>
      <c r="AL68">
        <f t="shared" si="50"/>
        <v>788</v>
      </c>
      <c r="AM68" s="411">
        <f t="shared" si="51"/>
        <v>0.19207944338928937</v>
      </c>
      <c r="AN68" s="411">
        <f t="shared" si="52"/>
        <v>8.8970808168896715E-2</v>
      </c>
      <c r="AO68" s="411">
        <f t="shared" si="53"/>
        <v>8.4786853136563423E-2</v>
      </c>
      <c r="AP68" s="384">
        <f>TitulosVendidos[[#This Row],[Comisión Santa Fe
Venta]]+TitulosVendidos[[#This Row],[Comisión Santa Fé
Compra]]</f>
        <v>178.4191136332928</v>
      </c>
      <c r="AQ68" s="385"/>
    </row>
    <row r="69" spans="2:43" x14ac:dyDescent="0.25">
      <c r="B69" s="328">
        <v>45705</v>
      </c>
      <c r="C69" s="328" t="s">
        <v>233</v>
      </c>
      <c r="D69" t="s">
        <v>47</v>
      </c>
      <c r="E69" s="328">
        <v>45110</v>
      </c>
      <c r="F69" s="328">
        <v>45124</v>
      </c>
      <c r="G69" s="328">
        <v>45063</v>
      </c>
      <c r="H69" s="328">
        <v>47985</v>
      </c>
      <c r="I69" s="3">
        <v>5.93</v>
      </c>
      <c r="J69" s="3">
        <f t="shared" si="36"/>
        <v>7.7723835905781931</v>
      </c>
      <c r="K69" s="3">
        <v>11</v>
      </c>
      <c r="L69" s="325">
        <f t="shared" si="37"/>
        <v>29.155833333333334</v>
      </c>
      <c r="M69" s="325">
        <f t="shared" si="38"/>
        <v>12.635833333333334</v>
      </c>
      <c r="N69">
        <f t="shared" si="39"/>
        <v>19</v>
      </c>
      <c r="O69" s="325"/>
      <c r="P69" s="325">
        <f t="shared" si="40"/>
        <v>566.59666666666669</v>
      </c>
      <c r="Q69" s="325">
        <v>5900</v>
      </c>
      <c r="R69" s="3">
        <v>75.719499999999996</v>
      </c>
      <c r="S69" s="3">
        <v>76.295771186440675</v>
      </c>
      <c r="T69" s="325">
        <f t="shared" si="41"/>
        <v>4467.4504999999999</v>
      </c>
      <c r="U69" s="325">
        <f t="shared" si="42"/>
        <v>4501.4504999999999</v>
      </c>
      <c r="V69" s="325">
        <f t="shared" si="43"/>
        <v>4517.9705000000004</v>
      </c>
      <c r="W69" s="325">
        <v>16.52</v>
      </c>
      <c r="X69" s="325">
        <v>30</v>
      </c>
      <c r="Y69" s="325">
        <v>4</v>
      </c>
      <c r="Z69" s="325">
        <f t="shared" si="44"/>
        <v>34</v>
      </c>
      <c r="AA69" s="389"/>
      <c r="AB69" s="3">
        <v>79.951835840000001</v>
      </c>
      <c r="AC69" s="3"/>
      <c r="AD69" s="325">
        <v>0</v>
      </c>
      <c r="AE69" s="325">
        <f t="shared" si="45"/>
        <v>4717.1583145599998</v>
      </c>
      <c r="AF69" s="325">
        <v>14.15</v>
      </c>
      <c r="AG69" s="325">
        <v>4</v>
      </c>
      <c r="AH69" s="325">
        <f t="shared" si="46"/>
        <v>4699.0083145600001</v>
      </c>
      <c r="AI69" s="325">
        <f t="shared" si="47"/>
        <v>249.70781455999986</v>
      </c>
      <c r="AJ69" s="325">
        <f t="shared" si="48"/>
        <v>197.55781456000022</v>
      </c>
      <c r="AK69" s="325">
        <f t="shared" si="49"/>
        <v>764.15448122666692</v>
      </c>
      <c r="AL69">
        <f t="shared" si="50"/>
        <v>595</v>
      </c>
      <c r="AM69" s="411">
        <f t="shared" si="51"/>
        <v>0.16975738847437441</v>
      </c>
      <c r="AN69" s="411">
        <f t="shared" si="52"/>
        <v>0.10413688536663304</v>
      </c>
      <c r="AO69" s="411">
        <f t="shared" si="53"/>
        <v>0.1009638315599104</v>
      </c>
      <c r="AP69" s="384">
        <f>TitulosVendidos[[#This Row],[Comisión Santa Fe
Venta]]+TitulosVendidos[[#This Row],[Comisión Santa Fé
Compra]]</f>
        <v>44.15</v>
      </c>
      <c r="AQ69" s="385"/>
    </row>
    <row r="70" spans="2:43" x14ac:dyDescent="0.25">
      <c r="B70" s="328">
        <v>45701</v>
      </c>
      <c r="C70" s="328" t="s">
        <v>233</v>
      </c>
      <c r="D70" t="s">
        <v>46</v>
      </c>
      <c r="E70" s="328">
        <v>44908</v>
      </c>
      <c r="F70" s="328">
        <v>44893</v>
      </c>
      <c r="G70" s="328">
        <v>44832</v>
      </c>
      <c r="H70" s="328">
        <v>47754</v>
      </c>
      <c r="I70" s="3">
        <v>5.93</v>
      </c>
      <c r="J70" s="3">
        <f t="shared" si="36"/>
        <v>7.7850460796964587</v>
      </c>
      <c r="K70" s="3">
        <v>11</v>
      </c>
      <c r="L70" s="325">
        <f t="shared" si="37"/>
        <v>76.410520833333337</v>
      </c>
      <c r="M70" s="325">
        <f t="shared" si="38"/>
        <v>38.200520833333336</v>
      </c>
      <c r="N70">
        <f t="shared" si="39"/>
        <v>26</v>
      </c>
      <c r="O70" s="325"/>
      <c r="P70" s="325">
        <f t="shared" si="40"/>
        <v>2024.8740625</v>
      </c>
      <c r="Q70" s="325">
        <v>15462.5</v>
      </c>
      <c r="R70" s="3">
        <v>75.906000000000006</v>
      </c>
      <c r="S70" s="3">
        <v>76.171675020210188</v>
      </c>
      <c r="T70" s="325">
        <f t="shared" si="41"/>
        <v>11736.965250000001</v>
      </c>
      <c r="U70" s="325">
        <f t="shared" si="42"/>
        <v>11778.045250000001</v>
      </c>
      <c r="V70" s="325">
        <f t="shared" si="43"/>
        <v>11816.25525</v>
      </c>
      <c r="W70" s="325">
        <v>38.21</v>
      </c>
      <c r="X70" s="325">
        <v>35.21</v>
      </c>
      <c r="Y70" s="325">
        <v>5.87</v>
      </c>
      <c r="Z70" s="325">
        <f t="shared" si="44"/>
        <v>41.08</v>
      </c>
      <c r="AA70" s="389"/>
      <c r="AB70" s="3">
        <v>81.795956770000004</v>
      </c>
      <c r="AC70" s="3"/>
      <c r="AD70" s="325">
        <v>37.900498274878743</v>
      </c>
      <c r="AE70" s="325">
        <f t="shared" si="45"/>
        <v>12647.699815561249</v>
      </c>
      <c r="AF70" s="325">
        <v>37.639115528155443</v>
      </c>
      <c r="AG70" s="325">
        <v>6.2731859213592394</v>
      </c>
      <c r="AH70" s="325">
        <f t="shared" si="46"/>
        <v>12603.787514111733</v>
      </c>
      <c r="AI70" s="325">
        <f t="shared" si="47"/>
        <v>910.73456556124802</v>
      </c>
      <c r="AJ70" s="325">
        <f t="shared" si="48"/>
        <v>825.74226411173186</v>
      </c>
      <c r="AK70" s="325">
        <f t="shared" si="49"/>
        <v>2888.5168248866107</v>
      </c>
      <c r="AL70">
        <f t="shared" si="50"/>
        <v>793</v>
      </c>
      <c r="AM70" s="411">
        <f t="shared" si="51"/>
        <v>0.24524585901778653</v>
      </c>
      <c r="AN70" s="411">
        <f t="shared" si="52"/>
        <v>0.11288113309141498</v>
      </c>
      <c r="AO70" s="411">
        <f t="shared" si="53"/>
        <v>0.10622577995049598</v>
      </c>
      <c r="AP70" s="384">
        <f>TitulosVendidos[[#This Row],[Comisión Santa Fe
Venta]]+TitulosVendidos[[#This Row],[Comisión Santa Fé
Compra]]</f>
        <v>72.849115528155437</v>
      </c>
      <c r="AQ70" s="385"/>
    </row>
    <row r="71" spans="2:43" x14ac:dyDescent="0.25">
      <c r="B71" s="328">
        <v>45701</v>
      </c>
      <c r="C71" s="328" t="s">
        <v>233</v>
      </c>
      <c r="D71" t="s">
        <v>46</v>
      </c>
      <c r="E71" s="328">
        <v>44925</v>
      </c>
      <c r="F71" s="328">
        <v>44954</v>
      </c>
      <c r="G71" s="328">
        <v>44832</v>
      </c>
      <c r="H71" s="328">
        <v>47754</v>
      </c>
      <c r="I71" s="3">
        <v>5.93</v>
      </c>
      <c r="J71" s="3">
        <f t="shared" si="36"/>
        <v>7.158811879256616</v>
      </c>
      <c r="K71" s="3">
        <v>9.5</v>
      </c>
      <c r="L71" s="325">
        <f t="shared" si="37"/>
        <v>7.6927913333333331</v>
      </c>
      <c r="M71" s="325">
        <f t="shared" si="38"/>
        <v>7.1827913333333333</v>
      </c>
      <c r="N71">
        <f t="shared" si="39"/>
        <v>24</v>
      </c>
      <c r="O71" s="325"/>
      <c r="P71" s="325">
        <f t="shared" si="40"/>
        <v>191.80978333333334</v>
      </c>
      <c r="Q71" s="325">
        <v>1556.72</v>
      </c>
      <c r="R71" s="3">
        <v>82.33103097</v>
      </c>
      <c r="S71" s="3">
        <v>82.834974574241528</v>
      </c>
      <c r="T71" s="325">
        <f t="shared" si="41"/>
        <v>1281.6636253161842</v>
      </c>
      <c r="U71" s="325">
        <f t="shared" si="42"/>
        <v>1289.5086161921326</v>
      </c>
      <c r="V71" s="325">
        <f t="shared" si="43"/>
        <v>1290.0186161921326</v>
      </c>
      <c r="W71" s="325">
        <v>0.51</v>
      </c>
      <c r="X71" s="325">
        <v>3.844990875948552</v>
      </c>
      <c r="Y71" s="325">
        <v>4</v>
      </c>
      <c r="Z71" s="325">
        <f t="shared" si="44"/>
        <v>7.844990875948552</v>
      </c>
      <c r="AA71" s="389"/>
      <c r="AB71" s="3">
        <v>81.795956770000004</v>
      </c>
      <c r="AC71" s="3"/>
      <c r="AD71" s="325">
        <v>4.1495017251212536</v>
      </c>
      <c r="AE71" s="325">
        <f t="shared" si="45"/>
        <v>1273.3340182299441</v>
      </c>
      <c r="AF71" s="325">
        <v>4.1208844718445556</v>
      </c>
      <c r="AG71" s="325">
        <v>0.68681407864075938</v>
      </c>
      <c r="AH71" s="325">
        <f t="shared" si="46"/>
        <v>1268.5263196794588</v>
      </c>
      <c r="AI71" s="325">
        <f t="shared" si="47"/>
        <v>-8.3296070862400029</v>
      </c>
      <c r="AJ71" s="325">
        <f t="shared" si="48"/>
        <v>-20.982296512673884</v>
      </c>
      <c r="AK71" s="325">
        <f t="shared" si="49"/>
        <v>174.9769885457807</v>
      </c>
      <c r="AL71">
        <f t="shared" si="50"/>
        <v>776</v>
      </c>
      <c r="AM71" s="411">
        <f t="shared" si="51"/>
        <v>0.13569276416506681</v>
      </c>
      <c r="AN71" s="411">
        <f t="shared" si="52"/>
        <v>6.38245604642389E-2</v>
      </c>
      <c r="AO71" s="411">
        <f t="shared" si="53"/>
        <v>6.167732790871594E-2</v>
      </c>
      <c r="AP71" s="384">
        <f>TitulosVendidos[[#This Row],[Comisión Santa Fe
Venta]]+TitulosVendidos[[#This Row],[Comisión Santa Fé
Compra]]</f>
        <v>7.9658753477931077</v>
      </c>
      <c r="AQ71" s="385"/>
    </row>
    <row r="72" spans="2:43" x14ac:dyDescent="0.25">
      <c r="B72" s="328">
        <v>45701</v>
      </c>
      <c r="C72" s="328" t="s">
        <v>233</v>
      </c>
      <c r="D72" t="s">
        <v>46</v>
      </c>
      <c r="E72" s="328">
        <v>44979</v>
      </c>
      <c r="F72" s="328">
        <v>44984</v>
      </c>
      <c r="G72" s="328">
        <v>44922</v>
      </c>
      <c r="H72" s="328">
        <v>48209</v>
      </c>
      <c r="I72" s="3">
        <v>6.21</v>
      </c>
      <c r="J72" s="3">
        <f t="shared" si="36"/>
        <v>8.1173219901419813</v>
      </c>
      <c r="K72" s="3">
        <v>11</v>
      </c>
      <c r="L72" s="325">
        <f t="shared" si="37"/>
        <v>198.72</v>
      </c>
      <c r="M72" s="325">
        <f t="shared" si="38"/>
        <v>26.5</v>
      </c>
      <c r="N72">
        <f t="shared" si="39"/>
        <v>23</v>
      </c>
      <c r="O72" s="325"/>
      <c r="P72" s="325">
        <f t="shared" si="40"/>
        <v>4597.0600000000004</v>
      </c>
      <c r="Q72" s="325">
        <v>38400</v>
      </c>
      <c r="R72" s="3">
        <v>76.084599999999995</v>
      </c>
      <c r="S72" s="3">
        <v>76.503063541666663</v>
      </c>
      <c r="T72" s="325">
        <f t="shared" si="41"/>
        <v>29216.486399999998</v>
      </c>
      <c r="U72" s="325">
        <f t="shared" si="42"/>
        <v>29377.176399999997</v>
      </c>
      <c r="V72" s="325">
        <f t="shared" si="43"/>
        <v>29549.396399999998</v>
      </c>
      <c r="W72" s="325">
        <v>172.22</v>
      </c>
      <c r="X72" s="325">
        <v>146.08000000000001</v>
      </c>
      <c r="Y72" s="325">
        <v>14.61</v>
      </c>
      <c r="Z72" s="325">
        <f t="shared" si="44"/>
        <v>160.69</v>
      </c>
      <c r="AA72" s="389"/>
      <c r="AB72" s="3">
        <v>80.816188220000001</v>
      </c>
      <c r="AC72" s="3"/>
      <c r="AD72" s="325">
        <v>105.98</v>
      </c>
      <c r="AE72" s="325">
        <f t="shared" si="45"/>
        <v>31033.416276480002</v>
      </c>
      <c r="AF72" s="325">
        <v>93.1</v>
      </c>
      <c r="AG72" s="325">
        <v>15.52</v>
      </c>
      <c r="AH72" s="325">
        <f t="shared" si="46"/>
        <v>30924.796276480003</v>
      </c>
      <c r="AI72" s="325">
        <f t="shared" si="47"/>
        <v>1816.9298764800042</v>
      </c>
      <c r="AJ72" s="325">
        <f t="shared" si="48"/>
        <v>1547.6198764800065</v>
      </c>
      <c r="AK72" s="325">
        <f t="shared" si="49"/>
        <v>6250.6598764800065</v>
      </c>
      <c r="AL72">
        <f t="shared" si="50"/>
        <v>722</v>
      </c>
      <c r="AM72" s="411">
        <f t="shared" si="51"/>
        <v>0.21277265695555436</v>
      </c>
      <c r="AN72" s="411">
        <f t="shared" si="52"/>
        <v>0.10756512436118745</v>
      </c>
      <c r="AO72" s="411">
        <f t="shared" si="53"/>
        <v>0.10243717667691898</v>
      </c>
      <c r="AP72" s="384">
        <f>TitulosVendidos[[#This Row],[Comisión Santa Fe
Venta]]+TitulosVendidos[[#This Row],[Comisión Santa Fé
Compra]]</f>
        <v>239.18</v>
      </c>
      <c r="AQ72" s="385"/>
    </row>
    <row r="73" spans="2:43" x14ac:dyDescent="0.25">
      <c r="B73" s="328">
        <v>45701</v>
      </c>
      <c r="C73" s="328" t="s">
        <v>233</v>
      </c>
      <c r="D73" t="s">
        <v>46</v>
      </c>
      <c r="E73" s="328">
        <v>45077</v>
      </c>
      <c r="F73" s="328">
        <v>45094</v>
      </c>
      <c r="G73" s="328">
        <v>45063</v>
      </c>
      <c r="H73" s="328">
        <v>47255</v>
      </c>
      <c r="I73" s="3">
        <v>5.36</v>
      </c>
      <c r="J73" s="3">
        <f t="shared" si="36"/>
        <v>7.012208260738408</v>
      </c>
      <c r="K73" s="3">
        <v>11</v>
      </c>
      <c r="L73" s="325">
        <f t="shared" si="37"/>
        <v>60.74666666666667</v>
      </c>
      <c r="M73" s="325">
        <f t="shared" si="38"/>
        <v>32.396666666666668</v>
      </c>
      <c r="N73">
        <f t="shared" si="39"/>
        <v>20</v>
      </c>
      <c r="O73" s="325"/>
      <c r="P73" s="325">
        <f t="shared" si="40"/>
        <v>1247.3300000000002</v>
      </c>
      <c r="Q73" s="325">
        <v>13600</v>
      </c>
      <c r="R73" s="3">
        <v>76.171499999999995</v>
      </c>
      <c r="S73" s="3">
        <v>76.438117647058817</v>
      </c>
      <c r="T73" s="325">
        <f t="shared" si="41"/>
        <v>10359.323999999999</v>
      </c>
      <c r="U73" s="325">
        <f t="shared" si="42"/>
        <v>10395.583999999999</v>
      </c>
      <c r="V73" s="325">
        <f t="shared" si="43"/>
        <v>10423.933999999999</v>
      </c>
      <c r="W73" s="325">
        <v>28.35</v>
      </c>
      <c r="X73" s="325">
        <v>31.08</v>
      </c>
      <c r="Y73" s="325">
        <v>5.18</v>
      </c>
      <c r="Z73" s="325">
        <f t="shared" si="44"/>
        <v>36.26</v>
      </c>
      <c r="AA73" s="389"/>
      <c r="AB73" s="3">
        <v>81.786947710000007</v>
      </c>
      <c r="AC73" s="3"/>
      <c r="AD73" s="325">
        <v>52.65</v>
      </c>
      <c r="AE73" s="325">
        <f t="shared" si="45"/>
        <v>11123.024888560001</v>
      </c>
      <c r="AF73" s="325">
        <v>33.369999999999997</v>
      </c>
      <c r="AG73" s="325">
        <v>5.56</v>
      </c>
      <c r="AH73" s="325">
        <f t="shared" si="46"/>
        <v>11084.094888560001</v>
      </c>
      <c r="AI73" s="325">
        <f t="shared" si="47"/>
        <v>763.70088856000257</v>
      </c>
      <c r="AJ73" s="325">
        <f t="shared" si="48"/>
        <v>688.51088856000206</v>
      </c>
      <c r="AK73" s="325">
        <f t="shared" si="49"/>
        <v>1988.4908885600023</v>
      </c>
      <c r="AL73">
        <f t="shared" si="50"/>
        <v>624</v>
      </c>
      <c r="AM73" s="411">
        <f t="shared" si="51"/>
        <v>0.19128226837087772</v>
      </c>
      <c r="AN73" s="411">
        <f t="shared" si="52"/>
        <v>0.11188786531309354</v>
      </c>
      <c r="AO73" s="411">
        <f t="shared" si="53"/>
        <v>0.10780600164362708</v>
      </c>
      <c r="AP73" s="384">
        <f>TitulosVendidos[[#This Row],[Comisión Santa Fe
Venta]]+TitulosVendidos[[#This Row],[Comisión Santa Fé
Compra]]</f>
        <v>64.449999999999989</v>
      </c>
      <c r="AQ73" s="385"/>
    </row>
    <row r="74" spans="2:43" x14ac:dyDescent="0.25">
      <c r="B74" s="328">
        <v>45701</v>
      </c>
      <c r="C74" s="328" t="s">
        <v>233</v>
      </c>
      <c r="D74" t="s">
        <v>46</v>
      </c>
      <c r="E74" s="328">
        <v>45302</v>
      </c>
      <c r="F74" s="328">
        <v>45309</v>
      </c>
      <c r="G74" s="328">
        <v>45217</v>
      </c>
      <c r="H74" s="328">
        <v>46313</v>
      </c>
      <c r="I74" s="3">
        <v>4.3</v>
      </c>
      <c r="J74" s="3">
        <f t="shared" si="36"/>
        <v>5.1094359464330195</v>
      </c>
      <c r="K74" s="3">
        <v>11.75</v>
      </c>
      <c r="L74" s="325">
        <f t="shared" si="37"/>
        <v>21.965833333333332</v>
      </c>
      <c r="M74" s="325">
        <f t="shared" si="38"/>
        <v>5.1258333333333326</v>
      </c>
      <c r="N74">
        <f t="shared" si="39"/>
        <v>13</v>
      </c>
      <c r="O74" s="325"/>
      <c r="P74" s="325">
        <f t="shared" si="40"/>
        <v>290.68166666666667</v>
      </c>
      <c r="Q74" s="325">
        <v>6130</v>
      </c>
      <c r="R74" s="3">
        <v>83.841214930000007</v>
      </c>
      <c r="S74" s="3">
        <v>84.158017540114187</v>
      </c>
      <c r="T74" s="325">
        <f t="shared" si="41"/>
        <v>5139.4664752090002</v>
      </c>
      <c r="U74" s="325">
        <f t="shared" si="42"/>
        <v>5158.8864752089994</v>
      </c>
      <c r="V74" s="325">
        <f t="shared" si="43"/>
        <v>5175.7264752089995</v>
      </c>
      <c r="W74" s="325">
        <v>16.84</v>
      </c>
      <c r="X74" s="325">
        <v>15.42</v>
      </c>
      <c r="Y74" s="325">
        <v>4</v>
      </c>
      <c r="Z74" s="325">
        <f t="shared" si="44"/>
        <v>19.420000000000002</v>
      </c>
      <c r="AA74" s="389"/>
      <c r="AB74" s="3">
        <v>91.187966490000008</v>
      </c>
      <c r="AC74" s="3"/>
      <c r="AD74" s="325">
        <v>18.7</v>
      </c>
      <c r="AE74" s="325">
        <f t="shared" si="45"/>
        <v>5589.8223458370012</v>
      </c>
      <c r="AF74" s="325">
        <v>16.77</v>
      </c>
      <c r="AG74" s="325">
        <v>4.4000000000000004</v>
      </c>
      <c r="AH74" s="325">
        <f t="shared" si="46"/>
        <v>5568.6523458370011</v>
      </c>
      <c r="AI74" s="325">
        <f t="shared" si="47"/>
        <v>450.35587062800096</v>
      </c>
      <c r="AJ74" s="325">
        <f t="shared" si="48"/>
        <v>409.76587062800172</v>
      </c>
      <c r="AK74" s="325">
        <f t="shared" si="49"/>
        <v>719.14753729466838</v>
      </c>
      <c r="AL74">
        <f t="shared" si="50"/>
        <v>399</v>
      </c>
      <c r="AM74" s="411">
        <f t="shared" si="51"/>
        <v>0.13939976015183275</v>
      </c>
      <c r="AN74" s="411">
        <f t="shared" si="52"/>
        <v>0.12752108384816782</v>
      </c>
      <c r="AO74" s="411">
        <f t="shared" si="53"/>
        <v>0.12679932803899718</v>
      </c>
      <c r="AP74" s="384">
        <f>TitulosVendidos[[#This Row],[Comisión Santa Fe
Venta]]+TitulosVendidos[[#This Row],[Comisión Santa Fé
Compra]]</f>
        <v>32.19</v>
      </c>
      <c r="AQ74" s="385"/>
    </row>
    <row r="75" spans="2:43" x14ac:dyDescent="0.25">
      <c r="B75" s="328">
        <v>45590</v>
      </c>
      <c r="C75" s="328" t="s">
        <v>233</v>
      </c>
      <c r="D75" t="s">
        <v>47</v>
      </c>
      <c r="E75" s="328">
        <v>45062</v>
      </c>
      <c r="F75" s="328">
        <v>45072</v>
      </c>
      <c r="G75" s="328">
        <v>45042</v>
      </c>
      <c r="H75" s="328">
        <v>46138</v>
      </c>
      <c r="I75" s="3">
        <v>4.3</v>
      </c>
      <c r="J75" s="3">
        <f t="shared" si="36"/>
        <v>4.9474265506522261</v>
      </c>
      <c r="K75" s="3">
        <v>10</v>
      </c>
      <c r="L75" s="325">
        <f t="shared" si="37"/>
        <v>51.958333333333336</v>
      </c>
      <c r="M75" s="325">
        <f t="shared" si="38"/>
        <v>15.588333333333338</v>
      </c>
      <c r="N75">
        <f t="shared" si="39"/>
        <v>17</v>
      </c>
      <c r="O75" s="325"/>
      <c r="P75" s="325">
        <f t="shared" si="40"/>
        <v>898.88000000000011</v>
      </c>
      <c r="Q75" s="325">
        <v>14500</v>
      </c>
      <c r="R75" s="3">
        <v>86.610699999999994</v>
      </c>
      <c r="S75" s="3">
        <v>86.913872413793086</v>
      </c>
      <c r="T75" s="325">
        <f t="shared" si="41"/>
        <v>12558.5515</v>
      </c>
      <c r="U75" s="325">
        <f t="shared" si="42"/>
        <v>12602.511499999997</v>
      </c>
      <c r="V75" s="325">
        <f t="shared" si="43"/>
        <v>12638.881499999998</v>
      </c>
      <c r="W75" s="325">
        <v>36.369999999999997</v>
      </c>
      <c r="X75" s="325">
        <v>37.68</v>
      </c>
      <c r="Y75" s="325">
        <v>6.28</v>
      </c>
      <c r="Z75" s="325">
        <f t="shared" si="44"/>
        <v>43.96</v>
      </c>
      <c r="AA75" s="389"/>
      <c r="AB75" s="3">
        <v>92.769223570000008</v>
      </c>
      <c r="AC75" s="3"/>
      <c r="AD75" s="325">
        <v>50.23</v>
      </c>
      <c r="AE75" s="325">
        <f t="shared" si="45"/>
        <v>13451.537417650001</v>
      </c>
      <c r="AF75" s="325">
        <v>40.35</v>
      </c>
      <c r="AG75" s="325">
        <v>6.73</v>
      </c>
      <c r="AH75" s="325">
        <f t="shared" si="46"/>
        <v>13404.457417650001</v>
      </c>
      <c r="AI75" s="325">
        <f t="shared" si="47"/>
        <v>892.98591765000128</v>
      </c>
      <c r="AJ75" s="325">
        <f t="shared" si="48"/>
        <v>801.94591765000405</v>
      </c>
      <c r="AK75" s="325">
        <f t="shared" si="49"/>
        <v>1751.0559176500042</v>
      </c>
      <c r="AL75">
        <f t="shared" si="50"/>
        <v>528</v>
      </c>
      <c r="AM75" s="411">
        <f t="shared" si="51"/>
        <v>0.13894499661039822</v>
      </c>
      <c r="AN75" s="411">
        <f t="shared" si="52"/>
        <v>9.6050991974991201E-2</v>
      </c>
      <c r="AO75" s="411">
        <f t="shared" si="53"/>
        <v>9.4106673300638155E-2</v>
      </c>
      <c r="AP75" s="384">
        <f>TitulosVendidos[[#This Row],[Comisión Santa Fe
Venta]]+TitulosVendidos[[#This Row],[Comisión Santa Fé
Compra]]</f>
        <v>78.03</v>
      </c>
      <c r="AQ75" s="385"/>
    </row>
    <row r="76" spans="2:43" x14ac:dyDescent="0.25">
      <c r="B76" s="328">
        <v>45574</v>
      </c>
      <c r="C76" s="328" t="s">
        <v>233</v>
      </c>
      <c r="D76" t="s">
        <v>47</v>
      </c>
      <c r="E76" s="328">
        <v>45545</v>
      </c>
      <c r="F76" s="328">
        <v>45550</v>
      </c>
      <c r="G76" s="328">
        <v>45488</v>
      </c>
      <c r="H76" s="328">
        <v>46949</v>
      </c>
      <c r="I76" s="3">
        <v>4.71</v>
      </c>
      <c r="J76" s="3">
        <f t="shared" si="36"/>
        <v>6.3507422593875678</v>
      </c>
      <c r="K76" s="3">
        <v>14</v>
      </c>
      <c r="L76" s="325">
        <f t="shared" si="37"/>
        <v>27.867500000000003</v>
      </c>
      <c r="M76" s="325">
        <f t="shared" si="38"/>
        <v>4.6475000000000044</v>
      </c>
      <c r="N76">
        <f t="shared" si="39"/>
        <v>0</v>
      </c>
      <c r="O76" s="325"/>
      <c r="P76" s="325">
        <f t="shared" si="40"/>
        <v>4.6475000000000044</v>
      </c>
      <c r="Q76" s="325">
        <v>7100</v>
      </c>
      <c r="R76" s="3">
        <v>73.886530989999997</v>
      </c>
      <c r="S76" s="3">
        <v>74.164559159014075</v>
      </c>
      <c r="T76" s="325">
        <f t="shared" si="41"/>
        <v>5245.9437002899995</v>
      </c>
      <c r="U76" s="325">
        <f t="shared" si="42"/>
        <v>5265.6837002900002</v>
      </c>
      <c r="V76" s="325">
        <f t="shared" si="43"/>
        <v>5288.9037002900004</v>
      </c>
      <c r="W76" s="325">
        <v>23.22</v>
      </c>
      <c r="X76" s="325">
        <v>15.74</v>
      </c>
      <c r="Y76" s="325">
        <v>4</v>
      </c>
      <c r="Z76" s="325">
        <f t="shared" si="44"/>
        <v>19.740000000000002</v>
      </c>
      <c r="AA76" s="389"/>
      <c r="AB76" s="3">
        <v>79.18690221</v>
      </c>
      <c r="AC76" s="3"/>
      <c r="AD76" s="325">
        <v>22.29</v>
      </c>
      <c r="AE76" s="325">
        <f t="shared" si="45"/>
        <v>5622.2700569100007</v>
      </c>
      <c r="AF76" s="325">
        <v>16.87</v>
      </c>
      <c r="AG76" s="325">
        <v>4</v>
      </c>
      <c r="AH76" s="325">
        <f t="shared" si="46"/>
        <v>5601.4000569100008</v>
      </c>
      <c r="AI76" s="325">
        <f t="shared" si="47"/>
        <v>376.32635662000121</v>
      </c>
      <c r="AJ76" s="325">
        <f t="shared" si="48"/>
        <v>335.71635662000062</v>
      </c>
      <c r="AK76" s="325">
        <f t="shared" si="49"/>
        <v>362.65385662000062</v>
      </c>
      <c r="AL76">
        <f t="shared" si="50"/>
        <v>29</v>
      </c>
      <c r="AM76" s="411">
        <f t="shared" si="51"/>
        <v>6.8871181267501497E-2</v>
      </c>
      <c r="AN76" s="411">
        <f t="shared" si="52"/>
        <v>0.86682693664269117</v>
      </c>
      <c r="AO76" s="411">
        <f t="shared" si="53"/>
        <v>1.312387772987893</v>
      </c>
      <c r="AP76" s="384">
        <f>TitulosVendidos[[#This Row],[Comisión Santa Fe
Venta]]+TitulosVendidos[[#This Row],[Comisión Santa Fé
Compra]]</f>
        <v>32.61</v>
      </c>
      <c r="AQ76" s="385"/>
    </row>
    <row r="77" spans="2:43" x14ac:dyDescent="0.25">
      <c r="B77" s="328">
        <v>45565</v>
      </c>
      <c r="C77" s="328" t="s">
        <v>233</v>
      </c>
      <c r="D77" t="s">
        <v>47</v>
      </c>
      <c r="E77" s="328">
        <v>45352</v>
      </c>
      <c r="F77" s="328">
        <v>45379</v>
      </c>
      <c r="G77" s="328">
        <v>44923</v>
      </c>
      <c r="H77" s="328">
        <v>47480</v>
      </c>
      <c r="I77" s="3">
        <v>5.64</v>
      </c>
      <c r="J77" s="3">
        <f t="shared" si="36"/>
        <v>7.9013385859350649</v>
      </c>
      <c r="K77" s="3">
        <v>13.25</v>
      </c>
      <c r="L77" s="325">
        <f t="shared" si="37"/>
        <v>68.885220999999987</v>
      </c>
      <c r="M77" s="325">
        <f t="shared" si="38"/>
        <v>55.105220999999986</v>
      </c>
      <c r="N77">
        <f t="shared" si="39"/>
        <v>6</v>
      </c>
      <c r="O77" s="325"/>
      <c r="P77" s="325">
        <f t="shared" si="40"/>
        <v>468.41654699999987</v>
      </c>
      <c r="Q77" s="325">
        <v>14656.43</v>
      </c>
      <c r="R77" s="3">
        <v>71.131341070000005</v>
      </c>
      <c r="S77" s="3">
        <v>71.380310293746845</v>
      </c>
      <c r="T77" s="325">
        <f t="shared" si="41"/>
        <v>10425.315211985802</v>
      </c>
      <c r="U77" s="325">
        <f t="shared" si="42"/>
        <v>10461.8052119858</v>
      </c>
      <c r="V77" s="325">
        <f t="shared" si="43"/>
        <v>10475.585211985801</v>
      </c>
      <c r="W77" s="325">
        <v>13.78</v>
      </c>
      <c r="X77" s="325">
        <v>31.28</v>
      </c>
      <c r="Y77" s="325">
        <v>5.21</v>
      </c>
      <c r="Z77" s="325">
        <f t="shared" si="44"/>
        <v>36.49</v>
      </c>
      <c r="AA77" s="389"/>
      <c r="AB77" s="3">
        <v>75.60051842</v>
      </c>
      <c r="AC77" s="3"/>
      <c r="AD77" s="325">
        <v>4.59</v>
      </c>
      <c r="AE77" s="325">
        <f t="shared" si="45"/>
        <v>11080.337061864406</v>
      </c>
      <c r="AF77" s="325">
        <v>33.24</v>
      </c>
      <c r="AG77" s="325">
        <v>5.54</v>
      </c>
      <c r="AH77" s="325">
        <f t="shared" si="46"/>
        <v>11041.557061864405</v>
      </c>
      <c r="AI77" s="325">
        <f t="shared" si="47"/>
        <v>655.02184987860346</v>
      </c>
      <c r="AJ77" s="325">
        <f t="shared" si="48"/>
        <v>579.75184987860484</v>
      </c>
      <c r="AK77" s="325">
        <f t="shared" si="49"/>
        <v>1052.7583968786046</v>
      </c>
      <c r="AL77">
        <f t="shared" si="50"/>
        <v>213</v>
      </c>
      <c r="AM77" s="411">
        <f t="shared" si="51"/>
        <v>0.1006287514962034</v>
      </c>
      <c r="AN77" s="411">
        <f t="shared" si="52"/>
        <v>0.17243894035734386</v>
      </c>
      <c r="AO77" s="411">
        <f t="shared" si="53"/>
        <v>0.17857274148163915</v>
      </c>
      <c r="AP77" s="384">
        <f>TitulosVendidos[[#This Row],[Comisión Santa Fe
Venta]]+TitulosVendidos[[#This Row],[Comisión Santa Fé
Compra]]</f>
        <v>64.52000000000001</v>
      </c>
      <c r="AQ77" s="385"/>
    </row>
    <row r="78" spans="2:43" x14ac:dyDescent="0.25">
      <c r="B78" s="328">
        <v>45565</v>
      </c>
      <c r="C78" s="328" t="s">
        <v>233</v>
      </c>
      <c r="D78" t="s">
        <v>47</v>
      </c>
      <c r="E78" s="328">
        <v>45462</v>
      </c>
      <c r="F78" s="328">
        <v>45467</v>
      </c>
      <c r="G78" s="328">
        <v>45070</v>
      </c>
      <c r="H78" s="328">
        <v>47262</v>
      </c>
      <c r="I78" s="3">
        <v>5.36</v>
      </c>
      <c r="J78" s="3">
        <f t="shared" si="36"/>
        <v>7.8790293788781716</v>
      </c>
      <c r="K78" s="3">
        <v>15</v>
      </c>
      <c r="L78" s="325">
        <f t="shared" si="37"/>
        <v>55.833333333333336</v>
      </c>
      <c r="M78" s="325">
        <f t="shared" si="38"/>
        <v>7.4433333333333351</v>
      </c>
      <c r="N78">
        <f t="shared" si="39"/>
        <v>3</v>
      </c>
      <c r="O78" s="325"/>
      <c r="P78" s="325">
        <f t="shared" si="40"/>
        <v>174.94333333333333</v>
      </c>
      <c r="Q78" s="325">
        <v>12500</v>
      </c>
      <c r="R78" s="3">
        <v>67.754844019999993</v>
      </c>
      <c r="S78" s="3">
        <v>68.02868402</v>
      </c>
      <c r="T78" s="325">
        <f t="shared" si="41"/>
        <v>8469.3555025000005</v>
      </c>
      <c r="U78" s="325">
        <f t="shared" si="42"/>
        <v>8503.5855025000001</v>
      </c>
      <c r="V78" s="325">
        <f t="shared" si="43"/>
        <v>8551.9755024999995</v>
      </c>
      <c r="W78" s="325">
        <v>48.39</v>
      </c>
      <c r="X78" s="325">
        <v>30</v>
      </c>
      <c r="Y78" s="325">
        <v>4.2300000000000004</v>
      </c>
      <c r="Z78" s="325">
        <f t="shared" si="44"/>
        <v>34.230000000000004</v>
      </c>
      <c r="AA78" s="389"/>
      <c r="AB78" s="3">
        <v>75.944861779999997</v>
      </c>
      <c r="AC78" s="3"/>
      <c r="AD78" s="325">
        <v>11.17</v>
      </c>
      <c r="AE78" s="325">
        <f t="shared" si="45"/>
        <v>9493.107722499999</v>
      </c>
      <c r="AF78" s="325">
        <v>28.48</v>
      </c>
      <c r="AG78" s="325">
        <v>4.75</v>
      </c>
      <c r="AH78" s="325">
        <f t="shared" si="46"/>
        <v>9459.8777224999994</v>
      </c>
      <c r="AI78" s="325">
        <f t="shared" si="47"/>
        <v>1023.7522199999985</v>
      </c>
      <c r="AJ78" s="325">
        <f t="shared" si="48"/>
        <v>956.29221999999936</v>
      </c>
      <c r="AK78" s="325">
        <f t="shared" si="49"/>
        <v>1142.4055533333328</v>
      </c>
      <c r="AL78">
        <f t="shared" si="50"/>
        <v>103</v>
      </c>
      <c r="AM78" s="411">
        <f t="shared" si="51"/>
        <v>0.13434398384040153</v>
      </c>
      <c r="AN78" s="411">
        <f t="shared" si="52"/>
        <v>0.47607334079365587</v>
      </c>
      <c r="AO78" s="411">
        <f t="shared" si="53"/>
        <v>0.5631421142996913</v>
      </c>
      <c r="AP78" s="384">
        <f>TitulosVendidos[[#This Row],[Comisión Santa Fe
Venta]]+TitulosVendidos[[#This Row],[Comisión Santa Fé
Compra]]</f>
        <v>58.480000000000004</v>
      </c>
      <c r="AQ78" s="385"/>
    </row>
    <row r="79" spans="2:43" x14ac:dyDescent="0.25">
      <c r="B79" s="328">
        <v>45565</v>
      </c>
      <c r="C79" s="328" t="s">
        <v>233</v>
      </c>
      <c r="D79" t="s">
        <v>47</v>
      </c>
      <c r="E79" s="328">
        <v>45350</v>
      </c>
      <c r="F79" s="328">
        <v>45369</v>
      </c>
      <c r="G79" s="328">
        <v>45217</v>
      </c>
      <c r="H79" s="328">
        <v>47409</v>
      </c>
      <c r="I79" s="3">
        <v>5.36</v>
      </c>
      <c r="J79" s="3">
        <f t="shared" si="36"/>
        <v>7.6588381951471103</v>
      </c>
      <c r="K79" s="3">
        <v>13.25</v>
      </c>
      <c r="L79" s="325">
        <f t="shared" si="37"/>
        <v>112.82800000000002</v>
      </c>
      <c r="M79" s="325">
        <f t="shared" si="38"/>
        <v>75.218000000000018</v>
      </c>
      <c r="N79">
        <f t="shared" si="39"/>
        <v>6</v>
      </c>
      <c r="O79" s="325"/>
      <c r="P79" s="325">
        <f t="shared" si="40"/>
        <v>752.18600000000015</v>
      </c>
      <c r="Q79" s="325">
        <v>25260</v>
      </c>
      <c r="R79" s="3">
        <v>69.740839129999998</v>
      </c>
      <c r="S79" s="3">
        <v>69.984505004901024</v>
      </c>
      <c r="T79" s="325">
        <f t="shared" si="41"/>
        <v>17616.535964237999</v>
      </c>
      <c r="U79" s="325">
        <f t="shared" si="42"/>
        <v>17678.085964237998</v>
      </c>
      <c r="V79" s="325">
        <f t="shared" si="43"/>
        <v>17715.695964237999</v>
      </c>
      <c r="W79" s="325">
        <v>37.61</v>
      </c>
      <c r="X79" s="325">
        <v>52.74</v>
      </c>
      <c r="Y79" s="325">
        <v>8.81</v>
      </c>
      <c r="Z79" s="325">
        <f t="shared" si="44"/>
        <v>61.550000000000004</v>
      </c>
      <c r="AA79" s="389"/>
      <c r="AB79" s="3">
        <v>74.340201460000003</v>
      </c>
      <c r="AC79" s="3"/>
      <c r="AD79" s="325">
        <v>45.13</v>
      </c>
      <c r="AE79" s="325">
        <f t="shared" si="45"/>
        <v>18778.334888796002</v>
      </c>
      <c r="AF79" s="325">
        <v>56.33</v>
      </c>
      <c r="AG79" s="325">
        <v>9.39</v>
      </c>
      <c r="AH79" s="325">
        <f t="shared" si="46"/>
        <v>18712.614888796001</v>
      </c>
      <c r="AI79" s="325">
        <f t="shared" si="47"/>
        <v>1161.7989245580029</v>
      </c>
      <c r="AJ79" s="325">
        <f t="shared" si="48"/>
        <v>1034.5289245580025</v>
      </c>
      <c r="AK79" s="325">
        <f t="shared" si="49"/>
        <v>1831.8449245580027</v>
      </c>
      <c r="AL79">
        <f t="shared" si="50"/>
        <v>215</v>
      </c>
      <c r="AM79" s="411">
        <f t="shared" si="51"/>
        <v>0.10362235641707737</v>
      </c>
      <c r="AN79" s="411">
        <f t="shared" si="52"/>
        <v>0.17591702368480577</v>
      </c>
      <c r="AO79" s="411">
        <f t="shared" si="53"/>
        <v>0.1822116906192901</v>
      </c>
      <c r="AP79" s="384">
        <f>TitulosVendidos[[#This Row],[Comisión Santa Fe
Venta]]+TitulosVendidos[[#This Row],[Comisión Santa Fé
Compra]]</f>
        <v>109.07</v>
      </c>
      <c r="AQ79" s="385"/>
    </row>
    <row r="80" spans="2:43" x14ac:dyDescent="0.25">
      <c r="B80" s="328">
        <v>45565</v>
      </c>
      <c r="C80" s="328" t="s">
        <v>233</v>
      </c>
      <c r="D80" t="s">
        <v>47</v>
      </c>
      <c r="E80" s="328">
        <v>45309</v>
      </c>
      <c r="F80" s="328">
        <v>45340</v>
      </c>
      <c r="G80" s="328">
        <v>45217</v>
      </c>
      <c r="H80" s="328">
        <v>46313</v>
      </c>
      <c r="I80" s="3">
        <v>4.3</v>
      </c>
      <c r="J80" s="3">
        <f t="shared" si="36"/>
        <v>5.1042876750002844</v>
      </c>
      <c r="K80" s="3">
        <v>11.75</v>
      </c>
      <c r="L80" s="325">
        <f t="shared" si="37"/>
        <v>65.073333333333338</v>
      </c>
      <c r="M80" s="325">
        <f t="shared" si="38"/>
        <v>65.073333333333338</v>
      </c>
      <c r="N80">
        <f t="shared" si="39"/>
        <v>7</v>
      </c>
      <c r="O80" s="325"/>
      <c r="P80" s="325">
        <f t="shared" si="40"/>
        <v>520.5866666666667</v>
      </c>
      <c r="Q80" s="325">
        <v>18160</v>
      </c>
      <c r="R80" s="3">
        <v>83.949068150000002</v>
      </c>
      <c r="S80" s="3">
        <v>84.242900749118945</v>
      </c>
      <c r="T80" s="325">
        <f t="shared" si="41"/>
        <v>15245.15077604</v>
      </c>
      <c r="U80" s="325">
        <f t="shared" si="42"/>
        <v>15298.510776040001</v>
      </c>
      <c r="V80" s="325">
        <f t="shared" si="43"/>
        <v>15298.510776040001</v>
      </c>
      <c r="W80" s="325">
        <v>0</v>
      </c>
      <c r="X80" s="325">
        <v>45.74</v>
      </c>
      <c r="Y80" s="325">
        <v>7.62</v>
      </c>
      <c r="Z80" s="325">
        <f t="shared" si="44"/>
        <v>53.36</v>
      </c>
      <c r="AA80" s="389"/>
      <c r="AB80" s="3">
        <v>89.887737000000001</v>
      </c>
      <c r="AC80" s="3"/>
      <c r="AD80" s="325">
        <v>26.02720562390158</v>
      </c>
      <c r="AE80" s="325">
        <f t="shared" si="45"/>
        <v>16323.613039200001</v>
      </c>
      <c r="AF80" s="325">
        <v>48.974551845342702</v>
      </c>
      <c r="AG80" s="325">
        <v>8.1624253075571165</v>
      </c>
      <c r="AH80" s="325">
        <f t="shared" si="46"/>
        <v>16266.476062047102</v>
      </c>
      <c r="AI80" s="325">
        <f t="shared" si="47"/>
        <v>1078.4622631600014</v>
      </c>
      <c r="AJ80" s="325">
        <f t="shared" si="48"/>
        <v>967.96528600710189</v>
      </c>
      <c r="AK80" s="325">
        <f t="shared" si="49"/>
        <v>1514.5791582976701</v>
      </c>
      <c r="AL80">
        <f t="shared" si="50"/>
        <v>256</v>
      </c>
      <c r="AM80" s="411">
        <f t="shared" si="51"/>
        <v>9.900173817374118E-2</v>
      </c>
      <c r="AN80" s="411">
        <f t="shared" si="52"/>
        <v>0.14115482200552942</v>
      </c>
      <c r="AO80" s="411">
        <f t="shared" si="53"/>
        <v>0.14407559235853773</v>
      </c>
      <c r="AP80" s="384">
        <f>TitulosVendidos[[#This Row],[Comisión Santa Fe
Venta]]+TitulosVendidos[[#This Row],[Comisión Santa Fé
Compra]]</f>
        <v>94.714551845342697</v>
      </c>
      <c r="AQ80" s="385"/>
    </row>
    <row r="81" spans="2:43" x14ac:dyDescent="0.25">
      <c r="B81" s="328">
        <v>45565</v>
      </c>
      <c r="C81" s="328" t="s">
        <v>233</v>
      </c>
      <c r="D81" t="s">
        <v>47</v>
      </c>
      <c r="E81" s="328">
        <v>45443</v>
      </c>
      <c r="F81" s="328">
        <v>45461</v>
      </c>
      <c r="G81" s="328">
        <v>45217</v>
      </c>
      <c r="H81" s="328">
        <v>46313</v>
      </c>
      <c r="I81" s="3">
        <v>4.3</v>
      </c>
      <c r="J81" s="3">
        <f t="shared" si="36"/>
        <v>4.9531648935973216</v>
      </c>
      <c r="K81" s="3">
        <v>11.5</v>
      </c>
      <c r="L81" s="325">
        <f t="shared" si="37"/>
        <v>16.483333333333334</v>
      </c>
      <c r="M81" s="325">
        <f t="shared" si="38"/>
        <v>9.8933333333333344</v>
      </c>
      <c r="N81">
        <f t="shared" si="39"/>
        <v>3</v>
      </c>
      <c r="O81" s="325"/>
      <c r="P81" s="325">
        <f t="shared" si="40"/>
        <v>59.343333333333334</v>
      </c>
      <c r="Q81" s="325">
        <v>4600</v>
      </c>
      <c r="R81" s="3">
        <v>86.456007</v>
      </c>
      <c r="S81" s="3">
        <v>86.813180913043482</v>
      </c>
      <c r="T81" s="325">
        <f t="shared" si="41"/>
        <v>3976.976322</v>
      </c>
      <c r="U81" s="325">
        <f t="shared" si="42"/>
        <v>3993.4063219999998</v>
      </c>
      <c r="V81" s="325">
        <f t="shared" si="43"/>
        <v>3999.996322</v>
      </c>
      <c r="W81" s="325">
        <v>6.59</v>
      </c>
      <c r="X81" s="325">
        <v>12.43</v>
      </c>
      <c r="Y81" s="325">
        <v>4</v>
      </c>
      <c r="Z81" s="325">
        <f t="shared" si="44"/>
        <v>16.43</v>
      </c>
      <c r="AA81" s="389"/>
      <c r="AB81" s="3">
        <v>89.887737000000001</v>
      </c>
      <c r="AC81" s="3"/>
      <c r="AD81" s="325">
        <v>6.5927943760984169</v>
      </c>
      <c r="AE81" s="325">
        <f t="shared" si="45"/>
        <v>4134.8359020000007</v>
      </c>
      <c r="AF81" s="325">
        <v>12.405448154657289</v>
      </c>
      <c r="AG81" s="325">
        <v>2.0675746924428822</v>
      </c>
      <c r="AH81" s="325">
        <f t="shared" si="46"/>
        <v>4120.3628791529009</v>
      </c>
      <c r="AI81" s="325">
        <f t="shared" si="47"/>
        <v>157.85958000000073</v>
      </c>
      <c r="AJ81" s="325">
        <f t="shared" si="48"/>
        <v>126.95655715290104</v>
      </c>
      <c r="AK81" s="325">
        <f t="shared" si="49"/>
        <v>192.8926848623328</v>
      </c>
      <c r="AL81">
        <f t="shared" si="50"/>
        <v>122</v>
      </c>
      <c r="AM81" s="411">
        <f t="shared" si="51"/>
        <v>4.8302794483914981E-2</v>
      </c>
      <c r="AN81" s="411">
        <f t="shared" si="52"/>
        <v>0.14451245890679482</v>
      </c>
      <c r="AO81" s="411">
        <f t="shared" si="53"/>
        <v>0.15157520776803723</v>
      </c>
      <c r="AP81" s="384">
        <f>TitulosVendidos[[#This Row],[Comisión Santa Fe
Venta]]+TitulosVendidos[[#This Row],[Comisión Santa Fé
Compra]]</f>
        <v>24.835448154657289</v>
      </c>
      <c r="AQ81" s="385"/>
    </row>
    <row r="82" spans="2:43" x14ac:dyDescent="0.25">
      <c r="B82" s="328">
        <v>45565</v>
      </c>
      <c r="C82" s="328" t="s">
        <v>233</v>
      </c>
      <c r="D82" t="s">
        <v>48</v>
      </c>
      <c r="E82" s="328">
        <v>45492</v>
      </c>
      <c r="F82" s="328">
        <v>45500</v>
      </c>
      <c r="G82" s="328">
        <v>44739</v>
      </c>
      <c r="H82" s="328">
        <v>47296</v>
      </c>
      <c r="I82" s="3">
        <v>5.64</v>
      </c>
      <c r="J82" s="3">
        <f t="shared" si="36"/>
        <v>7.6737585416208969</v>
      </c>
      <c r="K82" s="3">
        <v>13.75</v>
      </c>
      <c r="L82" s="325">
        <f t="shared" si="37"/>
        <v>82.72</v>
      </c>
      <c r="M82" s="325">
        <f t="shared" si="38"/>
        <v>22.060000000000002</v>
      </c>
      <c r="N82">
        <f t="shared" si="39"/>
        <v>2</v>
      </c>
      <c r="O82" s="325"/>
      <c r="P82" s="325">
        <f t="shared" si="40"/>
        <v>187.5</v>
      </c>
      <c r="Q82" s="325">
        <v>17600</v>
      </c>
      <c r="R82" s="3">
        <v>73.240866819999994</v>
      </c>
      <c r="S82" s="3">
        <v>73.497230456363638</v>
      </c>
      <c r="T82" s="325">
        <f t="shared" si="41"/>
        <v>12890.392560319999</v>
      </c>
      <c r="U82" s="325">
        <f t="shared" si="42"/>
        <v>12935.512560320001</v>
      </c>
      <c r="V82" s="325">
        <f t="shared" si="43"/>
        <v>12996.172560320001</v>
      </c>
      <c r="W82" s="325">
        <v>60.66</v>
      </c>
      <c r="X82" s="325">
        <v>38.67</v>
      </c>
      <c r="Y82" s="325">
        <v>6.45</v>
      </c>
      <c r="Z82" s="325">
        <f t="shared" si="44"/>
        <v>45.120000000000005</v>
      </c>
      <c r="AA82" s="389"/>
      <c r="AB82" s="3">
        <v>77.567003799999995</v>
      </c>
      <c r="AC82" s="3"/>
      <c r="AD82" s="325">
        <v>8.27</v>
      </c>
      <c r="AE82" s="325">
        <f t="shared" si="45"/>
        <v>13651.792668800001</v>
      </c>
      <c r="AF82" s="325">
        <v>40.96</v>
      </c>
      <c r="AG82" s="325">
        <v>6.83</v>
      </c>
      <c r="AH82" s="325">
        <f t="shared" si="46"/>
        <v>13604.002668800002</v>
      </c>
      <c r="AI82" s="325">
        <f t="shared" si="47"/>
        <v>761.40010848000202</v>
      </c>
      <c r="AJ82" s="325">
        <f t="shared" si="48"/>
        <v>668.49010848000034</v>
      </c>
      <c r="AK82" s="325">
        <f t="shared" si="49"/>
        <v>864.26010848000033</v>
      </c>
      <c r="AL82">
        <f t="shared" si="50"/>
        <v>73</v>
      </c>
      <c r="AM82" s="411">
        <f t="shared" si="51"/>
        <v>6.6812977410043967E-2</v>
      </c>
      <c r="AN82" s="411">
        <f t="shared" si="52"/>
        <v>0.33406488705021981</v>
      </c>
      <c r="AO82" s="411">
        <f t="shared" si="53"/>
        <v>0.38178810716482547</v>
      </c>
      <c r="AP82" s="384">
        <f>TitulosVendidos[[#This Row],[Comisión Santa Fe
Venta]]+TitulosVendidos[[#This Row],[Comisión Santa Fé
Compra]]</f>
        <v>79.63</v>
      </c>
      <c r="AQ82" s="385"/>
    </row>
    <row r="83" spans="2:43" x14ac:dyDescent="0.25">
      <c r="B83" s="328">
        <v>45565</v>
      </c>
      <c r="C83" s="328" t="s">
        <v>233</v>
      </c>
      <c r="D83" t="s">
        <v>46</v>
      </c>
      <c r="E83" s="328">
        <v>45278</v>
      </c>
      <c r="F83" s="328">
        <v>45309</v>
      </c>
      <c r="G83" s="328">
        <v>45217</v>
      </c>
      <c r="H83" s="328">
        <v>47409</v>
      </c>
      <c r="I83" s="3">
        <v>5.36</v>
      </c>
      <c r="J83" s="3">
        <f t="shared" si="36"/>
        <v>7.4892877848131976</v>
      </c>
      <c r="K83" s="3">
        <v>13</v>
      </c>
      <c r="L83" s="325">
        <f t="shared" si="37"/>
        <v>2.0278666666666667</v>
      </c>
      <c r="M83" s="325">
        <f t="shared" si="38"/>
        <v>1.9578666666666666</v>
      </c>
      <c r="N83">
        <f t="shared" si="39"/>
        <v>8</v>
      </c>
      <c r="O83" s="325"/>
      <c r="P83" s="325">
        <f t="shared" si="40"/>
        <v>18.180800000000001</v>
      </c>
      <c r="Q83" s="325">
        <v>454</v>
      </c>
      <c r="R83" s="3">
        <v>69.806773640000003</v>
      </c>
      <c r="S83" s="3">
        <v>71.568888177444933</v>
      </c>
      <c r="T83" s="325">
        <f t="shared" si="41"/>
        <v>316.92275232560002</v>
      </c>
      <c r="U83" s="325">
        <f t="shared" si="42"/>
        <v>324.92275232560002</v>
      </c>
      <c r="V83" s="325">
        <f t="shared" si="43"/>
        <v>324.99275232560001</v>
      </c>
      <c r="W83" s="325">
        <v>7.0000000000000007E-2</v>
      </c>
      <c r="X83" s="325">
        <v>4</v>
      </c>
      <c r="Y83" s="325">
        <v>4</v>
      </c>
      <c r="Z83" s="325">
        <f t="shared" si="44"/>
        <v>8</v>
      </c>
      <c r="AA83" s="389"/>
      <c r="AB83" s="3">
        <v>74.340201460000003</v>
      </c>
      <c r="AC83" s="3"/>
      <c r="AD83" s="325">
        <v>0.81111368216764956</v>
      </c>
      <c r="AE83" s="325">
        <f t="shared" si="45"/>
        <v>337.50451462839999</v>
      </c>
      <c r="AF83" s="325">
        <v>1.0125789355825929</v>
      </c>
      <c r="AG83" s="325">
        <v>0.1687631559304322</v>
      </c>
      <c r="AH83" s="325">
        <f t="shared" si="46"/>
        <v>336.32317253688694</v>
      </c>
      <c r="AI83" s="325">
        <f t="shared" si="47"/>
        <v>20.581762302799973</v>
      </c>
      <c r="AJ83" s="325">
        <f t="shared" si="48"/>
        <v>11.400420211286928</v>
      </c>
      <c r="AK83" s="325">
        <f t="shared" si="49"/>
        <v>30.39233389345458</v>
      </c>
      <c r="AL83">
        <f t="shared" si="50"/>
        <v>287</v>
      </c>
      <c r="AM83" s="411">
        <f t="shared" si="51"/>
        <v>9.3537105899555162E-2</v>
      </c>
      <c r="AN83" s="411">
        <f t="shared" si="52"/>
        <v>0.11895834025553183</v>
      </c>
      <c r="AO83" s="411">
        <f t="shared" si="53"/>
        <v>0.12043736350314194</v>
      </c>
      <c r="AP83" s="384">
        <f>TitulosVendidos[[#This Row],[Comisión Santa Fe
Venta]]+TitulosVendidos[[#This Row],[Comisión Santa Fé
Compra]]</f>
        <v>5.0125789355825932</v>
      </c>
      <c r="AQ83" s="385"/>
    </row>
    <row r="84" spans="2:43" x14ac:dyDescent="0.25">
      <c r="B84" s="328">
        <v>45565</v>
      </c>
      <c r="C84" s="328" t="s">
        <v>233</v>
      </c>
      <c r="D84" t="s">
        <v>46</v>
      </c>
      <c r="E84" s="328">
        <v>45350</v>
      </c>
      <c r="F84" s="328">
        <v>45369</v>
      </c>
      <c r="G84" s="328">
        <v>45217</v>
      </c>
      <c r="H84" s="328">
        <v>47409</v>
      </c>
      <c r="I84" s="3">
        <v>5.36</v>
      </c>
      <c r="J84" s="3">
        <f t="shared" si="36"/>
        <v>7.6588366986934764</v>
      </c>
      <c r="K84" s="3">
        <v>13.25</v>
      </c>
      <c r="L84" s="325">
        <f t="shared" si="37"/>
        <v>110.952</v>
      </c>
      <c r="M84" s="325">
        <f t="shared" si="38"/>
        <v>73.972000000000008</v>
      </c>
      <c r="N84">
        <f t="shared" si="39"/>
        <v>6</v>
      </c>
      <c r="O84" s="325"/>
      <c r="P84" s="325">
        <f t="shared" si="40"/>
        <v>739.68399999999997</v>
      </c>
      <c r="Q84" s="325">
        <v>24840</v>
      </c>
      <c r="R84" s="3">
        <v>69.740839129999998</v>
      </c>
      <c r="S84" s="3">
        <v>69.984518679114331</v>
      </c>
      <c r="T84" s="325">
        <f t="shared" si="41"/>
        <v>17323.624439891999</v>
      </c>
      <c r="U84" s="325">
        <f t="shared" si="42"/>
        <v>17384.154439892001</v>
      </c>
      <c r="V84" s="325">
        <f t="shared" si="43"/>
        <v>17421.134439892001</v>
      </c>
      <c r="W84" s="325">
        <v>36.979999999999997</v>
      </c>
      <c r="X84" s="325">
        <v>51.87</v>
      </c>
      <c r="Y84" s="325">
        <v>8.66</v>
      </c>
      <c r="Z84" s="325">
        <f t="shared" si="44"/>
        <v>60.53</v>
      </c>
      <c r="AA84" s="389"/>
      <c r="AB84" s="3">
        <v>74.340201460000003</v>
      </c>
      <c r="AC84" s="3"/>
      <c r="AD84" s="325">
        <v>44.378995297454658</v>
      </c>
      <c r="AE84" s="325">
        <f t="shared" si="45"/>
        <v>18466.106042664</v>
      </c>
      <c r="AF84" s="325">
        <v>55.401895946853777</v>
      </c>
      <c r="AG84" s="325">
        <v>9.2336493244756319</v>
      </c>
      <c r="AH84" s="325">
        <f t="shared" si="46"/>
        <v>18401.470497392671</v>
      </c>
      <c r="AI84" s="325">
        <f t="shared" si="47"/>
        <v>1142.4816027720008</v>
      </c>
      <c r="AJ84" s="325">
        <f t="shared" si="48"/>
        <v>1017.3160575006696</v>
      </c>
      <c r="AK84" s="325">
        <f t="shared" si="49"/>
        <v>1801.3790527981241</v>
      </c>
      <c r="AL84">
        <f t="shared" si="50"/>
        <v>215</v>
      </c>
      <c r="AM84" s="411">
        <f t="shared" si="51"/>
        <v>0.10362189653955439</v>
      </c>
      <c r="AN84" s="411">
        <f t="shared" si="52"/>
        <v>0.17591624296249933</v>
      </c>
      <c r="AO84" s="411">
        <f t="shared" si="53"/>
        <v>0.18221085430159656</v>
      </c>
      <c r="AP84" s="384">
        <f>TitulosVendidos[[#This Row],[Comisión Santa Fe
Venta]]+TitulosVendidos[[#This Row],[Comisión Santa Fé
Compra]]</f>
        <v>107.27189594685377</v>
      </c>
      <c r="AQ84" s="385"/>
    </row>
    <row r="85" spans="2:43" x14ac:dyDescent="0.25">
      <c r="B85" s="328">
        <v>45565</v>
      </c>
      <c r="C85" s="328" t="s">
        <v>233</v>
      </c>
      <c r="D85" t="s">
        <v>46</v>
      </c>
      <c r="E85" s="328">
        <v>45265</v>
      </c>
      <c r="F85" s="328">
        <v>45278</v>
      </c>
      <c r="G85" s="328">
        <v>45217</v>
      </c>
      <c r="H85" s="328">
        <v>47409</v>
      </c>
      <c r="I85" s="3">
        <v>5.36</v>
      </c>
      <c r="J85" s="3">
        <f t="shared" si="36"/>
        <v>7.6420483560114727</v>
      </c>
      <c r="K85" s="3">
        <v>13</v>
      </c>
      <c r="L85" s="325">
        <f t="shared" si="37"/>
        <v>6.7</v>
      </c>
      <c r="M85" s="325">
        <f t="shared" si="38"/>
        <v>2.9000000000000004</v>
      </c>
      <c r="N85">
        <f t="shared" si="39"/>
        <v>9</v>
      </c>
      <c r="O85" s="325"/>
      <c r="P85" s="325">
        <f t="shared" si="40"/>
        <v>63.2</v>
      </c>
      <c r="Q85" s="325">
        <v>1500</v>
      </c>
      <c r="R85" s="3">
        <v>69.662930000000003</v>
      </c>
      <c r="S85" s="3">
        <v>70.138263333333356</v>
      </c>
      <c r="T85" s="325">
        <f t="shared" si="41"/>
        <v>1044.9439500000001</v>
      </c>
      <c r="U85" s="325">
        <f t="shared" si="42"/>
        <v>1052.0739500000004</v>
      </c>
      <c r="V85" s="325">
        <f t="shared" si="43"/>
        <v>1055.8739500000004</v>
      </c>
      <c r="W85" s="325">
        <v>3.8</v>
      </c>
      <c r="X85" s="325">
        <v>3.13</v>
      </c>
      <c r="Y85" s="325">
        <v>4</v>
      </c>
      <c r="Z85" s="325">
        <f t="shared" si="44"/>
        <v>7.13</v>
      </c>
      <c r="AA85" s="389"/>
      <c r="AB85" s="3">
        <v>74.340201460000003</v>
      </c>
      <c r="AC85" s="3"/>
      <c r="AD85" s="325">
        <v>2.679891020377696</v>
      </c>
      <c r="AE85" s="325">
        <f t="shared" si="45"/>
        <v>1115.1030218999999</v>
      </c>
      <c r="AF85" s="325">
        <v>3.3455251175636338</v>
      </c>
      <c r="AG85" s="325">
        <v>0.55758751959393904</v>
      </c>
      <c r="AH85" s="325">
        <f t="shared" si="46"/>
        <v>1111.1999092628423</v>
      </c>
      <c r="AI85" s="325">
        <f t="shared" si="47"/>
        <v>70.159071899999844</v>
      </c>
      <c r="AJ85" s="325">
        <f t="shared" si="48"/>
        <v>59.125959262841889</v>
      </c>
      <c r="AK85" s="325">
        <f t="shared" si="49"/>
        <v>125.00585028321959</v>
      </c>
      <c r="AL85">
        <f t="shared" si="50"/>
        <v>300</v>
      </c>
      <c r="AM85" s="411">
        <f t="shared" si="51"/>
        <v>0.11881850157322071</v>
      </c>
      <c r="AN85" s="411">
        <f t="shared" si="52"/>
        <v>0.14456251024741854</v>
      </c>
      <c r="AO85" s="411">
        <f t="shared" si="53"/>
        <v>0.1463684581719058</v>
      </c>
      <c r="AP85" s="384">
        <f>TitulosVendidos[[#This Row],[Comisión Santa Fe
Venta]]+TitulosVendidos[[#This Row],[Comisión Santa Fé
Compra]]</f>
        <v>6.4755251175636337</v>
      </c>
      <c r="AQ85" s="385"/>
    </row>
    <row r="86" spans="2:43" x14ac:dyDescent="0.25">
      <c r="B86" s="328">
        <v>45565</v>
      </c>
      <c r="C86" s="328" t="s">
        <v>233</v>
      </c>
      <c r="D86" t="s">
        <v>46</v>
      </c>
      <c r="E86" s="328">
        <v>45278</v>
      </c>
      <c r="F86" s="328">
        <v>45369</v>
      </c>
      <c r="G86" s="328">
        <v>45217</v>
      </c>
      <c r="H86" s="328">
        <v>47409</v>
      </c>
      <c r="I86" s="3">
        <v>5.36</v>
      </c>
      <c r="J86" s="3">
        <f t="shared" si="36"/>
        <v>7.6549588514761249</v>
      </c>
      <c r="K86" s="3">
        <v>13.25</v>
      </c>
      <c r="L86" s="325">
        <f t="shared" si="37"/>
        <v>119.67986666666667</v>
      </c>
      <c r="M86" s="325">
        <f t="shared" si="38"/>
        <v>78.829866666666675</v>
      </c>
      <c r="N86">
        <f t="shared" si="39"/>
        <v>6</v>
      </c>
      <c r="O86" s="325"/>
      <c r="P86" s="325">
        <f t="shared" si="40"/>
        <v>796.90906666666672</v>
      </c>
      <c r="Q86" s="325">
        <v>26794</v>
      </c>
      <c r="R86" s="3">
        <v>69.740839129999998</v>
      </c>
      <c r="S86" s="3">
        <v>70.019971419786515</v>
      </c>
      <c r="T86" s="325">
        <f t="shared" si="41"/>
        <v>18686.360436492199</v>
      </c>
      <c r="U86" s="325">
        <f t="shared" si="42"/>
        <v>18761.151142217597</v>
      </c>
      <c r="V86" s="325">
        <f t="shared" si="43"/>
        <v>18802.001142217596</v>
      </c>
      <c r="W86" s="325">
        <v>40.849999999999987</v>
      </c>
      <c r="X86" s="325">
        <v>59</v>
      </c>
      <c r="Y86" s="325">
        <v>16.66</v>
      </c>
      <c r="Z86" s="325">
        <f t="shared" si="44"/>
        <v>75.66</v>
      </c>
      <c r="AA86" s="389"/>
      <c r="AB86" s="3">
        <v>74.340201460000003</v>
      </c>
      <c r="AC86" s="3"/>
      <c r="AD86" s="325">
        <v>47.87</v>
      </c>
      <c r="AE86" s="325">
        <f t="shared" si="45"/>
        <v>19918.713579192401</v>
      </c>
      <c r="AF86" s="325">
        <v>59.76</v>
      </c>
      <c r="AG86" s="325">
        <v>9.9600000000000009</v>
      </c>
      <c r="AH86" s="325">
        <f t="shared" si="46"/>
        <v>19848.993579192404</v>
      </c>
      <c r="AI86" s="325">
        <f t="shared" si="47"/>
        <v>1232.3531427002017</v>
      </c>
      <c r="AJ86" s="325">
        <f t="shared" si="48"/>
        <v>1087.8424369748063</v>
      </c>
      <c r="AK86" s="325">
        <f t="shared" si="49"/>
        <v>1932.6215036414728</v>
      </c>
      <c r="AL86">
        <f t="shared" si="50"/>
        <v>287</v>
      </c>
      <c r="AM86" s="411">
        <f t="shared" si="51"/>
        <v>0.10301188285256967</v>
      </c>
      <c r="AN86" s="411">
        <f t="shared" si="52"/>
        <v>0.1310081436975189</v>
      </c>
      <c r="AO86" s="411">
        <f t="shared" si="53"/>
        <v>0.13279808957352102</v>
      </c>
      <c r="AP86" s="384">
        <f>TitulosVendidos[[#This Row],[Comisión Santa Fe
Venta]]+TitulosVendidos[[#This Row],[Comisión Santa Fé
Compra]]</f>
        <v>118.75999999999999</v>
      </c>
      <c r="AQ86" s="385"/>
    </row>
    <row r="87" spans="2:43" x14ac:dyDescent="0.25">
      <c r="B87" s="328">
        <v>45492</v>
      </c>
      <c r="C87" s="328" t="s">
        <v>233</v>
      </c>
      <c r="D87" t="s">
        <v>47</v>
      </c>
      <c r="E87" s="328">
        <v>45337</v>
      </c>
      <c r="F87" s="328">
        <v>45363</v>
      </c>
      <c r="G87" s="328">
        <v>44328</v>
      </c>
      <c r="H87" s="328">
        <v>45789</v>
      </c>
      <c r="I87" s="3">
        <v>4.71</v>
      </c>
      <c r="J87" s="3">
        <f t="shared" si="36"/>
        <v>5.0963106828659743</v>
      </c>
      <c r="K87" s="3">
        <v>13.34</v>
      </c>
      <c r="L87" s="325">
        <f t="shared" si="37"/>
        <v>24.6048045</v>
      </c>
      <c r="M87" s="325">
        <f t="shared" si="38"/>
        <v>21.324804499999999</v>
      </c>
      <c r="N87">
        <f t="shared" si="39"/>
        <v>4</v>
      </c>
      <c r="O87" s="325"/>
      <c r="P87" s="325">
        <f t="shared" si="40"/>
        <v>119.7440225</v>
      </c>
      <c r="Q87" s="325">
        <v>6268.74</v>
      </c>
      <c r="R87" s="3">
        <v>92.079696999999996</v>
      </c>
      <c r="S87" s="3">
        <v>92.419797243430082</v>
      </c>
      <c r="T87" s="325">
        <f t="shared" si="41"/>
        <v>5772.2367977177992</v>
      </c>
      <c r="U87" s="325">
        <f t="shared" si="42"/>
        <v>5793.5567977177989</v>
      </c>
      <c r="V87" s="325">
        <f t="shared" si="43"/>
        <v>5796.8367977177986</v>
      </c>
      <c r="W87" s="325">
        <v>3.28</v>
      </c>
      <c r="X87" s="325">
        <v>17.32</v>
      </c>
      <c r="Y87" s="325">
        <v>4</v>
      </c>
      <c r="Z87" s="325">
        <f t="shared" si="44"/>
        <v>21.32</v>
      </c>
      <c r="AA87" s="389"/>
      <c r="AB87" s="3">
        <v>97.393225000000001</v>
      </c>
      <c r="AC87" s="3"/>
      <c r="AD87" s="325">
        <v>5.7399938956431473</v>
      </c>
      <c r="AE87" s="325">
        <f t="shared" si="45"/>
        <v>6105.3280528650002</v>
      </c>
      <c r="AF87" s="325">
        <v>18.31331385752814</v>
      </c>
      <c r="AG87" s="325">
        <v>2.666663830728524</v>
      </c>
      <c r="AH87" s="325">
        <f t="shared" si="46"/>
        <v>6084.3480751767429</v>
      </c>
      <c r="AI87" s="325">
        <f t="shared" si="47"/>
        <v>333.09125514720108</v>
      </c>
      <c r="AJ87" s="325">
        <f t="shared" si="48"/>
        <v>290.79127745894402</v>
      </c>
      <c r="AK87" s="325">
        <f t="shared" si="49"/>
        <v>416.27529385458718</v>
      </c>
      <c r="AL87">
        <f t="shared" si="50"/>
        <v>155</v>
      </c>
      <c r="AM87" s="411">
        <f t="shared" si="51"/>
        <v>7.1851421913834798E-2</v>
      </c>
      <c r="AN87" s="411">
        <f t="shared" si="52"/>
        <v>0.16919850966806257</v>
      </c>
      <c r="AO87" s="411">
        <f t="shared" si="53"/>
        <v>0.17750319801146386</v>
      </c>
      <c r="AP87" s="384">
        <f>TitulosVendidos[[#This Row],[Comisión Santa Fe
Venta]]+TitulosVendidos[[#This Row],[Comisión Santa Fé
Compra]]</f>
        <v>35.633313857528137</v>
      </c>
      <c r="AQ87" s="385"/>
    </row>
    <row r="88" spans="2:43" x14ac:dyDescent="0.25">
      <c r="B88" s="328">
        <v>45492</v>
      </c>
      <c r="C88" s="328" t="s">
        <v>233</v>
      </c>
      <c r="D88" t="s">
        <v>47</v>
      </c>
      <c r="E88" s="328">
        <v>45350</v>
      </c>
      <c r="F88" s="328">
        <v>45363</v>
      </c>
      <c r="G88" s="328">
        <v>44328</v>
      </c>
      <c r="H88" s="328">
        <v>45789</v>
      </c>
      <c r="I88" s="3">
        <v>4.71</v>
      </c>
      <c r="J88" s="3">
        <f t="shared" si="36"/>
        <v>5.0789625709419246</v>
      </c>
      <c r="K88" s="3">
        <v>13.34</v>
      </c>
      <c r="L88" s="325">
        <f t="shared" si="37"/>
        <v>12.3024415</v>
      </c>
      <c r="M88" s="325">
        <f t="shared" si="38"/>
        <v>5.7424415000000009</v>
      </c>
      <c r="N88">
        <f t="shared" si="39"/>
        <v>4</v>
      </c>
      <c r="O88" s="325"/>
      <c r="P88" s="325">
        <f t="shared" si="40"/>
        <v>54.9522075</v>
      </c>
      <c r="Q88" s="325">
        <v>3134.38</v>
      </c>
      <c r="R88" s="3">
        <v>92.330928</v>
      </c>
      <c r="S88" s="3">
        <v>92.735473715580113</v>
      </c>
      <c r="T88" s="325">
        <f t="shared" si="41"/>
        <v>2894.0021410464001</v>
      </c>
      <c r="U88" s="325">
        <f t="shared" si="42"/>
        <v>2906.6821410463999</v>
      </c>
      <c r="V88" s="325">
        <f t="shared" si="43"/>
        <v>2913.2421410463999</v>
      </c>
      <c r="W88" s="325">
        <v>6.56</v>
      </c>
      <c r="X88" s="325">
        <v>8.68</v>
      </c>
      <c r="Y88" s="325">
        <v>4</v>
      </c>
      <c r="Z88" s="325">
        <f t="shared" si="44"/>
        <v>12.68</v>
      </c>
      <c r="AA88" s="389"/>
      <c r="AB88" s="3">
        <v>97.393225000000001</v>
      </c>
      <c r="AC88" s="3"/>
      <c r="AD88" s="325">
        <v>2.8700061043568521</v>
      </c>
      <c r="AE88" s="325">
        <f t="shared" si="45"/>
        <v>3052.6737657550002</v>
      </c>
      <c r="AF88" s="325">
        <v>9.1566861424718624</v>
      </c>
      <c r="AG88" s="325">
        <v>1.333336169271476</v>
      </c>
      <c r="AH88" s="325">
        <f t="shared" si="46"/>
        <v>3042.1837434432568</v>
      </c>
      <c r="AI88" s="325">
        <f t="shared" si="47"/>
        <v>158.67162470860012</v>
      </c>
      <c r="AJ88" s="325">
        <f t="shared" si="48"/>
        <v>135.50160239685692</v>
      </c>
      <c r="AK88" s="325">
        <f t="shared" si="49"/>
        <v>193.32381600121377</v>
      </c>
      <c r="AL88">
        <f t="shared" si="50"/>
        <v>142</v>
      </c>
      <c r="AM88" s="411">
        <f t="shared" si="51"/>
        <v>6.6510133072760949E-2</v>
      </c>
      <c r="AN88" s="411">
        <f t="shared" si="52"/>
        <v>0.17095914487012498</v>
      </c>
      <c r="AO88" s="411">
        <f t="shared" si="53"/>
        <v>0.17999951953730098</v>
      </c>
      <c r="AP88" s="384">
        <f>TitulosVendidos[[#This Row],[Comisión Santa Fe
Venta]]+TitulosVendidos[[#This Row],[Comisión Santa Fé
Compra]]</f>
        <v>17.836686142471862</v>
      </c>
      <c r="AQ88" s="385"/>
    </row>
    <row r="89" spans="2:43" x14ac:dyDescent="0.25">
      <c r="B89" s="328">
        <v>45491</v>
      </c>
      <c r="C89" s="328" t="s">
        <v>233</v>
      </c>
      <c r="D89" t="s">
        <v>48</v>
      </c>
      <c r="E89" s="328">
        <v>45308</v>
      </c>
      <c r="F89" s="328">
        <v>45315</v>
      </c>
      <c r="G89" s="328">
        <v>45070</v>
      </c>
      <c r="H89" s="328">
        <v>45801</v>
      </c>
      <c r="I89" s="3">
        <v>3.82</v>
      </c>
      <c r="J89" s="3">
        <f t="shared" si="36"/>
        <v>4.1329711058936107</v>
      </c>
      <c r="K89" s="3">
        <v>11.5</v>
      </c>
      <c r="L89" s="325">
        <f t="shared" si="37"/>
        <v>75.596208333333337</v>
      </c>
      <c r="M89" s="325">
        <f t="shared" si="38"/>
        <v>17.636208333333336</v>
      </c>
      <c r="N89">
        <f t="shared" si="39"/>
        <v>5</v>
      </c>
      <c r="O89" s="325"/>
      <c r="P89" s="325">
        <f t="shared" si="40"/>
        <v>395.61725000000001</v>
      </c>
      <c r="Q89" s="325">
        <v>23747.5</v>
      </c>
      <c r="R89" s="3">
        <v>92.105062950000004</v>
      </c>
      <c r="S89" s="3">
        <v>92.427454780719032</v>
      </c>
      <c r="T89" s="325">
        <f t="shared" si="41"/>
        <v>21872.649824051252</v>
      </c>
      <c r="U89" s="325">
        <f t="shared" si="42"/>
        <v>21949.209824051253</v>
      </c>
      <c r="V89" s="325">
        <f t="shared" si="43"/>
        <v>22007.169824051252</v>
      </c>
      <c r="W89" s="325">
        <v>57.96</v>
      </c>
      <c r="X89" s="325">
        <v>65.62</v>
      </c>
      <c r="Y89" s="325">
        <v>10.94</v>
      </c>
      <c r="Z89" s="325">
        <f t="shared" si="44"/>
        <v>76.56</v>
      </c>
      <c r="AA89" s="389"/>
      <c r="AB89" s="3">
        <v>96.715592000000001</v>
      </c>
      <c r="AC89" s="3"/>
      <c r="AD89" s="325">
        <v>60.48</v>
      </c>
      <c r="AE89" s="325">
        <f t="shared" si="45"/>
        <v>22967.5352102</v>
      </c>
      <c r="AF89" s="325">
        <v>68.900000000000006</v>
      </c>
      <c r="AG89" s="325">
        <v>9.76</v>
      </c>
      <c r="AH89" s="325">
        <f t="shared" si="46"/>
        <v>22888.8752102</v>
      </c>
      <c r="AI89" s="325">
        <f t="shared" si="47"/>
        <v>1094.8853861487478</v>
      </c>
      <c r="AJ89" s="325">
        <f t="shared" si="48"/>
        <v>939.66538614874662</v>
      </c>
      <c r="AK89" s="325">
        <f t="shared" si="49"/>
        <v>1395.7626361487467</v>
      </c>
      <c r="AL89">
        <f t="shared" si="50"/>
        <v>183</v>
      </c>
      <c r="AM89" s="411">
        <f t="shared" si="51"/>
        <v>6.3590564186019757E-2</v>
      </c>
      <c r="AN89" s="411">
        <f t="shared" si="52"/>
        <v>0.12683363895025798</v>
      </c>
      <c r="AO89" s="411">
        <f t="shared" si="53"/>
        <v>0.13084385629208173</v>
      </c>
      <c r="AP89" s="384">
        <f>TitulosVendidos[[#This Row],[Comisión Santa Fe
Venta]]+TitulosVendidos[[#This Row],[Comisión Santa Fé
Compra]]</f>
        <v>134.52000000000001</v>
      </c>
      <c r="AQ89" s="385"/>
    </row>
    <row r="90" spans="2:43" x14ac:dyDescent="0.25">
      <c r="B90" s="328">
        <v>45491</v>
      </c>
      <c r="C90" s="328" t="s">
        <v>233</v>
      </c>
      <c r="D90" t="s">
        <v>46</v>
      </c>
      <c r="E90" s="328">
        <v>45302</v>
      </c>
      <c r="F90" s="328">
        <v>45309</v>
      </c>
      <c r="G90" s="328">
        <v>44883</v>
      </c>
      <c r="H90" s="328">
        <v>45979</v>
      </c>
      <c r="I90" s="3">
        <v>4.3</v>
      </c>
      <c r="J90" s="3">
        <f t="shared" si="36"/>
        <v>4.7861715282830222</v>
      </c>
      <c r="K90" s="3">
        <v>11.5</v>
      </c>
      <c r="L90" s="325">
        <f t="shared" si="37"/>
        <v>48.563125000000007</v>
      </c>
      <c r="M90" s="325">
        <f t="shared" si="38"/>
        <v>11.33312500000001</v>
      </c>
      <c r="N90">
        <f t="shared" si="39"/>
        <v>6</v>
      </c>
      <c r="O90" s="325"/>
      <c r="P90" s="325">
        <f t="shared" si="40"/>
        <v>302.71187500000002</v>
      </c>
      <c r="Q90" s="325">
        <v>13552.5</v>
      </c>
      <c r="R90" s="3">
        <v>89.527829310000001</v>
      </c>
      <c r="S90" s="3">
        <v>89.842162458865531</v>
      </c>
      <c r="T90" s="325">
        <f t="shared" si="41"/>
        <v>12133.25906723775</v>
      </c>
      <c r="U90" s="325">
        <f t="shared" si="42"/>
        <v>12175.859067237752</v>
      </c>
      <c r="V90" s="325">
        <f t="shared" si="43"/>
        <v>12213.089067237752</v>
      </c>
      <c r="W90" s="325">
        <v>37.229999999999997</v>
      </c>
      <c r="X90" s="325">
        <v>36.53</v>
      </c>
      <c r="Y90" s="325">
        <v>6.07</v>
      </c>
      <c r="Z90" s="325">
        <f t="shared" si="44"/>
        <v>42.6</v>
      </c>
      <c r="AA90" s="389"/>
      <c r="AB90" s="3">
        <v>94.680695999999998</v>
      </c>
      <c r="AC90" s="3"/>
      <c r="AD90" s="325">
        <v>6.42</v>
      </c>
      <c r="AE90" s="325">
        <f t="shared" si="45"/>
        <v>12831.601325399999</v>
      </c>
      <c r="AF90" s="325">
        <v>38.49</v>
      </c>
      <c r="AG90" s="325">
        <v>6.42</v>
      </c>
      <c r="AH90" s="325">
        <f t="shared" si="46"/>
        <v>12786.691325399999</v>
      </c>
      <c r="AI90" s="325">
        <f t="shared" si="47"/>
        <v>698.34225816224898</v>
      </c>
      <c r="AJ90" s="325">
        <f t="shared" si="48"/>
        <v>610.83225816224694</v>
      </c>
      <c r="AK90" s="325">
        <f t="shared" si="49"/>
        <v>919.96413316224687</v>
      </c>
      <c r="AL90">
        <f t="shared" si="50"/>
        <v>189</v>
      </c>
      <c r="AM90" s="411">
        <f t="shared" si="51"/>
        <v>7.5556404528173665E-2</v>
      </c>
      <c r="AN90" s="411">
        <f t="shared" si="52"/>
        <v>0.14591580768668461</v>
      </c>
      <c r="AO90" s="411">
        <f t="shared" si="53"/>
        <v>0.15104036383309549</v>
      </c>
      <c r="AP90" s="384">
        <f>TitulosVendidos[[#This Row],[Comisión Santa Fe
Venta]]+TitulosVendidos[[#This Row],[Comisión Santa Fé
Compra]]</f>
        <v>75.02000000000001</v>
      </c>
      <c r="AQ90" s="385"/>
    </row>
    <row r="91" spans="2:43" x14ac:dyDescent="0.25">
      <c r="B91" s="328">
        <v>45203</v>
      </c>
      <c r="C91" s="328" t="s">
        <v>233</v>
      </c>
      <c r="D91" t="s">
        <v>47</v>
      </c>
      <c r="E91" s="328">
        <v>45173</v>
      </c>
      <c r="F91" s="328">
        <v>45190</v>
      </c>
      <c r="G91" s="328">
        <v>45037</v>
      </c>
      <c r="H91" s="328">
        <v>47229</v>
      </c>
      <c r="I91" s="3">
        <v>5.36</v>
      </c>
      <c r="J91" s="3">
        <f t="shared" si="36"/>
        <v>7.359450372932681</v>
      </c>
      <c r="K91" s="3">
        <v>12.5</v>
      </c>
      <c r="L91" s="325">
        <f t="shared" si="37"/>
        <v>13.609933333333332</v>
      </c>
      <c r="M91" s="325">
        <f t="shared" si="38"/>
        <v>7.2599333333333327</v>
      </c>
      <c r="N91">
        <f t="shared" si="39"/>
        <v>0</v>
      </c>
      <c r="O91" s="325"/>
      <c r="P91" s="325">
        <f t="shared" si="40"/>
        <v>7.2599333333333327</v>
      </c>
      <c r="Q91" s="325">
        <v>3047</v>
      </c>
      <c r="R91" s="3">
        <v>72.159061120000004</v>
      </c>
      <c r="S91" s="3">
        <v>72.831525839396122</v>
      </c>
      <c r="T91" s="325">
        <f t="shared" si="41"/>
        <v>2198.6865923263999</v>
      </c>
      <c r="U91" s="325">
        <f t="shared" si="42"/>
        <v>2219.1765923263997</v>
      </c>
      <c r="V91" s="325">
        <f t="shared" si="43"/>
        <v>2225.5265923263996</v>
      </c>
      <c r="W91" s="325">
        <v>6.35</v>
      </c>
      <c r="X91" s="325">
        <v>16.489999999999998</v>
      </c>
      <c r="Y91" s="325">
        <v>4</v>
      </c>
      <c r="Z91" s="325">
        <f t="shared" si="44"/>
        <v>20.49</v>
      </c>
      <c r="AA91" s="389"/>
      <c r="AB91" s="3">
        <v>76.594774000000001</v>
      </c>
      <c r="AC91" s="3"/>
      <c r="AD91" s="325">
        <v>6.35</v>
      </c>
      <c r="AE91" s="325">
        <f t="shared" si="45"/>
        <v>2333.84276378</v>
      </c>
      <c r="AF91" s="325">
        <v>7</v>
      </c>
      <c r="AG91" s="325">
        <v>4</v>
      </c>
      <c r="AH91" s="325">
        <f t="shared" si="46"/>
        <v>2322.84276378</v>
      </c>
      <c r="AI91" s="325">
        <f t="shared" si="47"/>
        <v>135.15617145360011</v>
      </c>
      <c r="AJ91" s="325">
        <f t="shared" si="48"/>
        <v>103.66617145360033</v>
      </c>
      <c r="AK91" s="325">
        <f t="shared" si="49"/>
        <v>117.27610478693366</v>
      </c>
      <c r="AL91">
        <f t="shared" si="50"/>
        <v>30</v>
      </c>
      <c r="AM91" s="411">
        <f t="shared" si="51"/>
        <v>5.2846675290491939E-2</v>
      </c>
      <c r="AN91" s="411">
        <f t="shared" si="52"/>
        <v>0.64296788270098526</v>
      </c>
      <c r="AO91" s="411">
        <f t="shared" si="53"/>
        <v>0.87115206049915361</v>
      </c>
      <c r="AP91" s="384">
        <f>TitulosVendidos[[#This Row],[Comisión Santa Fe
Venta]]+TitulosVendidos[[#This Row],[Comisión Santa Fé
Compra]]</f>
        <v>23.49</v>
      </c>
      <c r="AQ91" s="385"/>
    </row>
    <row r="92" spans="2:43" x14ac:dyDescent="0.25">
      <c r="B92" s="328">
        <v>45203</v>
      </c>
      <c r="C92" s="328" t="s">
        <v>233</v>
      </c>
      <c r="D92" t="s">
        <v>47</v>
      </c>
      <c r="E92" s="328">
        <v>45173</v>
      </c>
      <c r="F92" s="328">
        <v>45195</v>
      </c>
      <c r="G92" s="328">
        <v>45042</v>
      </c>
      <c r="H92" s="328">
        <v>46869</v>
      </c>
      <c r="I92" s="3">
        <v>5.07</v>
      </c>
      <c r="J92" s="3">
        <f t="shared" si="36"/>
        <v>6.579605025140137</v>
      </c>
      <c r="K92" s="3">
        <v>12</v>
      </c>
      <c r="L92" s="325">
        <f t="shared" si="37"/>
        <v>41.827500000000001</v>
      </c>
      <c r="M92" s="325">
        <f t="shared" si="38"/>
        <v>29.2775</v>
      </c>
      <c r="N92">
        <f t="shared" si="39"/>
        <v>0</v>
      </c>
      <c r="O92" s="325"/>
      <c r="P92" s="325">
        <f t="shared" si="40"/>
        <v>29.2775</v>
      </c>
      <c r="Q92" s="325">
        <v>9900</v>
      </c>
      <c r="R92" s="3">
        <v>76.448216349999996</v>
      </c>
      <c r="S92" s="3">
        <v>77.056297158080795</v>
      </c>
      <c r="T92" s="325">
        <f t="shared" si="41"/>
        <v>7568.3734186499996</v>
      </c>
      <c r="U92" s="325">
        <f t="shared" si="42"/>
        <v>7628.5734186499985</v>
      </c>
      <c r="V92" s="325">
        <f t="shared" si="43"/>
        <v>7641.1234186499987</v>
      </c>
      <c r="W92" s="325">
        <v>12.55</v>
      </c>
      <c r="X92" s="325">
        <v>56.2</v>
      </c>
      <c r="Y92" s="325">
        <v>4</v>
      </c>
      <c r="Z92" s="325">
        <f t="shared" si="44"/>
        <v>60.2</v>
      </c>
      <c r="AA92" s="389"/>
      <c r="AB92" s="3">
        <v>78.988888000000003</v>
      </c>
      <c r="AC92" s="3"/>
      <c r="AD92" s="325">
        <v>12.55</v>
      </c>
      <c r="AE92" s="325">
        <f t="shared" si="45"/>
        <v>7819.8999120000008</v>
      </c>
      <c r="AF92" s="325">
        <v>23.46</v>
      </c>
      <c r="AG92" s="325">
        <v>4</v>
      </c>
      <c r="AH92" s="325">
        <f t="shared" si="46"/>
        <v>7792.4399120000007</v>
      </c>
      <c r="AI92" s="325">
        <f t="shared" si="47"/>
        <v>251.52649335000115</v>
      </c>
      <c r="AJ92" s="325">
        <f t="shared" si="48"/>
        <v>163.8664933500022</v>
      </c>
      <c r="AK92" s="325">
        <f t="shared" si="49"/>
        <v>205.69399335000222</v>
      </c>
      <c r="AL92">
        <f t="shared" si="50"/>
        <v>30</v>
      </c>
      <c r="AM92" s="411">
        <f t="shared" si="51"/>
        <v>2.6963625053031626E-2</v>
      </c>
      <c r="AN92" s="411">
        <f t="shared" si="52"/>
        <v>0.32805743814521809</v>
      </c>
      <c r="AO92" s="411">
        <f t="shared" si="53"/>
        <v>0.3822499343204413</v>
      </c>
      <c r="AP92" s="384">
        <f>TitulosVendidos[[#This Row],[Comisión Santa Fe
Venta]]+TitulosVendidos[[#This Row],[Comisión Santa Fé
Compra]]</f>
        <v>79.66</v>
      </c>
      <c r="AQ92" s="385"/>
    </row>
    <row r="93" spans="2:43" x14ac:dyDescent="0.25">
      <c r="B93" s="328">
        <v>45203</v>
      </c>
      <c r="C93" s="328" t="s">
        <v>233</v>
      </c>
      <c r="D93" t="s">
        <v>47</v>
      </c>
      <c r="E93" s="328">
        <v>45173</v>
      </c>
      <c r="F93" s="328">
        <v>45202</v>
      </c>
      <c r="G93" s="328">
        <v>45110</v>
      </c>
      <c r="H93" s="328">
        <v>46937</v>
      </c>
      <c r="I93" s="3">
        <v>5.07</v>
      </c>
      <c r="J93" s="3">
        <f t="shared" si="36"/>
        <v>6.6414636162968694</v>
      </c>
      <c r="K93" s="3">
        <v>12</v>
      </c>
      <c r="L93" s="325">
        <f t="shared" si="37"/>
        <v>22.867812499999999</v>
      </c>
      <c r="M93" s="325">
        <f t="shared" si="38"/>
        <v>21.3478125</v>
      </c>
      <c r="N93">
        <f t="shared" si="39"/>
        <v>0</v>
      </c>
      <c r="O93" s="325"/>
      <c r="P93" s="325">
        <f t="shared" si="40"/>
        <v>21.3478125</v>
      </c>
      <c r="Q93" s="325">
        <v>5412.5</v>
      </c>
      <c r="R93" s="3">
        <v>75.696932000000004</v>
      </c>
      <c r="S93" s="3">
        <v>76.33859481755195</v>
      </c>
      <c r="T93" s="325">
        <f t="shared" si="41"/>
        <v>4097.0964445</v>
      </c>
      <c r="U93" s="325">
        <f t="shared" si="42"/>
        <v>4131.8264444999986</v>
      </c>
      <c r="V93" s="325">
        <f t="shared" si="43"/>
        <v>4133.3464444999991</v>
      </c>
      <c r="W93" s="325">
        <v>1.52</v>
      </c>
      <c r="X93" s="325">
        <v>30.73</v>
      </c>
      <c r="Y93" s="325">
        <v>4</v>
      </c>
      <c r="Z93" s="325">
        <f t="shared" si="44"/>
        <v>34.730000000000004</v>
      </c>
      <c r="AA93" s="389"/>
      <c r="AB93" s="3">
        <v>78.289547999999996</v>
      </c>
      <c r="AC93" s="3"/>
      <c r="AD93" s="325">
        <v>1.52</v>
      </c>
      <c r="AE93" s="325">
        <f t="shared" si="45"/>
        <v>4237.4217854999997</v>
      </c>
      <c r="AF93" s="325">
        <v>12.71</v>
      </c>
      <c r="AG93" s="325">
        <v>4</v>
      </c>
      <c r="AH93" s="325">
        <f t="shared" si="46"/>
        <v>4220.7117854999997</v>
      </c>
      <c r="AI93" s="325">
        <f t="shared" si="47"/>
        <v>140.32534099999975</v>
      </c>
      <c r="AJ93" s="325">
        <f t="shared" si="48"/>
        <v>88.885341000001063</v>
      </c>
      <c r="AK93" s="325">
        <f t="shared" si="49"/>
        <v>111.75315350000106</v>
      </c>
      <c r="AL93">
        <f t="shared" si="50"/>
        <v>30</v>
      </c>
      <c r="AM93" s="411">
        <f t="shared" si="51"/>
        <v>2.7046913756205593E-2</v>
      </c>
      <c r="AN93" s="411">
        <f t="shared" si="52"/>
        <v>0.32907078403383472</v>
      </c>
      <c r="AO93" s="411">
        <f t="shared" si="53"/>
        <v>0.3836144731321689</v>
      </c>
      <c r="AP93" s="384">
        <f>TitulosVendidos[[#This Row],[Comisión Santa Fe
Venta]]+TitulosVendidos[[#This Row],[Comisión Santa Fé
Compra]]</f>
        <v>43.44</v>
      </c>
      <c r="AQ93" s="385"/>
    </row>
    <row r="94" spans="2:43" x14ac:dyDescent="0.25">
      <c r="B94" s="328">
        <v>45203</v>
      </c>
      <c r="C94" s="328" t="s">
        <v>233</v>
      </c>
      <c r="D94" t="s">
        <v>47</v>
      </c>
      <c r="E94" s="328">
        <v>45139</v>
      </c>
      <c r="F94" s="328">
        <v>45158</v>
      </c>
      <c r="G94" s="328">
        <v>43728</v>
      </c>
      <c r="H94" s="328">
        <v>46285</v>
      </c>
      <c r="I94" s="3">
        <v>5.64</v>
      </c>
      <c r="J94" s="3">
        <f t="shared" si="36"/>
        <v>6.6837475228745236</v>
      </c>
      <c r="K94" s="3">
        <v>13</v>
      </c>
      <c r="L94" s="325">
        <f t="shared" si="37"/>
        <v>17.671999999999997</v>
      </c>
      <c r="M94" s="325">
        <f t="shared" si="38"/>
        <v>10.601999999999997</v>
      </c>
      <c r="N94">
        <f t="shared" si="39"/>
        <v>1</v>
      </c>
      <c r="O94" s="325"/>
      <c r="P94" s="325">
        <f t="shared" si="40"/>
        <v>28.273999999999994</v>
      </c>
      <c r="Q94" s="325">
        <v>3760</v>
      </c>
      <c r="R94" s="3">
        <v>83.745500000000007</v>
      </c>
      <c r="S94" s="3">
        <v>84.383797872340423</v>
      </c>
      <c r="T94" s="325">
        <f t="shared" si="41"/>
        <v>3148.8308000000002</v>
      </c>
      <c r="U94" s="325">
        <f t="shared" si="42"/>
        <v>3172.8308000000002</v>
      </c>
      <c r="V94" s="325">
        <f t="shared" si="43"/>
        <v>3179.9008000000003</v>
      </c>
      <c r="W94" s="325">
        <v>7.07</v>
      </c>
      <c r="X94" s="325">
        <v>20</v>
      </c>
      <c r="Y94" s="325">
        <v>4</v>
      </c>
      <c r="Z94" s="325">
        <f t="shared" si="44"/>
        <v>24</v>
      </c>
      <c r="AA94" s="389"/>
      <c r="AB94" s="3">
        <v>88.059096999999994</v>
      </c>
      <c r="AC94" s="3"/>
      <c r="AD94" s="325">
        <v>8.84</v>
      </c>
      <c r="AE94" s="325">
        <f t="shared" si="45"/>
        <v>3311.0220471999996</v>
      </c>
      <c r="AF94" s="325">
        <v>9.93</v>
      </c>
      <c r="AG94" s="325">
        <v>4</v>
      </c>
      <c r="AH94" s="325">
        <f t="shared" si="46"/>
        <v>3297.0920471999998</v>
      </c>
      <c r="AI94" s="325">
        <f t="shared" si="47"/>
        <v>162.19124719999945</v>
      </c>
      <c r="AJ94" s="325">
        <f t="shared" si="48"/>
        <v>124.26124719999962</v>
      </c>
      <c r="AK94" s="325">
        <f t="shared" si="49"/>
        <v>161.37524719999962</v>
      </c>
      <c r="AL94">
        <f t="shared" si="50"/>
        <v>64</v>
      </c>
      <c r="AM94" s="411">
        <f t="shared" si="51"/>
        <v>5.0861598796884983E-2</v>
      </c>
      <c r="AN94" s="411">
        <f t="shared" si="52"/>
        <v>0.29007005563848465</v>
      </c>
      <c r="AO94" s="411">
        <f t="shared" si="53"/>
        <v>0.32701797508479369</v>
      </c>
      <c r="AP94" s="384">
        <f>TitulosVendidos[[#This Row],[Comisión Santa Fe
Venta]]+TitulosVendidos[[#This Row],[Comisión Santa Fé
Compra]]</f>
        <v>29.93</v>
      </c>
      <c r="AQ94" s="385"/>
    </row>
    <row r="95" spans="2:43" x14ac:dyDescent="0.25">
      <c r="B95" s="328">
        <v>45203</v>
      </c>
      <c r="C95" s="328" t="s">
        <v>233</v>
      </c>
      <c r="D95" t="s">
        <v>289</v>
      </c>
      <c r="E95" s="328">
        <v>45167</v>
      </c>
      <c r="F95" s="328">
        <v>45190</v>
      </c>
      <c r="G95" s="328">
        <v>45037</v>
      </c>
      <c r="H95" s="328">
        <v>47229</v>
      </c>
      <c r="I95" s="3">
        <v>5.36</v>
      </c>
      <c r="J95" s="3">
        <f t="shared" si="36"/>
        <v>7.3936015502011774</v>
      </c>
      <c r="K95" s="3">
        <v>12.5</v>
      </c>
      <c r="L95" s="325">
        <f t="shared" si="37"/>
        <v>64.766666666666666</v>
      </c>
      <c r="M95" s="325">
        <f t="shared" si="38"/>
        <v>47.49666666666667</v>
      </c>
      <c r="N95">
        <f t="shared" si="39"/>
        <v>0</v>
      </c>
      <c r="O95" s="325"/>
      <c r="P95" s="325">
        <f t="shared" si="40"/>
        <v>47.49666666666667</v>
      </c>
      <c r="Q95" s="325">
        <v>14500</v>
      </c>
      <c r="R95" s="3">
        <v>72.098563999999996</v>
      </c>
      <c r="S95" s="3">
        <v>72.495115724137932</v>
      </c>
      <c r="T95" s="325">
        <f t="shared" si="41"/>
        <v>10454.29178</v>
      </c>
      <c r="U95" s="325">
        <f t="shared" si="42"/>
        <v>10511.791780000001</v>
      </c>
      <c r="V95" s="325">
        <f t="shared" si="43"/>
        <v>10529.061780000002</v>
      </c>
      <c r="W95" s="325">
        <v>17.27</v>
      </c>
      <c r="X95" s="325">
        <v>52.27</v>
      </c>
      <c r="Y95" s="325">
        <v>5.23</v>
      </c>
      <c r="Z95" s="325">
        <f t="shared" si="44"/>
        <v>57.5</v>
      </c>
      <c r="AA95" s="389"/>
      <c r="AB95" s="3">
        <v>76.594774000000001</v>
      </c>
      <c r="AC95" s="3"/>
      <c r="AD95" s="325">
        <v>30.22</v>
      </c>
      <c r="AE95" s="325">
        <f t="shared" si="45"/>
        <v>11106.24223</v>
      </c>
      <c r="AF95" s="325">
        <v>33.32</v>
      </c>
      <c r="AG95" s="325">
        <v>5.55</v>
      </c>
      <c r="AH95" s="325">
        <f t="shared" si="46"/>
        <v>11067.372230000001</v>
      </c>
      <c r="AI95" s="325">
        <f t="shared" si="47"/>
        <v>651.95045000000027</v>
      </c>
      <c r="AJ95" s="325">
        <f t="shared" si="48"/>
        <v>555.58044999999947</v>
      </c>
      <c r="AK95" s="325">
        <f t="shared" si="49"/>
        <v>633.29711666666617</v>
      </c>
      <c r="AL95">
        <f t="shared" si="50"/>
        <v>36</v>
      </c>
      <c r="AM95" s="411">
        <f t="shared" si="51"/>
        <v>6.0246352850290771E-2</v>
      </c>
      <c r="AN95" s="411">
        <f t="shared" si="52"/>
        <v>0.61083107750989252</v>
      </c>
      <c r="AO95" s="411">
        <f t="shared" si="53"/>
        <v>0.80965835587237422</v>
      </c>
      <c r="AP95" s="384">
        <f>TitulosVendidos[[#This Row],[Comisión Santa Fe
Venta]]+TitulosVendidos[[#This Row],[Comisión Santa Fé
Compra]]</f>
        <v>85.59</v>
      </c>
      <c r="AQ95" s="385"/>
    </row>
    <row r="96" spans="2:43" x14ac:dyDescent="0.25">
      <c r="B96" s="328">
        <v>45026</v>
      </c>
      <c r="C96" s="328" t="s">
        <v>233</v>
      </c>
      <c r="D96" t="s">
        <v>46</v>
      </c>
      <c r="E96" s="328">
        <v>44491</v>
      </c>
      <c r="F96" s="328">
        <v>44497</v>
      </c>
      <c r="G96" s="328">
        <v>44467</v>
      </c>
      <c r="H96" s="328">
        <v>47024</v>
      </c>
      <c r="I96" s="3">
        <v>5.64</v>
      </c>
      <c r="J96" s="3">
        <f t="shared" si="36"/>
        <v>6.4641759722911489</v>
      </c>
      <c r="K96" s="3">
        <v>8.1999999999999993</v>
      </c>
      <c r="L96" s="325">
        <f t="shared" si="37"/>
        <v>4.798559</v>
      </c>
      <c r="M96" s="325">
        <f t="shared" si="38"/>
        <v>-23.011440999999998</v>
      </c>
      <c r="N96">
        <f t="shared" si="39"/>
        <v>17</v>
      </c>
      <c r="O96" s="325"/>
      <c r="P96" s="325">
        <f t="shared" si="40"/>
        <v>58.564062</v>
      </c>
      <c r="Q96" s="325">
        <v>1020.97</v>
      </c>
      <c r="R96" s="3">
        <v>87.250100000000003</v>
      </c>
      <c r="S96" s="3">
        <v>87.250100000000003</v>
      </c>
      <c r="T96" s="325">
        <f t="shared" si="41"/>
        <v>890.79734597000004</v>
      </c>
      <c r="U96" s="325">
        <f t="shared" si="42"/>
        <v>890.79734597000004</v>
      </c>
      <c r="V96" s="325">
        <f t="shared" si="43"/>
        <v>918.60734596999998</v>
      </c>
      <c r="W96" s="325">
        <v>27.81</v>
      </c>
      <c r="X96" s="325">
        <v>6.6809800947750002</v>
      </c>
      <c r="Y96" s="325">
        <v>4</v>
      </c>
      <c r="Z96" s="325">
        <f t="shared" si="44"/>
        <v>10.680980094775</v>
      </c>
      <c r="AA96" s="389"/>
      <c r="AB96" s="3">
        <v>89.988799999999998</v>
      </c>
      <c r="AC96" s="3"/>
      <c r="AD96" s="325">
        <v>2.08</v>
      </c>
      <c r="AE96" s="325">
        <f t="shared" si="45"/>
        <v>918.75865135999993</v>
      </c>
      <c r="AF96" s="325">
        <v>30</v>
      </c>
      <c r="AG96" s="325">
        <v>4</v>
      </c>
      <c r="AH96" s="325">
        <f t="shared" si="46"/>
        <v>884.75865135999993</v>
      </c>
      <c r="AI96" s="325">
        <f t="shared" si="47"/>
        <v>27.961305389999893</v>
      </c>
      <c r="AJ96" s="325">
        <f t="shared" si="48"/>
        <v>-6.0386946100001069</v>
      </c>
      <c r="AK96" s="325">
        <f t="shared" si="49"/>
        <v>54.605367389999891</v>
      </c>
      <c r="AL96">
        <f t="shared" si="50"/>
        <v>535</v>
      </c>
      <c r="AM96" s="411">
        <f t="shared" si="51"/>
        <v>6.1299427571306291E-2</v>
      </c>
      <c r="AN96" s="411">
        <f t="shared" si="52"/>
        <v>4.1821104791638877E-2</v>
      </c>
      <c r="AO96" s="411">
        <f t="shared" si="53"/>
        <v>4.142439493240313E-2</v>
      </c>
      <c r="AP96" s="384">
        <f>TitulosVendidos[[#This Row],[Comisión Santa Fe
Venta]]+TitulosVendidos[[#This Row],[Comisión Santa Fé
Compra]]</f>
        <v>36.680980094775002</v>
      </c>
      <c r="AQ96" s="385"/>
    </row>
    <row r="97" spans="2:43" x14ac:dyDescent="0.25">
      <c r="B97" s="328">
        <v>45009</v>
      </c>
      <c r="C97" s="328" t="s">
        <v>233</v>
      </c>
      <c r="D97" t="s">
        <v>46</v>
      </c>
      <c r="E97" s="328">
        <v>44916</v>
      </c>
      <c r="F97" s="328">
        <v>44934</v>
      </c>
      <c r="G97" s="328">
        <v>44781</v>
      </c>
      <c r="H97" s="328">
        <v>46973</v>
      </c>
      <c r="I97" s="3">
        <v>5.36</v>
      </c>
      <c r="J97" s="3">
        <f t="shared" si="36"/>
        <v>6.4649518480052679</v>
      </c>
      <c r="K97" s="3">
        <v>9.5</v>
      </c>
      <c r="L97" s="325">
        <f t="shared" si="37"/>
        <v>58.513333333333328</v>
      </c>
      <c r="M97" s="325">
        <f t="shared" si="38"/>
        <v>33.153333333333329</v>
      </c>
      <c r="N97">
        <f t="shared" si="39"/>
        <v>2</v>
      </c>
      <c r="O97" s="325"/>
      <c r="P97" s="325">
        <f t="shared" si="40"/>
        <v>150.17999999999998</v>
      </c>
      <c r="Q97" s="325">
        <v>13100</v>
      </c>
      <c r="R97" s="3">
        <v>82.619427490000007</v>
      </c>
      <c r="S97" s="3">
        <v>82.908583482393666</v>
      </c>
      <c r="T97" s="325">
        <f t="shared" si="41"/>
        <v>10823.14500119</v>
      </c>
      <c r="U97" s="325">
        <f t="shared" si="42"/>
        <v>10861.024436193569</v>
      </c>
      <c r="V97" s="325">
        <f t="shared" si="43"/>
        <v>10886.38443619357</v>
      </c>
      <c r="W97" s="325">
        <v>25.36</v>
      </c>
      <c r="X97" s="325">
        <v>32.469435003569998</v>
      </c>
      <c r="Y97" s="325">
        <v>5.41</v>
      </c>
      <c r="Z97" s="325">
        <f t="shared" si="44"/>
        <v>37.879435003569995</v>
      </c>
      <c r="AA97" s="389"/>
      <c r="AB97" s="3">
        <v>88.958600000000004</v>
      </c>
      <c r="AC97" s="3"/>
      <c r="AD97" s="325">
        <v>39.01</v>
      </c>
      <c r="AE97" s="325">
        <f t="shared" si="45"/>
        <v>11653.576600000002</v>
      </c>
      <c r="AF97" s="325">
        <v>262</v>
      </c>
      <c r="AG97" s="325">
        <v>5.83</v>
      </c>
      <c r="AH97" s="325">
        <f t="shared" si="46"/>
        <v>11385.746600000002</v>
      </c>
      <c r="AI97" s="325">
        <f t="shared" si="47"/>
        <v>830.43159881000247</v>
      </c>
      <c r="AJ97" s="325">
        <f t="shared" si="48"/>
        <v>524.72216380643295</v>
      </c>
      <c r="AK97" s="325">
        <f t="shared" si="49"/>
        <v>713.91216380643289</v>
      </c>
      <c r="AL97">
        <f t="shared" si="50"/>
        <v>93</v>
      </c>
      <c r="AM97" s="411">
        <f t="shared" si="51"/>
        <v>6.5731567772499694E-2</v>
      </c>
      <c r="AN97" s="411">
        <f t="shared" si="52"/>
        <v>0.25797873373077834</v>
      </c>
      <c r="AO97" s="411">
        <f t="shared" si="53"/>
        <v>0.28383822114968771</v>
      </c>
      <c r="AP97" s="384">
        <f>TitulosVendidos[[#This Row],[Comisión Santa Fe
Venta]]+TitulosVendidos[[#This Row],[Comisión Santa Fé
Compra]]</f>
        <v>294.46943500356997</v>
      </c>
      <c r="AQ97" s="385"/>
    </row>
    <row r="98" spans="2:43" x14ac:dyDescent="0.25">
      <c r="B98" s="328">
        <v>45005</v>
      </c>
      <c r="C98" s="328" t="s">
        <v>233</v>
      </c>
      <c r="D98" t="s">
        <v>47</v>
      </c>
      <c r="E98" s="328">
        <v>44804</v>
      </c>
      <c r="F98" s="328">
        <v>44814</v>
      </c>
      <c r="G98" s="328">
        <v>44783</v>
      </c>
      <c r="H98" s="328">
        <v>46975</v>
      </c>
      <c r="I98" s="3">
        <v>5.36</v>
      </c>
      <c r="J98" s="3">
        <f t="shared" si="36"/>
        <v>6.6116027612547352</v>
      </c>
      <c r="K98" s="3">
        <v>9.85</v>
      </c>
      <c r="L98" s="325">
        <f t="shared" si="37"/>
        <v>26.889333333333337</v>
      </c>
      <c r="M98" s="325">
        <f t="shared" si="38"/>
        <v>8.0693333333333364</v>
      </c>
      <c r="N98">
        <f t="shared" si="39"/>
        <v>6</v>
      </c>
      <c r="O98" s="325"/>
      <c r="P98" s="325">
        <f t="shared" si="40"/>
        <v>169.40533333333335</v>
      </c>
      <c r="Q98" s="325">
        <v>6020</v>
      </c>
      <c r="R98" s="3">
        <v>80.817441860000002</v>
      </c>
      <c r="S98" s="3">
        <v>81.069601328903659</v>
      </c>
      <c r="T98" s="325">
        <f t="shared" si="41"/>
        <v>4865.2099999720003</v>
      </c>
      <c r="U98" s="325">
        <f t="shared" si="42"/>
        <v>4880.3900000000003</v>
      </c>
      <c r="V98" s="325">
        <f t="shared" si="43"/>
        <v>4899.21</v>
      </c>
      <c r="W98" s="325">
        <v>18.82</v>
      </c>
      <c r="X98" s="325">
        <v>30</v>
      </c>
      <c r="Y98" s="325">
        <v>4</v>
      </c>
      <c r="Z98" s="325">
        <f t="shared" si="44"/>
        <v>34</v>
      </c>
      <c r="AA98" s="389"/>
      <c r="AB98" s="3">
        <v>88.919700000000006</v>
      </c>
      <c r="AC98" s="3"/>
      <c r="AD98" s="325">
        <v>10.76</v>
      </c>
      <c r="AE98" s="325">
        <f t="shared" si="45"/>
        <v>5352.96594</v>
      </c>
      <c r="AF98" s="325">
        <v>120.4</v>
      </c>
      <c r="AG98" s="325">
        <v>4</v>
      </c>
      <c r="AH98" s="325">
        <f t="shared" si="46"/>
        <v>5228.5659400000004</v>
      </c>
      <c r="AI98" s="325">
        <f t="shared" si="47"/>
        <v>487.75594002799971</v>
      </c>
      <c r="AJ98" s="325">
        <f t="shared" si="48"/>
        <v>348.17594000000008</v>
      </c>
      <c r="AK98" s="325">
        <f t="shared" si="49"/>
        <v>528.34127333333345</v>
      </c>
      <c r="AL98">
        <f t="shared" si="50"/>
        <v>201</v>
      </c>
      <c r="AM98" s="411">
        <f t="shared" si="51"/>
        <v>0.10825800260498308</v>
      </c>
      <c r="AN98" s="411">
        <f t="shared" si="52"/>
        <v>0.19658791517820309</v>
      </c>
      <c r="AO98" s="411">
        <f t="shared" si="53"/>
        <v>0.20521430355814707</v>
      </c>
      <c r="AP98" s="384">
        <f>TitulosVendidos[[#This Row],[Comisión Santa Fe
Venta]]+TitulosVendidos[[#This Row],[Comisión Santa Fé
Compra]]</f>
        <v>150.4</v>
      </c>
      <c r="AQ98" s="385"/>
    </row>
    <row r="99" spans="2:43" x14ac:dyDescent="0.25">
      <c r="B99" s="328">
        <v>44999</v>
      </c>
      <c r="C99" s="328" t="s">
        <v>233</v>
      </c>
      <c r="D99" t="s">
        <v>46</v>
      </c>
      <c r="E99" s="328">
        <v>44917</v>
      </c>
      <c r="F99" s="328">
        <v>44923</v>
      </c>
      <c r="G99" s="328">
        <v>44832</v>
      </c>
      <c r="H99" s="328">
        <v>47024</v>
      </c>
      <c r="I99" s="3">
        <v>5.36</v>
      </c>
      <c r="J99" s="3">
        <f t="shared" ref="J99:J130" si="54">L99*12/U99*100</f>
        <v>6.5397424909382762</v>
      </c>
      <c r="K99" s="3">
        <v>9.67</v>
      </c>
      <c r="L99" s="325">
        <f t="shared" ref="L99:L130" si="55">Q99*I99/100/12</f>
        <v>25.253416666666666</v>
      </c>
      <c r="M99" s="325">
        <f t="shared" ref="M99:M130" si="56">L99-W99</f>
        <v>5.0534166666666671</v>
      </c>
      <c r="N99">
        <f t="shared" ref="N99:N130" si="57">IF(F99="", 0, IF(B99&gt;F99,INT((B99-F99)/30),0))</f>
        <v>2</v>
      </c>
      <c r="O99" s="325"/>
      <c r="P99" s="325">
        <f t="shared" ref="P99:P130" si="58">L99*N99+M99+IF(B99&gt;F99,O99,0)</f>
        <v>55.560249999999996</v>
      </c>
      <c r="Q99" s="325">
        <v>5653.75</v>
      </c>
      <c r="R99" s="3">
        <v>81.644729999999996</v>
      </c>
      <c r="S99" s="3">
        <v>81.960413692542573</v>
      </c>
      <c r="T99" s="325">
        <f t="shared" ref="T99:T130" si="59">Q99*R99/100</f>
        <v>4615.9889223749997</v>
      </c>
      <c r="U99" s="325">
        <f t="shared" ref="U99:U127" si="60">Q99*S99/100</f>
        <v>4633.836889142126</v>
      </c>
      <c r="V99" s="325">
        <f t="shared" ref="V99:V130" si="61">U99+W99</f>
        <v>4654.0368891421258</v>
      </c>
      <c r="W99" s="325">
        <v>20.2</v>
      </c>
      <c r="X99" s="325">
        <v>13.847966767125</v>
      </c>
      <c r="Y99" s="325">
        <v>4</v>
      </c>
      <c r="Z99" s="325">
        <f t="shared" ref="Z99:Z130" si="62">X99+Y99</f>
        <v>17.847966767125001</v>
      </c>
      <c r="AA99" s="389"/>
      <c r="AB99" s="3">
        <v>88.654296790000004</v>
      </c>
      <c r="AC99" s="3"/>
      <c r="AD99" s="325">
        <v>14.31</v>
      </c>
      <c r="AE99" s="325">
        <f t="shared" ref="AE99:AE130" si="63">AB99*Q99/100</f>
        <v>5012.2923047646254</v>
      </c>
      <c r="AF99" s="325">
        <v>113.08</v>
      </c>
      <c r="AG99" s="325">
        <v>4</v>
      </c>
      <c r="AH99" s="325">
        <f t="shared" ref="AH99:AH130" si="64">AE99-AF99-AG99</f>
        <v>4895.2123047646255</v>
      </c>
      <c r="AI99" s="325">
        <f t="shared" ref="AI99:AI130" si="65">AE99-T99</f>
        <v>396.30338238962577</v>
      </c>
      <c r="AJ99" s="325">
        <f t="shared" ref="AJ99:AJ128" si="66">AH99-U99</f>
        <v>261.37541562249953</v>
      </c>
      <c r="AK99" s="325">
        <f t="shared" ref="AK99:AK130" si="67">AJ99+P99+AD99</f>
        <v>331.24566562249953</v>
      </c>
      <c r="AL99">
        <f t="shared" ref="AL99:AL130" si="68">B99-E99</f>
        <v>82</v>
      </c>
      <c r="AM99" s="411">
        <f t="shared" ref="AM99:AM130" si="69">AK99/U99</f>
        <v>7.148410130677342E-2</v>
      </c>
      <c r="AN99" s="411">
        <f t="shared" ref="AN99:AN130" si="70">AK99/U99*365/AL99</f>
        <v>0.31819142654844268</v>
      </c>
      <c r="AO99" s="411">
        <f t="shared" ref="AO99:AO130" si="71">POWER((1+AM99),(365/AL99))-1</f>
        <v>0.35979384960542315</v>
      </c>
      <c r="AP99" s="384">
        <f>TitulosVendidos[[#This Row],[Comisión Santa Fe
Venta]]+TitulosVendidos[[#This Row],[Comisión Santa Fé
Compra]]</f>
        <v>126.927966767125</v>
      </c>
      <c r="AQ99" s="385"/>
    </row>
    <row r="100" spans="2:43" x14ac:dyDescent="0.25">
      <c r="B100" s="328">
        <v>44999</v>
      </c>
      <c r="C100" s="328" t="s">
        <v>233</v>
      </c>
      <c r="D100" t="s">
        <v>47</v>
      </c>
      <c r="E100" s="328">
        <v>44930</v>
      </c>
      <c r="F100" s="328">
        <v>44954</v>
      </c>
      <c r="G100" s="328">
        <v>44832</v>
      </c>
      <c r="H100" s="328">
        <v>45928</v>
      </c>
      <c r="I100" s="3">
        <v>4.3</v>
      </c>
      <c r="J100" s="3">
        <f t="shared" si="54"/>
        <v>4.9513817016898294</v>
      </c>
      <c r="K100" s="3">
        <v>10.5</v>
      </c>
      <c r="L100" s="325">
        <f t="shared" si="55"/>
        <v>24.841458333333335</v>
      </c>
      <c r="M100" s="325">
        <f t="shared" si="56"/>
        <v>19.041458333333335</v>
      </c>
      <c r="N100">
        <f t="shared" si="57"/>
        <v>1</v>
      </c>
      <c r="O100" s="325"/>
      <c r="P100" s="325">
        <f t="shared" si="58"/>
        <v>43.882916666666674</v>
      </c>
      <c r="Q100" s="325">
        <v>6932.5</v>
      </c>
      <c r="R100" s="3">
        <v>86.527100000000004</v>
      </c>
      <c r="S100" s="3">
        <v>86.844445834835923</v>
      </c>
      <c r="T100" s="325">
        <f t="shared" si="59"/>
        <v>5998.4912075000002</v>
      </c>
      <c r="U100" s="325">
        <f t="shared" si="60"/>
        <v>6020.4912075000002</v>
      </c>
      <c r="V100" s="325">
        <f t="shared" si="61"/>
        <v>6026.2912075000004</v>
      </c>
      <c r="W100" s="325">
        <v>5.8</v>
      </c>
      <c r="X100" s="325">
        <v>18</v>
      </c>
      <c r="Y100" s="325">
        <v>4</v>
      </c>
      <c r="Z100" s="325">
        <f t="shared" si="62"/>
        <v>22</v>
      </c>
      <c r="AA100" s="389"/>
      <c r="AB100" s="3">
        <v>93.302435029999998</v>
      </c>
      <c r="AC100" s="3"/>
      <c r="AD100" s="325">
        <v>14.08</v>
      </c>
      <c r="AE100" s="325">
        <f t="shared" si="63"/>
        <v>6468.1913084547505</v>
      </c>
      <c r="AF100" s="325">
        <v>138.65</v>
      </c>
      <c r="AG100" s="325">
        <v>4</v>
      </c>
      <c r="AH100" s="325">
        <f t="shared" si="64"/>
        <v>6325.5413084547508</v>
      </c>
      <c r="AI100" s="325">
        <f t="shared" si="65"/>
        <v>469.70010095475027</v>
      </c>
      <c r="AJ100" s="325">
        <f t="shared" si="66"/>
        <v>305.05010095475063</v>
      </c>
      <c r="AK100" s="325">
        <f t="shared" si="67"/>
        <v>363.0130176214173</v>
      </c>
      <c r="AL100">
        <f t="shared" si="68"/>
        <v>69</v>
      </c>
      <c r="AM100" s="411">
        <f t="shared" si="69"/>
        <v>6.0296245789578672E-2</v>
      </c>
      <c r="AN100" s="411">
        <f t="shared" si="70"/>
        <v>0.31895840164052486</v>
      </c>
      <c r="AO100" s="411">
        <f t="shared" si="71"/>
        <v>0.3630328672526324</v>
      </c>
      <c r="AP100" s="384">
        <f>TitulosVendidos[[#This Row],[Comisión Santa Fe
Venta]]+TitulosVendidos[[#This Row],[Comisión Santa Fé
Compra]]</f>
        <v>156.65</v>
      </c>
      <c r="AQ100" s="385"/>
    </row>
    <row r="101" spans="2:43" x14ac:dyDescent="0.25">
      <c r="B101" s="328">
        <v>44991</v>
      </c>
      <c r="C101" s="328" t="s">
        <v>233</v>
      </c>
      <c r="D101" t="s">
        <v>47</v>
      </c>
      <c r="E101" s="328">
        <v>44902</v>
      </c>
      <c r="F101" s="328">
        <v>44927</v>
      </c>
      <c r="G101" s="328">
        <v>44866</v>
      </c>
      <c r="H101" s="328">
        <v>47788</v>
      </c>
      <c r="I101" s="3">
        <v>5.93</v>
      </c>
      <c r="J101" s="3">
        <f t="shared" si="54"/>
        <v>7.2029779954845798</v>
      </c>
      <c r="K101" s="3">
        <v>9.5</v>
      </c>
      <c r="L101" s="325">
        <f t="shared" si="55"/>
        <v>229.04624999999999</v>
      </c>
      <c r="M101" s="325">
        <f t="shared" si="56"/>
        <v>183.23624999999998</v>
      </c>
      <c r="N101">
        <f t="shared" si="57"/>
        <v>2</v>
      </c>
      <c r="O101" s="325"/>
      <c r="P101" s="325">
        <f t="shared" si="58"/>
        <v>641.3287499999999</v>
      </c>
      <c r="Q101" s="325">
        <v>46350</v>
      </c>
      <c r="R101" s="3">
        <v>82.039918459999996</v>
      </c>
      <c r="S101" s="3">
        <v>82.327059776073341</v>
      </c>
      <c r="T101" s="325">
        <f t="shared" si="59"/>
        <v>38025.502206209996</v>
      </c>
      <c r="U101" s="325">
        <f t="shared" si="60"/>
        <v>38158.592206209993</v>
      </c>
      <c r="V101" s="325">
        <f t="shared" si="61"/>
        <v>38204.40220620999</v>
      </c>
      <c r="W101" s="325">
        <v>45.81</v>
      </c>
      <c r="X101" s="325">
        <v>114.08</v>
      </c>
      <c r="Y101" s="325">
        <v>19.010000000000002</v>
      </c>
      <c r="Z101" s="325">
        <f t="shared" si="62"/>
        <v>133.09</v>
      </c>
      <c r="AA101" s="389"/>
      <c r="AB101" s="3">
        <v>88.429304999999999</v>
      </c>
      <c r="AC101" s="3"/>
      <c r="AD101" s="325">
        <v>45.81</v>
      </c>
      <c r="AE101" s="325">
        <f t="shared" si="63"/>
        <v>40986.982867500003</v>
      </c>
      <c r="AF101" s="325">
        <v>927</v>
      </c>
      <c r="AG101" s="325">
        <v>20.49</v>
      </c>
      <c r="AH101" s="325">
        <f t="shared" si="64"/>
        <v>40039.492867500005</v>
      </c>
      <c r="AI101" s="325">
        <f t="shared" si="65"/>
        <v>2961.4806612900065</v>
      </c>
      <c r="AJ101" s="325">
        <f t="shared" si="66"/>
        <v>1880.9006612900121</v>
      </c>
      <c r="AK101" s="325">
        <f t="shared" si="67"/>
        <v>2568.0394112900117</v>
      </c>
      <c r="AL101">
        <f t="shared" si="68"/>
        <v>89</v>
      </c>
      <c r="AM101" s="411">
        <f t="shared" si="69"/>
        <v>6.7299113065080129E-2</v>
      </c>
      <c r="AN101" s="411">
        <f t="shared" si="70"/>
        <v>0.27600198054780056</v>
      </c>
      <c r="AO101" s="411">
        <f t="shared" si="71"/>
        <v>0.30618589941119034</v>
      </c>
      <c r="AP101" s="384">
        <f>TitulosVendidos[[#This Row],[Comisión Santa Fe
Venta]]+TitulosVendidos[[#This Row],[Comisión Santa Fé
Compra]]</f>
        <v>1041.08</v>
      </c>
      <c r="AQ101" s="385"/>
    </row>
    <row r="102" spans="2:43" x14ac:dyDescent="0.25">
      <c r="B102" s="328">
        <v>44979</v>
      </c>
      <c r="C102" s="328" t="s">
        <v>233</v>
      </c>
      <c r="D102" t="s">
        <v>46</v>
      </c>
      <c r="E102" s="328">
        <v>44916</v>
      </c>
      <c r="F102" s="328">
        <v>44944</v>
      </c>
      <c r="G102" s="328">
        <v>44883</v>
      </c>
      <c r="H102" s="328">
        <v>45614</v>
      </c>
      <c r="I102" s="3">
        <v>3.82</v>
      </c>
      <c r="J102" s="3">
        <f t="shared" si="54"/>
        <v>4.1660081344438478</v>
      </c>
      <c r="K102" s="3">
        <v>9.5</v>
      </c>
      <c r="L102" s="325">
        <f t="shared" si="55"/>
        <v>9.4067500000000006</v>
      </c>
      <c r="M102" s="325">
        <f t="shared" si="56"/>
        <v>8.4667500000000011</v>
      </c>
      <c r="N102">
        <f t="shared" si="57"/>
        <v>1</v>
      </c>
      <c r="O102" s="325"/>
      <c r="P102" s="325">
        <f t="shared" si="58"/>
        <v>17.8735</v>
      </c>
      <c r="Q102" s="325">
        <v>2955</v>
      </c>
      <c r="R102" s="3">
        <v>91.331040329999993</v>
      </c>
      <c r="S102" s="3">
        <v>91.694492106649733</v>
      </c>
      <c r="T102" s="325">
        <f t="shared" si="59"/>
        <v>2698.8322417514996</v>
      </c>
      <c r="U102" s="325">
        <f t="shared" si="60"/>
        <v>2709.5722417514999</v>
      </c>
      <c r="V102" s="325">
        <f t="shared" si="61"/>
        <v>2710.5122417514999</v>
      </c>
      <c r="W102" s="325">
        <v>0.94</v>
      </c>
      <c r="X102" s="325">
        <v>9.39</v>
      </c>
      <c r="Y102" s="325">
        <v>1.35</v>
      </c>
      <c r="Z102" s="325">
        <f t="shared" si="62"/>
        <v>10.74</v>
      </c>
      <c r="AA102" s="389"/>
      <c r="AB102" s="3">
        <v>95.25649507</v>
      </c>
      <c r="AC102" s="3"/>
      <c r="AD102" s="325">
        <v>1.57</v>
      </c>
      <c r="AE102" s="325">
        <f t="shared" si="63"/>
        <v>2814.8294293184999</v>
      </c>
      <c r="AF102" s="325">
        <v>59.1</v>
      </c>
      <c r="AG102" s="325">
        <v>4</v>
      </c>
      <c r="AH102" s="325">
        <f t="shared" si="64"/>
        <v>2751.7294293185</v>
      </c>
      <c r="AI102" s="325">
        <f t="shared" si="65"/>
        <v>115.99718756700031</v>
      </c>
      <c r="AJ102" s="325">
        <f t="shared" si="66"/>
        <v>42.157187567000165</v>
      </c>
      <c r="AK102" s="325">
        <f t="shared" si="67"/>
        <v>61.600687567000165</v>
      </c>
      <c r="AL102">
        <f t="shared" si="68"/>
        <v>63</v>
      </c>
      <c r="AM102" s="411">
        <f t="shared" si="69"/>
        <v>2.2734469529102033E-2</v>
      </c>
      <c r="AN102" s="411">
        <f t="shared" si="70"/>
        <v>0.13171557743051179</v>
      </c>
      <c r="AO102" s="411">
        <f t="shared" si="71"/>
        <v>0.13910247328491421</v>
      </c>
      <c r="AP102" s="384">
        <f>TitulosVendidos[[#This Row],[Comisión Santa Fe
Venta]]+TitulosVendidos[[#This Row],[Comisión Santa Fé
Compra]]</f>
        <v>68.490000000000009</v>
      </c>
      <c r="AQ102" s="385"/>
    </row>
    <row r="103" spans="2:43" x14ac:dyDescent="0.25">
      <c r="B103" s="328">
        <v>44972</v>
      </c>
      <c r="C103" s="328" t="s">
        <v>233</v>
      </c>
      <c r="D103" t="s">
        <v>48</v>
      </c>
      <c r="E103" s="328">
        <v>44853</v>
      </c>
      <c r="F103" s="328">
        <v>44873</v>
      </c>
      <c r="G103" s="328">
        <v>44781</v>
      </c>
      <c r="H103" s="328">
        <v>47338</v>
      </c>
      <c r="I103" s="3">
        <v>5.64</v>
      </c>
      <c r="J103" s="3">
        <f t="shared" si="54"/>
        <v>7.3795426903518226</v>
      </c>
      <c r="K103" s="3">
        <v>11</v>
      </c>
      <c r="L103" s="325">
        <f t="shared" si="55"/>
        <v>23.5</v>
      </c>
      <c r="M103" s="325">
        <f t="shared" si="56"/>
        <v>14.88</v>
      </c>
      <c r="N103">
        <f t="shared" si="57"/>
        <v>3</v>
      </c>
      <c r="O103" s="325"/>
      <c r="P103" s="325">
        <f t="shared" si="58"/>
        <v>85.38</v>
      </c>
      <c r="Q103" s="325">
        <v>5000</v>
      </c>
      <c r="R103" s="3">
        <v>75.745700139999997</v>
      </c>
      <c r="S103" s="3">
        <v>76.427500140000006</v>
      </c>
      <c r="T103" s="325">
        <f t="shared" si="59"/>
        <v>3787.285007</v>
      </c>
      <c r="U103" s="325">
        <f t="shared" si="60"/>
        <v>3821.3750070000006</v>
      </c>
      <c r="V103" s="325">
        <f t="shared" si="61"/>
        <v>3829.9950070000004</v>
      </c>
      <c r="W103" s="325">
        <v>8.6199999999999992</v>
      </c>
      <c r="X103" s="325">
        <v>30.09</v>
      </c>
      <c r="Y103" s="325">
        <v>4</v>
      </c>
      <c r="Z103" s="325">
        <f t="shared" si="62"/>
        <v>34.090000000000003</v>
      </c>
      <c r="AA103" s="389"/>
      <c r="AB103" s="3">
        <v>88.388979000000006</v>
      </c>
      <c r="AC103" s="3"/>
      <c r="AD103" s="325">
        <v>6.27</v>
      </c>
      <c r="AE103" s="325">
        <f t="shared" si="63"/>
        <v>4419.44895</v>
      </c>
      <c r="AF103" s="325">
        <v>100</v>
      </c>
      <c r="AG103" s="325">
        <v>4</v>
      </c>
      <c r="AH103" s="325">
        <f t="shared" si="64"/>
        <v>4315.44895</v>
      </c>
      <c r="AI103" s="325">
        <f t="shared" si="65"/>
        <v>632.16394300000002</v>
      </c>
      <c r="AJ103" s="325">
        <f t="shared" si="66"/>
        <v>494.07394299999942</v>
      </c>
      <c r="AK103" s="325">
        <f t="shared" si="67"/>
        <v>585.72394299999939</v>
      </c>
      <c r="AL103">
        <f t="shared" si="68"/>
        <v>119</v>
      </c>
      <c r="AM103" s="411">
        <f t="shared" si="69"/>
        <v>0.15327570362162032</v>
      </c>
      <c r="AN103" s="411">
        <f t="shared" si="70"/>
        <v>0.47013135984782706</v>
      </c>
      <c r="AO103" s="411">
        <f t="shared" si="71"/>
        <v>0.54868467490453687</v>
      </c>
      <c r="AP103" s="384">
        <f>TitulosVendidos[[#This Row],[Comisión Santa Fe
Venta]]+TitulosVendidos[[#This Row],[Comisión Santa Fé
Compra]]</f>
        <v>130.09</v>
      </c>
      <c r="AQ103" s="385"/>
    </row>
    <row r="104" spans="2:43" x14ac:dyDescent="0.25">
      <c r="B104" s="328">
        <v>44972</v>
      </c>
      <c r="C104" s="328" t="s">
        <v>233</v>
      </c>
      <c r="D104" t="s">
        <v>47</v>
      </c>
      <c r="E104" s="328">
        <v>44826</v>
      </c>
      <c r="F104" s="328">
        <v>44842</v>
      </c>
      <c r="G104" s="328">
        <v>44781</v>
      </c>
      <c r="H104" s="328">
        <v>47338</v>
      </c>
      <c r="I104" s="3">
        <v>5.64</v>
      </c>
      <c r="J104" s="3">
        <f t="shared" si="54"/>
        <v>7.2513717521039149</v>
      </c>
      <c r="K104" s="3">
        <v>10.5</v>
      </c>
      <c r="L104" s="325">
        <f t="shared" si="55"/>
        <v>19.413350000000001</v>
      </c>
      <c r="M104" s="325">
        <f t="shared" si="56"/>
        <v>10.353539973469019</v>
      </c>
      <c r="N104">
        <f t="shared" si="57"/>
        <v>4</v>
      </c>
      <c r="O104" s="325"/>
      <c r="P104" s="325">
        <f t="shared" si="58"/>
        <v>88.006939973469031</v>
      </c>
      <c r="Q104" s="325">
        <v>4130.5</v>
      </c>
      <c r="R104" s="3">
        <v>77.508052000000006</v>
      </c>
      <c r="S104" s="3">
        <v>77.778387218440557</v>
      </c>
      <c r="T104" s="325">
        <f t="shared" si="59"/>
        <v>3201.4700878600001</v>
      </c>
      <c r="U104" s="325">
        <f t="shared" si="60"/>
        <v>3212.6362840576871</v>
      </c>
      <c r="V104" s="325">
        <f t="shared" si="61"/>
        <v>3221.6960940842182</v>
      </c>
      <c r="W104" s="325">
        <v>9.0598100265309824</v>
      </c>
      <c r="X104" s="325">
        <v>9.570801977212497</v>
      </c>
      <c r="Y104" s="325">
        <v>1.5953942204745739</v>
      </c>
      <c r="Z104" s="325">
        <f t="shared" si="62"/>
        <v>11.166196197687071</v>
      </c>
      <c r="AA104" s="389"/>
      <c r="AB104" s="3">
        <v>88.388979000000006</v>
      </c>
      <c r="AC104" s="3"/>
      <c r="AD104" s="325">
        <v>5.18</v>
      </c>
      <c r="AE104" s="325">
        <f t="shared" si="63"/>
        <v>3650.9067775950007</v>
      </c>
      <c r="AF104" s="325">
        <v>82.61</v>
      </c>
      <c r="AG104" s="325">
        <v>4</v>
      </c>
      <c r="AH104" s="325">
        <f t="shared" si="64"/>
        <v>3564.2967775950005</v>
      </c>
      <c r="AI104" s="325">
        <f t="shared" si="65"/>
        <v>449.43668973500053</v>
      </c>
      <c r="AJ104" s="325">
        <f t="shared" si="66"/>
        <v>351.66049353731341</v>
      </c>
      <c r="AK104" s="325">
        <f t="shared" si="67"/>
        <v>444.84743351078242</v>
      </c>
      <c r="AL104">
        <f t="shared" si="68"/>
        <v>146</v>
      </c>
      <c r="AM104" s="411">
        <f t="shared" si="69"/>
        <v>0.13846803502727126</v>
      </c>
      <c r="AN104" s="411">
        <f t="shared" si="70"/>
        <v>0.34617008756817813</v>
      </c>
      <c r="AO104" s="411">
        <f t="shared" si="71"/>
        <v>0.38293606767688182</v>
      </c>
      <c r="AP104" s="384">
        <f>TitulosVendidos[[#This Row],[Comisión Santa Fe
Venta]]+TitulosVendidos[[#This Row],[Comisión Santa Fé
Compra]]</f>
        <v>92.180801977212496</v>
      </c>
      <c r="AQ104" s="385"/>
    </row>
    <row r="105" spans="2:43" x14ac:dyDescent="0.25">
      <c r="B105" s="328">
        <v>44972</v>
      </c>
      <c r="C105" s="328" t="s">
        <v>233</v>
      </c>
      <c r="D105" t="s">
        <v>46</v>
      </c>
      <c r="E105" s="328">
        <v>44964</v>
      </c>
      <c r="F105" s="328">
        <v>44975</v>
      </c>
      <c r="G105" s="328">
        <v>44883</v>
      </c>
      <c r="H105" s="328">
        <v>47440</v>
      </c>
      <c r="I105" s="3">
        <v>5.64</v>
      </c>
      <c r="J105" s="3">
        <f t="shared" si="54"/>
        <v>6.6947546532546847</v>
      </c>
      <c r="K105" s="3">
        <v>9</v>
      </c>
      <c r="L105" s="325">
        <f t="shared" si="55"/>
        <v>87.89</v>
      </c>
      <c r="M105" s="325">
        <f t="shared" si="56"/>
        <v>29.299999999999997</v>
      </c>
      <c r="N105">
        <f t="shared" si="57"/>
        <v>0</v>
      </c>
      <c r="O105" s="325"/>
      <c r="P105" s="325">
        <f t="shared" si="58"/>
        <v>29.299999999999997</v>
      </c>
      <c r="Q105" s="325">
        <v>18700</v>
      </c>
      <c r="R105" s="3">
        <v>83.951208620000003</v>
      </c>
      <c r="S105" s="3">
        <v>84.245058887379685</v>
      </c>
      <c r="T105" s="325">
        <f t="shared" si="59"/>
        <v>15698.876011940001</v>
      </c>
      <c r="U105" s="325">
        <f t="shared" si="60"/>
        <v>15753.82601194</v>
      </c>
      <c r="V105" s="325">
        <f t="shared" si="61"/>
        <v>15812.41601194</v>
      </c>
      <c r="W105" s="325">
        <v>58.59</v>
      </c>
      <c r="X105" s="325">
        <v>47.1</v>
      </c>
      <c r="Y105" s="325">
        <v>7.85</v>
      </c>
      <c r="Z105" s="325">
        <f t="shared" si="62"/>
        <v>54.95</v>
      </c>
      <c r="AA105" s="389"/>
      <c r="AB105" s="3">
        <v>87.974500000000006</v>
      </c>
      <c r="AC105" s="3"/>
      <c r="AD105" s="325">
        <v>84.96</v>
      </c>
      <c r="AE105" s="325">
        <f t="shared" si="63"/>
        <v>16451.231500000002</v>
      </c>
      <c r="AF105" s="325">
        <v>374</v>
      </c>
      <c r="AG105" s="325">
        <v>8.23</v>
      </c>
      <c r="AH105" s="325">
        <f t="shared" si="64"/>
        <v>16069.001500000002</v>
      </c>
      <c r="AI105" s="325">
        <f t="shared" si="65"/>
        <v>752.35548806000043</v>
      </c>
      <c r="AJ105" s="325">
        <f t="shared" si="66"/>
        <v>315.17548806000195</v>
      </c>
      <c r="AK105" s="325">
        <f t="shared" si="67"/>
        <v>429.43548806000194</v>
      </c>
      <c r="AL105">
        <f t="shared" si="68"/>
        <v>8</v>
      </c>
      <c r="AM105" s="411">
        <f t="shared" si="69"/>
        <v>2.7259123449410193E-2</v>
      </c>
      <c r="AN105" s="411">
        <f t="shared" si="70"/>
        <v>1.2436975073793402</v>
      </c>
      <c r="AO105" s="411">
        <f t="shared" si="71"/>
        <v>2.411146115627202</v>
      </c>
      <c r="AP105" s="384">
        <f>TitulosVendidos[[#This Row],[Comisión Santa Fe
Venta]]+TitulosVendidos[[#This Row],[Comisión Santa Fé
Compra]]</f>
        <v>421.1</v>
      </c>
      <c r="AQ105" s="385"/>
    </row>
    <row r="106" spans="2:43" x14ac:dyDescent="0.25">
      <c r="B106" s="328">
        <v>44964</v>
      </c>
      <c r="C106" s="328" t="s">
        <v>233</v>
      </c>
      <c r="D106" t="s">
        <v>46</v>
      </c>
      <c r="E106" s="328">
        <v>44790</v>
      </c>
      <c r="F106" s="328">
        <v>44813</v>
      </c>
      <c r="G106" s="328">
        <v>44782</v>
      </c>
      <c r="H106" s="328">
        <v>47339</v>
      </c>
      <c r="I106" s="3">
        <v>5.64</v>
      </c>
      <c r="J106" s="3">
        <f t="shared" si="54"/>
        <v>6.8316064355273847</v>
      </c>
      <c r="K106" s="3">
        <v>9.3000000000000007</v>
      </c>
      <c r="L106" s="325">
        <f t="shared" si="55"/>
        <v>88.324749999999995</v>
      </c>
      <c r="M106" s="325">
        <f t="shared" si="56"/>
        <v>61.824749999999995</v>
      </c>
      <c r="N106">
        <f t="shared" si="57"/>
        <v>5</v>
      </c>
      <c r="O106" s="325"/>
      <c r="P106" s="325">
        <f t="shared" si="58"/>
        <v>503.44849999999997</v>
      </c>
      <c r="Q106" s="325">
        <v>18792.5</v>
      </c>
      <c r="R106" s="3">
        <v>82.269514999999998</v>
      </c>
      <c r="S106" s="3">
        <v>82.557449016229882</v>
      </c>
      <c r="T106" s="325">
        <f t="shared" si="59"/>
        <v>15460.498606375</v>
      </c>
      <c r="U106" s="325">
        <f t="shared" si="60"/>
        <v>15514.608606374999</v>
      </c>
      <c r="V106" s="325">
        <f t="shared" si="61"/>
        <v>15541.108606374999</v>
      </c>
      <c r="W106" s="325">
        <v>26.5</v>
      </c>
      <c r="X106" s="325">
        <v>46.38</v>
      </c>
      <c r="Y106" s="325">
        <v>7.73</v>
      </c>
      <c r="Z106" s="325">
        <f t="shared" si="62"/>
        <v>54.11</v>
      </c>
      <c r="AA106" s="389"/>
      <c r="AB106" s="3">
        <v>88.351199999999992</v>
      </c>
      <c r="AC106" s="3"/>
      <c r="AD106" s="325">
        <v>85.38</v>
      </c>
      <c r="AE106" s="325">
        <f t="shared" si="63"/>
        <v>16603.399259999998</v>
      </c>
      <c r="AF106" s="325">
        <v>375.85</v>
      </c>
      <c r="AG106" s="325">
        <v>8.3000000000000007</v>
      </c>
      <c r="AH106" s="325">
        <f t="shared" si="64"/>
        <v>16219.249259999999</v>
      </c>
      <c r="AI106" s="325">
        <f t="shared" si="65"/>
        <v>1142.9006536249981</v>
      </c>
      <c r="AJ106" s="325">
        <f t="shared" si="66"/>
        <v>704.64065362499969</v>
      </c>
      <c r="AK106" s="325">
        <f t="shared" si="67"/>
        <v>1293.4691536249998</v>
      </c>
      <c r="AL106">
        <f t="shared" si="68"/>
        <v>174</v>
      </c>
      <c r="AM106" s="411">
        <f t="shared" si="69"/>
        <v>8.3371046375833771E-2</v>
      </c>
      <c r="AN106" s="411">
        <f t="shared" si="70"/>
        <v>0.17488753981137545</v>
      </c>
      <c r="AO106" s="411">
        <f t="shared" si="71"/>
        <v>0.1829114189484109</v>
      </c>
      <c r="AP106" s="384">
        <f>TitulosVendidos[[#This Row],[Comisión Santa Fe
Venta]]+TitulosVendidos[[#This Row],[Comisión Santa Fé
Compra]]</f>
        <v>422.23</v>
      </c>
      <c r="AQ106" s="385"/>
    </row>
    <row r="107" spans="2:43" x14ac:dyDescent="0.25">
      <c r="B107" s="328">
        <v>44953</v>
      </c>
      <c r="C107" s="328" t="s">
        <v>233</v>
      </c>
      <c r="D107" t="s">
        <v>46</v>
      </c>
      <c r="E107" s="328">
        <v>44790</v>
      </c>
      <c r="F107" s="328">
        <v>44800</v>
      </c>
      <c r="G107" s="328">
        <v>44739</v>
      </c>
      <c r="H107" s="328">
        <v>46565</v>
      </c>
      <c r="I107" s="3">
        <v>5.07</v>
      </c>
      <c r="J107" s="3">
        <f t="shared" si="54"/>
        <v>5.9514983871498073</v>
      </c>
      <c r="K107" s="3">
        <v>9.1</v>
      </c>
      <c r="L107" s="325">
        <f t="shared" si="55"/>
        <v>33.800000000000004</v>
      </c>
      <c r="M107" s="325">
        <f t="shared" si="56"/>
        <v>10.140000000000004</v>
      </c>
      <c r="N107">
        <f t="shared" si="57"/>
        <v>5</v>
      </c>
      <c r="O107" s="325"/>
      <c r="P107" s="325">
        <f t="shared" si="58"/>
        <v>179.14000000000004</v>
      </c>
      <c r="Q107" s="325">
        <v>8000</v>
      </c>
      <c r="R107" s="3">
        <v>84.884005999999999</v>
      </c>
      <c r="S107" s="3">
        <v>85.188631000000001</v>
      </c>
      <c r="T107" s="325">
        <f t="shared" si="59"/>
        <v>6790.72048</v>
      </c>
      <c r="U107" s="325">
        <f t="shared" si="60"/>
        <v>6815.0904799999998</v>
      </c>
      <c r="V107" s="325">
        <f t="shared" si="61"/>
        <v>6838.7504799999997</v>
      </c>
      <c r="W107" s="325">
        <v>23.66</v>
      </c>
      <c r="X107" s="325">
        <v>20.37</v>
      </c>
      <c r="Y107" s="325">
        <v>4</v>
      </c>
      <c r="Z107" s="325">
        <f t="shared" si="62"/>
        <v>24.37</v>
      </c>
      <c r="AA107" s="389"/>
      <c r="AB107" s="3">
        <v>90.002171880000006</v>
      </c>
      <c r="AC107" s="3"/>
      <c r="AD107" s="325">
        <v>3.38</v>
      </c>
      <c r="AE107" s="325">
        <f t="shared" si="63"/>
        <v>7200.1737504000012</v>
      </c>
      <c r="AF107" s="325">
        <v>120</v>
      </c>
      <c r="AG107" s="325">
        <v>4</v>
      </c>
      <c r="AH107" s="325">
        <f t="shared" si="64"/>
        <v>7076.1737504000012</v>
      </c>
      <c r="AI107" s="325">
        <f t="shared" si="65"/>
        <v>409.4532704000012</v>
      </c>
      <c r="AJ107" s="325">
        <f t="shared" si="66"/>
        <v>261.08327040000131</v>
      </c>
      <c r="AK107" s="325">
        <f t="shared" si="67"/>
        <v>443.60327040000135</v>
      </c>
      <c r="AL107">
        <f t="shared" si="68"/>
        <v>163</v>
      </c>
      <c r="AM107" s="411">
        <f t="shared" si="69"/>
        <v>6.5091325155818239E-2</v>
      </c>
      <c r="AN107" s="411">
        <f t="shared" si="70"/>
        <v>0.14575664835505311</v>
      </c>
      <c r="AO107" s="411">
        <f t="shared" si="71"/>
        <v>0.15166555110434499</v>
      </c>
      <c r="AP107" s="384">
        <f>TitulosVendidos[[#This Row],[Comisión Santa Fe
Venta]]+TitulosVendidos[[#This Row],[Comisión Santa Fé
Compra]]</f>
        <v>140.37</v>
      </c>
      <c r="AQ107" s="385"/>
    </row>
    <row r="108" spans="2:43" x14ac:dyDescent="0.25">
      <c r="B108" s="328">
        <v>44953</v>
      </c>
      <c r="C108" s="328" t="s">
        <v>233</v>
      </c>
      <c r="D108" t="s">
        <v>46</v>
      </c>
      <c r="E108" s="328">
        <v>44925</v>
      </c>
      <c r="F108" s="328">
        <v>44934</v>
      </c>
      <c r="G108" s="328">
        <v>44781</v>
      </c>
      <c r="H108" s="328">
        <v>46607</v>
      </c>
      <c r="I108" s="3">
        <v>5.07</v>
      </c>
      <c r="J108" s="3">
        <f t="shared" si="54"/>
        <v>5.9276948635685116</v>
      </c>
      <c r="K108" s="3">
        <v>9.1999999999999993</v>
      </c>
      <c r="L108" s="325">
        <f t="shared" si="55"/>
        <v>55.347499999999997</v>
      </c>
      <c r="M108" s="325">
        <f t="shared" si="56"/>
        <v>14.757499999999993</v>
      </c>
      <c r="N108">
        <f t="shared" si="57"/>
        <v>0</v>
      </c>
      <c r="O108" s="325"/>
      <c r="P108" s="325">
        <f t="shared" si="58"/>
        <v>14.757499999999993</v>
      </c>
      <c r="Q108" s="325">
        <v>13100</v>
      </c>
      <c r="R108" s="3">
        <v>85.232425680000006</v>
      </c>
      <c r="S108" s="3">
        <v>85.530718376887336</v>
      </c>
      <c r="T108" s="325">
        <f t="shared" si="59"/>
        <v>11165.447764080001</v>
      </c>
      <c r="U108" s="325">
        <f t="shared" si="60"/>
        <v>11204.524107372241</v>
      </c>
      <c r="V108" s="325">
        <f t="shared" si="61"/>
        <v>11245.114107372241</v>
      </c>
      <c r="W108" s="325">
        <v>40.590000000000003</v>
      </c>
      <c r="X108" s="325">
        <v>33.496343292240013</v>
      </c>
      <c r="Y108" s="325">
        <v>5.58</v>
      </c>
      <c r="Z108" s="325">
        <f t="shared" si="62"/>
        <v>39.076343292240011</v>
      </c>
      <c r="AA108" s="389"/>
      <c r="AB108" s="3">
        <v>89.771468150000004</v>
      </c>
      <c r="AC108" s="3"/>
      <c r="AD108" s="325">
        <v>40.590000000000003</v>
      </c>
      <c r="AE108" s="325">
        <f t="shared" si="63"/>
        <v>11760.062327650001</v>
      </c>
      <c r="AF108" s="325">
        <v>196.5</v>
      </c>
      <c r="AG108" s="325">
        <v>5.88</v>
      </c>
      <c r="AH108" s="325">
        <f t="shared" si="64"/>
        <v>11557.682327650002</v>
      </c>
      <c r="AI108" s="325">
        <f t="shared" si="65"/>
        <v>594.61456356999952</v>
      </c>
      <c r="AJ108" s="325">
        <f t="shared" si="66"/>
        <v>353.15822027776085</v>
      </c>
      <c r="AK108" s="325">
        <f t="shared" si="67"/>
        <v>408.50572027776082</v>
      </c>
      <c r="AL108">
        <f t="shared" si="68"/>
        <v>28</v>
      </c>
      <c r="AM108" s="411">
        <f t="shared" si="69"/>
        <v>3.64589978443597E-2</v>
      </c>
      <c r="AN108" s="411">
        <f t="shared" si="70"/>
        <v>0.47526907904254612</v>
      </c>
      <c r="AO108" s="411">
        <f t="shared" si="71"/>
        <v>0.5948985859655771</v>
      </c>
      <c r="AP108" s="384">
        <f>TitulosVendidos[[#This Row],[Comisión Santa Fe
Venta]]+TitulosVendidos[[#This Row],[Comisión Santa Fé
Compra]]</f>
        <v>229.99634329224</v>
      </c>
      <c r="AQ108" s="385"/>
    </row>
    <row r="109" spans="2:43" x14ac:dyDescent="0.25">
      <c r="B109" s="328">
        <v>44925</v>
      </c>
      <c r="C109" s="328" t="s">
        <v>233</v>
      </c>
      <c r="D109" t="s">
        <v>46</v>
      </c>
      <c r="E109" s="328">
        <v>44916</v>
      </c>
      <c r="F109" s="328">
        <v>44944</v>
      </c>
      <c r="G109" s="328">
        <v>44883</v>
      </c>
      <c r="H109" s="328">
        <v>45614</v>
      </c>
      <c r="I109" s="3">
        <v>3.82</v>
      </c>
      <c r="J109" s="3">
        <f t="shared" si="54"/>
        <v>4.1660080611512873</v>
      </c>
      <c r="K109" s="3">
        <v>9.5</v>
      </c>
      <c r="L109" s="325">
        <f t="shared" si="55"/>
        <v>20.643916666666666</v>
      </c>
      <c r="M109" s="325">
        <f t="shared" si="56"/>
        <v>18.576135946327682</v>
      </c>
      <c r="N109">
        <f t="shared" si="57"/>
        <v>0</v>
      </c>
      <c r="O109" s="325"/>
      <c r="P109" s="325">
        <f t="shared" si="58"/>
        <v>18.576135946327682</v>
      </c>
      <c r="Q109" s="325">
        <v>6485</v>
      </c>
      <c r="R109" s="3">
        <v>91.331040329999993</v>
      </c>
      <c r="S109" s="3">
        <v>91.694493719830504</v>
      </c>
      <c r="T109" s="325">
        <f t="shared" si="59"/>
        <v>5922.8179654004998</v>
      </c>
      <c r="U109" s="325">
        <f t="shared" si="60"/>
        <v>5946.3879177310082</v>
      </c>
      <c r="V109" s="325">
        <f t="shared" si="61"/>
        <v>5948.4556984513474</v>
      </c>
      <c r="W109" s="325">
        <v>2.0677807203389831</v>
      </c>
      <c r="X109" s="325">
        <v>20.60911016949153</v>
      </c>
      <c r="Y109" s="325">
        <v>2.9608421610169491</v>
      </c>
      <c r="Z109" s="325">
        <f t="shared" si="62"/>
        <v>23.569952330508478</v>
      </c>
      <c r="AA109" s="389"/>
      <c r="AB109" s="3">
        <v>94.812799999999996</v>
      </c>
      <c r="AC109" s="3"/>
      <c r="AD109" s="325">
        <v>8.26</v>
      </c>
      <c r="AE109" s="325">
        <f t="shared" si="63"/>
        <v>6148.6100799999995</v>
      </c>
      <c r="AF109" s="325">
        <v>129.69999999999999</v>
      </c>
      <c r="AG109" s="325">
        <v>4</v>
      </c>
      <c r="AH109" s="325">
        <f t="shared" si="64"/>
        <v>6014.9100799999997</v>
      </c>
      <c r="AI109" s="325">
        <f t="shared" si="65"/>
        <v>225.79211459949966</v>
      </c>
      <c r="AJ109" s="325">
        <f t="shared" si="66"/>
        <v>68.522162268991451</v>
      </c>
      <c r="AK109" s="325">
        <f t="shared" si="67"/>
        <v>95.358298215319138</v>
      </c>
      <c r="AL109">
        <f t="shared" si="68"/>
        <v>9</v>
      </c>
      <c r="AM109" s="411">
        <f t="shared" si="69"/>
        <v>1.6036339965473604E-2</v>
      </c>
      <c r="AN109" s="411">
        <f t="shared" si="70"/>
        <v>0.65036267637754053</v>
      </c>
      <c r="AO109" s="411">
        <f t="shared" si="71"/>
        <v>0.90637407133255787</v>
      </c>
      <c r="AP109" s="384">
        <f>TitulosVendidos[[#This Row],[Comisión Santa Fe
Venta]]+TitulosVendidos[[#This Row],[Comisión Santa Fé
Compra]]</f>
        <v>150.30911016949153</v>
      </c>
      <c r="AQ109" s="385"/>
    </row>
    <row r="110" spans="2:43" x14ac:dyDescent="0.25">
      <c r="B110" s="328">
        <v>44924</v>
      </c>
      <c r="C110" s="328" t="s">
        <v>233</v>
      </c>
      <c r="D110" t="s">
        <v>47</v>
      </c>
      <c r="E110" s="328">
        <v>44790</v>
      </c>
      <c r="F110" s="328">
        <v>44796</v>
      </c>
      <c r="G110" s="328">
        <v>44735</v>
      </c>
      <c r="H110" s="328">
        <v>46561</v>
      </c>
      <c r="I110" s="3">
        <v>5.07</v>
      </c>
      <c r="J110" s="3">
        <f t="shared" si="54"/>
        <v>5.9499548044014894</v>
      </c>
      <c r="K110" s="3">
        <v>9.1</v>
      </c>
      <c r="L110" s="325">
        <f t="shared" si="55"/>
        <v>118.3</v>
      </c>
      <c r="M110" s="325">
        <f t="shared" si="56"/>
        <v>19.72</v>
      </c>
      <c r="N110">
        <f t="shared" si="57"/>
        <v>4</v>
      </c>
      <c r="O110" s="325"/>
      <c r="P110" s="325">
        <f t="shared" si="58"/>
        <v>492.91999999999996</v>
      </c>
      <c r="Q110" s="325">
        <v>28000</v>
      </c>
      <c r="R110" s="3">
        <v>84.913516999999999</v>
      </c>
      <c r="S110" s="3">
        <v>85.210731285714274</v>
      </c>
      <c r="T110" s="325">
        <f t="shared" si="59"/>
        <v>23775.784759999999</v>
      </c>
      <c r="U110" s="325">
        <f t="shared" si="60"/>
        <v>23859.004759999996</v>
      </c>
      <c r="V110" s="325">
        <f t="shared" si="61"/>
        <v>23957.584759999998</v>
      </c>
      <c r="W110" s="325">
        <v>98.58</v>
      </c>
      <c r="X110" s="325">
        <v>71.33</v>
      </c>
      <c r="Y110" s="325">
        <v>11.89</v>
      </c>
      <c r="Z110" s="325">
        <f t="shared" si="62"/>
        <v>83.22</v>
      </c>
      <c r="AA110" s="389"/>
      <c r="AB110" s="3">
        <v>89.855601969999995</v>
      </c>
      <c r="AC110" s="3"/>
      <c r="AD110" s="325">
        <v>27.6</v>
      </c>
      <c r="AE110" s="325">
        <f t="shared" si="63"/>
        <v>25159.568551599998</v>
      </c>
      <c r="AF110" s="325">
        <v>490</v>
      </c>
      <c r="AG110" s="325">
        <v>12.58</v>
      </c>
      <c r="AH110" s="325">
        <f t="shared" si="64"/>
        <v>24656.988551599996</v>
      </c>
      <c r="AI110" s="325">
        <f t="shared" si="65"/>
        <v>1383.7837915999989</v>
      </c>
      <c r="AJ110" s="325">
        <f t="shared" si="66"/>
        <v>797.98379159999968</v>
      </c>
      <c r="AK110" s="325">
        <f t="shared" si="67"/>
        <v>1318.5037915999997</v>
      </c>
      <c r="AL110">
        <f t="shared" si="68"/>
        <v>134</v>
      </c>
      <c r="AM110" s="411">
        <f t="shared" si="69"/>
        <v>5.5262313112510557E-2</v>
      </c>
      <c r="AN110" s="411">
        <f t="shared" si="70"/>
        <v>0.15052794243333098</v>
      </c>
      <c r="AO110" s="411">
        <f t="shared" si="71"/>
        <v>0.15779326118528791</v>
      </c>
      <c r="AP110" s="384">
        <f>TitulosVendidos[[#This Row],[Comisión Santa Fe
Venta]]+TitulosVendidos[[#This Row],[Comisión Santa Fé
Compra]]</f>
        <v>561.33000000000004</v>
      </c>
      <c r="AQ110" s="385"/>
    </row>
    <row r="111" spans="2:43" x14ac:dyDescent="0.25">
      <c r="B111" s="328">
        <v>44923</v>
      </c>
      <c r="C111" s="328" t="s">
        <v>233</v>
      </c>
      <c r="D111" t="s">
        <v>47</v>
      </c>
      <c r="E111" s="328">
        <v>44790</v>
      </c>
      <c r="F111" s="328">
        <v>44800</v>
      </c>
      <c r="G111" s="328">
        <v>44739</v>
      </c>
      <c r="H111" s="328">
        <v>47296</v>
      </c>
      <c r="I111" s="3">
        <v>5.64</v>
      </c>
      <c r="J111" s="3">
        <f t="shared" si="54"/>
        <v>6.8121448512740281</v>
      </c>
      <c r="K111" s="3">
        <v>9.3000000000000007</v>
      </c>
      <c r="L111" s="325">
        <f t="shared" si="55"/>
        <v>70.5</v>
      </c>
      <c r="M111" s="325">
        <f t="shared" si="56"/>
        <v>21.15</v>
      </c>
      <c r="N111">
        <f t="shared" si="57"/>
        <v>4</v>
      </c>
      <c r="O111" s="325"/>
      <c r="P111" s="325">
        <f t="shared" si="58"/>
        <v>303.14999999999998</v>
      </c>
      <c r="Q111" s="325">
        <v>15000</v>
      </c>
      <c r="R111" s="3">
        <v>82.504507000000004</v>
      </c>
      <c r="S111" s="3">
        <v>82.793306999999999</v>
      </c>
      <c r="T111" s="325">
        <f t="shared" si="59"/>
        <v>12375.67605</v>
      </c>
      <c r="U111" s="325">
        <f t="shared" si="60"/>
        <v>12418.99605</v>
      </c>
      <c r="V111" s="325">
        <f t="shared" si="61"/>
        <v>12468.34605</v>
      </c>
      <c r="W111" s="325">
        <v>49.35</v>
      </c>
      <c r="X111" s="325">
        <v>37.130000000000003</v>
      </c>
      <c r="Y111" s="325">
        <v>6.19</v>
      </c>
      <c r="Z111" s="325">
        <f t="shared" si="62"/>
        <v>43.32</v>
      </c>
      <c r="AA111" s="389"/>
      <c r="AB111" s="3">
        <v>88.359499999999997</v>
      </c>
      <c r="AC111" s="3"/>
      <c r="AD111" s="325">
        <v>4.7</v>
      </c>
      <c r="AE111" s="325">
        <f t="shared" si="63"/>
        <v>13253.924999999999</v>
      </c>
      <c r="AF111" s="325">
        <v>225</v>
      </c>
      <c r="AG111" s="325">
        <v>6.63</v>
      </c>
      <c r="AH111" s="325">
        <f t="shared" si="64"/>
        <v>13022.295</v>
      </c>
      <c r="AI111" s="325">
        <f t="shared" si="65"/>
        <v>878.24894999999924</v>
      </c>
      <c r="AJ111" s="325">
        <f t="shared" si="66"/>
        <v>603.29895000000033</v>
      </c>
      <c r="AK111" s="325">
        <f t="shared" si="67"/>
        <v>911.14895000000035</v>
      </c>
      <c r="AL111">
        <f t="shared" si="68"/>
        <v>133</v>
      </c>
      <c r="AM111" s="411">
        <f t="shared" si="69"/>
        <v>7.3367359674778254E-2</v>
      </c>
      <c r="AN111" s="411">
        <f t="shared" si="70"/>
        <v>0.20134651339318843</v>
      </c>
      <c r="AO111" s="411">
        <f t="shared" si="71"/>
        <v>0.2144640524472099</v>
      </c>
      <c r="AP111" s="384">
        <f>TitulosVendidos[[#This Row],[Comisión Santa Fe
Venta]]+TitulosVendidos[[#This Row],[Comisión Santa Fé
Compra]]</f>
        <v>262.13</v>
      </c>
      <c r="AQ111" s="385"/>
    </row>
    <row r="112" spans="2:43" x14ac:dyDescent="0.25">
      <c r="B112" s="328">
        <v>44922</v>
      </c>
      <c r="C112" s="328" t="s">
        <v>233</v>
      </c>
      <c r="D112" t="s">
        <v>46</v>
      </c>
      <c r="E112" s="328">
        <v>44790</v>
      </c>
      <c r="F112" s="328">
        <v>44800</v>
      </c>
      <c r="G112" s="328">
        <v>44739</v>
      </c>
      <c r="H112" s="328">
        <v>46931</v>
      </c>
      <c r="I112" s="3">
        <v>5.36</v>
      </c>
      <c r="J112" s="3">
        <f t="shared" si="54"/>
        <v>6.417425280251936</v>
      </c>
      <c r="K112" s="3">
        <v>9.1999999999999993</v>
      </c>
      <c r="L112" s="325">
        <f t="shared" si="55"/>
        <v>36.972743999999999</v>
      </c>
      <c r="M112" s="325">
        <f t="shared" si="56"/>
        <v>11.09530652491695</v>
      </c>
      <c r="N112">
        <f t="shared" si="57"/>
        <v>4</v>
      </c>
      <c r="O112" s="325"/>
      <c r="P112" s="325">
        <f t="shared" si="58"/>
        <v>158.98628252491693</v>
      </c>
      <c r="Q112" s="325">
        <v>8277.48</v>
      </c>
      <c r="R112" s="3">
        <v>83.231200000000001</v>
      </c>
      <c r="S112" s="3">
        <v>83.522593032662101</v>
      </c>
      <c r="T112" s="325">
        <f t="shared" si="59"/>
        <v>6889.4459337599992</v>
      </c>
      <c r="U112" s="325">
        <f t="shared" si="60"/>
        <v>6913.5659337599982</v>
      </c>
      <c r="V112" s="325">
        <f t="shared" si="61"/>
        <v>6939.443371235081</v>
      </c>
      <c r="W112" s="325">
        <v>25.877437475083049</v>
      </c>
      <c r="X112" s="325">
        <v>20.67</v>
      </c>
      <c r="Y112" s="325">
        <v>3.45</v>
      </c>
      <c r="Z112" s="325">
        <f t="shared" si="62"/>
        <v>24.12</v>
      </c>
      <c r="AA112" s="389"/>
      <c r="AB112" s="3">
        <v>88.721864159999996</v>
      </c>
      <c r="AC112" s="3"/>
      <c r="AD112" s="325">
        <v>1.23</v>
      </c>
      <c r="AE112" s="325">
        <f t="shared" si="63"/>
        <v>7343.9345614711674</v>
      </c>
      <c r="AF112" s="325">
        <v>165.5496</v>
      </c>
      <c r="AG112" s="325">
        <v>4</v>
      </c>
      <c r="AH112" s="325">
        <f t="shared" si="64"/>
        <v>7174.3849614711671</v>
      </c>
      <c r="AI112" s="325">
        <f t="shared" si="65"/>
        <v>454.48862771116819</v>
      </c>
      <c r="AJ112" s="325">
        <f t="shared" si="66"/>
        <v>260.81902771116893</v>
      </c>
      <c r="AK112" s="325">
        <f t="shared" si="67"/>
        <v>421.03531023608588</v>
      </c>
      <c r="AL112">
        <f t="shared" si="68"/>
        <v>132</v>
      </c>
      <c r="AM112" s="411">
        <f t="shared" si="69"/>
        <v>6.0899876311312252E-2</v>
      </c>
      <c r="AN112" s="411">
        <f t="shared" si="70"/>
        <v>0.16839738525476494</v>
      </c>
      <c r="AO112" s="411">
        <f t="shared" si="71"/>
        <v>0.17758862706651546</v>
      </c>
      <c r="AP112" s="384">
        <f>TitulosVendidos[[#This Row],[Comisión Santa Fe
Venta]]+TitulosVendidos[[#This Row],[Comisión Santa Fé
Compra]]</f>
        <v>186.21960000000001</v>
      </c>
      <c r="AQ112" s="385"/>
    </row>
    <row r="113" spans="2:43" x14ac:dyDescent="0.25">
      <c r="B113" s="328">
        <v>44908</v>
      </c>
      <c r="C113" s="328" t="s">
        <v>233</v>
      </c>
      <c r="D113" t="s">
        <v>46</v>
      </c>
      <c r="E113" s="328">
        <v>44790</v>
      </c>
      <c r="F113" s="328">
        <v>44800</v>
      </c>
      <c r="G113" s="328">
        <v>44739</v>
      </c>
      <c r="H113" s="328">
        <v>46931</v>
      </c>
      <c r="I113" s="3">
        <v>5.36</v>
      </c>
      <c r="J113" s="3">
        <f t="shared" si="54"/>
        <v>6.4174303708805818</v>
      </c>
      <c r="K113" s="3">
        <v>9.1999999999999993</v>
      </c>
      <c r="L113" s="325">
        <f t="shared" si="55"/>
        <v>68.083166666666671</v>
      </c>
      <c r="M113" s="325">
        <f t="shared" si="56"/>
        <v>20.424391021449267</v>
      </c>
      <c r="N113">
        <f t="shared" si="57"/>
        <v>3</v>
      </c>
      <c r="O113" s="325"/>
      <c r="P113" s="325">
        <f t="shared" si="58"/>
        <v>224.67389102144926</v>
      </c>
      <c r="Q113" s="325">
        <v>15242.5</v>
      </c>
      <c r="R113" s="3">
        <v>83.231200000000001</v>
      </c>
      <c r="S113" s="3">
        <v>83.522526778339099</v>
      </c>
      <c r="T113" s="325">
        <f t="shared" si="59"/>
        <v>12686.515660000001</v>
      </c>
      <c r="U113" s="325">
        <f t="shared" si="60"/>
        <v>12730.921144188338</v>
      </c>
      <c r="V113" s="325">
        <f t="shared" si="61"/>
        <v>12778.579919833555</v>
      </c>
      <c r="W113" s="325">
        <v>47.658775645217403</v>
      </c>
      <c r="X113" s="325">
        <v>38.060917781392668</v>
      </c>
      <c r="Y113" s="325">
        <v>6.3445664069442227</v>
      </c>
      <c r="Z113" s="325">
        <f t="shared" si="62"/>
        <v>44.405484188336892</v>
      </c>
      <c r="AA113" s="389"/>
      <c r="AB113" s="3">
        <v>87.810418339999998</v>
      </c>
      <c r="AC113" s="3"/>
      <c r="AD113" s="325">
        <v>36.31</v>
      </c>
      <c r="AE113" s="325">
        <f t="shared" si="63"/>
        <v>13384.5030154745</v>
      </c>
      <c r="AF113" s="325">
        <v>381.06</v>
      </c>
      <c r="AG113" s="325">
        <v>6.69</v>
      </c>
      <c r="AH113" s="325">
        <f t="shared" si="64"/>
        <v>12996.7530154745</v>
      </c>
      <c r="AI113" s="325">
        <f t="shared" si="65"/>
        <v>697.98735547449905</v>
      </c>
      <c r="AJ113" s="325">
        <f t="shared" si="66"/>
        <v>265.83187128616191</v>
      </c>
      <c r="AK113" s="325">
        <f t="shared" si="67"/>
        <v>526.81576230761118</v>
      </c>
      <c r="AL113">
        <f t="shared" si="68"/>
        <v>118</v>
      </c>
      <c r="AM113" s="411">
        <f t="shared" si="69"/>
        <v>4.1380804761963548E-2</v>
      </c>
      <c r="AN113" s="411">
        <f t="shared" si="70"/>
        <v>0.12799994693319233</v>
      </c>
      <c r="AO113" s="411">
        <f t="shared" si="71"/>
        <v>0.13362724451362062</v>
      </c>
      <c r="AP113" s="384">
        <f>TitulosVendidos[[#This Row],[Comisión Santa Fe
Venta]]+TitulosVendidos[[#This Row],[Comisión Santa Fé
Compra]]</f>
        <v>419.12091778139268</v>
      </c>
      <c r="AQ113" s="385"/>
    </row>
    <row r="114" spans="2:43" x14ac:dyDescent="0.25">
      <c r="B114" s="328">
        <v>44907</v>
      </c>
      <c r="C114" s="328" t="s">
        <v>233</v>
      </c>
      <c r="D114" t="s">
        <v>47</v>
      </c>
      <c r="E114" s="328">
        <v>44830</v>
      </c>
      <c r="F114" s="328">
        <v>44861</v>
      </c>
      <c r="G114" s="328">
        <v>44769</v>
      </c>
      <c r="H114" s="328">
        <v>47326</v>
      </c>
      <c r="I114" s="3">
        <v>5.64</v>
      </c>
      <c r="J114" s="3">
        <f t="shared" si="54"/>
        <v>7.1300861977854844</v>
      </c>
      <c r="K114" s="3">
        <v>10.199999999999999</v>
      </c>
      <c r="L114" s="325">
        <f t="shared" si="55"/>
        <v>32.9</v>
      </c>
      <c r="M114" s="325">
        <f t="shared" si="56"/>
        <v>32.9</v>
      </c>
      <c r="N114">
        <f t="shared" si="57"/>
        <v>1</v>
      </c>
      <c r="O114" s="325"/>
      <c r="P114" s="325">
        <f t="shared" si="58"/>
        <v>65.8</v>
      </c>
      <c r="Q114" s="325">
        <v>7000</v>
      </c>
      <c r="R114" s="3">
        <v>78.820539109999999</v>
      </c>
      <c r="S114" s="3">
        <v>79.10142799888888</v>
      </c>
      <c r="T114" s="325">
        <f t="shared" si="59"/>
        <v>5517.4377377000001</v>
      </c>
      <c r="U114" s="325">
        <f t="shared" si="60"/>
        <v>5537.0999599222223</v>
      </c>
      <c r="V114" s="325">
        <f t="shared" si="61"/>
        <v>5537.0999599222223</v>
      </c>
      <c r="W114" s="325">
        <v>0</v>
      </c>
      <c r="X114" s="325">
        <v>16.551111111111108</v>
      </c>
      <c r="Y114" s="325">
        <v>3.1111111111111112</v>
      </c>
      <c r="Z114" s="325">
        <f t="shared" si="62"/>
        <v>19.662222222222219</v>
      </c>
      <c r="AA114" s="389"/>
      <c r="AB114" s="3">
        <v>88.171413999999999</v>
      </c>
      <c r="AC114" s="3"/>
      <c r="AD114" s="325">
        <v>17.55</v>
      </c>
      <c r="AE114" s="325">
        <f t="shared" si="63"/>
        <v>6171.9989800000003</v>
      </c>
      <c r="AF114" s="325">
        <v>140</v>
      </c>
      <c r="AG114" s="325">
        <v>4</v>
      </c>
      <c r="AH114" s="325">
        <f t="shared" si="64"/>
        <v>6027.9989800000003</v>
      </c>
      <c r="AI114" s="325">
        <f t="shared" si="65"/>
        <v>654.56124230000023</v>
      </c>
      <c r="AJ114" s="325">
        <f t="shared" si="66"/>
        <v>490.899020077778</v>
      </c>
      <c r="AK114" s="325">
        <f t="shared" si="67"/>
        <v>574.24902007777791</v>
      </c>
      <c r="AL114">
        <f t="shared" si="68"/>
        <v>77</v>
      </c>
      <c r="AM114" s="411">
        <f t="shared" si="69"/>
        <v>0.10370934681226961</v>
      </c>
      <c r="AN114" s="411">
        <f t="shared" si="70"/>
        <v>0.4916092413828364</v>
      </c>
      <c r="AO114" s="411">
        <f t="shared" si="71"/>
        <v>0.59640289187066653</v>
      </c>
      <c r="AP114" s="384">
        <f>TitulosVendidos[[#This Row],[Comisión Santa Fe
Venta]]+TitulosVendidos[[#This Row],[Comisión Santa Fé
Compra]]</f>
        <v>156.55111111111111</v>
      </c>
      <c r="AQ114" s="385"/>
    </row>
    <row r="115" spans="2:43" x14ac:dyDescent="0.25">
      <c r="B115" s="328">
        <v>46132</v>
      </c>
      <c r="C115" s="328" t="s">
        <v>233</v>
      </c>
      <c r="D115" t="s">
        <v>47</v>
      </c>
      <c r="E115" s="328">
        <v>45877</v>
      </c>
      <c r="F115" s="328">
        <v>45906</v>
      </c>
      <c r="G115" s="328">
        <v>45875</v>
      </c>
      <c r="H115" s="328">
        <v>48797</v>
      </c>
      <c r="I115" s="3">
        <v>7.72</v>
      </c>
      <c r="J115" s="3">
        <f t="shared" si="54"/>
        <v>8.569430193227074</v>
      </c>
      <c r="K115" s="3">
        <v>9.75</v>
      </c>
      <c r="L115" s="325">
        <f t="shared" si="55"/>
        <v>141.70703333333333</v>
      </c>
      <c r="M115" s="325">
        <f t="shared" si="56"/>
        <v>132.25703333333334</v>
      </c>
      <c r="N115">
        <f t="shared" si="57"/>
        <v>7</v>
      </c>
      <c r="O115" s="325"/>
      <c r="P115" s="325">
        <f t="shared" si="58"/>
        <v>1124.2062666666666</v>
      </c>
      <c r="Q115" s="325">
        <v>22027</v>
      </c>
      <c r="R115" s="3">
        <v>89.768970300000007</v>
      </c>
      <c r="S115" s="3">
        <v>90.087670077545752</v>
      </c>
      <c r="T115" s="325">
        <f t="shared" si="59"/>
        <v>19773.411087981003</v>
      </c>
      <c r="U115" s="325">
        <f t="shared" si="60"/>
        <v>19843.611087981004</v>
      </c>
      <c r="V115" s="325">
        <f t="shared" si="61"/>
        <v>19853.061087981005</v>
      </c>
      <c r="W115" s="325">
        <v>9.4499999999999993</v>
      </c>
      <c r="X115" s="325">
        <v>60.31</v>
      </c>
      <c r="Y115" s="325">
        <v>9.89</v>
      </c>
      <c r="Z115" s="325">
        <f t="shared" si="62"/>
        <v>70.2</v>
      </c>
      <c r="AA115" s="389"/>
      <c r="AB115" s="3">
        <v>94.813910859999993</v>
      </c>
      <c r="AC115" s="3">
        <v>94.614099999999993</v>
      </c>
      <c r="AD115" s="325">
        <v>70.849999999999994</v>
      </c>
      <c r="AE115" s="325">
        <f t="shared" si="63"/>
        <v>20884.660145132199</v>
      </c>
      <c r="AF115" s="325">
        <v>104.42</v>
      </c>
      <c r="AG115" s="325">
        <v>10.44</v>
      </c>
      <c r="AH115" s="325">
        <f t="shared" si="64"/>
        <v>20769.800145132202</v>
      </c>
      <c r="AI115" s="325">
        <f t="shared" si="65"/>
        <v>1111.2490571511953</v>
      </c>
      <c r="AJ115" s="325">
        <f t="shared" si="66"/>
        <v>926.18905715119763</v>
      </c>
      <c r="AK115" s="325">
        <f t="shared" si="67"/>
        <v>2121.2453238178641</v>
      </c>
      <c r="AL115">
        <f t="shared" si="68"/>
        <v>255</v>
      </c>
      <c r="AM115" s="411">
        <f t="shared" si="69"/>
        <v>0.10689815046328299</v>
      </c>
      <c r="AN115" s="411">
        <f t="shared" si="70"/>
        <v>0.15301107811411097</v>
      </c>
      <c r="AO115" s="411">
        <f t="shared" si="71"/>
        <v>0.15647033299840141</v>
      </c>
      <c r="AP115" s="384">
        <f>TitulosVendidos[[#This Row],[Comisión Santa Fe
Venta]]+TitulosVendidos[[#This Row],[Comisión Santa Fé
Compra]]</f>
        <v>164.73000000000002</v>
      </c>
      <c r="AQ115" s="385"/>
    </row>
    <row r="116" spans="2:43" x14ac:dyDescent="0.25">
      <c r="B116" s="328">
        <v>46132</v>
      </c>
      <c r="C116" s="328" t="s">
        <v>233</v>
      </c>
      <c r="D116" t="s">
        <v>46</v>
      </c>
      <c r="E116" s="328">
        <v>46122</v>
      </c>
      <c r="F116" s="328">
        <v>46130</v>
      </c>
      <c r="G116" s="328">
        <v>45614</v>
      </c>
      <c r="H116" s="328">
        <v>48901</v>
      </c>
      <c r="I116" s="3">
        <v>6.21</v>
      </c>
      <c r="J116" s="3">
        <f t="shared" si="54"/>
        <v>7.2688995726817129</v>
      </c>
      <c r="K116" s="3">
        <v>9.4499999999999993</v>
      </c>
      <c r="L116" s="325">
        <f t="shared" si="55"/>
        <v>441.94241250000005</v>
      </c>
      <c r="M116" s="325">
        <f t="shared" si="56"/>
        <v>73.652412500000025</v>
      </c>
      <c r="N116">
        <f t="shared" si="57"/>
        <v>0</v>
      </c>
      <c r="O116" s="325"/>
      <c r="P116" s="325">
        <f t="shared" si="58"/>
        <v>73.652412500000025</v>
      </c>
      <c r="Q116" s="325">
        <v>85399.5</v>
      </c>
      <c r="R116" s="3">
        <v>85.134499579999996</v>
      </c>
      <c r="S116" s="3">
        <v>85.432463853795511</v>
      </c>
      <c r="T116" s="325">
        <f t="shared" si="59"/>
        <v>72704.43696882209</v>
      </c>
      <c r="U116" s="325">
        <f t="shared" si="60"/>
        <v>72958.896968822097</v>
      </c>
      <c r="V116" s="325">
        <f t="shared" si="61"/>
        <v>73327.18696882209</v>
      </c>
      <c r="W116" s="325">
        <v>368.29</v>
      </c>
      <c r="X116" s="325">
        <v>218.11</v>
      </c>
      <c r="Y116" s="325">
        <v>36.35</v>
      </c>
      <c r="Z116" s="325">
        <f t="shared" si="62"/>
        <v>254.46</v>
      </c>
      <c r="AA116" s="389"/>
      <c r="AB116" s="3">
        <v>87.929015640000003</v>
      </c>
      <c r="AC116" s="3">
        <v>87.497200000000007</v>
      </c>
      <c r="AD116" s="325">
        <v>44.19388041349584</v>
      </c>
      <c r="AE116" s="325">
        <f t="shared" si="63"/>
        <v>75090.939711481798</v>
      </c>
      <c r="AF116" s="325">
        <v>375.45324635374283</v>
      </c>
      <c r="AG116" s="325">
        <v>37.542269934810022</v>
      </c>
      <c r="AH116" s="325">
        <f t="shared" si="64"/>
        <v>74677.944195193239</v>
      </c>
      <c r="AI116" s="325">
        <f t="shared" si="65"/>
        <v>2386.502742659708</v>
      </c>
      <c r="AJ116" s="325">
        <f t="shared" si="66"/>
        <v>1719.0472263711417</v>
      </c>
      <c r="AK116" s="325">
        <f t="shared" si="67"/>
        <v>1836.8935192846377</v>
      </c>
      <c r="AL116">
        <f t="shared" si="68"/>
        <v>10</v>
      </c>
      <c r="AM116" s="411">
        <f t="shared" si="69"/>
        <v>2.5177101019901754E-2</v>
      </c>
      <c r="AN116" s="411">
        <f t="shared" si="70"/>
        <v>0.91896418722641404</v>
      </c>
      <c r="AO116" s="411">
        <f t="shared" si="71"/>
        <v>1.4783334514639295</v>
      </c>
      <c r="AP116" s="384">
        <f>TitulosVendidos[[#This Row],[Comisión Santa Fe
Venta]]+TitulosVendidos[[#This Row],[Comisión Santa Fé
Compra]]</f>
        <v>593.5632463537429</v>
      </c>
      <c r="AQ116" s="385"/>
    </row>
    <row r="117" spans="2:43" x14ac:dyDescent="0.25">
      <c r="B117" s="328">
        <v>46132</v>
      </c>
      <c r="C117" s="328" t="s">
        <v>233</v>
      </c>
      <c r="D117" t="s">
        <v>46</v>
      </c>
      <c r="E117" s="328">
        <v>46084</v>
      </c>
      <c r="F117" s="328">
        <v>46099</v>
      </c>
      <c r="G117" s="328">
        <v>45614</v>
      </c>
      <c r="H117" s="328">
        <v>48901</v>
      </c>
      <c r="I117" s="3">
        <v>6.21</v>
      </c>
      <c r="J117" s="3">
        <f t="shared" si="54"/>
        <v>7.7770988687746216</v>
      </c>
      <c r="K117" s="3">
        <v>10.75</v>
      </c>
      <c r="L117" s="325">
        <f t="shared" si="55"/>
        <v>96.513750000000002</v>
      </c>
      <c r="M117" s="325">
        <f t="shared" si="56"/>
        <v>48.253750000000004</v>
      </c>
      <c r="N117">
        <f t="shared" si="57"/>
        <v>1</v>
      </c>
      <c r="O117" s="325"/>
      <c r="P117" s="325">
        <f t="shared" si="58"/>
        <v>144.76750000000001</v>
      </c>
      <c r="Q117" s="325">
        <v>18650</v>
      </c>
      <c r="R117" s="3">
        <v>79.654331119999995</v>
      </c>
      <c r="S117" s="3">
        <v>79.849827098552268</v>
      </c>
      <c r="T117" s="325">
        <f t="shared" si="59"/>
        <v>14855.532753879997</v>
      </c>
      <c r="U117" s="325">
        <f t="shared" si="60"/>
        <v>14891.992753879998</v>
      </c>
      <c r="V117" s="325">
        <f t="shared" si="61"/>
        <v>14940.252753879999</v>
      </c>
      <c r="W117" s="325">
        <v>48.26</v>
      </c>
      <c r="X117" s="325">
        <v>29.03</v>
      </c>
      <c r="Y117" s="325">
        <v>7.43</v>
      </c>
      <c r="Z117" s="325">
        <f t="shared" si="62"/>
        <v>36.46</v>
      </c>
      <c r="AA117" s="389"/>
      <c r="AB117" s="3">
        <v>87.929015640000003</v>
      </c>
      <c r="AC117" s="3">
        <v>87.497200000000007</v>
      </c>
      <c r="AD117" s="325">
        <v>9.651296198592469</v>
      </c>
      <c r="AE117" s="325">
        <f t="shared" si="63"/>
        <v>16398.761416860001</v>
      </c>
      <c r="AF117" s="325">
        <v>81.993489944288953</v>
      </c>
      <c r="AG117" s="325">
        <v>8.1986818925661957</v>
      </c>
      <c r="AH117" s="325">
        <f t="shared" si="64"/>
        <v>16308.569245023145</v>
      </c>
      <c r="AI117" s="325">
        <f t="shared" si="65"/>
        <v>1543.2286629800037</v>
      </c>
      <c r="AJ117" s="325">
        <f t="shared" si="66"/>
        <v>1416.576491143147</v>
      </c>
      <c r="AK117" s="325">
        <f t="shared" si="67"/>
        <v>1570.9952873417394</v>
      </c>
      <c r="AL117">
        <f t="shared" si="68"/>
        <v>48</v>
      </c>
      <c r="AM117" s="411">
        <f t="shared" si="69"/>
        <v>0.10549261695903177</v>
      </c>
      <c r="AN117" s="411">
        <f t="shared" si="70"/>
        <v>0.80218344145930409</v>
      </c>
      <c r="AO117" s="411">
        <f t="shared" si="71"/>
        <v>1.1439068701879052</v>
      </c>
      <c r="AP117" s="384">
        <f>TitulosVendidos[[#This Row],[Comisión Santa Fe
Venta]]+TitulosVendidos[[#This Row],[Comisión Santa Fé
Compra]]</f>
        <v>111.02348994428895</v>
      </c>
      <c r="AQ117" s="385"/>
    </row>
    <row r="118" spans="2:43" x14ac:dyDescent="0.25">
      <c r="B118" s="328">
        <v>46132</v>
      </c>
      <c r="C118" s="328" t="s">
        <v>233</v>
      </c>
      <c r="D118" t="s">
        <v>46</v>
      </c>
      <c r="E118" s="328">
        <v>46083</v>
      </c>
      <c r="F118" s="328">
        <v>46099</v>
      </c>
      <c r="G118" s="328">
        <v>45614</v>
      </c>
      <c r="H118" s="328">
        <v>48901</v>
      </c>
      <c r="I118" s="3">
        <v>6.21</v>
      </c>
      <c r="J118" s="3">
        <f t="shared" si="54"/>
        <v>7.7723687092540921</v>
      </c>
      <c r="K118" s="3">
        <v>10.75</v>
      </c>
      <c r="L118" s="325">
        <f t="shared" si="55"/>
        <v>40.248562499999998</v>
      </c>
      <c r="M118" s="325">
        <f t="shared" si="56"/>
        <v>21.468562499999997</v>
      </c>
      <c r="N118">
        <f t="shared" si="57"/>
        <v>1</v>
      </c>
      <c r="O118" s="325"/>
      <c r="P118" s="325">
        <f t="shared" si="58"/>
        <v>61.717124999999996</v>
      </c>
      <c r="Q118" s="325">
        <v>7777.5</v>
      </c>
      <c r="R118" s="3">
        <v>79.647827969999994</v>
      </c>
      <c r="S118" s="3">
        <v>79.898422634095141</v>
      </c>
      <c r="T118" s="325">
        <f t="shared" si="59"/>
        <v>6194.6098203667498</v>
      </c>
      <c r="U118" s="325">
        <f t="shared" si="60"/>
        <v>6214.0998203667496</v>
      </c>
      <c r="V118" s="325">
        <f t="shared" si="61"/>
        <v>6232.8798203667493</v>
      </c>
      <c r="W118" s="325">
        <v>18.78</v>
      </c>
      <c r="X118" s="325">
        <v>15.49</v>
      </c>
      <c r="Y118" s="325">
        <v>4</v>
      </c>
      <c r="Z118" s="325">
        <f t="shared" si="62"/>
        <v>19.490000000000002</v>
      </c>
      <c r="AA118" s="389"/>
      <c r="AB118" s="3">
        <v>87.929015640000003</v>
      </c>
      <c r="AC118" s="3">
        <v>87.497200000000007</v>
      </c>
      <c r="AD118" s="325">
        <v>4.0248233879116846</v>
      </c>
      <c r="AE118" s="325">
        <f t="shared" si="63"/>
        <v>6838.679191401</v>
      </c>
      <c r="AF118" s="325">
        <v>34.19326370196822</v>
      </c>
      <c r="AG118" s="325">
        <v>3.4190481726237851</v>
      </c>
      <c r="AH118" s="325">
        <f t="shared" si="64"/>
        <v>6801.0668795264082</v>
      </c>
      <c r="AI118" s="325">
        <f t="shared" si="65"/>
        <v>644.06937103425025</v>
      </c>
      <c r="AJ118" s="325">
        <f t="shared" si="66"/>
        <v>586.96705915965867</v>
      </c>
      <c r="AK118" s="325">
        <f t="shared" si="67"/>
        <v>652.70900754757042</v>
      </c>
      <c r="AL118">
        <f t="shared" si="68"/>
        <v>49</v>
      </c>
      <c r="AM118" s="411">
        <f t="shared" si="69"/>
        <v>0.10503677546477652</v>
      </c>
      <c r="AN118" s="411">
        <f t="shared" si="70"/>
        <v>0.78241679682945775</v>
      </c>
      <c r="AO118" s="411">
        <f t="shared" si="71"/>
        <v>1.1043229314406111</v>
      </c>
      <c r="AP118" s="384">
        <f>TitulosVendidos[[#This Row],[Comisión Santa Fe
Venta]]+TitulosVendidos[[#This Row],[Comisión Santa Fé
Compra]]</f>
        <v>49.683263701968222</v>
      </c>
      <c r="AQ118" s="385"/>
    </row>
    <row r="119" spans="2:43" x14ac:dyDescent="0.25">
      <c r="B119" s="328">
        <v>46132</v>
      </c>
      <c r="C119" s="328" t="s">
        <v>233</v>
      </c>
      <c r="D119" t="s">
        <v>47</v>
      </c>
      <c r="E119" s="328">
        <v>45784</v>
      </c>
      <c r="F119" s="328">
        <v>45795</v>
      </c>
      <c r="G119" s="328">
        <v>45614</v>
      </c>
      <c r="H119" s="328">
        <v>48901</v>
      </c>
      <c r="I119" s="3">
        <v>6.21</v>
      </c>
      <c r="J119" s="3">
        <f t="shared" si="54"/>
        <v>8.134763338031771</v>
      </c>
      <c r="K119" s="3">
        <v>11.25</v>
      </c>
      <c r="L119" s="325">
        <f t="shared" si="55"/>
        <v>29.756249999999998</v>
      </c>
      <c r="M119" s="325">
        <f t="shared" si="56"/>
        <v>10.906249999999996</v>
      </c>
      <c r="N119">
        <f t="shared" si="57"/>
        <v>11</v>
      </c>
      <c r="O119" s="325"/>
      <c r="P119" s="325">
        <f t="shared" si="58"/>
        <v>338.22499999999997</v>
      </c>
      <c r="Q119" s="325">
        <v>5750</v>
      </c>
      <c r="R119" s="3">
        <v>75.747732720000002</v>
      </c>
      <c r="S119" s="3">
        <v>76.339037067826084</v>
      </c>
      <c r="T119" s="325">
        <f t="shared" si="59"/>
        <v>4355.4946313999999</v>
      </c>
      <c r="U119" s="325">
        <f t="shared" si="60"/>
        <v>4389.4946313999999</v>
      </c>
      <c r="V119" s="325">
        <f t="shared" si="61"/>
        <v>4408.3446314000003</v>
      </c>
      <c r="W119" s="325">
        <v>18.850000000000001</v>
      </c>
      <c r="X119" s="325">
        <v>30</v>
      </c>
      <c r="Y119" s="325">
        <v>4</v>
      </c>
      <c r="Z119" s="325">
        <f t="shared" si="62"/>
        <v>34</v>
      </c>
      <c r="AA119" s="389"/>
      <c r="AB119" s="3">
        <v>87.929015640000003</v>
      </c>
      <c r="AC119" s="3">
        <v>87.497200000000007</v>
      </c>
      <c r="AD119" s="325">
        <v>2.975750827379295</v>
      </c>
      <c r="AE119" s="325">
        <f t="shared" si="63"/>
        <v>5055.9183993000006</v>
      </c>
      <c r="AF119" s="325">
        <v>25.279298506077762</v>
      </c>
      <c r="AG119" s="325">
        <v>2.5282855463796361</v>
      </c>
      <c r="AH119" s="325">
        <f t="shared" si="64"/>
        <v>5028.1108152475435</v>
      </c>
      <c r="AI119" s="325">
        <f t="shared" si="65"/>
        <v>700.42376790000071</v>
      </c>
      <c r="AJ119" s="325">
        <f t="shared" si="66"/>
        <v>638.61618384754365</v>
      </c>
      <c r="AK119" s="325">
        <f t="shared" si="67"/>
        <v>979.81693467492289</v>
      </c>
      <c r="AL119">
        <f t="shared" si="68"/>
        <v>348</v>
      </c>
      <c r="AM119" s="411">
        <f t="shared" si="69"/>
        <v>0.22321862012675861</v>
      </c>
      <c r="AN119" s="411">
        <f t="shared" si="70"/>
        <v>0.23412297800651408</v>
      </c>
      <c r="AO119" s="411">
        <f t="shared" si="71"/>
        <v>0.23531782511904109</v>
      </c>
      <c r="AP119" s="384">
        <f>TitulosVendidos[[#This Row],[Comisión Santa Fe
Venta]]+TitulosVendidos[[#This Row],[Comisión Santa Fé
Compra]]</f>
        <v>55.279298506077765</v>
      </c>
      <c r="AQ119" s="385"/>
    </row>
    <row r="120" spans="2:43" x14ac:dyDescent="0.25">
      <c r="B120" s="328">
        <v>46132</v>
      </c>
      <c r="C120" s="328" t="s">
        <v>233</v>
      </c>
      <c r="D120" t="s">
        <v>47</v>
      </c>
      <c r="E120" s="328">
        <v>46084</v>
      </c>
      <c r="F120" s="328">
        <v>46099</v>
      </c>
      <c r="G120" s="328">
        <v>45614</v>
      </c>
      <c r="H120" s="328">
        <v>48901</v>
      </c>
      <c r="I120" s="3">
        <v>6.21</v>
      </c>
      <c r="J120" s="3">
        <f t="shared" si="54"/>
        <v>7.7728646023083838</v>
      </c>
      <c r="K120" s="3">
        <v>10.75</v>
      </c>
      <c r="L120" s="325">
        <f t="shared" si="55"/>
        <v>146.11612500000001</v>
      </c>
      <c r="M120" s="325">
        <f t="shared" si="56"/>
        <v>73.056125000000009</v>
      </c>
      <c r="N120">
        <f t="shared" si="57"/>
        <v>1</v>
      </c>
      <c r="O120" s="325"/>
      <c r="P120" s="325">
        <f t="shared" si="58"/>
        <v>219.17225000000002</v>
      </c>
      <c r="Q120" s="325">
        <v>28235</v>
      </c>
      <c r="R120" s="3">
        <v>79.654331119999995</v>
      </c>
      <c r="S120" s="3">
        <v>79.893325276189117</v>
      </c>
      <c r="T120" s="325">
        <f t="shared" si="59"/>
        <v>22490.400391731997</v>
      </c>
      <c r="U120" s="325">
        <f t="shared" si="60"/>
        <v>22557.880391731996</v>
      </c>
      <c r="V120" s="325">
        <f t="shared" si="61"/>
        <v>22630.940391731998</v>
      </c>
      <c r="W120" s="325">
        <v>73.06</v>
      </c>
      <c r="X120" s="325">
        <v>56.23</v>
      </c>
      <c r="Y120" s="325">
        <v>11.25</v>
      </c>
      <c r="Z120" s="325">
        <f t="shared" si="62"/>
        <v>67.47999999999999</v>
      </c>
      <c r="AA120" s="389"/>
      <c r="AB120" s="3">
        <v>87.929015640000003</v>
      </c>
      <c r="AC120" s="3">
        <v>87.497200000000007</v>
      </c>
      <c r="AD120" s="325">
        <v>14.612230367139899</v>
      </c>
      <c r="AE120" s="325">
        <f t="shared" si="63"/>
        <v>24826.757565954002</v>
      </c>
      <c r="AF120" s="325">
        <v>124.1323466641923</v>
      </c>
      <c r="AG120" s="325">
        <v>12.41498128730939</v>
      </c>
      <c r="AH120" s="325">
        <f t="shared" si="64"/>
        <v>24690.210238002499</v>
      </c>
      <c r="AI120" s="325">
        <f t="shared" si="65"/>
        <v>2336.3571742220047</v>
      </c>
      <c r="AJ120" s="325">
        <f t="shared" si="66"/>
        <v>2132.3298462705025</v>
      </c>
      <c r="AK120" s="325">
        <f t="shared" si="67"/>
        <v>2366.1143266376425</v>
      </c>
      <c r="AL120">
        <f t="shared" si="68"/>
        <v>48</v>
      </c>
      <c r="AM120" s="411">
        <f t="shared" si="69"/>
        <v>0.10489080913403903</v>
      </c>
      <c r="AN120" s="411">
        <f t="shared" si="70"/>
        <v>0.79760719445675521</v>
      </c>
      <c r="AO120" s="411">
        <f t="shared" si="71"/>
        <v>1.1350479877795374</v>
      </c>
      <c r="AP120" s="384">
        <f>TitulosVendidos[[#This Row],[Comisión Santa Fe
Venta]]+TitulosVendidos[[#This Row],[Comisión Santa Fé
Compra]]</f>
        <v>180.3623466641923</v>
      </c>
      <c r="AQ120" s="385"/>
    </row>
    <row r="121" spans="2:43" x14ac:dyDescent="0.25">
      <c r="B121" s="328">
        <v>46132</v>
      </c>
      <c r="C121" s="328" t="s">
        <v>233</v>
      </c>
      <c r="D121" t="s">
        <v>47</v>
      </c>
      <c r="E121" s="328">
        <v>46122</v>
      </c>
      <c r="F121" s="328">
        <v>46130</v>
      </c>
      <c r="G121" s="328">
        <v>45614</v>
      </c>
      <c r="H121" s="328">
        <v>48901</v>
      </c>
      <c r="I121" s="3">
        <v>6.21</v>
      </c>
      <c r="J121" s="3">
        <f t="shared" si="54"/>
        <v>7.2953080592769792</v>
      </c>
      <c r="K121" s="3">
        <v>9.5</v>
      </c>
      <c r="L121" s="325">
        <f t="shared" si="55"/>
        <v>235.86356250000003</v>
      </c>
      <c r="M121" s="325">
        <f t="shared" si="56"/>
        <v>62.89356250000003</v>
      </c>
      <c r="N121">
        <f t="shared" si="57"/>
        <v>0</v>
      </c>
      <c r="O121" s="325"/>
      <c r="P121" s="325">
        <f t="shared" si="58"/>
        <v>62.89356250000003</v>
      </c>
      <c r="Q121" s="325">
        <v>45577.5</v>
      </c>
      <c r="R121" s="3">
        <v>84.910906789999999</v>
      </c>
      <c r="S121" s="3">
        <v>85.123204524627823</v>
      </c>
      <c r="T121" s="325">
        <f t="shared" si="59"/>
        <v>38700.268542212245</v>
      </c>
      <c r="U121" s="325">
        <f t="shared" si="60"/>
        <v>38797.028542212247</v>
      </c>
      <c r="V121" s="325">
        <f t="shared" si="61"/>
        <v>38969.998542212248</v>
      </c>
      <c r="W121" s="325">
        <v>172.97</v>
      </c>
      <c r="X121" s="325">
        <v>77.41</v>
      </c>
      <c r="Y121" s="325">
        <v>19.350000000000001</v>
      </c>
      <c r="Z121" s="325">
        <f t="shared" si="62"/>
        <v>96.759999999999991</v>
      </c>
      <c r="AA121" s="389"/>
      <c r="AB121" s="3">
        <v>87.929015640000003</v>
      </c>
      <c r="AC121" s="3">
        <v>87.497200000000007</v>
      </c>
      <c r="AD121" s="325">
        <v>23.587353623457361</v>
      </c>
      <c r="AE121" s="325">
        <f t="shared" si="63"/>
        <v>40075.847103321001</v>
      </c>
      <c r="AF121" s="325">
        <v>200.37690915839289</v>
      </c>
      <c r="AG121" s="325">
        <v>20.04051034610745</v>
      </c>
      <c r="AH121" s="325">
        <f t="shared" si="64"/>
        <v>39855.429683816496</v>
      </c>
      <c r="AI121" s="325">
        <f t="shared" si="65"/>
        <v>1375.5785611087558</v>
      </c>
      <c r="AJ121" s="325">
        <f t="shared" si="66"/>
        <v>1058.4011416042486</v>
      </c>
      <c r="AK121" s="325">
        <f t="shared" si="67"/>
        <v>1144.8820577277058</v>
      </c>
      <c r="AL121">
        <f t="shared" si="68"/>
        <v>10</v>
      </c>
      <c r="AM121" s="411">
        <f t="shared" si="69"/>
        <v>2.9509529485796632E-2</v>
      </c>
      <c r="AN121" s="411">
        <f t="shared" si="70"/>
        <v>1.0770978262315771</v>
      </c>
      <c r="AO121" s="411">
        <f t="shared" si="71"/>
        <v>1.8907367228665244</v>
      </c>
      <c r="AP121" s="384">
        <f>TitulosVendidos[[#This Row],[Comisión Santa Fe
Venta]]+TitulosVendidos[[#This Row],[Comisión Santa Fé
Compra]]</f>
        <v>277.78690915839286</v>
      </c>
      <c r="AQ121" s="385"/>
    </row>
    <row r="122" spans="2:43" x14ac:dyDescent="0.25">
      <c r="B122" s="328">
        <v>46132</v>
      </c>
      <c r="C122" s="328" t="s">
        <v>233</v>
      </c>
      <c r="D122" t="s">
        <v>47</v>
      </c>
      <c r="E122" s="328">
        <v>46037</v>
      </c>
      <c r="F122" s="328">
        <v>46040</v>
      </c>
      <c r="G122" s="328">
        <v>45614</v>
      </c>
      <c r="H122" s="328">
        <v>48901</v>
      </c>
      <c r="I122" s="3">
        <v>6.21</v>
      </c>
      <c r="J122" s="3">
        <f t="shared" si="54"/>
        <v>7.8298775121437219</v>
      </c>
      <c r="K122" s="3">
        <v>11</v>
      </c>
      <c r="L122" s="325">
        <f t="shared" si="55"/>
        <v>6.5463750000000003</v>
      </c>
      <c r="M122" s="325">
        <f t="shared" si="56"/>
        <v>0.6563750000000006</v>
      </c>
      <c r="N122">
        <f t="shared" si="57"/>
        <v>3</v>
      </c>
      <c r="O122" s="325"/>
      <c r="P122" s="325">
        <f t="shared" si="58"/>
        <v>20.295500000000001</v>
      </c>
      <c r="Q122" s="325">
        <v>1265</v>
      </c>
      <c r="R122" s="3">
        <v>78.362968929999994</v>
      </c>
      <c r="S122" s="3">
        <v>79.311585530790509</v>
      </c>
      <c r="T122" s="325">
        <f t="shared" si="59"/>
        <v>991.29155696449993</v>
      </c>
      <c r="U122" s="325">
        <f t="shared" si="60"/>
        <v>1003.2915569644999</v>
      </c>
      <c r="V122" s="325">
        <f t="shared" si="61"/>
        <v>1009.1815569644999</v>
      </c>
      <c r="W122" s="325">
        <v>5.89</v>
      </c>
      <c r="X122" s="325">
        <v>8</v>
      </c>
      <c r="Y122" s="325">
        <v>4</v>
      </c>
      <c r="Z122" s="325">
        <f t="shared" si="62"/>
        <v>12</v>
      </c>
      <c r="AA122" s="389"/>
      <c r="AB122" s="3">
        <v>87.929015640000003</v>
      </c>
      <c r="AC122" s="3">
        <v>87.497200000000007</v>
      </c>
      <c r="AD122" s="325">
        <v>0.65466518202344492</v>
      </c>
      <c r="AE122" s="325">
        <f t="shared" si="63"/>
        <v>1112.3020478460001</v>
      </c>
      <c r="AF122" s="325">
        <v>5.5614456713371068</v>
      </c>
      <c r="AG122" s="325">
        <v>0.55622282020351987</v>
      </c>
      <c r="AH122" s="325">
        <f t="shared" si="64"/>
        <v>1106.1843793544592</v>
      </c>
      <c r="AI122" s="325">
        <f t="shared" si="65"/>
        <v>121.01049088150012</v>
      </c>
      <c r="AJ122" s="325">
        <f t="shared" si="66"/>
        <v>102.89282238995929</v>
      </c>
      <c r="AK122" s="325">
        <f t="shared" si="67"/>
        <v>123.84298757198275</v>
      </c>
      <c r="AL122">
        <f t="shared" si="68"/>
        <v>95</v>
      </c>
      <c r="AM122" s="411">
        <f t="shared" si="69"/>
        <v>0.12343668867968433</v>
      </c>
      <c r="AN122" s="411">
        <f t="shared" si="70"/>
        <v>0.47425675124299765</v>
      </c>
      <c r="AO122" s="411">
        <f t="shared" si="71"/>
        <v>0.56391466724163508</v>
      </c>
      <c r="AP122" s="384">
        <f>TitulosVendidos[[#This Row],[Comisión Santa Fe
Venta]]+TitulosVendidos[[#This Row],[Comisión Santa Fé
Compra]]</f>
        <v>13.561445671337108</v>
      </c>
      <c r="AQ122" s="385"/>
    </row>
    <row r="123" spans="2:43" x14ac:dyDescent="0.25">
      <c r="B123" s="328">
        <v>46120</v>
      </c>
      <c r="C123" s="328" t="s">
        <v>233</v>
      </c>
      <c r="D123" t="s">
        <v>46</v>
      </c>
      <c r="E123" s="328">
        <v>45793</v>
      </c>
      <c r="F123" s="328">
        <v>45816</v>
      </c>
      <c r="G123" s="328">
        <v>45785</v>
      </c>
      <c r="H123" s="328">
        <v>49072</v>
      </c>
      <c r="I123" s="3">
        <v>9.8662276268283957</v>
      </c>
      <c r="J123" s="3">
        <f t="shared" si="54"/>
        <v>12.275214071171739</v>
      </c>
      <c r="K123" s="3">
        <v>86.569166666666661</v>
      </c>
      <c r="L123" s="325">
        <f t="shared" si="55"/>
        <v>88.302737260114142</v>
      </c>
      <c r="M123" s="325">
        <f t="shared" si="56"/>
        <v>69.372462450953833</v>
      </c>
      <c r="N123">
        <f t="shared" si="57"/>
        <v>10</v>
      </c>
      <c r="O123" s="325"/>
      <c r="P123" s="325">
        <f t="shared" si="58"/>
        <v>952.39983505209534</v>
      </c>
      <c r="Q123" s="325">
        <v>10740</v>
      </c>
      <c r="R123" s="3">
        <v>80.094816420000001</v>
      </c>
      <c r="S123" s="3">
        <v>80.375198099389294</v>
      </c>
      <c r="T123" s="325">
        <f t="shared" si="59"/>
        <v>8602.1832835080004</v>
      </c>
      <c r="U123" s="325">
        <f t="shared" si="60"/>
        <v>8632.2962758744106</v>
      </c>
      <c r="V123" s="325">
        <f t="shared" si="61"/>
        <v>8651.2265506835702</v>
      </c>
      <c r="W123" s="325">
        <v>18.930274809160309</v>
      </c>
      <c r="X123" s="325">
        <v>25.808793893129771</v>
      </c>
      <c r="Y123" s="325">
        <v>4.304198473282443</v>
      </c>
      <c r="Z123" s="325">
        <f t="shared" si="62"/>
        <v>30.112992366412215</v>
      </c>
      <c r="AA123" s="389"/>
      <c r="AB123" s="3">
        <v>92.387381959999999</v>
      </c>
      <c r="AC123" s="3"/>
      <c r="AD123" s="325"/>
      <c r="AE123" s="325">
        <f t="shared" si="63"/>
        <v>9922.4048225040005</v>
      </c>
      <c r="AF123" s="325">
        <v>99.22</v>
      </c>
      <c r="AG123" s="325">
        <v>4.96</v>
      </c>
      <c r="AH123" s="325">
        <f t="shared" si="64"/>
        <v>9818.2248225040021</v>
      </c>
      <c r="AI123" s="325">
        <f t="shared" si="65"/>
        <v>1320.2215389960002</v>
      </c>
      <c r="AJ123" s="325">
        <f t="shared" si="66"/>
        <v>1185.9285466295914</v>
      </c>
      <c r="AK123" s="325">
        <f t="shared" si="67"/>
        <v>2138.3283816816866</v>
      </c>
      <c r="AL123">
        <f t="shared" si="68"/>
        <v>327</v>
      </c>
      <c r="AM123" s="411">
        <f t="shared" si="69"/>
        <v>0.24771257998383334</v>
      </c>
      <c r="AN123" s="411">
        <f t="shared" si="70"/>
        <v>0.27649875135810148</v>
      </c>
      <c r="AO123" s="411">
        <f t="shared" si="71"/>
        <v>0.28021770550200009</v>
      </c>
      <c r="AP123" s="384">
        <f>TitulosVendidos[[#This Row],[Comisión Santa Fe
Venta]]+TitulosVendidos[[#This Row],[Comisión Santa Fé
Compra]]</f>
        <v>125.02879389312977</v>
      </c>
      <c r="AQ123" s="385"/>
    </row>
    <row r="124" spans="2:43" x14ac:dyDescent="0.25">
      <c r="B124" s="328">
        <v>46120</v>
      </c>
      <c r="C124" s="328" t="s">
        <v>233</v>
      </c>
      <c r="D124" t="s">
        <v>46</v>
      </c>
      <c r="E124" s="328">
        <v>45793</v>
      </c>
      <c r="F124" s="328">
        <v>45816</v>
      </c>
      <c r="G124" s="328">
        <v>45785</v>
      </c>
      <c r="H124" s="328">
        <v>49072</v>
      </c>
      <c r="I124" s="3">
        <v>9.8662276268283957</v>
      </c>
      <c r="J124" s="3">
        <f t="shared" si="54"/>
        <v>12.275214071171741</v>
      </c>
      <c r="K124" s="3">
        <v>86.569166666666661</v>
      </c>
      <c r="L124" s="325">
        <f t="shared" si="55"/>
        <v>19.403580999429177</v>
      </c>
      <c r="M124" s="325">
        <f t="shared" si="56"/>
        <v>15.243855808589483</v>
      </c>
      <c r="N124">
        <f t="shared" si="57"/>
        <v>10</v>
      </c>
      <c r="O124" s="325"/>
      <c r="P124" s="325">
        <f t="shared" si="58"/>
        <v>209.27966580288125</v>
      </c>
      <c r="Q124" s="325">
        <v>2360</v>
      </c>
      <c r="R124" s="3">
        <v>80.094816420000001</v>
      </c>
      <c r="S124" s="3">
        <v>80.375198099389294</v>
      </c>
      <c r="T124" s="325">
        <f t="shared" si="59"/>
        <v>1890.2376675119999</v>
      </c>
      <c r="U124" s="325">
        <f t="shared" si="60"/>
        <v>1896.8546751455872</v>
      </c>
      <c r="V124" s="325">
        <f t="shared" si="61"/>
        <v>1901.0144003364269</v>
      </c>
      <c r="W124" s="325">
        <v>4.1597251908396951</v>
      </c>
      <c r="X124" s="325">
        <v>5.6712061068702289</v>
      </c>
      <c r="Y124" s="325">
        <v>0.94580152671755724</v>
      </c>
      <c r="Z124" s="325">
        <f t="shared" si="62"/>
        <v>6.6170076335877859</v>
      </c>
      <c r="AA124" s="389"/>
      <c r="AB124" s="3">
        <v>92.387381959999999</v>
      </c>
      <c r="AC124" s="3"/>
      <c r="AD124" s="325"/>
      <c r="AE124" s="325">
        <f t="shared" si="63"/>
        <v>2180.3422142559998</v>
      </c>
      <c r="AF124" s="325">
        <v>21.8</v>
      </c>
      <c r="AG124" s="325">
        <v>4</v>
      </c>
      <c r="AH124" s="325">
        <f t="shared" si="64"/>
        <v>2154.5422142559996</v>
      </c>
      <c r="AI124" s="325">
        <f t="shared" si="65"/>
        <v>290.10454674399989</v>
      </c>
      <c r="AJ124" s="325">
        <f t="shared" si="66"/>
        <v>257.68753911041244</v>
      </c>
      <c r="AK124" s="325">
        <f t="shared" si="67"/>
        <v>466.9672049132937</v>
      </c>
      <c r="AL124">
        <f t="shared" si="68"/>
        <v>327</v>
      </c>
      <c r="AM124" s="411">
        <f t="shared" si="69"/>
        <v>0.24617974746929577</v>
      </c>
      <c r="AN124" s="411">
        <f t="shared" si="70"/>
        <v>0.27478779151771543</v>
      </c>
      <c r="AO124" s="411">
        <f t="shared" si="71"/>
        <v>0.27846229748147633</v>
      </c>
      <c r="AP124" s="384">
        <f>TitulosVendidos[[#This Row],[Comisión Santa Fe
Venta]]+TitulosVendidos[[#This Row],[Comisión Santa Fé
Compra]]</f>
        <v>27.47120610687023</v>
      </c>
      <c r="AQ124" s="385"/>
    </row>
    <row r="125" spans="2:43" x14ac:dyDescent="0.25">
      <c r="B125" s="328">
        <v>46132</v>
      </c>
      <c r="C125" s="328" t="s">
        <v>233</v>
      </c>
      <c r="D125" t="s">
        <v>47</v>
      </c>
      <c r="E125" s="328">
        <v>46121</v>
      </c>
      <c r="F125" s="328">
        <v>46147</v>
      </c>
      <c r="G125" s="328">
        <v>45905</v>
      </c>
      <c r="H125" s="328">
        <v>48827</v>
      </c>
      <c r="I125" s="3">
        <v>7.72</v>
      </c>
      <c r="J125" s="3">
        <f t="shared" si="54"/>
        <v>8.6164285030133954</v>
      </c>
      <c r="K125" s="3">
        <v>10</v>
      </c>
      <c r="L125" s="325">
        <f t="shared" si="55"/>
        <v>341.60999999999996</v>
      </c>
      <c r="M125" s="325">
        <f t="shared" si="56"/>
        <v>307.44999999999993</v>
      </c>
      <c r="N125">
        <f t="shared" si="57"/>
        <v>0</v>
      </c>
      <c r="O125" s="325"/>
      <c r="P125" s="325">
        <f t="shared" si="58"/>
        <v>307.44999999999993</v>
      </c>
      <c r="Q125" s="325">
        <v>53100</v>
      </c>
      <c r="R125" s="3">
        <v>89.283800999999997</v>
      </c>
      <c r="S125" s="3">
        <v>89.596286875706198</v>
      </c>
      <c r="T125" s="325">
        <f t="shared" si="59"/>
        <v>47409.698330999992</v>
      </c>
      <c r="U125" s="325">
        <f t="shared" si="60"/>
        <v>47575.628330999993</v>
      </c>
      <c r="V125" s="325">
        <f t="shared" si="61"/>
        <v>47609.788330999996</v>
      </c>
      <c r="W125" s="325">
        <v>34.159999999999997</v>
      </c>
      <c r="X125" s="325">
        <v>142.22999999999999</v>
      </c>
      <c r="Y125" s="325">
        <v>23.7</v>
      </c>
      <c r="Z125" s="325">
        <f t="shared" si="62"/>
        <v>165.92999999999998</v>
      </c>
      <c r="AA125" s="389"/>
      <c r="AB125" s="3">
        <v>94.764032549999996</v>
      </c>
      <c r="AC125" s="3">
        <v>94.585899999999995</v>
      </c>
      <c r="AD125" s="325">
        <v>182.19</v>
      </c>
      <c r="AE125" s="325">
        <f t="shared" si="63"/>
        <v>50319.701284050003</v>
      </c>
      <c r="AF125" s="325">
        <v>251.6</v>
      </c>
      <c r="AG125" s="325">
        <v>25.16</v>
      </c>
      <c r="AH125" s="325">
        <f t="shared" si="64"/>
        <v>50042.941284050001</v>
      </c>
      <c r="AI125" s="325">
        <f t="shared" si="65"/>
        <v>2910.0029530500105</v>
      </c>
      <c r="AJ125" s="325">
        <f t="shared" si="66"/>
        <v>2467.3129530500082</v>
      </c>
      <c r="AK125" s="325">
        <f t="shared" si="67"/>
        <v>2956.9529530500081</v>
      </c>
      <c r="AL125">
        <f t="shared" si="68"/>
        <v>11</v>
      </c>
      <c r="AM125" s="411">
        <f t="shared" si="69"/>
        <v>6.2152683144350095E-2</v>
      </c>
      <c r="AN125" s="411">
        <f t="shared" si="70"/>
        <v>2.0623390316079804</v>
      </c>
      <c r="AO125" s="411">
        <f t="shared" si="71"/>
        <v>6.3948714927210935</v>
      </c>
      <c r="AP125" s="384">
        <f>TitulosVendidos[[#This Row],[Comisión Santa Fe
Venta]]+TitulosVendidos[[#This Row],[Comisión Santa Fé
Compra]]</f>
        <v>393.83</v>
      </c>
      <c r="AQ125" s="385"/>
    </row>
    <row r="126" spans="2:43" x14ac:dyDescent="0.25">
      <c r="B126" s="328">
        <v>46120</v>
      </c>
      <c r="C126" s="328" t="s">
        <v>233</v>
      </c>
      <c r="D126" t="s">
        <v>47</v>
      </c>
      <c r="E126" s="328">
        <v>46057</v>
      </c>
      <c r="F126" s="328">
        <v>46059</v>
      </c>
      <c r="G126" s="328">
        <v>45875</v>
      </c>
      <c r="H126" s="328">
        <v>49162</v>
      </c>
      <c r="I126" s="3">
        <v>7.93</v>
      </c>
      <c r="J126" s="3">
        <f t="shared" si="54"/>
        <v>9.4099311865975057</v>
      </c>
      <c r="K126" s="3">
        <v>11.25</v>
      </c>
      <c r="L126" s="325">
        <f t="shared" si="55"/>
        <v>28.415833333333335</v>
      </c>
      <c r="M126" s="325">
        <f t="shared" si="56"/>
        <v>1.8958333333333357</v>
      </c>
      <c r="N126">
        <f t="shared" si="57"/>
        <v>2</v>
      </c>
      <c r="O126" s="325"/>
      <c r="P126" s="325">
        <f t="shared" si="58"/>
        <v>58.727500000000006</v>
      </c>
      <c r="Q126" s="325">
        <v>4300</v>
      </c>
      <c r="R126" s="3">
        <v>84.06242263</v>
      </c>
      <c r="S126" s="3">
        <v>84.272667278318039</v>
      </c>
      <c r="T126" s="325">
        <f t="shared" si="59"/>
        <v>3614.6841730899996</v>
      </c>
      <c r="U126" s="325">
        <f t="shared" si="60"/>
        <v>3623.7246929676753</v>
      </c>
      <c r="V126" s="325">
        <f t="shared" si="61"/>
        <v>3650.2446929676753</v>
      </c>
      <c r="W126" s="325">
        <v>26.52</v>
      </c>
      <c r="X126" s="325">
        <v>7.23</v>
      </c>
      <c r="Y126" s="325">
        <v>1.81</v>
      </c>
      <c r="Z126" s="325">
        <f t="shared" si="62"/>
        <v>9.0400000000000009</v>
      </c>
      <c r="AA126" s="389"/>
      <c r="AB126" s="3">
        <v>92.183405489999998</v>
      </c>
      <c r="AC126" s="3">
        <v>91.212599999999995</v>
      </c>
      <c r="AD126" s="325">
        <v>1.89</v>
      </c>
      <c r="AE126" s="325">
        <f t="shared" si="63"/>
        <v>3963.8864360699999</v>
      </c>
      <c r="AF126" s="325">
        <v>39.64</v>
      </c>
      <c r="AG126" s="325">
        <v>4</v>
      </c>
      <c r="AH126" s="325">
        <f t="shared" si="64"/>
        <v>3920.2464360700001</v>
      </c>
      <c r="AI126" s="325">
        <f t="shared" si="65"/>
        <v>349.20226298000034</v>
      </c>
      <c r="AJ126" s="325">
        <f t="shared" si="66"/>
        <v>296.52174310232476</v>
      </c>
      <c r="AK126" s="325">
        <f t="shared" si="67"/>
        <v>357.13924310232477</v>
      </c>
      <c r="AL126">
        <f t="shared" si="68"/>
        <v>63</v>
      </c>
      <c r="AM126" s="411">
        <f t="shared" si="69"/>
        <v>9.8555843327557818E-2</v>
      </c>
      <c r="AN126" s="411">
        <f t="shared" si="70"/>
        <v>0.57099813991362858</v>
      </c>
      <c r="AO126" s="411">
        <f t="shared" si="71"/>
        <v>0.72388866873014335</v>
      </c>
      <c r="AP126" s="384">
        <f>TitulosVendidos[[#This Row],[Comisión Santa Fe
Venta]]+TitulosVendidos[[#This Row],[Comisión Santa Fé
Compra]]</f>
        <v>46.870000000000005</v>
      </c>
      <c r="AQ126" s="385"/>
    </row>
    <row r="127" spans="2:43" x14ac:dyDescent="0.25">
      <c r="B127" s="328">
        <v>46119</v>
      </c>
      <c r="C127" s="328" t="s">
        <v>233</v>
      </c>
      <c r="D127" t="s">
        <v>47</v>
      </c>
      <c r="E127" s="328">
        <v>45888</v>
      </c>
      <c r="F127" s="328">
        <v>45894</v>
      </c>
      <c r="G127" s="328">
        <v>45498</v>
      </c>
      <c r="H127" s="328">
        <v>48785</v>
      </c>
      <c r="I127" s="3">
        <v>6.21</v>
      </c>
      <c r="J127" s="3">
        <f t="shared" si="54"/>
        <v>7.433750425188677</v>
      </c>
      <c r="K127" s="3">
        <v>12.25</v>
      </c>
      <c r="L127" s="325">
        <f t="shared" si="55"/>
        <v>65.396474999999995</v>
      </c>
      <c r="M127" s="325">
        <f t="shared" si="56"/>
        <v>13.078340699267038</v>
      </c>
      <c r="N127">
        <f t="shared" si="57"/>
        <v>7</v>
      </c>
      <c r="O127" s="325"/>
      <c r="P127" s="325">
        <f t="shared" si="58"/>
        <v>470.85366569926697</v>
      </c>
      <c r="Q127" s="325">
        <v>12637</v>
      </c>
      <c r="R127" s="3">
        <v>83.246360999999993</v>
      </c>
      <c r="S127" s="3">
        <v>83.537913500000002</v>
      </c>
      <c r="T127" s="325">
        <f t="shared" si="59"/>
        <v>10519.842639569999</v>
      </c>
      <c r="U127" s="325">
        <f t="shared" si="60"/>
        <v>10556.686128994999</v>
      </c>
      <c r="V127" s="325">
        <f t="shared" si="61"/>
        <v>10609.004263295732</v>
      </c>
      <c r="W127" s="325">
        <v>52.318134300732957</v>
      </c>
      <c r="X127" s="325">
        <v>31.585483082845929</v>
      </c>
      <c r="Y127" s="325">
        <v>5.2580099207818174</v>
      </c>
      <c r="Z127" s="325">
        <f t="shared" si="62"/>
        <v>36.843493003627749</v>
      </c>
      <c r="AA127" s="389"/>
      <c r="AB127" s="3">
        <v>86.089360769999999</v>
      </c>
      <c r="AC127" s="3">
        <v>85.392399999999995</v>
      </c>
      <c r="AD127" s="325">
        <v>26.16</v>
      </c>
      <c r="AE127" s="325">
        <f t="shared" si="63"/>
        <v>10879.112520504899</v>
      </c>
      <c r="AF127" s="325">
        <v>108.79</v>
      </c>
      <c r="AG127" s="325">
        <v>54.4</v>
      </c>
      <c r="AH127" s="325">
        <f t="shared" si="64"/>
        <v>10715.922520504899</v>
      </c>
      <c r="AI127" s="325">
        <f t="shared" si="65"/>
        <v>359.26988093490036</v>
      </c>
      <c r="AJ127" s="325">
        <f t="shared" si="66"/>
        <v>159.23639150989948</v>
      </c>
      <c r="AK127" s="325">
        <f t="shared" si="67"/>
        <v>656.25005720916636</v>
      </c>
      <c r="AL127">
        <f t="shared" si="68"/>
        <v>231</v>
      </c>
      <c r="AM127" s="411">
        <f t="shared" si="69"/>
        <v>6.2164399811670976E-2</v>
      </c>
      <c r="AN127" s="411">
        <f t="shared" si="70"/>
        <v>9.8225133901558043E-2</v>
      </c>
      <c r="AO127" s="411">
        <f t="shared" si="71"/>
        <v>9.998108912264847E-2</v>
      </c>
      <c r="AP127" s="384">
        <f>TitulosVendidos[[#This Row],[Comisión Santa Fe
Venta]]+TitulosVendidos[[#This Row],[Comisión Santa Fé
Compra]]</f>
        <v>140.37548308284593</v>
      </c>
      <c r="AQ127" s="385"/>
    </row>
    <row r="128" spans="2:43" x14ac:dyDescent="0.25">
      <c r="B128" s="328">
        <v>46147</v>
      </c>
      <c r="C128" s="328" t="s">
        <v>290</v>
      </c>
      <c r="D128" t="s">
        <v>47</v>
      </c>
      <c r="E128" s="328">
        <v>46127</v>
      </c>
      <c r="F128" s="328"/>
      <c r="G128" s="328"/>
      <c r="H128" s="328"/>
      <c r="I128" s="3"/>
      <c r="J128" s="3">
        <f t="shared" si="54"/>
        <v>0</v>
      </c>
      <c r="K128" s="3"/>
      <c r="L128" s="325">
        <f t="shared" si="55"/>
        <v>0</v>
      </c>
      <c r="M128" s="325">
        <f t="shared" si="56"/>
        <v>0</v>
      </c>
      <c r="N128">
        <f t="shared" si="57"/>
        <v>0</v>
      </c>
      <c r="O128" s="325"/>
      <c r="P128" s="325">
        <f t="shared" si="58"/>
        <v>0</v>
      </c>
      <c r="Q128" s="325">
        <v>39002.030000000013</v>
      </c>
      <c r="R128" s="3"/>
      <c r="S128" s="3"/>
      <c r="T128" s="325">
        <f t="shared" si="59"/>
        <v>0</v>
      </c>
      <c r="U128" s="325">
        <v>37658.860782480609</v>
      </c>
      <c r="V128" s="325">
        <f t="shared" si="61"/>
        <v>37658.860782480609</v>
      </c>
      <c r="W128" s="325"/>
      <c r="X128" s="325">
        <v>144.01</v>
      </c>
      <c r="Y128" s="325">
        <v>6.4056499999999987</v>
      </c>
      <c r="Z128" s="325">
        <f t="shared" si="62"/>
        <v>150.41565</v>
      </c>
      <c r="AA128" s="389" t="s">
        <v>291</v>
      </c>
      <c r="AB128" s="3">
        <v>98.15</v>
      </c>
      <c r="AC128" s="3">
        <v>98.002200000000002</v>
      </c>
      <c r="AD128" s="325">
        <v>0</v>
      </c>
      <c r="AE128" s="325">
        <f t="shared" si="63"/>
        <v>38280.492445000011</v>
      </c>
      <c r="AF128" s="325">
        <v>50.002516999999997</v>
      </c>
      <c r="AG128" s="325">
        <v>7.66</v>
      </c>
      <c r="AH128" s="325">
        <f t="shared" si="64"/>
        <v>38222.829928000006</v>
      </c>
      <c r="AI128" s="325">
        <f t="shared" si="65"/>
        <v>38280.492445000011</v>
      </c>
      <c r="AJ128" s="325">
        <f t="shared" si="66"/>
        <v>563.96914551939699</v>
      </c>
      <c r="AK128" s="325">
        <f t="shared" si="67"/>
        <v>563.96914551939699</v>
      </c>
      <c r="AL128">
        <f t="shared" si="68"/>
        <v>20</v>
      </c>
      <c r="AM128" s="411">
        <f t="shared" si="69"/>
        <v>1.4975735691446161E-2</v>
      </c>
      <c r="AN128" s="411">
        <f t="shared" si="70"/>
        <v>0.27330717636889246</v>
      </c>
      <c r="AO128" s="411">
        <f t="shared" si="71"/>
        <v>0.31164345057583898</v>
      </c>
      <c r="AP128" s="384">
        <f>TitulosVendidos[[#This Row],[Comisión Santa Fe
Venta]]+TitulosVendidos[[#This Row],[Comisión Santa Fé
Compra]]</f>
        <v>194.012517</v>
      </c>
      <c r="AQ128" s="385">
        <v>3668365</v>
      </c>
    </row>
    <row r="129" spans="1:43" x14ac:dyDescent="0.25">
      <c r="B129" s="328">
        <v>46150</v>
      </c>
      <c r="C129" s="328" t="s">
        <v>292</v>
      </c>
      <c r="D129" t="s">
        <v>47</v>
      </c>
      <c r="E129" s="328">
        <v>46093</v>
      </c>
      <c r="F129" s="328"/>
      <c r="G129" s="328"/>
      <c r="H129" s="328"/>
      <c r="I129" s="3"/>
      <c r="J129" s="3">
        <f t="shared" si="54"/>
        <v>0</v>
      </c>
      <c r="K129" s="3"/>
      <c r="L129" s="325">
        <f t="shared" si="55"/>
        <v>0</v>
      </c>
      <c r="M129" s="325">
        <f t="shared" si="56"/>
        <v>0</v>
      </c>
      <c r="N129">
        <f t="shared" si="57"/>
        <v>0</v>
      </c>
      <c r="O129" s="325"/>
      <c r="P129" s="325">
        <f t="shared" si="58"/>
        <v>0</v>
      </c>
      <c r="Q129" s="325"/>
      <c r="R129" s="3"/>
      <c r="S129" s="3"/>
      <c r="T129" s="325">
        <f t="shared" si="59"/>
        <v>0</v>
      </c>
      <c r="U129" s="325">
        <v>6210</v>
      </c>
      <c r="V129" s="325">
        <f t="shared" si="61"/>
        <v>6210</v>
      </c>
      <c r="W129" s="325"/>
      <c r="X129" s="325"/>
      <c r="Y129" s="325"/>
      <c r="Z129" s="325">
        <f t="shared" si="62"/>
        <v>0</v>
      </c>
      <c r="AA129" s="389"/>
      <c r="AB129" s="3"/>
      <c r="AC129" s="3"/>
      <c r="AD129" s="325"/>
      <c r="AE129" s="325">
        <f t="shared" si="63"/>
        <v>0</v>
      </c>
      <c r="AF129" s="325"/>
      <c r="AG129" s="325"/>
      <c r="AH129" s="325">
        <f t="shared" si="64"/>
        <v>0</v>
      </c>
      <c r="AI129" s="325">
        <f t="shared" si="65"/>
        <v>0</v>
      </c>
      <c r="AJ129" s="325">
        <v>261.04000000000002</v>
      </c>
      <c r="AK129" s="325">
        <f t="shared" si="67"/>
        <v>261.04000000000002</v>
      </c>
      <c r="AL129">
        <f t="shared" si="68"/>
        <v>57</v>
      </c>
      <c r="AM129" s="411">
        <f t="shared" si="69"/>
        <v>4.2035426731078906E-2</v>
      </c>
      <c r="AN129" s="411">
        <f t="shared" si="70"/>
        <v>0.26917422380427719</v>
      </c>
      <c r="AO129" s="411">
        <f t="shared" si="71"/>
        <v>0.30169921940260847</v>
      </c>
      <c r="AP129" s="384">
        <f>TitulosVendidos[[#This Row],[Comisión Santa Fe
Venta]]+TitulosVendidos[[#This Row],[Comisión Santa Fé
Compra]]</f>
        <v>0</v>
      </c>
      <c r="AQ129" s="390" t="s">
        <v>293</v>
      </c>
    </row>
    <row r="130" spans="1:43" x14ac:dyDescent="0.25">
      <c r="B130" s="328">
        <v>46154</v>
      </c>
      <c r="C130" s="328" t="s">
        <v>233</v>
      </c>
      <c r="D130" t="s">
        <v>46</v>
      </c>
      <c r="E130" s="328">
        <v>46125</v>
      </c>
      <c r="F130" s="328">
        <v>46154</v>
      </c>
      <c r="G130" s="328">
        <v>45455</v>
      </c>
      <c r="H130" s="328">
        <v>47281</v>
      </c>
      <c r="I130" s="3">
        <v>5.07</v>
      </c>
      <c r="J130" s="3">
        <f t="shared" si="54"/>
        <v>5.580983706169464</v>
      </c>
      <c r="K130" s="3">
        <v>8.6999999999999993</v>
      </c>
      <c r="L130" s="325">
        <f t="shared" si="55"/>
        <v>67.600000000000009</v>
      </c>
      <c r="M130" s="325">
        <f t="shared" si="56"/>
        <v>65.350000000000009</v>
      </c>
      <c r="N130">
        <f t="shared" si="57"/>
        <v>0</v>
      </c>
      <c r="O130" s="325"/>
      <c r="P130" s="325">
        <f t="shared" si="58"/>
        <v>65.350000000000009</v>
      </c>
      <c r="Q130" s="325">
        <v>16000</v>
      </c>
      <c r="R130" s="3">
        <v>90.694040220000005</v>
      </c>
      <c r="S130" s="3">
        <v>90.844200000000001</v>
      </c>
      <c r="T130" s="325">
        <f t="shared" si="59"/>
        <v>14511.046435200002</v>
      </c>
      <c r="U130" s="325">
        <f>Q130*S130/100</f>
        <v>14535.072</v>
      </c>
      <c r="V130" s="325">
        <f t="shared" si="61"/>
        <v>14537.322</v>
      </c>
      <c r="W130" s="325">
        <v>2.25</v>
      </c>
      <c r="X130" s="325">
        <v>14.51</v>
      </c>
      <c r="Y130" s="325">
        <v>7.26</v>
      </c>
      <c r="Z130" s="325">
        <f t="shared" si="62"/>
        <v>21.77</v>
      </c>
      <c r="AA130" s="389">
        <v>365442</v>
      </c>
      <c r="AB130" s="3">
        <v>91.996437999999998</v>
      </c>
      <c r="AC130" s="3">
        <v>91.766437499999995</v>
      </c>
      <c r="AD130" s="325"/>
      <c r="AE130" s="325">
        <f t="shared" si="63"/>
        <v>14719.430079999998</v>
      </c>
      <c r="AF130" s="325">
        <v>29.44</v>
      </c>
      <c r="AG130" s="325">
        <v>7.3599999999999959</v>
      </c>
      <c r="AH130" s="325">
        <f t="shared" si="64"/>
        <v>14682.630079999997</v>
      </c>
      <c r="AI130" s="325">
        <f t="shared" si="65"/>
        <v>208.38364479999655</v>
      </c>
      <c r="AJ130" s="325">
        <f t="shared" ref="AJ130:AJ158" si="72">AH130-U130</f>
        <v>147.55807999999706</v>
      </c>
      <c r="AK130" s="325">
        <f t="shared" si="67"/>
        <v>212.90807999999708</v>
      </c>
      <c r="AL130">
        <f t="shared" si="68"/>
        <v>29</v>
      </c>
      <c r="AM130" s="411">
        <f t="shared" si="69"/>
        <v>1.4647886161141623E-2</v>
      </c>
      <c r="AN130" s="411">
        <f t="shared" si="70"/>
        <v>0.18436132582126527</v>
      </c>
      <c r="AO130" s="411">
        <f t="shared" si="71"/>
        <v>0.20084336768250433</v>
      </c>
      <c r="AP130" s="384">
        <f>TitulosVendidos[[#This Row],[Comisión Santa Fe
Venta]]+TitulosVendidos[[#This Row],[Comisión Santa Fé
Compra]]</f>
        <v>43.95</v>
      </c>
      <c r="AQ130" s="385" t="s">
        <v>294</v>
      </c>
    </row>
    <row r="131" spans="1:43" x14ac:dyDescent="0.25">
      <c r="B131" s="328">
        <v>46156</v>
      </c>
      <c r="C131" s="328" t="s">
        <v>123</v>
      </c>
      <c r="D131" t="s">
        <v>47</v>
      </c>
      <c r="E131" s="328">
        <v>46139</v>
      </c>
      <c r="F131" s="328"/>
      <c r="G131" s="328">
        <v>46136</v>
      </c>
      <c r="H131" s="328">
        <v>46486</v>
      </c>
      <c r="I131" s="3"/>
      <c r="J131" s="3">
        <f t="shared" ref="J131:J158" si="73">L131*12/U131*100</f>
        <v>0</v>
      </c>
      <c r="K131" s="3">
        <v>9.0142344199999993</v>
      </c>
      <c r="L131" s="325">
        <f t="shared" ref="L131:L158" si="74">Q131*I131/100/12</f>
        <v>0</v>
      </c>
      <c r="M131" s="325">
        <f t="shared" ref="M131:M148" si="75">L131-W131</f>
        <v>0</v>
      </c>
      <c r="N131">
        <f t="shared" ref="N131:N158" si="76">IF(F131="", 0, IF(B131&gt;F131,INT((B131-F131)/30),0))</f>
        <v>0</v>
      </c>
      <c r="O131" s="325">
        <v>2108.7465933333328</v>
      </c>
      <c r="P131" s="325">
        <f t="shared" ref="P131:P158" si="77">L131*N131+M131+IF(B131&gt;F131,O131,0)</f>
        <v>2108.7465933333328</v>
      </c>
      <c r="Q131" s="325">
        <v>26900</v>
      </c>
      <c r="R131" s="3">
        <v>92.017483319999997</v>
      </c>
      <c r="S131" s="3">
        <v>92.160799999999995</v>
      </c>
      <c r="T131" s="325">
        <f t="shared" ref="T131:T158" si="78">Q131*R131/100</f>
        <v>24752.703013080001</v>
      </c>
      <c r="U131" s="325">
        <f>Q131*S131/100</f>
        <v>24791.2552</v>
      </c>
      <c r="V131" s="325">
        <f t="shared" ref="V131:V158" si="79">U131+W131</f>
        <v>24791.2552</v>
      </c>
      <c r="W131" s="325"/>
      <c r="X131" s="325">
        <v>23.858506666666671</v>
      </c>
      <c r="Y131" s="325">
        <v>14.69280510666667</v>
      </c>
      <c r="Z131" s="325">
        <f t="shared" ref="Z131:Z158" si="80">X131+Y131</f>
        <v>38.551311773333339</v>
      </c>
      <c r="AA131" s="389">
        <v>366433</v>
      </c>
      <c r="AB131" s="3">
        <v>92.574734809999995</v>
      </c>
      <c r="AC131" s="3">
        <v>92.4285</v>
      </c>
      <c r="AD131" s="325"/>
      <c r="AE131" s="325">
        <f t="shared" ref="AE131:AE158" si="81">AB131*Q131/100</f>
        <v>24902.603663889997</v>
      </c>
      <c r="AF131" s="325">
        <v>22.83</v>
      </c>
      <c r="AG131" s="325">
        <v>16.5</v>
      </c>
      <c r="AH131" s="325">
        <f t="shared" ref="AH131:AH158" si="82">AE131-AF131-AG131</f>
        <v>24863.273663889995</v>
      </c>
      <c r="AI131" s="325">
        <f t="shared" ref="AI131:AI158" si="83">AE131-T131</f>
        <v>149.90065080999557</v>
      </c>
      <c r="AJ131" s="325">
        <f t="shared" si="72"/>
        <v>72.018463889995473</v>
      </c>
      <c r="AK131" s="325">
        <f t="shared" ref="AK131:AK158" si="84">AJ131+P131+AD131</f>
        <v>2180.7650572233283</v>
      </c>
      <c r="AL131">
        <f t="shared" ref="AL131:AL158" si="85">B131-E131</f>
        <v>17</v>
      </c>
      <c r="AM131" s="411">
        <f t="shared" ref="AM131:AM158" si="86">AK131/U131</f>
        <v>8.7965092514691562E-2</v>
      </c>
      <c r="AN131" s="411">
        <f t="shared" ref="AN131:AN158" si="87">AK131/U131*365/AL131</f>
        <v>1.8886622804624953</v>
      </c>
      <c r="AO131" s="411">
        <f t="shared" ref="AO131:AO158" si="88">POWER((1+AM131),(365/AL131))-1</f>
        <v>5.1114569252754549</v>
      </c>
      <c r="AP131" s="384">
        <f>TitulosVendidos[[#This Row],[Comisión Santa Fe
Venta]]+TitulosVendidos[[#This Row],[Comisión Santa Fé
Compra]]</f>
        <v>46.688506666666669</v>
      </c>
      <c r="AQ131" s="385">
        <v>367383</v>
      </c>
    </row>
    <row r="132" spans="1:43" x14ac:dyDescent="0.25">
      <c r="B132" s="328">
        <v>46161</v>
      </c>
      <c r="C132" s="328" t="s">
        <v>290</v>
      </c>
      <c r="D132" t="s">
        <v>48</v>
      </c>
      <c r="E132" s="328">
        <v>46148</v>
      </c>
      <c r="F132" s="328"/>
      <c r="G132" s="328"/>
      <c r="H132" s="328"/>
      <c r="I132" s="3"/>
      <c r="J132" s="3">
        <f t="shared" si="73"/>
        <v>0</v>
      </c>
      <c r="K132" s="3"/>
      <c r="L132" s="325">
        <f t="shared" si="74"/>
        <v>0</v>
      </c>
      <c r="M132" s="325">
        <f t="shared" si="75"/>
        <v>0</v>
      </c>
      <c r="N132">
        <f t="shared" si="76"/>
        <v>0</v>
      </c>
      <c r="O132" s="325"/>
      <c r="P132" s="325">
        <f t="shared" si="77"/>
        <v>0</v>
      </c>
      <c r="Q132" s="325">
        <v>33341.44000000001</v>
      </c>
      <c r="R132" s="3"/>
      <c r="S132" s="3"/>
      <c r="T132" s="325">
        <f t="shared" si="78"/>
        <v>0</v>
      </c>
      <c r="U132" s="325">
        <v>32350.706353394278</v>
      </c>
      <c r="V132" s="325">
        <f t="shared" si="79"/>
        <v>32350.706353394278</v>
      </c>
      <c r="W132" s="325"/>
      <c r="X132" s="325">
        <v>96.560000000000016</v>
      </c>
      <c r="Y132" s="325">
        <v>6.4099999999999984</v>
      </c>
      <c r="Z132" s="325">
        <f t="shared" si="80"/>
        <v>102.97000000000001</v>
      </c>
      <c r="AA132" s="389" t="s">
        <v>295</v>
      </c>
      <c r="AB132" s="3">
        <v>97.75</v>
      </c>
      <c r="AC132" s="3">
        <v>97.632800000000003</v>
      </c>
      <c r="AD132" s="325">
        <v>0</v>
      </c>
      <c r="AE132" s="325">
        <f t="shared" si="81"/>
        <v>32591.257600000008</v>
      </c>
      <c r="AF132" s="325">
        <v>32.56</v>
      </c>
      <c r="AG132" s="325">
        <v>6.52</v>
      </c>
      <c r="AH132" s="325">
        <f t="shared" si="82"/>
        <v>32552.177600000006</v>
      </c>
      <c r="AI132" s="325">
        <f t="shared" si="83"/>
        <v>32591.257600000008</v>
      </c>
      <c r="AJ132" s="325">
        <f t="shared" si="72"/>
        <v>201.47124660572808</v>
      </c>
      <c r="AK132" s="325">
        <f t="shared" si="84"/>
        <v>201.47124660572808</v>
      </c>
      <c r="AL132">
        <f t="shared" si="85"/>
        <v>13</v>
      </c>
      <c r="AM132" s="411">
        <f t="shared" si="86"/>
        <v>6.2277232652940039E-3</v>
      </c>
      <c r="AN132" s="411">
        <f t="shared" si="87"/>
        <v>0.17485530706402397</v>
      </c>
      <c r="AO132" s="411">
        <f t="shared" si="88"/>
        <v>0.1904282089928564</v>
      </c>
      <c r="AP132" s="384">
        <f>TitulosVendidos[[#This Row],[Comisión Santa Fe
Venta]]+TitulosVendidos[[#This Row],[Comisión Santa Fé
Compra]]</f>
        <v>129.12</v>
      </c>
      <c r="AQ132" s="385">
        <v>3676471</v>
      </c>
    </row>
    <row r="133" spans="1:43" x14ac:dyDescent="0.25">
      <c r="B133" s="328">
        <v>46161</v>
      </c>
      <c r="C133" s="328" t="s">
        <v>123</v>
      </c>
      <c r="D133" t="s">
        <v>47</v>
      </c>
      <c r="E133" s="328">
        <v>46139</v>
      </c>
      <c r="F133" s="328"/>
      <c r="G133" s="328">
        <v>46136</v>
      </c>
      <c r="H133" s="328">
        <v>46486</v>
      </c>
      <c r="I133" s="3"/>
      <c r="J133" s="3">
        <f t="shared" si="73"/>
        <v>0</v>
      </c>
      <c r="K133" s="3"/>
      <c r="L133" s="325">
        <f t="shared" si="74"/>
        <v>0</v>
      </c>
      <c r="M133" s="325">
        <f t="shared" si="75"/>
        <v>0</v>
      </c>
      <c r="N133">
        <f t="shared" si="76"/>
        <v>0</v>
      </c>
      <c r="O133" s="325">
        <v>839.97099433333324</v>
      </c>
      <c r="P133" s="325">
        <f t="shared" si="77"/>
        <v>839.97099433333324</v>
      </c>
      <c r="Q133" s="325">
        <v>10715</v>
      </c>
      <c r="R133" s="3">
        <v>92.017483319999997</v>
      </c>
      <c r="S133" s="3">
        <v>92.160799999999995</v>
      </c>
      <c r="T133" s="325">
        <f t="shared" si="78"/>
        <v>9859.6733377379987</v>
      </c>
      <c r="U133" s="325">
        <f>Q133*S133/100</f>
        <v>9875.0297199999986</v>
      </c>
      <c r="V133" s="325">
        <f t="shared" si="79"/>
        <v>9875.0297199999986</v>
      </c>
      <c r="W133" s="325"/>
      <c r="X133" s="325">
        <v>9.556932361476342</v>
      </c>
      <c r="Y133" s="325">
        <v>5.8854540464994543</v>
      </c>
      <c r="Z133" s="325">
        <f t="shared" si="80"/>
        <v>15.442386407975796</v>
      </c>
      <c r="AA133" s="389">
        <v>366433</v>
      </c>
      <c r="AB133" s="3">
        <v>92.679002409999995</v>
      </c>
      <c r="AC133" s="3">
        <v>92.558000000000007</v>
      </c>
      <c r="AD133" s="325"/>
      <c r="AE133" s="325">
        <f t="shared" si="81"/>
        <v>9930.5551082314996</v>
      </c>
      <c r="AF133" s="325">
        <v>8.9700000000000006</v>
      </c>
      <c r="AG133" s="325">
        <v>4</v>
      </c>
      <c r="AH133" s="325">
        <f t="shared" si="82"/>
        <v>9917.5851082315003</v>
      </c>
      <c r="AI133" s="325">
        <f t="shared" si="83"/>
        <v>70.881770493500881</v>
      </c>
      <c r="AJ133" s="325">
        <f t="shared" si="72"/>
        <v>42.555388231501638</v>
      </c>
      <c r="AK133" s="325">
        <f t="shared" si="84"/>
        <v>882.52638256483488</v>
      </c>
      <c r="AL133">
        <f t="shared" si="85"/>
        <v>22</v>
      </c>
      <c r="AM133" s="411">
        <f t="shared" si="86"/>
        <v>8.9369491291499126E-2</v>
      </c>
      <c r="AN133" s="411">
        <f t="shared" si="87"/>
        <v>1.4827211055180536</v>
      </c>
      <c r="AO133" s="411">
        <f t="shared" si="88"/>
        <v>3.1378095894696951</v>
      </c>
      <c r="AP133" s="384">
        <f>TitulosVendidos[[#This Row],[Comisión Santa Fe
Venta]]+TitulosVendidos[[#This Row],[Comisión Santa Fé
Compra]]</f>
        <v>18.526932361476341</v>
      </c>
      <c r="AQ133" s="385">
        <v>367634</v>
      </c>
    </row>
    <row r="134" spans="1:43" x14ac:dyDescent="0.25">
      <c r="B134" s="328">
        <v>46161</v>
      </c>
      <c r="C134" s="328" t="s">
        <v>123</v>
      </c>
      <c r="D134" t="s">
        <v>47</v>
      </c>
      <c r="E134" s="328">
        <v>46139</v>
      </c>
      <c r="F134" s="328"/>
      <c r="G134" s="328">
        <v>46136</v>
      </c>
      <c r="H134" s="328">
        <v>46486</v>
      </c>
      <c r="I134" s="3"/>
      <c r="J134" s="3">
        <f t="shared" si="73"/>
        <v>0</v>
      </c>
      <c r="K134" s="3"/>
      <c r="L134" s="325">
        <f t="shared" si="74"/>
        <v>0</v>
      </c>
      <c r="M134" s="325">
        <f t="shared" si="75"/>
        <v>0</v>
      </c>
      <c r="N134">
        <f t="shared" si="76"/>
        <v>0</v>
      </c>
      <c r="O134" s="325">
        <v>3370.858866666666</v>
      </c>
      <c r="P134" s="325">
        <f t="shared" si="77"/>
        <v>3370.858866666666</v>
      </c>
      <c r="Q134" s="325">
        <v>43000</v>
      </c>
      <c r="R134" s="3">
        <v>92.017483319999997</v>
      </c>
      <c r="S134" s="3">
        <v>92.160799999999995</v>
      </c>
      <c r="T134" s="325">
        <f t="shared" si="78"/>
        <v>39567.517827600001</v>
      </c>
      <c r="U134" s="325">
        <f>Q134*S134/100</f>
        <v>39629.144</v>
      </c>
      <c r="V134" s="325">
        <f t="shared" si="79"/>
        <v>39629.144</v>
      </c>
      <c r="W134" s="325"/>
      <c r="X134" s="325">
        <v>38.352578481131417</v>
      </c>
      <c r="Y134" s="325">
        <v>23.618702076969971</v>
      </c>
      <c r="Z134" s="325">
        <f t="shared" si="80"/>
        <v>61.971280558101384</v>
      </c>
      <c r="AA134" s="389">
        <v>366433</v>
      </c>
      <c r="AB134" s="3">
        <v>92.679002409999995</v>
      </c>
      <c r="AC134" s="3">
        <v>92.548500000000004</v>
      </c>
      <c r="AD134" s="325"/>
      <c r="AE134" s="325">
        <f t="shared" si="81"/>
        <v>39851.971036299998</v>
      </c>
      <c r="AF134" s="325">
        <v>39.85</v>
      </c>
      <c r="AG134" s="325">
        <v>16.25</v>
      </c>
      <c r="AH134" s="325">
        <f t="shared" si="82"/>
        <v>39795.871036299999</v>
      </c>
      <c r="AI134" s="325">
        <f t="shared" si="83"/>
        <v>284.45320869999705</v>
      </c>
      <c r="AJ134" s="325">
        <f t="shared" si="72"/>
        <v>166.72703629999887</v>
      </c>
      <c r="AK134" s="325">
        <f t="shared" si="84"/>
        <v>3537.5859029666649</v>
      </c>
      <c r="AL134">
        <f t="shared" si="85"/>
        <v>22</v>
      </c>
      <c r="AM134" s="411">
        <f t="shared" si="86"/>
        <v>8.926728023614805E-2</v>
      </c>
      <c r="AN134" s="411">
        <f t="shared" si="87"/>
        <v>1.4810253311906381</v>
      </c>
      <c r="AO134" s="411">
        <f t="shared" si="88"/>
        <v>3.1313731494173798</v>
      </c>
      <c r="AP134" s="384">
        <f>TitulosVendidos[[#This Row],[Comisión Santa Fe
Venta]]+TitulosVendidos[[#This Row],[Comisión Santa Fé
Compra]]</f>
        <v>78.202578481131411</v>
      </c>
      <c r="AQ134" s="385">
        <v>367638</v>
      </c>
    </row>
    <row r="135" spans="1:43" x14ac:dyDescent="0.25">
      <c r="B135" s="328">
        <v>46162</v>
      </c>
      <c r="C135" s="328" t="s">
        <v>123</v>
      </c>
      <c r="D135" t="s">
        <v>47</v>
      </c>
      <c r="E135" s="328">
        <v>46139</v>
      </c>
      <c r="F135" s="328"/>
      <c r="G135" s="328">
        <v>46136</v>
      </c>
      <c r="H135" s="328">
        <v>46486</v>
      </c>
      <c r="I135" s="3"/>
      <c r="J135" s="3">
        <f t="shared" si="73"/>
        <v>0</v>
      </c>
      <c r="K135" s="3"/>
      <c r="L135" s="325">
        <f t="shared" si="74"/>
        <v>0</v>
      </c>
      <c r="M135" s="325">
        <f t="shared" si="75"/>
        <v>0</v>
      </c>
      <c r="N135">
        <f t="shared" si="76"/>
        <v>0</v>
      </c>
      <c r="O135" s="325">
        <v>1998.6871499999979</v>
      </c>
      <c r="P135" s="325">
        <f t="shared" si="77"/>
        <v>1998.6871499999979</v>
      </c>
      <c r="Q135" s="325">
        <v>26850</v>
      </c>
      <c r="R135" s="3">
        <v>92.017483319999997</v>
      </c>
      <c r="S135" s="3">
        <v>92.160799999999995</v>
      </c>
      <c r="T135" s="325">
        <f t="shared" si="78"/>
        <v>24706.694271419998</v>
      </c>
      <c r="U135" s="325">
        <f>Q135*S135/100</f>
        <v>24745.174800000001</v>
      </c>
      <c r="V135" s="325">
        <f t="shared" si="79"/>
        <v>24745.174800000001</v>
      </c>
      <c r="W135" s="325">
        <v>0</v>
      </c>
      <c r="X135" s="325">
        <v>23.814160000000001</v>
      </c>
      <c r="Y135" s="325">
        <v>14.66549506</v>
      </c>
      <c r="Z135" s="325">
        <f t="shared" si="80"/>
        <v>38.479655059999999</v>
      </c>
      <c r="AA135" s="389">
        <v>366433</v>
      </c>
      <c r="AB135" s="3">
        <v>92.699884130000001</v>
      </c>
      <c r="AC135" s="3">
        <v>92.556100000000001</v>
      </c>
      <c r="AD135" s="325"/>
      <c r="AE135" s="325">
        <f t="shared" si="81"/>
        <v>24889.918888905002</v>
      </c>
      <c r="AF135" s="325">
        <v>22.4</v>
      </c>
      <c r="AG135" s="325">
        <v>16.2</v>
      </c>
      <c r="AH135" s="325">
        <f t="shared" si="82"/>
        <v>24851.318888905</v>
      </c>
      <c r="AI135" s="325">
        <f t="shared" si="83"/>
        <v>183.22461748500427</v>
      </c>
      <c r="AJ135" s="325">
        <f t="shared" si="72"/>
        <v>106.14408890499908</v>
      </c>
      <c r="AK135" s="325">
        <f t="shared" si="84"/>
        <v>2104.831238904997</v>
      </c>
      <c r="AL135">
        <f t="shared" si="85"/>
        <v>23</v>
      </c>
      <c r="AM135" s="411">
        <f t="shared" si="86"/>
        <v>8.5060269564351462E-2</v>
      </c>
      <c r="AN135" s="411">
        <f t="shared" si="87"/>
        <v>1.34986949526036</v>
      </c>
      <c r="AO135" s="411">
        <f t="shared" si="88"/>
        <v>2.6528965269322189</v>
      </c>
      <c r="AP135" s="384">
        <f>TitulosVendidos[[#This Row],[Comisión Santa Fe
Venta]]+TitulosVendidos[[#This Row],[Comisión Santa Fé
Compra]]</f>
        <v>46.21416</v>
      </c>
      <c r="AQ135" s="385">
        <v>367684</v>
      </c>
    </row>
    <row r="136" spans="1:43" x14ac:dyDescent="0.25">
      <c r="A136" s="15"/>
      <c r="B136" s="328">
        <v>46169</v>
      </c>
      <c r="C136" s="328" t="s">
        <v>290</v>
      </c>
      <c r="D136" t="s">
        <v>48</v>
      </c>
      <c r="E136" s="328">
        <v>46161</v>
      </c>
      <c r="F136" s="328"/>
      <c r="G136" s="328"/>
      <c r="H136" s="328"/>
      <c r="I136" s="3"/>
      <c r="J136" s="3">
        <f t="shared" si="73"/>
        <v>0</v>
      </c>
      <c r="K136" s="3"/>
      <c r="L136" s="325">
        <f t="shared" si="74"/>
        <v>0</v>
      </c>
      <c r="M136" s="325">
        <f t="shared" si="75"/>
        <v>0</v>
      </c>
      <c r="N136">
        <f t="shared" si="76"/>
        <v>0</v>
      </c>
      <c r="O136" s="325"/>
      <c r="P136" s="325">
        <f t="shared" si="77"/>
        <v>0</v>
      </c>
      <c r="Q136" s="325">
        <v>28905.75</v>
      </c>
      <c r="R136" s="3"/>
      <c r="S136" s="3"/>
      <c r="T136" s="325">
        <f t="shared" si="78"/>
        <v>0</v>
      </c>
      <c r="U136" s="325">
        <v>28047.469443193499</v>
      </c>
      <c r="V136" s="325">
        <f t="shared" si="79"/>
        <v>28047.469443193499</v>
      </c>
      <c r="W136" s="325"/>
      <c r="X136" s="325">
        <v>67.11999999999999</v>
      </c>
      <c r="Y136" s="325">
        <v>5.29</v>
      </c>
      <c r="Z136" s="325">
        <f t="shared" si="80"/>
        <v>72.41</v>
      </c>
      <c r="AA136" s="389" t="s">
        <v>296</v>
      </c>
      <c r="AB136" s="3">
        <v>98</v>
      </c>
      <c r="AC136" s="3">
        <v>97.882400000000004</v>
      </c>
      <c r="AD136" s="325">
        <v>0</v>
      </c>
      <c r="AE136" s="325">
        <f t="shared" si="81"/>
        <v>28327.634999999998</v>
      </c>
      <c r="AF136" s="325">
        <v>28.33</v>
      </c>
      <c r="AG136" s="325">
        <v>5.6700000000000017</v>
      </c>
      <c r="AH136" s="325">
        <f t="shared" si="82"/>
        <v>28293.634999999998</v>
      </c>
      <c r="AI136" s="325">
        <f t="shared" si="83"/>
        <v>28327.634999999998</v>
      </c>
      <c r="AJ136" s="325">
        <f t="shared" si="72"/>
        <v>246.16555680649981</v>
      </c>
      <c r="AK136" s="325">
        <f t="shared" si="84"/>
        <v>246.16555680649981</v>
      </c>
      <c r="AL136">
        <f t="shared" si="85"/>
        <v>8</v>
      </c>
      <c r="AM136" s="412">
        <f t="shared" si="86"/>
        <v>8.7767474818031665E-3</v>
      </c>
      <c r="AN136" s="412">
        <f t="shared" si="87"/>
        <v>0.4004391038572695</v>
      </c>
      <c r="AO136" s="412">
        <f t="shared" si="88"/>
        <v>0.48987472957564826</v>
      </c>
      <c r="AP136" s="403">
        <f>TitulosVendidos[[#This Row],[Comisión Santa Fe
Venta]]+TitulosVendidos[[#This Row],[Comisión Santa Fé
Compra]]</f>
        <v>95.449999999999989</v>
      </c>
      <c r="AQ136" s="385">
        <v>368144</v>
      </c>
    </row>
    <row r="137" spans="1:43" x14ac:dyDescent="0.25">
      <c r="A137" s="15"/>
      <c r="B137" s="328">
        <v>46174</v>
      </c>
      <c r="C137" s="328" t="s">
        <v>290</v>
      </c>
      <c r="D137" t="s">
        <v>48</v>
      </c>
      <c r="E137" s="328">
        <v>46169</v>
      </c>
      <c r="F137" s="328"/>
      <c r="G137" s="328"/>
      <c r="H137" s="328"/>
      <c r="I137" s="3"/>
      <c r="J137" s="3">
        <f t="shared" si="73"/>
        <v>0</v>
      </c>
      <c r="K137" s="3"/>
      <c r="L137" s="325">
        <f t="shared" si="74"/>
        <v>0</v>
      </c>
      <c r="M137" s="326">
        <f t="shared" si="75"/>
        <v>0</v>
      </c>
      <c r="N137">
        <f t="shared" si="76"/>
        <v>0</v>
      </c>
      <c r="O137" s="325"/>
      <c r="P137" s="325">
        <f t="shared" si="77"/>
        <v>0</v>
      </c>
      <c r="Q137" s="325">
        <v>40942.449999999997</v>
      </c>
      <c r="R137" s="3"/>
      <c r="S137" s="3"/>
      <c r="T137" s="325">
        <f t="shared" si="78"/>
        <v>0</v>
      </c>
      <c r="U137" s="406">
        <v>39823</v>
      </c>
      <c r="V137" s="325">
        <f t="shared" si="79"/>
        <v>39823</v>
      </c>
      <c r="W137" s="325"/>
      <c r="X137" s="406">
        <v>80.48</v>
      </c>
      <c r="Y137" s="406">
        <v>7.88</v>
      </c>
      <c r="Z137" s="325">
        <f t="shared" si="80"/>
        <v>88.36</v>
      </c>
      <c r="AA137" s="389"/>
      <c r="AB137" s="3">
        <v>98</v>
      </c>
      <c r="AC137" s="3">
        <v>97.882400000000004</v>
      </c>
      <c r="AD137" s="325"/>
      <c r="AE137" s="325">
        <f t="shared" si="81"/>
        <v>40123.600999999995</v>
      </c>
      <c r="AF137" s="325">
        <v>40.119999999999997</v>
      </c>
      <c r="AG137" s="325">
        <v>8.02</v>
      </c>
      <c r="AH137" s="325">
        <f t="shared" si="82"/>
        <v>40075.460999999996</v>
      </c>
      <c r="AI137" s="325">
        <f t="shared" si="83"/>
        <v>40123.600999999995</v>
      </c>
      <c r="AJ137" s="325">
        <f t="shared" si="72"/>
        <v>252.46099999999569</v>
      </c>
      <c r="AK137" s="325">
        <f t="shared" si="84"/>
        <v>252.46099999999569</v>
      </c>
      <c r="AL137">
        <f t="shared" si="85"/>
        <v>5</v>
      </c>
      <c r="AM137" s="412">
        <f t="shared" si="86"/>
        <v>6.3395776310171429E-3</v>
      </c>
      <c r="AN137" s="412">
        <f t="shared" si="87"/>
        <v>0.46278916706425138</v>
      </c>
      <c r="AO137" s="412">
        <f t="shared" si="88"/>
        <v>0.58617965713401099</v>
      </c>
      <c r="AP137" s="403">
        <f>TitulosVendidos[[#This Row],[Comisión Santa Fe
Venta]]+TitulosVendidos[[#This Row],[Comisión Santa Fé
Compra]]</f>
        <v>120.6</v>
      </c>
      <c r="AQ137" s="405">
        <v>3683381</v>
      </c>
    </row>
    <row r="138" spans="1:43" x14ac:dyDescent="0.25">
      <c r="A138" s="15"/>
      <c r="B138" s="328">
        <v>46178</v>
      </c>
      <c r="C138" s="328" t="s">
        <v>290</v>
      </c>
      <c r="D138" t="s">
        <v>48</v>
      </c>
      <c r="E138" s="328">
        <v>46174</v>
      </c>
      <c r="F138" s="328"/>
      <c r="G138" s="328"/>
      <c r="H138" s="328"/>
      <c r="I138" s="3"/>
      <c r="J138" s="3">
        <f t="shared" si="73"/>
        <v>0</v>
      </c>
      <c r="K138" s="3"/>
      <c r="L138" s="325">
        <f t="shared" si="74"/>
        <v>0</v>
      </c>
      <c r="M138" s="325">
        <f t="shared" si="75"/>
        <v>0</v>
      </c>
      <c r="N138">
        <f t="shared" si="76"/>
        <v>0</v>
      </c>
      <c r="O138" s="325"/>
      <c r="P138" s="325">
        <f t="shared" si="77"/>
        <v>0</v>
      </c>
      <c r="Q138" s="325">
        <v>39319.870000000003</v>
      </c>
      <c r="R138" s="3"/>
      <c r="S138" s="3"/>
      <c r="T138" s="325">
        <f t="shared" si="78"/>
        <v>0</v>
      </c>
      <c r="U138" s="325">
        <v>38309.783640044647</v>
      </c>
      <c r="V138" s="325">
        <f t="shared" si="79"/>
        <v>38309.783640044647</v>
      </c>
      <c r="W138" s="325"/>
      <c r="X138" s="325">
        <v>60.709999999999987</v>
      </c>
      <c r="Y138" s="325">
        <v>7.61</v>
      </c>
      <c r="Z138" s="325">
        <f t="shared" si="80"/>
        <v>68.319999999999993</v>
      </c>
      <c r="AA138" s="389" t="s">
        <v>297</v>
      </c>
      <c r="AB138" s="3">
        <v>98.06</v>
      </c>
      <c r="AC138" s="3">
        <v>97.942400000000006</v>
      </c>
      <c r="AD138" s="325"/>
      <c r="AE138" s="325">
        <f t="shared" si="81"/>
        <v>38557.064522000001</v>
      </c>
      <c r="AF138" s="325">
        <v>38.53</v>
      </c>
      <c r="AG138" s="325">
        <v>7.71</v>
      </c>
      <c r="AH138" s="325">
        <f t="shared" si="82"/>
        <v>38510.824522000003</v>
      </c>
      <c r="AI138" s="325">
        <f t="shared" si="83"/>
        <v>38557.064522000001</v>
      </c>
      <c r="AJ138" s="325">
        <f t="shared" si="72"/>
        <v>201.04088195535587</v>
      </c>
      <c r="AK138" s="325">
        <f t="shared" si="84"/>
        <v>201.04088195535587</v>
      </c>
      <c r="AL138">
        <f t="shared" si="85"/>
        <v>4</v>
      </c>
      <c r="AM138" s="412">
        <f t="shared" si="86"/>
        <v>5.2477686599412387E-3</v>
      </c>
      <c r="AN138" s="412">
        <f t="shared" si="87"/>
        <v>0.47885889021963801</v>
      </c>
      <c r="AO138" s="412">
        <f t="shared" si="88"/>
        <v>0.61221143466960615</v>
      </c>
      <c r="AP138" s="403">
        <f>TitulosVendidos[[#This Row],[Comisión Santa Fe
Venta]]+TitulosVendidos[[#This Row],[Comisión Santa Fé
Compra]]</f>
        <v>99.239999999999981</v>
      </c>
      <c r="AQ138" s="405">
        <v>3686693</v>
      </c>
    </row>
    <row r="139" spans="1:43" x14ac:dyDescent="0.25">
      <c r="A139" s="15"/>
      <c r="B139" s="328">
        <v>46181</v>
      </c>
      <c r="C139" s="328" t="s">
        <v>290</v>
      </c>
      <c r="D139" t="s">
        <v>48</v>
      </c>
      <c r="E139" s="328">
        <v>46178</v>
      </c>
      <c r="F139" s="328"/>
      <c r="G139" s="328"/>
      <c r="H139" s="328"/>
      <c r="I139" s="3"/>
      <c r="J139" s="3">
        <f t="shared" si="73"/>
        <v>0</v>
      </c>
      <c r="K139" s="3"/>
      <c r="L139" s="325">
        <f t="shared" si="74"/>
        <v>0</v>
      </c>
      <c r="M139" s="325">
        <f t="shared" si="75"/>
        <v>0</v>
      </c>
      <c r="N139">
        <f t="shared" si="76"/>
        <v>0</v>
      </c>
      <c r="O139" s="325"/>
      <c r="P139" s="325">
        <f t="shared" si="77"/>
        <v>0</v>
      </c>
      <c r="Q139" s="325">
        <v>44276.13</v>
      </c>
      <c r="R139" s="3"/>
      <c r="S139" s="3"/>
      <c r="T139" s="325">
        <f t="shared" si="78"/>
        <v>0</v>
      </c>
      <c r="U139" s="325">
        <v>43143.142647064851</v>
      </c>
      <c r="V139" s="325">
        <f t="shared" si="79"/>
        <v>43143.142647064851</v>
      </c>
      <c r="W139" s="325"/>
      <c r="X139" s="325">
        <v>65.240000000000009</v>
      </c>
      <c r="Y139" s="325">
        <v>8.6000000000000014</v>
      </c>
      <c r="Z139" s="325">
        <f t="shared" si="80"/>
        <v>73.84</v>
      </c>
      <c r="AA139" s="389" t="s">
        <v>298</v>
      </c>
      <c r="AB139" s="3">
        <v>98.11</v>
      </c>
      <c r="AC139" s="3">
        <v>97.99225903</v>
      </c>
      <c r="AD139" s="325"/>
      <c r="AE139" s="325">
        <f t="shared" si="81"/>
        <v>43439.311142999999</v>
      </c>
      <c r="AF139" s="325">
        <v>43.44</v>
      </c>
      <c r="AG139" s="325">
        <v>8.6999999999999993</v>
      </c>
      <c r="AH139" s="325">
        <f t="shared" si="82"/>
        <v>43387.171143</v>
      </c>
      <c r="AI139" s="325">
        <f t="shared" si="83"/>
        <v>43439.311142999999</v>
      </c>
      <c r="AJ139" s="325">
        <f t="shared" si="72"/>
        <v>244.02849593514838</v>
      </c>
      <c r="AK139" s="325">
        <f t="shared" si="84"/>
        <v>244.02849593514838</v>
      </c>
      <c r="AL139">
        <f t="shared" si="85"/>
        <v>3</v>
      </c>
      <c r="AM139" s="412">
        <f t="shared" si="86"/>
        <v>5.6562522097993321E-3</v>
      </c>
      <c r="AN139" s="412">
        <f t="shared" si="87"/>
        <v>0.68817735219225196</v>
      </c>
      <c r="AO139" s="412">
        <f t="shared" si="88"/>
        <v>0.98623007600986479</v>
      </c>
      <c r="AP139" s="403">
        <f>TitulosVendidos[[#This Row],[Comisión Santa Fe
Venta]]+TitulosVendidos[[#This Row],[Comisión Santa Fé
Compra]]</f>
        <v>108.68</v>
      </c>
      <c r="AQ139" s="405" t="s">
        <v>299</v>
      </c>
    </row>
    <row r="140" spans="1:43" x14ac:dyDescent="0.25">
      <c r="A140" s="15"/>
      <c r="B140" s="328">
        <v>46188</v>
      </c>
      <c r="C140" s="328" t="s">
        <v>290</v>
      </c>
      <c r="D140" t="s">
        <v>48</v>
      </c>
      <c r="E140" s="328">
        <v>46181</v>
      </c>
      <c r="F140" s="328"/>
      <c r="G140" s="328"/>
      <c r="H140" s="328"/>
      <c r="I140" s="3"/>
      <c r="J140" s="3">
        <f t="shared" si="73"/>
        <v>0</v>
      </c>
      <c r="K140" s="3"/>
      <c r="L140" s="325">
        <f t="shared" si="74"/>
        <v>0</v>
      </c>
      <c r="M140" s="325">
        <f t="shared" si="75"/>
        <v>0</v>
      </c>
      <c r="N140">
        <f t="shared" si="76"/>
        <v>0</v>
      </c>
      <c r="O140" s="325"/>
      <c r="P140" s="325">
        <f t="shared" si="77"/>
        <v>0</v>
      </c>
      <c r="Q140" s="325">
        <v>47859.5</v>
      </c>
      <c r="R140" s="3"/>
      <c r="S140" s="3"/>
      <c r="T140" s="325">
        <f t="shared" si="78"/>
        <v>0</v>
      </c>
      <c r="U140" s="325">
        <v>46573.815929674318</v>
      </c>
      <c r="V140" s="325">
        <f t="shared" si="79"/>
        <v>46573.815929674318</v>
      </c>
      <c r="W140" s="325"/>
      <c r="X140" s="325">
        <v>50.510000000000012</v>
      </c>
      <c r="Y140" s="325">
        <v>9.09</v>
      </c>
      <c r="Z140" s="325">
        <f t="shared" si="80"/>
        <v>59.600000000000009</v>
      </c>
      <c r="AA140" s="389" t="s">
        <v>300</v>
      </c>
      <c r="AB140" s="3">
        <v>98.03</v>
      </c>
      <c r="AC140" s="3">
        <v>97.911799999999999</v>
      </c>
      <c r="AD140" s="325"/>
      <c r="AE140" s="325">
        <f t="shared" si="81"/>
        <v>46916.667849999998</v>
      </c>
      <c r="AF140" s="325">
        <v>47.18</v>
      </c>
      <c r="AG140" s="325">
        <v>9.3800000000000008</v>
      </c>
      <c r="AH140" s="325">
        <f t="shared" si="82"/>
        <v>46860.10785</v>
      </c>
      <c r="AI140" s="325">
        <f t="shared" si="83"/>
        <v>46916.667849999998</v>
      </c>
      <c r="AJ140" s="325">
        <f t="shared" si="72"/>
        <v>286.29192032568244</v>
      </c>
      <c r="AK140" s="325">
        <f t="shared" si="84"/>
        <v>286.29192032568244</v>
      </c>
      <c r="AL140">
        <f t="shared" si="85"/>
        <v>7</v>
      </c>
      <c r="AM140" s="412">
        <f t="shared" si="86"/>
        <v>6.147057410068749E-3</v>
      </c>
      <c r="AN140" s="412">
        <f t="shared" si="87"/>
        <v>0.32052513638215618</v>
      </c>
      <c r="AO140" s="412">
        <f t="shared" si="88"/>
        <v>0.37649995348454945</v>
      </c>
      <c r="AP140" s="403">
        <f>TitulosVendidos[[#This Row],[Comisión Santa Fe
Venta]]+TitulosVendidos[[#This Row],[Comisión Santa Fé
Compra]]</f>
        <v>97.690000000000012</v>
      </c>
      <c r="AQ140" s="405">
        <v>3692061</v>
      </c>
    </row>
    <row r="141" spans="1:43" x14ac:dyDescent="0.25">
      <c r="A141" s="15"/>
      <c r="B141" s="328">
        <v>46190</v>
      </c>
      <c r="C141" s="328" t="s">
        <v>233</v>
      </c>
      <c r="D141" t="s">
        <v>47</v>
      </c>
      <c r="E141" s="328">
        <v>46161</v>
      </c>
      <c r="F141" s="328">
        <v>46180</v>
      </c>
      <c r="G141" s="328">
        <v>46149</v>
      </c>
      <c r="H141" s="328">
        <v>47975</v>
      </c>
      <c r="I141" s="3">
        <v>7.13</v>
      </c>
      <c r="J141" s="3">
        <f t="shared" si="73"/>
        <v>7.7752737053868843</v>
      </c>
      <c r="K141" s="3">
        <v>9.7885091800000001</v>
      </c>
      <c r="L141" s="325">
        <f t="shared" si="74"/>
        <v>77.999229166666666</v>
      </c>
      <c r="M141" s="325">
        <f t="shared" si="75"/>
        <v>46.799229166666663</v>
      </c>
      <c r="N141">
        <f t="shared" si="76"/>
        <v>0</v>
      </c>
      <c r="O141" s="325"/>
      <c r="P141" s="325">
        <f t="shared" si="77"/>
        <v>46.799229166666663</v>
      </c>
      <c r="Q141" s="325">
        <v>13127.5</v>
      </c>
      <c r="R141" s="3">
        <v>91.472271640000002</v>
      </c>
      <c r="S141" s="3">
        <v>91.938599999999994</v>
      </c>
      <c r="T141" s="325">
        <f t="shared" si="78"/>
        <v>12008.022459541</v>
      </c>
      <c r="U141" s="325">
        <f>Q141*R141/100+TitulosVendidos[[#This Row],[Comisión Santa Fé
Compra]]+TitulosVendidos[[#This Row],[Comisión
Bolsa Compra]]</f>
        <v>12038.042459541</v>
      </c>
      <c r="V141" s="325">
        <f t="shared" si="79"/>
        <v>12069.242459541001</v>
      </c>
      <c r="W141" s="325">
        <v>31.2</v>
      </c>
      <c r="X141" s="325">
        <v>24.02</v>
      </c>
      <c r="Y141" s="325">
        <v>6</v>
      </c>
      <c r="Z141" s="325">
        <f t="shared" si="80"/>
        <v>30.02</v>
      </c>
      <c r="AA141" s="407">
        <v>367635</v>
      </c>
      <c r="AB141" s="3">
        <v>93.481277000000006</v>
      </c>
      <c r="AC141" s="3">
        <v>93.558864979999996</v>
      </c>
      <c r="AD141" s="325">
        <v>28.6</v>
      </c>
      <c r="AE141" s="325">
        <f t="shared" si="81"/>
        <v>12271.754638175</v>
      </c>
      <c r="AF141" s="325">
        <v>12.27</v>
      </c>
      <c r="AG141" s="325">
        <v>6.14</v>
      </c>
      <c r="AH141" s="325">
        <f t="shared" si="82"/>
        <v>12253.344638175</v>
      </c>
      <c r="AI141" s="325">
        <f t="shared" si="83"/>
        <v>263.73217863399987</v>
      </c>
      <c r="AJ141" s="325">
        <f t="shared" si="72"/>
        <v>215.30217863399957</v>
      </c>
      <c r="AK141" s="325">
        <f t="shared" si="84"/>
        <v>290.70140780066629</v>
      </c>
      <c r="AL141">
        <f t="shared" si="85"/>
        <v>29</v>
      </c>
      <c r="AM141" s="412">
        <f t="shared" si="86"/>
        <v>2.4148561427465715E-2</v>
      </c>
      <c r="AN141" s="412">
        <f t="shared" si="87"/>
        <v>0.30393879038017191</v>
      </c>
      <c r="AO141" s="412">
        <f t="shared" si="88"/>
        <v>0.35030025559305744</v>
      </c>
      <c r="AP141" s="403">
        <f>TitulosVendidos[[#This Row],[Comisión Santa Fe
Venta]]+TitulosVendidos[[#This Row],[Comisión Santa Fé
Compra]]</f>
        <v>36.29</v>
      </c>
      <c r="AQ141" s="405" t="s">
        <v>301</v>
      </c>
    </row>
    <row r="142" spans="1:43" x14ac:dyDescent="0.25">
      <c r="A142" s="15"/>
      <c r="B142" s="328">
        <v>46192</v>
      </c>
      <c r="C142" s="328" t="s">
        <v>290</v>
      </c>
      <c r="D142" t="s">
        <v>48</v>
      </c>
      <c r="E142" s="328">
        <v>46188</v>
      </c>
      <c r="F142" s="328"/>
      <c r="G142" s="328"/>
      <c r="H142" s="328"/>
      <c r="I142" s="3"/>
      <c r="J142" s="3">
        <f t="shared" si="73"/>
        <v>0</v>
      </c>
      <c r="K142" s="3"/>
      <c r="L142" s="325">
        <f t="shared" si="74"/>
        <v>0</v>
      </c>
      <c r="M142" s="325">
        <f t="shared" si="75"/>
        <v>0</v>
      </c>
      <c r="N142">
        <f t="shared" si="76"/>
        <v>0</v>
      </c>
      <c r="O142" s="325"/>
      <c r="P142" s="325">
        <f t="shared" si="77"/>
        <v>0</v>
      </c>
      <c r="Q142" s="325">
        <v>27867.41</v>
      </c>
      <c r="R142" s="3"/>
      <c r="S142" s="3"/>
      <c r="T142" s="325">
        <f t="shared" si="78"/>
        <v>0</v>
      </c>
      <c r="U142" s="325">
        <v>27131.186767521409</v>
      </c>
      <c r="V142" s="325">
        <f t="shared" si="79"/>
        <v>27131.186767521409</v>
      </c>
      <c r="W142" s="325"/>
      <c r="X142" s="325">
        <v>30.64</v>
      </c>
      <c r="Y142" s="325">
        <v>5.4400000000000013</v>
      </c>
      <c r="Z142" s="325">
        <f t="shared" si="80"/>
        <v>36.08</v>
      </c>
      <c r="AA142" s="389" t="s">
        <v>302</v>
      </c>
      <c r="AB142" s="3">
        <v>98</v>
      </c>
      <c r="AC142" s="3">
        <v>97.881399999999999</v>
      </c>
      <c r="AD142" s="325"/>
      <c r="AE142" s="325">
        <f t="shared" si="81"/>
        <v>27310.061800000003</v>
      </c>
      <c r="AF142" s="325">
        <v>27.6</v>
      </c>
      <c r="AG142" s="325">
        <v>5.46</v>
      </c>
      <c r="AH142" s="325">
        <f t="shared" si="82"/>
        <v>27277.001800000005</v>
      </c>
      <c r="AI142" s="325">
        <f t="shared" si="83"/>
        <v>27310.061800000003</v>
      </c>
      <c r="AJ142" s="325">
        <f t="shared" si="72"/>
        <v>145.81503247859655</v>
      </c>
      <c r="AK142" s="325">
        <f t="shared" si="84"/>
        <v>145.81503247859655</v>
      </c>
      <c r="AL142">
        <f t="shared" si="85"/>
        <v>4</v>
      </c>
      <c r="AM142" s="412">
        <f t="shared" si="86"/>
        <v>5.3744435777188671E-3</v>
      </c>
      <c r="AN142" s="412">
        <f t="shared" si="87"/>
        <v>0.49041797646684665</v>
      </c>
      <c r="AO142" s="412">
        <f t="shared" si="88"/>
        <v>0.63085565286369127</v>
      </c>
      <c r="AP142" s="403">
        <f>TitulosVendidos[[#This Row],[Comisión Santa Fe
Venta]]+TitulosVendidos[[#This Row],[Comisión Santa Fé
Compra]]</f>
        <v>58.24</v>
      </c>
      <c r="AQ142" s="405">
        <v>3695169</v>
      </c>
    </row>
    <row r="143" spans="1:43" x14ac:dyDescent="0.25">
      <c r="A143" s="15"/>
      <c r="B143" s="328">
        <v>46198</v>
      </c>
      <c r="C143" s="328" t="s">
        <v>233</v>
      </c>
      <c r="D143" t="s">
        <v>47</v>
      </c>
      <c r="E143" s="328">
        <v>46169</v>
      </c>
      <c r="F143" s="328">
        <v>46181</v>
      </c>
      <c r="G143" s="328">
        <v>45999</v>
      </c>
      <c r="H143" s="328">
        <v>47095</v>
      </c>
      <c r="I143" s="3">
        <v>6.31</v>
      </c>
      <c r="J143" s="3">
        <f t="shared" si="73"/>
        <v>6.5923253332158094</v>
      </c>
      <c r="K143" s="3">
        <v>8.5</v>
      </c>
      <c r="L143" s="325">
        <f t="shared" si="74"/>
        <v>139.60875000000001</v>
      </c>
      <c r="M143" s="325">
        <f t="shared" si="75"/>
        <v>51.188750000000013</v>
      </c>
      <c r="N143">
        <f t="shared" si="76"/>
        <v>0</v>
      </c>
      <c r="O143" s="325"/>
      <c r="P143" s="325">
        <f t="shared" si="77"/>
        <v>51.188750000000013</v>
      </c>
      <c r="Q143" s="325">
        <v>26550</v>
      </c>
      <c r="R143" s="3">
        <v>95.478678939999995</v>
      </c>
      <c r="S143" s="3">
        <v>96.050399999999996</v>
      </c>
      <c r="T143" s="325">
        <f t="shared" si="78"/>
        <v>25349.589258570002</v>
      </c>
      <c r="U143" s="325">
        <v>25412.959999999999</v>
      </c>
      <c r="V143" s="325">
        <f t="shared" si="79"/>
        <v>25501.379999999997</v>
      </c>
      <c r="W143" s="325">
        <v>88.42</v>
      </c>
      <c r="X143" s="325">
        <v>50.7</v>
      </c>
      <c r="Y143" s="325">
        <v>12.67</v>
      </c>
      <c r="Z143" s="325">
        <f t="shared" si="80"/>
        <v>63.370000000000005</v>
      </c>
      <c r="AA143" s="389">
        <v>368093</v>
      </c>
      <c r="AB143" s="3">
        <v>96.600321620000003</v>
      </c>
      <c r="AC143" s="3">
        <v>96.753399999999999</v>
      </c>
      <c r="AD143" s="325"/>
      <c r="AE143" s="325">
        <f t="shared" si="81"/>
        <v>25647.385390110001</v>
      </c>
      <c r="AF143" s="325">
        <v>25.65</v>
      </c>
      <c r="AG143" s="325">
        <v>12.82</v>
      </c>
      <c r="AH143" s="325">
        <f t="shared" si="82"/>
        <v>25608.91539011</v>
      </c>
      <c r="AI143" s="325">
        <f t="shared" si="83"/>
        <v>297.7961315399989</v>
      </c>
      <c r="AJ143" s="325">
        <f t="shared" si="72"/>
        <v>195.95539011000074</v>
      </c>
      <c r="AK143" s="325">
        <f t="shared" si="84"/>
        <v>247.14414011000076</v>
      </c>
      <c r="AL143">
        <f t="shared" si="85"/>
        <v>29</v>
      </c>
      <c r="AM143" s="412">
        <f t="shared" si="86"/>
        <v>9.7251221467314613E-3</v>
      </c>
      <c r="AN143" s="412">
        <f t="shared" si="87"/>
        <v>0.12240239943299942</v>
      </c>
      <c r="AO143" s="412">
        <f t="shared" si="88"/>
        <v>0.1295406449910228</v>
      </c>
      <c r="AP143" s="403">
        <f>TitulosVendidos[[#This Row],[Comisión Santa Fe
Venta]]+TitulosVendidos[[#This Row],[Comisión Santa Fé
Compra]]</f>
        <v>76.349999999999994</v>
      </c>
      <c r="AQ143" s="405">
        <v>369780</v>
      </c>
    </row>
    <row r="144" spans="1:43" x14ac:dyDescent="0.25">
      <c r="B144" s="328">
        <v>46204</v>
      </c>
      <c r="C144" s="328" t="s">
        <v>290</v>
      </c>
      <c r="D144" t="s">
        <v>47</v>
      </c>
      <c r="E144" s="328">
        <v>46195</v>
      </c>
      <c r="F144" s="328"/>
      <c r="G144" s="328"/>
      <c r="H144" s="328"/>
      <c r="I144" s="3"/>
      <c r="J144" s="3">
        <f t="shared" si="73"/>
        <v>0</v>
      </c>
      <c r="K144" s="3"/>
      <c r="L144" s="325">
        <f t="shared" si="74"/>
        <v>0</v>
      </c>
      <c r="M144" s="325">
        <f t="shared" si="75"/>
        <v>0</v>
      </c>
      <c r="N144">
        <f t="shared" si="76"/>
        <v>0</v>
      </c>
      <c r="O144" s="325"/>
      <c r="P144" s="325">
        <f t="shared" si="77"/>
        <v>0</v>
      </c>
      <c r="Q144" s="325">
        <v>45203.94</v>
      </c>
      <c r="R144" s="3"/>
      <c r="S144" s="3"/>
      <c r="T144" s="325">
        <f t="shared" si="78"/>
        <v>0</v>
      </c>
      <c r="U144" s="325">
        <v>44144.529474069997</v>
      </c>
      <c r="V144" s="325">
        <f t="shared" si="79"/>
        <v>44144.529474069997</v>
      </c>
      <c r="W144" s="325"/>
      <c r="X144" s="325">
        <v>36.82</v>
      </c>
      <c r="Y144" s="325">
        <v>8.8000000000000007</v>
      </c>
      <c r="Z144" s="325">
        <f t="shared" si="80"/>
        <v>45.620000000000005</v>
      </c>
      <c r="AA144" s="389" t="s">
        <v>303</v>
      </c>
      <c r="AB144" s="3">
        <v>98.2</v>
      </c>
      <c r="AC144" s="3">
        <v>98.133038850000005</v>
      </c>
      <c r="AD144" s="325"/>
      <c r="AE144" s="325">
        <f t="shared" si="81"/>
        <v>44390.269080000005</v>
      </c>
      <c r="AF144" s="325">
        <v>21.39</v>
      </c>
      <c r="AG144" s="325">
        <v>8.8800000000000008</v>
      </c>
      <c r="AH144" s="325">
        <f t="shared" si="82"/>
        <v>44359.999080000009</v>
      </c>
      <c r="AI144" s="325">
        <f t="shared" si="83"/>
        <v>44390.269080000005</v>
      </c>
      <c r="AJ144" s="325">
        <f t="shared" si="72"/>
        <v>215.46960593001131</v>
      </c>
      <c r="AK144" s="325">
        <f t="shared" si="84"/>
        <v>215.46960593001131</v>
      </c>
      <c r="AL144">
        <f t="shared" si="85"/>
        <v>9</v>
      </c>
      <c r="AM144" s="412">
        <f t="shared" si="86"/>
        <v>4.8810035693454554E-3</v>
      </c>
      <c r="AN144" s="412">
        <f t="shared" si="87"/>
        <v>0.19795181142345458</v>
      </c>
      <c r="AO144" s="412">
        <f t="shared" si="88"/>
        <v>0.21831685112805888</v>
      </c>
      <c r="AP144" s="403">
        <f>TitulosVendidos[[#This Row],[Comisión Santa Fe
Venta]]+TitulosVendidos[[#This Row],[Comisión Santa Fé
Compra]]</f>
        <v>58.21</v>
      </c>
      <c r="AQ144" s="405">
        <v>3692061</v>
      </c>
    </row>
    <row r="145" spans="2:43" x14ac:dyDescent="0.25">
      <c r="B145" s="328">
        <v>46213</v>
      </c>
      <c r="C145" s="328" t="s">
        <v>290</v>
      </c>
      <c r="D145" t="s">
        <v>47</v>
      </c>
      <c r="E145" s="328">
        <v>46205</v>
      </c>
      <c r="F145" s="328"/>
      <c r="G145" s="328"/>
      <c r="H145" s="328"/>
      <c r="I145" s="3"/>
      <c r="J145" s="3">
        <f t="shared" si="73"/>
        <v>0</v>
      </c>
      <c r="K145" s="3"/>
      <c r="L145" s="325">
        <f t="shared" si="74"/>
        <v>0</v>
      </c>
      <c r="M145" s="325">
        <f t="shared" si="75"/>
        <v>0</v>
      </c>
      <c r="N145">
        <f t="shared" si="76"/>
        <v>0</v>
      </c>
      <c r="O145" s="325"/>
      <c r="P145" s="325">
        <f t="shared" si="77"/>
        <v>0</v>
      </c>
      <c r="Q145" s="325">
        <v>9073.66</v>
      </c>
      <c r="R145" s="3"/>
      <c r="S145" s="3"/>
      <c r="T145" s="325">
        <f t="shared" si="78"/>
        <v>0</v>
      </c>
      <c r="U145" s="325">
        <v>8875.1822412500005</v>
      </c>
      <c r="V145" s="325">
        <f t="shared" si="79"/>
        <v>8875.1822412500005</v>
      </c>
      <c r="W145" s="325"/>
      <c r="X145" s="325">
        <v>9.7099999999999991</v>
      </c>
      <c r="Y145" s="325">
        <v>1.77</v>
      </c>
      <c r="Z145" s="325">
        <f t="shared" si="80"/>
        <v>11.479999999999999</v>
      </c>
      <c r="AA145" s="389" t="s">
        <v>304</v>
      </c>
      <c r="AB145" s="3">
        <v>98.35</v>
      </c>
      <c r="AC145" s="3">
        <v>98.231999999999999</v>
      </c>
      <c r="AD145" s="325"/>
      <c r="AE145" s="325">
        <f t="shared" si="81"/>
        <v>8923.9446099999986</v>
      </c>
      <c r="AF145" s="325">
        <v>8.91</v>
      </c>
      <c r="AG145" s="325">
        <v>1.79</v>
      </c>
      <c r="AH145" s="325">
        <f t="shared" si="82"/>
        <v>8913.2446099999979</v>
      </c>
      <c r="AI145" s="325">
        <f t="shared" si="83"/>
        <v>8923.9446099999986</v>
      </c>
      <c r="AJ145" s="325">
        <f t="shared" si="72"/>
        <v>38.062368749997404</v>
      </c>
      <c r="AK145" s="325">
        <f t="shared" si="84"/>
        <v>38.062368749997404</v>
      </c>
      <c r="AL145">
        <f t="shared" si="85"/>
        <v>8</v>
      </c>
      <c r="AM145" s="412">
        <f t="shared" si="86"/>
        <v>4.2886295419480441E-3</v>
      </c>
      <c r="AN145" s="412">
        <f t="shared" si="87"/>
        <v>0.19566872285137951</v>
      </c>
      <c r="AO145" s="412">
        <f t="shared" si="88"/>
        <v>0.21561526950893195</v>
      </c>
      <c r="AP145" s="403">
        <f>TitulosVendidos[[#This Row],[Comisión Santa Fe
Venta]]+TitulosVendidos[[#This Row],[Comisión Santa Fé
Compra]]</f>
        <v>18.619999999999997</v>
      </c>
      <c r="AQ145" s="405">
        <v>3706812</v>
      </c>
    </row>
    <row r="146" spans="2:43" x14ac:dyDescent="0.25">
      <c r="B146" s="328">
        <v>46223</v>
      </c>
      <c r="C146" s="328" t="s">
        <v>290</v>
      </c>
      <c r="D146" t="s">
        <v>47</v>
      </c>
      <c r="E146" s="328">
        <v>46213</v>
      </c>
      <c r="F146" s="328"/>
      <c r="G146" s="328"/>
      <c r="H146" s="328"/>
      <c r="I146" s="3"/>
      <c r="J146" s="3">
        <f t="shared" si="73"/>
        <v>0</v>
      </c>
      <c r="K146" s="3"/>
      <c r="L146" s="325">
        <f t="shared" si="74"/>
        <v>0</v>
      </c>
      <c r="M146" s="325">
        <f t="shared" si="75"/>
        <v>0</v>
      </c>
      <c r="N146">
        <f t="shared" si="76"/>
        <v>0</v>
      </c>
      <c r="O146" s="325"/>
      <c r="P146" s="325">
        <f t="shared" si="77"/>
        <v>0</v>
      </c>
      <c r="Q146" s="325">
        <v>9515.15</v>
      </c>
      <c r="R146" s="3"/>
      <c r="S146" s="3"/>
      <c r="T146" s="325">
        <f t="shared" si="78"/>
        <v>0</v>
      </c>
      <c r="U146" s="325">
        <v>9270.419510170901</v>
      </c>
      <c r="V146" s="325">
        <f t="shared" si="79"/>
        <v>9270.419510170901</v>
      </c>
      <c r="W146" s="325"/>
      <c r="X146" s="325">
        <v>12.07</v>
      </c>
      <c r="Y146" s="325">
        <v>1.77</v>
      </c>
      <c r="Z146" s="325">
        <f t="shared" si="80"/>
        <v>13.84</v>
      </c>
      <c r="AA146" s="389" t="s">
        <v>305</v>
      </c>
      <c r="AB146" s="3">
        <v>98.05</v>
      </c>
      <c r="AC146" s="3">
        <v>97.932500000000005</v>
      </c>
      <c r="AD146" s="325"/>
      <c r="AE146" s="325">
        <f t="shared" si="81"/>
        <v>9329.6045749999994</v>
      </c>
      <c r="AF146" s="325">
        <v>9.31</v>
      </c>
      <c r="AG146" s="325">
        <v>1.88</v>
      </c>
      <c r="AH146" s="325">
        <f t="shared" si="82"/>
        <v>9318.4145750000007</v>
      </c>
      <c r="AI146" s="325">
        <f t="shared" si="83"/>
        <v>9329.6045749999994</v>
      </c>
      <c r="AJ146" s="325">
        <f t="shared" si="72"/>
        <v>47.995064829099647</v>
      </c>
      <c r="AK146" s="325">
        <f t="shared" si="84"/>
        <v>47.995064829099647</v>
      </c>
      <c r="AL146">
        <f t="shared" si="85"/>
        <v>10</v>
      </c>
      <c r="AM146" s="412">
        <f t="shared" si="86"/>
        <v>5.1772268532661965E-3</v>
      </c>
      <c r="AN146" s="412">
        <f t="shared" si="87"/>
        <v>0.18896878014421617</v>
      </c>
      <c r="AO146" s="412">
        <f t="shared" si="88"/>
        <v>0.20741449790221234</v>
      </c>
      <c r="AP146" s="403">
        <f>TitulosVendidos[[#This Row],[Comisión Santa Fe
Venta]]+TitulosVendidos[[#This Row],[Comisión Santa Fé
Compra]]</f>
        <v>21.380000000000003</v>
      </c>
      <c r="AQ146" s="405">
        <v>3712421</v>
      </c>
    </row>
    <row r="147" spans="2:43" x14ac:dyDescent="0.25">
      <c r="B147" s="328">
        <v>46226</v>
      </c>
      <c r="C147" s="328" t="s">
        <v>290</v>
      </c>
      <c r="D147" t="s">
        <v>47</v>
      </c>
      <c r="E147" s="328">
        <v>46223</v>
      </c>
      <c r="F147" s="328"/>
      <c r="G147" s="328"/>
      <c r="H147" s="328"/>
      <c r="I147" s="3"/>
      <c r="J147" s="3">
        <f t="shared" si="73"/>
        <v>0</v>
      </c>
      <c r="K147" s="3"/>
      <c r="L147" s="325">
        <f t="shared" si="74"/>
        <v>0</v>
      </c>
      <c r="M147" s="325">
        <f t="shared" si="75"/>
        <v>0</v>
      </c>
      <c r="N147">
        <f t="shared" si="76"/>
        <v>0</v>
      </c>
      <c r="O147" s="325"/>
      <c r="P147" s="325">
        <f t="shared" si="77"/>
        <v>0</v>
      </c>
      <c r="Q147" s="325">
        <v>7241.3600000000006</v>
      </c>
      <c r="R147" s="3"/>
      <c r="S147" s="3"/>
      <c r="T147" s="325">
        <f t="shared" si="78"/>
        <v>0</v>
      </c>
      <c r="U147" s="325">
        <v>7049.7489330226381</v>
      </c>
      <c r="V147" s="325">
        <f t="shared" si="79"/>
        <v>7049.7489330226381</v>
      </c>
      <c r="W147" s="325"/>
      <c r="X147" s="325">
        <v>7.34</v>
      </c>
      <c r="Y147" s="325">
        <v>1.42</v>
      </c>
      <c r="Z147" s="325">
        <f t="shared" si="80"/>
        <v>8.76</v>
      </c>
      <c r="AA147" s="389" t="s">
        <v>305</v>
      </c>
      <c r="AB147" s="3">
        <v>98.32</v>
      </c>
      <c r="AC147" s="3">
        <v>98.202271400000001</v>
      </c>
      <c r="AD147" s="325"/>
      <c r="AE147" s="325">
        <f t="shared" si="81"/>
        <v>7119.7051520000005</v>
      </c>
      <c r="AF147" s="325">
        <v>7.11</v>
      </c>
      <c r="AG147" s="325">
        <v>1.42</v>
      </c>
      <c r="AH147" s="325">
        <f t="shared" si="82"/>
        <v>7111.1751520000007</v>
      </c>
      <c r="AI147" s="325">
        <f t="shared" si="83"/>
        <v>7119.7051520000005</v>
      </c>
      <c r="AJ147" s="325">
        <f t="shared" si="72"/>
        <v>61.426218977362623</v>
      </c>
      <c r="AK147" s="325">
        <f t="shared" si="84"/>
        <v>61.426218977362623</v>
      </c>
      <c r="AL147">
        <f t="shared" si="85"/>
        <v>3</v>
      </c>
      <c r="AM147" s="412">
        <f t="shared" si="86"/>
        <v>8.7132491612046132E-3</v>
      </c>
      <c r="AN147" s="412">
        <f t="shared" si="87"/>
        <v>1.0601119812798945</v>
      </c>
      <c r="AO147" s="412">
        <f t="shared" si="88"/>
        <v>1.8734693296980964</v>
      </c>
      <c r="AP147" s="403">
        <f>TitulosVendidos[[#This Row],[Comisión Santa Fe
Venta]]+TitulosVendidos[[#This Row],[Comisión Santa Fé
Compra]]</f>
        <v>14.45</v>
      </c>
      <c r="AQ147" s="405" t="s">
        <v>306</v>
      </c>
    </row>
    <row r="148" spans="2:43" x14ac:dyDescent="0.25">
      <c r="B148" s="328">
        <v>46232</v>
      </c>
      <c r="C148" s="328" t="s">
        <v>290</v>
      </c>
      <c r="D148" t="s">
        <v>47</v>
      </c>
      <c r="E148" s="328">
        <v>46226</v>
      </c>
      <c r="F148" s="328"/>
      <c r="G148" s="328"/>
      <c r="H148" s="328"/>
      <c r="I148" s="3"/>
      <c r="J148" s="3">
        <f t="shared" si="73"/>
        <v>0</v>
      </c>
      <c r="K148" s="3"/>
      <c r="L148" s="325">
        <f t="shared" si="74"/>
        <v>0</v>
      </c>
      <c r="M148" s="325">
        <f t="shared" si="75"/>
        <v>0</v>
      </c>
      <c r="N148">
        <f t="shared" si="76"/>
        <v>0</v>
      </c>
      <c r="O148" s="325"/>
      <c r="P148" s="325">
        <f t="shared" si="77"/>
        <v>0</v>
      </c>
      <c r="Q148" s="325">
        <v>8026.18</v>
      </c>
      <c r="R148" s="3"/>
      <c r="S148" s="3"/>
      <c r="T148" s="325">
        <f t="shared" si="78"/>
        <v>0</v>
      </c>
      <c r="U148" s="325">
        <v>7837.9224371199998</v>
      </c>
      <c r="V148" s="325">
        <f t="shared" si="79"/>
        <v>7837.9224371199998</v>
      </c>
      <c r="W148" s="325"/>
      <c r="X148" s="325">
        <v>10.39</v>
      </c>
      <c r="Y148" s="325">
        <v>1.57</v>
      </c>
      <c r="Z148" s="325">
        <f t="shared" si="80"/>
        <v>11.96</v>
      </c>
      <c r="AA148" s="389" t="s">
        <v>307</v>
      </c>
      <c r="AB148" s="3">
        <v>98.38</v>
      </c>
      <c r="AC148" s="3">
        <v>98.202271400000001</v>
      </c>
      <c r="AD148" s="325"/>
      <c r="AE148" s="325">
        <f t="shared" si="81"/>
        <v>7896.1558839999998</v>
      </c>
      <c r="AF148" s="325">
        <v>7.88</v>
      </c>
      <c r="AG148" s="325">
        <v>1.57</v>
      </c>
      <c r="AH148" s="325">
        <f t="shared" si="82"/>
        <v>7886.705884</v>
      </c>
      <c r="AI148" s="325">
        <f t="shared" si="83"/>
        <v>7896.1558839999998</v>
      </c>
      <c r="AJ148" s="325">
        <f t="shared" si="72"/>
        <v>48.783446880000156</v>
      </c>
      <c r="AK148" s="325">
        <f t="shared" si="84"/>
        <v>48.783446880000156</v>
      </c>
      <c r="AL148">
        <f t="shared" si="85"/>
        <v>6</v>
      </c>
      <c r="AM148" s="412">
        <f t="shared" si="86"/>
        <v>6.2240277664606944E-3</v>
      </c>
      <c r="AN148" s="412">
        <f t="shared" si="87"/>
        <v>0.37862835579302562</v>
      </c>
      <c r="AO148" s="412">
        <f t="shared" si="88"/>
        <v>0.45856769817745691</v>
      </c>
      <c r="AP148" s="403">
        <f>TitulosVendidos[[#This Row],[Comisión Santa Fe
Venta]]+TitulosVendidos[[#This Row],[Comisión Santa Fé
Compra]]</f>
        <v>18.27</v>
      </c>
      <c r="AQ148" s="405" t="s">
        <v>308</v>
      </c>
    </row>
    <row r="149" spans="2:43" x14ac:dyDescent="0.25">
      <c r="B149" s="328">
        <v>46237</v>
      </c>
      <c r="C149" s="328" t="s">
        <v>123</v>
      </c>
      <c r="D149" t="s">
        <v>47</v>
      </c>
      <c r="E149" s="328">
        <v>46139</v>
      </c>
      <c r="F149" s="328"/>
      <c r="G149" s="328">
        <v>46136</v>
      </c>
      <c r="H149" s="328">
        <v>46486</v>
      </c>
      <c r="I149" s="3"/>
      <c r="J149" s="3">
        <f t="shared" si="73"/>
        <v>0</v>
      </c>
      <c r="K149" s="3"/>
      <c r="L149" s="325">
        <f t="shared" si="74"/>
        <v>0</v>
      </c>
      <c r="M149" s="325">
        <v>0</v>
      </c>
      <c r="N149">
        <f t="shared" si="76"/>
        <v>0</v>
      </c>
      <c r="O149" s="325">
        <f>3334.40372*30000/42535</f>
        <v>2351.7599999999998</v>
      </c>
      <c r="P149" s="325">
        <f t="shared" si="77"/>
        <v>2351.7599999999998</v>
      </c>
      <c r="Q149" s="325">
        <f>42535*30000/42535</f>
        <v>30000</v>
      </c>
      <c r="R149" s="3">
        <v>92.017483319999997</v>
      </c>
      <c r="S149" s="3">
        <v>92.160799999999995</v>
      </c>
      <c r="T149" s="325">
        <f t="shared" si="78"/>
        <v>27605.244995999998</v>
      </c>
      <c r="U149" s="325">
        <f>Q149*S149/100</f>
        <v>27648.240000000002</v>
      </c>
      <c r="V149" s="325">
        <f t="shared" si="79"/>
        <v>27648.240000000002</v>
      </c>
      <c r="W149" s="325">
        <v>0</v>
      </c>
      <c r="X149" s="325">
        <f>37.7257093333333*30000/42535</f>
        <v>26.607999999999972</v>
      </c>
      <c r="Y149" s="325">
        <f>23.2326566993333*30000/42535</f>
        <v>16.386027999999978</v>
      </c>
      <c r="Z149" s="325">
        <f t="shared" si="80"/>
        <v>42.99402799999995</v>
      </c>
      <c r="AA149" s="389">
        <v>366433</v>
      </c>
      <c r="AB149" s="3">
        <v>94.776748100000006</v>
      </c>
      <c r="AC149" s="3">
        <v>94.670100000000005</v>
      </c>
      <c r="AD149" s="325"/>
      <c r="AE149" s="325">
        <f t="shared" si="81"/>
        <v>28433.024430000001</v>
      </c>
      <c r="AF149" s="325">
        <v>19.59</v>
      </c>
      <c r="AG149" s="325">
        <v>12.4</v>
      </c>
      <c r="AH149" s="325">
        <f t="shared" si="82"/>
        <v>28401.03443</v>
      </c>
      <c r="AI149" s="325">
        <f t="shared" si="83"/>
        <v>827.77943400000368</v>
      </c>
      <c r="AJ149" s="325">
        <f t="shared" si="72"/>
        <v>752.7944299999981</v>
      </c>
      <c r="AK149" s="325">
        <f t="shared" si="84"/>
        <v>3104.5544299999979</v>
      </c>
      <c r="AL149">
        <f t="shared" si="85"/>
        <v>98</v>
      </c>
      <c r="AM149" s="412">
        <f t="shared" si="86"/>
        <v>0.11228759696819753</v>
      </c>
      <c r="AN149" s="412">
        <f t="shared" si="87"/>
        <v>0.4182140091162459</v>
      </c>
      <c r="AO149" s="412">
        <f t="shared" si="88"/>
        <v>0.48639794674457226</v>
      </c>
      <c r="AP149" s="403">
        <f>TitulosVendidos[[#This Row],[Comisión Santa Fe
Venta]]+TitulosVendidos[[#This Row],[Comisión Santa Fé
Compra]]</f>
        <v>46.197999999999972</v>
      </c>
      <c r="AQ149" s="405">
        <v>372150</v>
      </c>
    </row>
    <row r="150" spans="2:43" x14ac:dyDescent="0.25">
      <c r="B150" s="328">
        <v>46246</v>
      </c>
      <c r="C150" s="328" t="s">
        <v>290</v>
      </c>
      <c r="D150" t="s">
        <v>47</v>
      </c>
      <c r="E150" s="328">
        <v>46232</v>
      </c>
      <c r="F150" s="328"/>
      <c r="G150" s="328"/>
      <c r="H150" s="328"/>
      <c r="I150" s="3"/>
      <c r="J150" s="3">
        <f t="shared" si="73"/>
        <v>0</v>
      </c>
      <c r="K150" s="3"/>
      <c r="L150" s="325">
        <f t="shared" si="74"/>
        <v>0</v>
      </c>
      <c r="M150" s="325">
        <f t="shared" ref="M150:M158" si="89">L150-W150</f>
        <v>0</v>
      </c>
      <c r="N150">
        <f t="shared" si="76"/>
        <v>0</v>
      </c>
      <c r="O150" s="325"/>
      <c r="P150" s="325">
        <f t="shared" si="77"/>
        <v>0</v>
      </c>
      <c r="Q150" s="325">
        <v>8389.66</v>
      </c>
      <c r="R150" s="3"/>
      <c r="S150" s="3"/>
      <c r="T150" s="325">
        <f t="shared" si="78"/>
        <v>0</v>
      </c>
      <c r="U150" s="325">
        <v>8188.8693569304323</v>
      </c>
      <c r="V150" s="325">
        <f t="shared" si="79"/>
        <v>8188.8693569304323</v>
      </c>
      <c r="W150" s="325"/>
      <c r="X150" s="325">
        <v>16.239999999999998</v>
      </c>
      <c r="Y150" s="325">
        <v>1.54</v>
      </c>
      <c r="Z150" s="325">
        <f t="shared" si="80"/>
        <v>17.779999999999998</v>
      </c>
      <c r="AA150" s="389" t="s">
        <v>304</v>
      </c>
      <c r="AB150" s="3">
        <v>98.25</v>
      </c>
      <c r="AC150" s="3">
        <v>98.202271400000001</v>
      </c>
      <c r="AD150" s="325"/>
      <c r="AE150" s="325">
        <f t="shared" si="81"/>
        <v>8242.8409499999998</v>
      </c>
      <c r="AF150" s="325">
        <v>8.23</v>
      </c>
      <c r="AG150" s="325">
        <v>1.65</v>
      </c>
      <c r="AH150" s="325">
        <f t="shared" si="82"/>
        <v>8232.9609500000006</v>
      </c>
      <c r="AI150" s="325">
        <f t="shared" si="83"/>
        <v>8242.8409499999998</v>
      </c>
      <c r="AJ150" s="325">
        <f t="shared" si="72"/>
        <v>44.091593069568262</v>
      </c>
      <c r="AK150" s="325">
        <f t="shared" si="84"/>
        <v>44.091593069568262</v>
      </c>
      <c r="AL150">
        <f t="shared" si="85"/>
        <v>14</v>
      </c>
      <c r="AM150" s="412">
        <f t="shared" si="86"/>
        <v>5.384332213366246E-3</v>
      </c>
      <c r="AN150" s="412">
        <f t="shared" si="87"/>
        <v>0.14037723270562</v>
      </c>
      <c r="AO150" s="412">
        <f t="shared" si="88"/>
        <v>0.15027456377033466</v>
      </c>
      <c r="AP150" s="403">
        <f>TitulosVendidos[[#This Row],[Comisión Santa Fe
Venta]]+TitulosVendidos[[#This Row],[Comisión Santa Fé
Compra]]</f>
        <v>24.47</v>
      </c>
      <c r="AQ150" s="405">
        <v>3726763</v>
      </c>
    </row>
    <row r="151" spans="2:43" x14ac:dyDescent="0.25">
      <c r="B151" s="328">
        <v>46252</v>
      </c>
      <c r="C151" s="328" t="s">
        <v>290</v>
      </c>
      <c r="D151" t="s">
        <v>47</v>
      </c>
      <c r="E151" s="328">
        <v>46246</v>
      </c>
      <c r="F151" s="328"/>
      <c r="G151" s="328"/>
      <c r="H151" s="328"/>
      <c r="I151" s="3"/>
      <c r="J151" s="3">
        <f t="shared" si="73"/>
        <v>0</v>
      </c>
      <c r="K151" s="3"/>
      <c r="L151" s="325">
        <f t="shared" si="74"/>
        <v>0</v>
      </c>
      <c r="M151" s="325">
        <f t="shared" si="89"/>
        <v>0</v>
      </c>
      <c r="N151">
        <f t="shared" si="76"/>
        <v>0</v>
      </c>
      <c r="O151" s="325"/>
      <c r="P151" s="325">
        <f t="shared" si="77"/>
        <v>0</v>
      </c>
      <c r="Q151" s="325">
        <v>7486</v>
      </c>
      <c r="R151" s="3"/>
      <c r="S151" s="3"/>
      <c r="T151" s="325">
        <f t="shared" si="78"/>
        <v>0</v>
      </c>
      <c r="U151" s="325">
        <v>7325.4407578375803</v>
      </c>
      <c r="V151" s="325">
        <f t="shared" si="79"/>
        <v>7325.4407578375803</v>
      </c>
      <c r="W151" s="325"/>
      <c r="X151" s="325">
        <v>12.88</v>
      </c>
      <c r="Y151" s="325">
        <v>1.29</v>
      </c>
      <c r="Z151" s="325">
        <f t="shared" si="80"/>
        <v>14.170000000000002</v>
      </c>
      <c r="AA151" s="389" t="s">
        <v>309</v>
      </c>
      <c r="AB151" s="3">
        <v>98.25</v>
      </c>
      <c r="AC151" s="3">
        <v>98.132400000000004</v>
      </c>
      <c r="AD151" s="325"/>
      <c r="AE151" s="325">
        <f t="shared" si="81"/>
        <v>7354.9949999999999</v>
      </c>
      <c r="AF151" s="325">
        <v>7.34</v>
      </c>
      <c r="AG151" s="325">
        <v>1.47</v>
      </c>
      <c r="AH151" s="325">
        <f t="shared" si="82"/>
        <v>7346.1849999999995</v>
      </c>
      <c r="AI151" s="325">
        <f t="shared" si="83"/>
        <v>7354.9949999999999</v>
      </c>
      <c r="AJ151" s="325">
        <f t="shared" si="72"/>
        <v>20.744242162419141</v>
      </c>
      <c r="AK151" s="325">
        <f t="shared" si="84"/>
        <v>20.744242162419141</v>
      </c>
      <c r="AL151">
        <f t="shared" si="85"/>
        <v>6</v>
      </c>
      <c r="AM151" s="412">
        <f t="shared" si="86"/>
        <v>2.8318080574502792E-3</v>
      </c>
      <c r="AN151" s="412">
        <f t="shared" si="87"/>
        <v>0.17226832349489199</v>
      </c>
      <c r="AO151" s="412">
        <f t="shared" si="88"/>
        <v>0.18770736826291023</v>
      </c>
      <c r="AP151" s="403">
        <f>TitulosVendidos[[#This Row],[Comisión Santa Fe
Venta]]+TitulosVendidos[[#This Row],[Comisión Santa Fé
Compra]]</f>
        <v>20.22</v>
      </c>
      <c r="AQ151" s="405">
        <v>3730342</v>
      </c>
    </row>
    <row r="152" spans="2:43" x14ac:dyDescent="0.25">
      <c r="B152" s="328">
        <v>46254</v>
      </c>
      <c r="C152" s="328" t="s">
        <v>290</v>
      </c>
      <c r="D152" t="s">
        <v>47</v>
      </c>
      <c r="E152" s="328">
        <v>46252</v>
      </c>
      <c r="F152" s="328"/>
      <c r="G152" s="328"/>
      <c r="H152" s="328"/>
      <c r="I152" s="3"/>
      <c r="J152" s="3">
        <f t="shared" si="73"/>
        <v>0</v>
      </c>
      <c r="K152" s="3"/>
      <c r="L152" s="325">
        <f t="shared" si="74"/>
        <v>0</v>
      </c>
      <c r="M152" s="325">
        <f t="shared" si="89"/>
        <v>0</v>
      </c>
      <c r="N152">
        <f t="shared" si="76"/>
        <v>0</v>
      </c>
      <c r="O152" s="325"/>
      <c r="P152" s="325">
        <f t="shared" si="77"/>
        <v>0</v>
      </c>
      <c r="Q152" s="325">
        <v>8870.8100000000013</v>
      </c>
      <c r="R152" s="3"/>
      <c r="S152" s="3"/>
      <c r="T152" s="325">
        <f t="shared" si="78"/>
        <v>0</v>
      </c>
      <c r="U152" s="325">
        <v>8668.079600067409</v>
      </c>
      <c r="V152" s="325">
        <f t="shared" si="79"/>
        <v>8668.079600067409</v>
      </c>
      <c r="W152" s="325"/>
      <c r="X152" s="325">
        <v>17.309999999999999</v>
      </c>
      <c r="Y152" s="325">
        <v>1.600000000000001</v>
      </c>
      <c r="Z152" s="325">
        <f t="shared" si="80"/>
        <v>18.91</v>
      </c>
      <c r="AA152" s="389" t="s">
        <v>309</v>
      </c>
      <c r="AB152" s="3">
        <v>98.35</v>
      </c>
      <c r="AC152" s="3">
        <v>98.132400000000004</v>
      </c>
      <c r="AD152" s="325"/>
      <c r="AE152" s="325">
        <f t="shared" si="81"/>
        <v>8724.441635000001</v>
      </c>
      <c r="AF152" s="325">
        <v>17.45</v>
      </c>
      <c r="AG152" s="325">
        <v>1.74</v>
      </c>
      <c r="AH152" s="325">
        <f t="shared" si="82"/>
        <v>8705.2516350000005</v>
      </c>
      <c r="AI152" s="325">
        <f t="shared" si="83"/>
        <v>8724.441635000001</v>
      </c>
      <c r="AJ152" s="325">
        <f t="shared" si="72"/>
        <v>37.172034932591487</v>
      </c>
      <c r="AK152" s="325">
        <f t="shared" si="84"/>
        <v>37.172034932591487</v>
      </c>
      <c r="AL152">
        <f t="shared" si="85"/>
        <v>2</v>
      </c>
      <c r="AM152" s="412">
        <f t="shared" si="86"/>
        <v>4.2883818155410583E-3</v>
      </c>
      <c r="AN152" s="412">
        <f t="shared" si="87"/>
        <v>0.78262968133624311</v>
      </c>
      <c r="AO152" s="412">
        <f t="shared" si="88"/>
        <v>1.1835595277055271</v>
      </c>
      <c r="AP152" s="403">
        <f>TitulosVendidos[[#This Row],[Comisión Santa Fe
Venta]]+TitulosVendidos[[#This Row],[Comisión Santa Fé
Compra]]</f>
        <v>34.76</v>
      </c>
      <c r="AQ152" s="405" t="s">
        <v>310</v>
      </c>
    </row>
    <row r="153" spans="2:43" x14ac:dyDescent="0.25">
      <c r="B153" s="328">
        <v>46261</v>
      </c>
      <c r="C153" s="328" t="s">
        <v>290</v>
      </c>
      <c r="D153" t="s">
        <v>47</v>
      </c>
      <c r="E153" s="328">
        <v>46255</v>
      </c>
      <c r="F153" s="328"/>
      <c r="G153" s="328"/>
      <c r="H153" s="328"/>
      <c r="I153" s="3"/>
      <c r="J153" s="3">
        <f t="shared" si="73"/>
        <v>0</v>
      </c>
      <c r="K153" s="3"/>
      <c r="L153" s="325">
        <f t="shared" si="74"/>
        <v>0</v>
      </c>
      <c r="M153" s="325">
        <f t="shared" si="89"/>
        <v>0</v>
      </c>
      <c r="N153">
        <f t="shared" si="76"/>
        <v>0</v>
      </c>
      <c r="O153" s="325"/>
      <c r="P153" s="325">
        <f t="shared" si="77"/>
        <v>0</v>
      </c>
      <c r="Q153" s="325">
        <v>3753.46</v>
      </c>
      <c r="R153" s="3"/>
      <c r="S153" s="3"/>
      <c r="T153" s="325">
        <f t="shared" si="78"/>
        <v>0</v>
      </c>
      <c r="U153" s="325">
        <v>3673.3697338359998</v>
      </c>
      <c r="V153" s="325">
        <f t="shared" si="79"/>
        <v>3673.3697338359998</v>
      </c>
      <c r="W153" s="325"/>
      <c r="X153" s="325">
        <v>7.1199999999999992</v>
      </c>
      <c r="Y153" s="325">
        <v>0.68000000000000038</v>
      </c>
      <c r="Z153" s="325">
        <f t="shared" si="80"/>
        <v>7.8</v>
      </c>
      <c r="AA153" s="389" t="s">
        <v>311</v>
      </c>
      <c r="AB153" s="3">
        <v>98.65</v>
      </c>
      <c r="AC153" s="3">
        <v>98.442999999999998</v>
      </c>
      <c r="AD153" s="325"/>
      <c r="AE153" s="325">
        <f t="shared" si="81"/>
        <v>3702.7882900000004</v>
      </c>
      <c r="AF153" s="325">
        <v>7.03</v>
      </c>
      <c r="AG153" s="325">
        <v>0.74</v>
      </c>
      <c r="AH153" s="325">
        <f t="shared" si="82"/>
        <v>3695.0182900000004</v>
      </c>
      <c r="AI153" s="325">
        <f t="shared" si="83"/>
        <v>3702.7882900000004</v>
      </c>
      <c r="AJ153" s="325">
        <f t="shared" si="72"/>
        <v>21.648556164000638</v>
      </c>
      <c r="AK153" s="325">
        <f t="shared" si="84"/>
        <v>21.648556164000638</v>
      </c>
      <c r="AL153">
        <f t="shared" si="85"/>
        <v>6</v>
      </c>
      <c r="AM153" s="412">
        <f t="shared" si="86"/>
        <v>5.8933779424903254E-3</v>
      </c>
      <c r="AN153" s="412">
        <f t="shared" si="87"/>
        <v>0.35851382483482813</v>
      </c>
      <c r="AO153" s="412">
        <f t="shared" si="88"/>
        <v>0.42969556280552301</v>
      </c>
      <c r="AP153" s="403">
        <f>TitulosVendidos[[#This Row],[Comisión Santa Fe
Venta]]+TitulosVendidos[[#This Row],[Comisión Santa Fé
Compra]]</f>
        <v>14.149999999999999</v>
      </c>
      <c r="AQ153" s="405">
        <v>3735843</v>
      </c>
    </row>
    <row r="154" spans="2:43" x14ac:dyDescent="0.25">
      <c r="B154" s="328">
        <v>46267</v>
      </c>
      <c r="C154" s="328" t="s">
        <v>290</v>
      </c>
      <c r="D154" t="s">
        <v>47</v>
      </c>
      <c r="E154" s="328">
        <v>46261</v>
      </c>
      <c r="F154" s="328"/>
      <c r="G154" s="328"/>
      <c r="H154" s="328"/>
      <c r="I154" s="3"/>
      <c r="J154" s="3">
        <f t="shared" si="73"/>
        <v>0</v>
      </c>
      <c r="K154" s="3"/>
      <c r="L154" s="325">
        <f t="shared" si="74"/>
        <v>0</v>
      </c>
      <c r="M154" s="325">
        <f t="shared" si="89"/>
        <v>0</v>
      </c>
      <c r="N154">
        <f t="shared" si="76"/>
        <v>0</v>
      </c>
      <c r="O154" s="325"/>
      <c r="P154" s="325">
        <f t="shared" si="77"/>
        <v>0</v>
      </c>
      <c r="Q154" s="325">
        <v>7514.41</v>
      </c>
      <c r="R154" s="3"/>
      <c r="S154" s="3"/>
      <c r="T154" s="325">
        <f t="shared" si="78"/>
        <v>0</v>
      </c>
      <c r="U154" s="325">
        <v>7377.2923894892474</v>
      </c>
      <c r="V154" s="325">
        <f t="shared" si="79"/>
        <v>7377.2923894892474</v>
      </c>
      <c r="W154" s="325"/>
      <c r="X154" s="325">
        <v>8.2900000000000009</v>
      </c>
      <c r="Y154" s="325">
        <v>1.2499999999999989</v>
      </c>
      <c r="Z154" s="325">
        <f t="shared" si="80"/>
        <v>9.5399999999999991</v>
      </c>
      <c r="AA154" s="389" t="s">
        <v>309</v>
      </c>
      <c r="AB154" s="3">
        <v>98.75</v>
      </c>
      <c r="AC154" s="3">
        <v>98.631600000000006</v>
      </c>
      <c r="AD154" s="325"/>
      <c r="AE154" s="325">
        <f t="shared" si="81"/>
        <v>7420.4798749999991</v>
      </c>
      <c r="AF154" s="325">
        <v>7.42</v>
      </c>
      <c r="AG154" s="325">
        <v>1.48</v>
      </c>
      <c r="AH154" s="325">
        <f t="shared" si="82"/>
        <v>7411.5798749999994</v>
      </c>
      <c r="AI154" s="325">
        <f t="shared" si="83"/>
        <v>7420.4798749999991</v>
      </c>
      <c r="AJ154" s="325">
        <f t="shared" si="72"/>
        <v>34.287485510752049</v>
      </c>
      <c r="AK154" s="325">
        <f t="shared" si="84"/>
        <v>34.287485510752049</v>
      </c>
      <c r="AL154">
        <f t="shared" si="85"/>
        <v>6</v>
      </c>
      <c r="AM154" s="412">
        <f t="shared" si="86"/>
        <v>4.6477059198037126E-3</v>
      </c>
      <c r="AN154" s="412">
        <f t="shared" si="87"/>
        <v>0.28273544345472584</v>
      </c>
      <c r="AO154" s="412">
        <f t="shared" si="88"/>
        <v>0.32588536539913027</v>
      </c>
      <c r="AP154" s="403">
        <f>TitulosVendidos[[#This Row],[Comisión Santa Fe
Venta]]+TitulosVendidos[[#This Row],[Comisión Santa Fé
Compra]]</f>
        <v>15.71</v>
      </c>
      <c r="AQ154" s="405">
        <v>373967</v>
      </c>
    </row>
    <row r="155" spans="2:43" x14ac:dyDescent="0.25">
      <c r="B155" s="328">
        <v>46272</v>
      </c>
      <c r="C155" s="328" t="s">
        <v>290</v>
      </c>
      <c r="D155" t="s">
        <v>47</v>
      </c>
      <c r="E155" s="328">
        <v>46268</v>
      </c>
      <c r="F155" s="328"/>
      <c r="G155" s="328"/>
      <c r="H155" s="328"/>
      <c r="I155" s="3"/>
      <c r="J155" s="3">
        <f t="shared" si="73"/>
        <v>0</v>
      </c>
      <c r="K155" s="3"/>
      <c r="L155" s="325">
        <f t="shared" si="74"/>
        <v>0</v>
      </c>
      <c r="M155" s="325">
        <f t="shared" si="89"/>
        <v>0</v>
      </c>
      <c r="N155">
        <f t="shared" si="76"/>
        <v>0</v>
      </c>
      <c r="O155" s="325"/>
      <c r="P155" s="325">
        <f t="shared" si="77"/>
        <v>0</v>
      </c>
      <c r="Q155" s="325">
        <v>5022.9400000000014</v>
      </c>
      <c r="R155" s="3"/>
      <c r="S155" s="3"/>
      <c r="T155" s="325">
        <f t="shared" si="78"/>
        <v>0</v>
      </c>
      <c r="U155" s="325">
        <v>4954.3592785599994</v>
      </c>
      <c r="V155" s="325">
        <f t="shared" si="79"/>
        <v>4954.3592785599994</v>
      </c>
      <c r="W155" s="325"/>
      <c r="X155" s="325">
        <v>4.95</v>
      </c>
      <c r="Y155" s="325">
        <v>0.99</v>
      </c>
      <c r="Z155" s="325">
        <f t="shared" si="80"/>
        <v>5.94</v>
      </c>
      <c r="AA155" s="389" t="s">
        <v>312</v>
      </c>
      <c r="AB155" s="3">
        <v>98.7</v>
      </c>
      <c r="AC155" s="3">
        <v>98.631600000000006</v>
      </c>
      <c r="AD155" s="325"/>
      <c r="AE155" s="325">
        <f t="shared" si="81"/>
        <v>4957.6417800000017</v>
      </c>
      <c r="AF155" s="325">
        <v>2.2799999999999998</v>
      </c>
      <c r="AG155" s="325">
        <v>0.99</v>
      </c>
      <c r="AH155" s="325">
        <f t="shared" si="82"/>
        <v>4954.3717800000022</v>
      </c>
      <c r="AI155" s="325">
        <f t="shared" si="83"/>
        <v>4957.6417800000017</v>
      </c>
      <c r="AJ155" s="325">
        <f t="shared" si="72"/>
        <v>1.2501440002779418E-2</v>
      </c>
      <c r="AK155" s="325">
        <f t="shared" si="84"/>
        <v>1.2501440002779418E-2</v>
      </c>
      <c r="AL155">
        <f t="shared" si="85"/>
        <v>4</v>
      </c>
      <c r="AM155" s="412">
        <f t="shared" si="86"/>
        <v>2.5233212409280504E-6</v>
      </c>
      <c r="AN155" s="412">
        <f t="shared" si="87"/>
        <v>2.3025306323468461E-4</v>
      </c>
      <c r="AO155" s="412">
        <f t="shared" si="88"/>
        <v>2.3027928293051225E-4</v>
      </c>
      <c r="AP155" s="403">
        <f>TitulosVendidos[[#This Row],[Comisión Santa Fe
Venta]]+TitulosVendidos[[#This Row],[Comisión Santa Fé
Compra]]</f>
        <v>7.23</v>
      </c>
      <c r="AQ155" s="405">
        <v>3741862</v>
      </c>
    </row>
    <row r="156" spans="2:43" x14ac:dyDescent="0.25">
      <c r="B156" s="328">
        <v>46280</v>
      </c>
      <c r="C156" s="328" t="s">
        <v>290</v>
      </c>
      <c r="D156" t="s">
        <v>47</v>
      </c>
      <c r="E156" s="328">
        <v>46274</v>
      </c>
      <c r="F156" s="328"/>
      <c r="G156" s="328"/>
      <c r="H156" s="328"/>
      <c r="I156" s="3"/>
      <c r="J156" s="3">
        <f t="shared" si="73"/>
        <v>0</v>
      </c>
      <c r="K156" s="3"/>
      <c r="L156" s="325">
        <f t="shared" si="74"/>
        <v>0</v>
      </c>
      <c r="M156" s="325">
        <f t="shared" si="89"/>
        <v>0</v>
      </c>
      <c r="N156">
        <f t="shared" si="76"/>
        <v>0</v>
      </c>
      <c r="O156" s="325"/>
      <c r="P156" s="325">
        <f t="shared" si="77"/>
        <v>0</v>
      </c>
      <c r="Q156" s="325">
        <v>12016.6</v>
      </c>
      <c r="R156" s="3"/>
      <c r="S156" s="3"/>
      <c r="T156" s="325">
        <f t="shared" si="78"/>
        <v>0</v>
      </c>
      <c r="U156" s="325">
        <v>11813.459592250771</v>
      </c>
      <c r="V156" s="325">
        <f t="shared" si="79"/>
        <v>11813.459592250771</v>
      </c>
      <c r="W156" s="325"/>
      <c r="X156" s="325">
        <v>16.38</v>
      </c>
      <c r="Y156" s="325">
        <v>0.34</v>
      </c>
      <c r="Z156" s="325">
        <f t="shared" si="80"/>
        <v>16.72</v>
      </c>
      <c r="AA156" s="389" t="s">
        <v>305</v>
      </c>
      <c r="AB156" s="3">
        <v>98.42</v>
      </c>
      <c r="AC156" s="3">
        <v>98.322500000000005</v>
      </c>
      <c r="AD156" s="325"/>
      <c r="AE156" s="325">
        <f t="shared" si="81"/>
        <v>11826.737720000001</v>
      </c>
      <c r="AF156" s="325">
        <v>9.36</v>
      </c>
      <c r="AG156" s="325">
        <v>2.36</v>
      </c>
      <c r="AH156" s="325">
        <f t="shared" si="82"/>
        <v>11815.01772</v>
      </c>
      <c r="AI156" s="325">
        <f t="shared" si="83"/>
        <v>11826.737720000001</v>
      </c>
      <c r="AJ156" s="325">
        <f t="shared" si="72"/>
        <v>1.5581277492292429</v>
      </c>
      <c r="AK156" s="325">
        <f t="shared" si="84"/>
        <v>1.5581277492292429</v>
      </c>
      <c r="AL156">
        <f t="shared" si="85"/>
        <v>6</v>
      </c>
      <c r="AM156" s="412">
        <f t="shared" si="86"/>
        <v>1.3189428016931821E-4</v>
      </c>
      <c r="AN156" s="412">
        <f t="shared" si="87"/>
        <v>8.0235687103001902E-3</v>
      </c>
      <c r="AO156" s="412">
        <f t="shared" si="88"/>
        <v>8.055310453475073E-3</v>
      </c>
      <c r="AP156" s="403">
        <f>TitulosVendidos[[#This Row],[Comisión Santa Fe
Venta]]+TitulosVendidos[[#This Row],[Comisión Santa Fé
Compra]]</f>
        <v>25.74</v>
      </c>
      <c r="AQ156" s="405">
        <v>3748022</v>
      </c>
    </row>
    <row r="157" spans="2:43" x14ac:dyDescent="0.25">
      <c r="B157" s="328">
        <v>46283</v>
      </c>
      <c r="C157" s="328" t="s">
        <v>233</v>
      </c>
      <c r="D157" t="s">
        <v>47</v>
      </c>
      <c r="E157" s="328">
        <v>46211</v>
      </c>
      <c r="F157" s="328">
        <v>46236</v>
      </c>
      <c r="G157" s="328">
        <v>46205</v>
      </c>
      <c r="H157" s="328">
        <v>49492</v>
      </c>
      <c r="I157" s="3">
        <v>7.93</v>
      </c>
      <c r="J157" s="3">
        <f t="shared" si="73"/>
        <v>8.8490795618176836</v>
      </c>
      <c r="K157" s="3">
        <v>9.6999999999999993</v>
      </c>
      <c r="L157" s="325">
        <f t="shared" si="74"/>
        <v>130.91108333333332</v>
      </c>
      <c r="M157" s="325">
        <f t="shared" si="89"/>
        <v>104.73018733333332</v>
      </c>
      <c r="N157">
        <f t="shared" si="76"/>
        <v>1</v>
      </c>
      <c r="O157" s="325"/>
      <c r="P157" s="325">
        <f t="shared" si="77"/>
        <v>235.64127066666663</v>
      </c>
      <c r="Q157" s="325">
        <f>50000*19810/50000</f>
        <v>19810</v>
      </c>
      <c r="R157" s="3">
        <v>89.413159419999999</v>
      </c>
      <c r="S157" s="3">
        <v>89.745999999999995</v>
      </c>
      <c r="T157" s="325">
        <f t="shared" si="78"/>
        <v>17712.746881102001</v>
      </c>
      <c r="U157" s="325">
        <f>44806.92*19810/50000</f>
        <v>17752.501703999998</v>
      </c>
      <c r="V157" s="325">
        <f t="shared" si="79"/>
        <v>17778.6826</v>
      </c>
      <c r="W157" s="325">
        <f>66.08*19810/50000</f>
        <v>26.180896000000001</v>
      </c>
      <c r="X157" s="325">
        <f>77.99*19810/50000</f>
        <v>30.899637999999999</v>
      </c>
      <c r="Y157" s="325">
        <f>22.35*19810/50000</f>
        <v>8.8550699999999996</v>
      </c>
      <c r="Z157" s="325">
        <f t="shared" si="80"/>
        <v>39.754708000000001</v>
      </c>
      <c r="AA157" s="389">
        <v>370501</v>
      </c>
      <c r="AB157" s="3">
        <v>92.938003350000002</v>
      </c>
      <c r="AC157" s="3">
        <v>92.907600000000002</v>
      </c>
      <c r="AD157" s="325">
        <v>69.819999999999993</v>
      </c>
      <c r="AE157" s="325">
        <f t="shared" si="81"/>
        <v>18411.018463634999</v>
      </c>
      <c r="AF157" s="325">
        <v>66.63</v>
      </c>
      <c r="AG157" s="325">
        <v>9.2100000000000009</v>
      </c>
      <c r="AH157" s="325">
        <f t="shared" si="82"/>
        <v>18335.178463634998</v>
      </c>
      <c r="AI157" s="325">
        <f t="shared" si="83"/>
        <v>698.27158253299785</v>
      </c>
      <c r="AJ157" s="325">
        <f t="shared" si="72"/>
        <v>582.67675963500005</v>
      </c>
      <c r="AK157" s="325">
        <f t="shared" si="84"/>
        <v>888.13803030166673</v>
      </c>
      <c r="AL157">
        <f t="shared" si="85"/>
        <v>72</v>
      </c>
      <c r="AM157" s="412">
        <f t="shared" si="86"/>
        <v>5.0028894243201297E-2</v>
      </c>
      <c r="AN157" s="412">
        <f t="shared" si="87"/>
        <v>0.25361869998289543</v>
      </c>
      <c r="AO157" s="412">
        <f t="shared" si="88"/>
        <v>0.28079186015980251</v>
      </c>
      <c r="AP157" s="403">
        <f>TitulosVendidos[[#This Row],[Comisión Santa Fe
Venta]]+TitulosVendidos[[#This Row],[Comisión Santa Fé
Compra]]</f>
        <v>97.529637999999991</v>
      </c>
      <c r="AQ157" s="405">
        <v>374997</v>
      </c>
    </row>
    <row r="158" spans="2:43" x14ac:dyDescent="0.25">
      <c r="B158" s="328">
        <v>46283</v>
      </c>
      <c r="C158" s="328" t="s">
        <v>233</v>
      </c>
      <c r="D158" t="s">
        <v>47</v>
      </c>
      <c r="E158" s="328">
        <v>46211</v>
      </c>
      <c r="F158" s="328">
        <v>46236</v>
      </c>
      <c r="G158" s="328">
        <v>46205</v>
      </c>
      <c r="H158" s="328">
        <v>49492</v>
      </c>
      <c r="I158" s="3">
        <v>7.93</v>
      </c>
      <c r="J158" s="3">
        <f t="shared" si="73"/>
        <v>8.8490790044658141</v>
      </c>
      <c r="K158" s="3">
        <v>9.6999999999999993</v>
      </c>
      <c r="L158" s="325">
        <f t="shared" si="74"/>
        <v>199.50558333333333</v>
      </c>
      <c r="M158" s="325">
        <f t="shared" si="89"/>
        <v>159.60647933333334</v>
      </c>
      <c r="N158">
        <f t="shared" si="76"/>
        <v>1</v>
      </c>
      <c r="O158" s="325"/>
      <c r="P158" s="325">
        <f t="shared" si="77"/>
        <v>359.1120626666667</v>
      </c>
      <c r="Q158" s="325">
        <f>50000*30190/50000</f>
        <v>30190</v>
      </c>
      <c r="R158" s="3">
        <v>89.413159419999999</v>
      </c>
      <c r="S158" s="3">
        <v>89.745999999999995</v>
      </c>
      <c r="T158" s="325">
        <f t="shared" si="78"/>
        <v>26993.832828898001</v>
      </c>
      <c r="U158" s="325">
        <v>27054.42</v>
      </c>
      <c r="V158" s="325">
        <f t="shared" si="79"/>
        <v>27094.319103999998</v>
      </c>
      <c r="W158" s="325">
        <f>66.08*30190/50000</f>
        <v>39.899104000000001</v>
      </c>
      <c r="X158" s="325">
        <f>77.99*30190/50000</f>
        <v>47.090361999999992</v>
      </c>
      <c r="Y158" s="325">
        <f>22.35*30190/50000</f>
        <v>13.49493</v>
      </c>
      <c r="Z158" s="325">
        <f t="shared" si="80"/>
        <v>60.585291999999995</v>
      </c>
      <c r="AA158" s="389">
        <v>370501</v>
      </c>
      <c r="AB158" s="3">
        <v>92.938003350000002</v>
      </c>
      <c r="AC158" s="3">
        <v>93.060599999999994</v>
      </c>
      <c r="AD158" s="325">
        <v>106.4</v>
      </c>
      <c r="AE158" s="325">
        <f t="shared" si="81"/>
        <v>28057.983211365001</v>
      </c>
      <c r="AF158" s="325">
        <v>55.35</v>
      </c>
      <c r="AG158" s="325">
        <v>14.03</v>
      </c>
      <c r="AH158" s="325">
        <f t="shared" si="82"/>
        <v>27988.603211365004</v>
      </c>
      <c r="AI158" s="325">
        <f t="shared" si="83"/>
        <v>1064.1503824669999</v>
      </c>
      <c r="AJ158" s="325">
        <f t="shared" si="72"/>
        <v>934.18321136500526</v>
      </c>
      <c r="AK158" s="325">
        <f t="shared" si="84"/>
        <v>1399.6952740316719</v>
      </c>
      <c r="AL158">
        <f t="shared" si="85"/>
        <v>72</v>
      </c>
      <c r="AM158" s="412">
        <f t="shared" si="86"/>
        <v>5.1736288341486233E-2</v>
      </c>
      <c r="AN158" s="412">
        <f t="shared" si="87"/>
        <v>0.26227423950892326</v>
      </c>
      <c r="AO158" s="412">
        <f t="shared" si="88"/>
        <v>0.29138460108503383</v>
      </c>
      <c r="AP158" s="403">
        <f>TitulosVendidos[[#This Row],[Comisión Santa Fe
Venta]]+TitulosVendidos[[#This Row],[Comisión Santa Fé
Compra]]</f>
        <v>102.44036199999999</v>
      </c>
      <c r="AQ158" s="405">
        <v>374999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0"/>
  <dimension ref="B3:E9"/>
  <sheetViews>
    <sheetView topLeftCell="A4" zoomScale="120" zoomScaleNormal="120" workbookViewId="0">
      <selection activeCell="B8" sqref="B8"/>
    </sheetView>
  </sheetViews>
  <sheetFormatPr baseColWidth="10" defaultRowHeight="15" x14ac:dyDescent="0.25"/>
  <cols>
    <col min="1" max="1" width="2.7109375" customWidth="1"/>
    <col min="2" max="2" width="38.5703125" bestFit="1" customWidth="1"/>
    <col min="3" max="3" width="24.42578125" bestFit="1" customWidth="1"/>
    <col min="4" max="4" width="16.28515625" bestFit="1" customWidth="1"/>
  </cols>
  <sheetData>
    <row r="3" spans="2:5" s="49" customFormat="1" x14ac:dyDescent="0.25">
      <c r="B3"/>
      <c r="C3" s="332" t="s">
        <v>227</v>
      </c>
      <c r="D3"/>
      <c r="E3"/>
    </row>
    <row r="4" spans="2:5" ht="75" customHeight="1" x14ac:dyDescent="0.25">
      <c r="B4" s="372" t="s">
        <v>272</v>
      </c>
      <c r="C4" s="49" t="s">
        <v>313</v>
      </c>
      <c r="D4" s="49" t="s">
        <v>314</v>
      </c>
      <c r="E4" s="49" t="s">
        <v>315</v>
      </c>
    </row>
    <row r="5" spans="2:5" x14ac:dyDescent="0.25">
      <c r="B5" s="330" t="s">
        <v>233</v>
      </c>
      <c r="C5" s="325">
        <v>94804.861151045465</v>
      </c>
      <c r="D5" s="325">
        <v>15221.953825638215</v>
      </c>
      <c r="E5" s="371">
        <v>0.28982518284061953</v>
      </c>
    </row>
    <row r="6" spans="2:5" x14ac:dyDescent="0.25">
      <c r="B6" s="330" t="s">
        <v>290</v>
      </c>
      <c r="C6" s="325">
        <v>2712.4945260214386</v>
      </c>
      <c r="D6" s="325">
        <v>1176.2425170000004</v>
      </c>
      <c r="E6" s="371">
        <v>0.35277390443535722</v>
      </c>
    </row>
    <row r="7" spans="2:5" x14ac:dyDescent="0.25">
      <c r="B7" s="330" t="s">
        <v>292</v>
      </c>
      <c r="C7" s="325">
        <v>261.04000000000002</v>
      </c>
      <c r="D7" s="325">
        <v>0</v>
      </c>
      <c r="E7" s="371">
        <v>0.26917422380427719</v>
      </c>
    </row>
    <row r="8" spans="2:5" x14ac:dyDescent="0.25">
      <c r="B8" s="330" t="s">
        <v>123</v>
      </c>
      <c r="C8" s="325">
        <v>1140.2394073264932</v>
      </c>
      <c r="D8" s="325">
        <v>235.83017750927439</v>
      </c>
      <c r="E8" s="371">
        <v>1.3240984443095587</v>
      </c>
    </row>
    <row r="9" spans="2:5" x14ac:dyDescent="0.25">
      <c r="B9" s="330" t="s">
        <v>191</v>
      </c>
      <c r="C9" s="325">
        <v>98918.635084393347</v>
      </c>
      <c r="D9" s="325">
        <v>16634.026520147487</v>
      </c>
      <c r="E9" s="371">
        <v>0.33091293784192155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I377"/>
  <sheetViews>
    <sheetView workbookViewId="0">
      <pane ySplit="2" topLeftCell="A365" activePane="bottomLeft" state="frozen"/>
      <selection pane="bottomLeft" activeCell="AB366" sqref="AB366:AB376"/>
    </sheetView>
  </sheetViews>
  <sheetFormatPr baseColWidth="10" defaultColWidth="8.85546875" defaultRowHeight="15" x14ac:dyDescent="0.25"/>
  <cols>
    <col min="1" max="1" width="2.7109375" customWidth="1"/>
    <col min="2" max="2" width="13.28515625" customWidth="1"/>
    <col min="3" max="3" width="21.28515625" customWidth="1"/>
    <col min="4" max="4" width="11.28515625" bestFit="1" customWidth="1"/>
    <col min="5" max="5" width="13.140625" customWidth="1"/>
    <col min="6" max="7" width="11.28515625" customWidth="1"/>
    <col min="8" max="8" width="11.140625" customWidth="1"/>
    <col min="9" max="9" width="12.85546875" customWidth="1"/>
    <col min="10" max="10" width="9.28515625" customWidth="1"/>
    <col min="11" max="11" width="9.42578125" customWidth="1"/>
    <col min="12" max="12" width="11.140625" customWidth="1"/>
    <col min="13" max="13" width="9.85546875" customWidth="1"/>
    <col min="14" max="14" width="10.7109375" customWidth="1"/>
    <col min="15" max="15" width="13.5703125" style="325" bestFit="1" customWidth="1"/>
    <col min="16" max="16" width="10.85546875" style="325" customWidth="1"/>
    <col min="17" max="17" width="12" bestFit="1" customWidth="1"/>
    <col min="18" max="18" width="12.7109375" customWidth="1"/>
    <col min="19" max="19" width="14" customWidth="1"/>
    <col min="20" max="20" width="15.28515625" customWidth="1"/>
    <col min="21" max="21" width="13.42578125" bestFit="1" customWidth="1"/>
    <col min="22" max="22" width="13.28515625" customWidth="1"/>
    <col min="23" max="23" width="10.7109375" customWidth="1"/>
    <col min="24" max="24" width="11" customWidth="1"/>
    <col min="25" max="25" width="10.7109375" customWidth="1"/>
    <col min="26" max="26" width="12.7109375" bestFit="1" customWidth="1"/>
    <col min="27" max="27" width="15.28515625" bestFit="1" customWidth="1"/>
    <col min="28" max="28" width="13.5703125" bestFit="1" customWidth="1"/>
    <col min="29" max="29" width="13.28515625" customWidth="1"/>
    <col min="30" max="30" width="15.85546875" customWidth="1"/>
    <col min="32" max="32" width="10" bestFit="1" customWidth="1"/>
    <col min="34" max="34" width="13" bestFit="1" customWidth="1"/>
  </cols>
  <sheetData>
    <row r="1" spans="2:30" x14ac:dyDescent="0.25">
      <c r="Q1" s="326">
        <f>SUBTOTAL(9,TitulosActivos8[Valor 
Nominal])</f>
        <v>822162.0200000006</v>
      </c>
      <c r="U1" s="326">
        <f>SUBTOTAL(9,TitulosActivos8[Valor Comprado Con Comisión])</f>
        <v>966806.45881820226</v>
      </c>
      <c r="X1" s="326">
        <f>SUBTOTAL(9,TitulosActivos8[Comisión Santa Fé
Compra])</f>
        <v>1101.2550719999992</v>
      </c>
      <c r="Y1" s="326">
        <f>SUBTOTAL(9,TitulosActivos8[Comisión
Bolsa Compra])</f>
        <v>294.20996135199977</v>
      </c>
      <c r="Z1" s="326">
        <f>SUBTOTAL(9,TitulosActivos8[Total 
Comisiones])</f>
        <v>1395.4650333519992</v>
      </c>
    </row>
    <row r="2" spans="2:30" s="343" customFormat="1" ht="43.15" customHeight="1" x14ac:dyDescent="0.25">
      <c r="B2" s="342" t="s">
        <v>249</v>
      </c>
      <c r="C2" s="342" t="s">
        <v>3</v>
      </c>
      <c r="D2" s="343" t="s">
        <v>62</v>
      </c>
      <c r="E2" s="342" t="s">
        <v>250</v>
      </c>
      <c r="F2" s="342" t="s">
        <v>251</v>
      </c>
      <c r="G2" s="342" t="s">
        <v>252</v>
      </c>
      <c r="H2" s="342" t="s">
        <v>253</v>
      </c>
      <c r="I2" s="343" t="s">
        <v>254</v>
      </c>
      <c r="J2" s="343" t="s">
        <v>255</v>
      </c>
      <c r="K2" s="343" t="s">
        <v>256</v>
      </c>
      <c r="L2" s="343" t="s">
        <v>257</v>
      </c>
      <c r="M2" s="343" t="s">
        <v>258</v>
      </c>
      <c r="N2" s="343" t="s">
        <v>259</v>
      </c>
      <c r="O2" s="343" t="s">
        <v>260</v>
      </c>
      <c r="P2" s="344" t="s">
        <v>261</v>
      </c>
      <c r="Q2" s="345" t="s">
        <v>262</v>
      </c>
      <c r="R2" s="343" t="s">
        <v>263</v>
      </c>
      <c r="S2" s="343" t="s">
        <v>264</v>
      </c>
      <c r="T2" s="343" t="s">
        <v>265</v>
      </c>
      <c r="U2" s="351" t="s">
        <v>266</v>
      </c>
      <c r="V2" s="343" t="s">
        <v>267</v>
      </c>
      <c r="W2" s="343" t="s">
        <v>268</v>
      </c>
      <c r="X2" s="343" t="s">
        <v>269</v>
      </c>
      <c r="Y2" s="343" t="s">
        <v>270</v>
      </c>
      <c r="Z2" s="343" t="s">
        <v>271</v>
      </c>
      <c r="AA2" s="343" t="s">
        <v>72</v>
      </c>
      <c r="AB2" s="343" t="s">
        <v>316</v>
      </c>
      <c r="AC2" s="343" t="s">
        <v>272</v>
      </c>
      <c r="AD2" s="343" t="s">
        <v>288</v>
      </c>
    </row>
    <row r="3" spans="2:30" x14ac:dyDescent="0.25">
      <c r="B3" s="328">
        <f t="shared" ref="B3:B34" ca="1" si="0">TODAY()</f>
        <v>46306</v>
      </c>
      <c r="C3" s="328" t="s">
        <v>290</v>
      </c>
      <c r="D3" t="s">
        <v>47</v>
      </c>
      <c r="E3" s="328">
        <v>46127</v>
      </c>
      <c r="F3" s="328"/>
      <c r="G3" s="328"/>
      <c r="H3" s="328"/>
      <c r="J3" s="3">
        <f t="shared" ref="J3:J34" si="1">L3*12/U3*100</f>
        <v>0</v>
      </c>
      <c r="K3" s="3"/>
      <c r="L3" s="325">
        <f t="shared" ref="L3:L34" si="2">Q3*I3/100/12</f>
        <v>0</v>
      </c>
      <c r="M3" s="325">
        <f t="shared" ref="M3:M44" si="3">L3-W3</f>
        <v>0</v>
      </c>
      <c r="N3">
        <f t="shared" ref="N3:N34" si="4">IF(F3="", 0, IF(B3&gt;F3,INT((B3-F3)/30),0))</f>
        <v>0</v>
      </c>
      <c r="P3" s="325">
        <f t="shared" ref="P3:P34" ca="1" si="5">L3*N3+M3+IF(B3&gt;H3,O3,0)</f>
        <v>0</v>
      </c>
      <c r="Q3" s="325">
        <v>574.80999999999995</v>
      </c>
      <c r="R3" s="3">
        <v>95.5</v>
      </c>
      <c r="S3" s="3">
        <v>95.995199999999997</v>
      </c>
      <c r="T3" s="325">
        <f t="shared" ref="T3:T34" si="6">Q3*R3/100</f>
        <v>548.94354999999996</v>
      </c>
      <c r="U3" s="325">
        <f t="shared" ref="U3:U34" si="7">Q3*S3/100</f>
        <v>551.79000911999992</v>
      </c>
      <c r="V3" s="325">
        <f t="shared" ref="V3:V34" si="8">U3+W3</f>
        <v>551.79000911999992</v>
      </c>
      <c r="W3" s="325">
        <v>0</v>
      </c>
      <c r="X3" s="325">
        <v>2.74</v>
      </c>
      <c r="Y3" s="325">
        <v>0.1101</v>
      </c>
      <c r="Z3" s="325">
        <f t="shared" ref="Z3:Z34" si="9">X3+Y3</f>
        <v>2.8501000000000003</v>
      </c>
      <c r="AA3" s="185"/>
      <c r="AB3" s="185" t="s">
        <v>22</v>
      </c>
      <c r="AC3" s="328">
        <v>46147</v>
      </c>
      <c r="AD3" s="185">
        <v>3668365</v>
      </c>
    </row>
    <row r="4" spans="2:30" x14ac:dyDescent="0.25">
      <c r="B4" s="328">
        <f t="shared" ca="1" si="0"/>
        <v>46306</v>
      </c>
      <c r="C4" s="328" t="s">
        <v>290</v>
      </c>
      <c r="D4" t="s">
        <v>47</v>
      </c>
      <c r="E4" s="328">
        <v>46132</v>
      </c>
      <c r="F4" s="328"/>
      <c r="G4" s="328"/>
      <c r="H4" s="328"/>
      <c r="J4" s="3">
        <f t="shared" si="1"/>
        <v>0</v>
      </c>
      <c r="K4" s="3"/>
      <c r="L4" s="325">
        <f t="shared" si="2"/>
        <v>0</v>
      </c>
      <c r="M4" s="325">
        <f t="shared" si="3"/>
        <v>0</v>
      </c>
      <c r="N4">
        <f t="shared" si="4"/>
        <v>0</v>
      </c>
      <c r="P4" s="325">
        <f t="shared" ca="1" si="5"/>
        <v>0</v>
      </c>
      <c r="Q4" s="325">
        <v>107.02</v>
      </c>
      <c r="R4" s="3">
        <v>94</v>
      </c>
      <c r="S4" s="3">
        <v>94.9636</v>
      </c>
      <c r="T4" s="325">
        <f t="shared" si="6"/>
        <v>100.5988</v>
      </c>
      <c r="U4" s="325">
        <f t="shared" si="7"/>
        <v>101.63004471999999</v>
      </c>
      <c r="V4" s="325">
        <f t="shared" si="8"/>
        <v>101.63004471999999</v>
      </c>
      <c r="W4" s="325">
        <v>0</v>
      </c>
      <c r="X4" s="325">
        <v>1.01</v>
      </c>
      <c r="Y4" s="325">
        <v>0.02</v>
      </c>
      <c r="Z4" s="325">
        <f t="shared" si="9"/>
        <v>1.03</v>
      </c>
      <c r="AA4" s="185"/>
      <c r="AB4" s="185" t="s">
        <v>22</v>
      </c>
      <c r="AC4" s="328">
        <v>46147</v>
      </c>
      <c r="AD4" s="185">
        <v>3668365</v>
      </c>
    </row>
    <row r="5" spans="2:30" x14ac:dyDescent="0.25">
      <c r="B5" s="328">
        <f t="shared" ca="1" si="0"/>
        <v>46306</v>
      </c>
      <c r="C5" s="328" t="s">
        <v>290</v>
      </c>
      <c r="D5" t="s">
        <v>47</v>
      </c>
      <c r="E5" s="328">
        <v>46133</v>
      </c>
      <c r="F5" s="328"/>
      <c r="G5" s="328"/>
      <c r="H5" s="328"/>
      <c r="J5" s="3">
        <f t="shared" si="1"/>
        <v>0</v>
      </c>
      <c r="K5" s="3"/>
      <c r="L5" s="325">
        <f t="shared" si="2"/>
        <v>0</v>
      </c>
      <c r="M5" s="325">
        <f t="shared" si="3"/>
        <v>0</v>
      </c>
      <c r="N5">
        <f t="shared" si="4"/>
        <v>0</v>
      </c>
      <c r="P5" s="325">
        <f t="shared" ca="1" si="5"/>
        <v>0</v>
      </c>
      <c r="Q5" s="325">
        <v>363.97</v>
      </c>
      <c r="R5" s="3">
        <v>96</v>
      </c>
      <c r="S5" s="3">
        <v>96.499700000000004</v>
      </c>
      <c r="T5" s="325">
        <f t="shared" si="6"/>
        <v>349.41120000000001</v>
      </c>
      <c r="U5" s="325">
        <f t="shared" si="7"/>
        <v>351.22995809000008</v>
      </c>
      <c r="V5" s="325">
        <f t="shared" si="8"/>
        <v>351.22995809000008</v>
      </c>
      <c r="W5" s="325">
        <v>0</v>
      </c>
      <c r="X5" s="325">
        <v>1.75</v>
      </c>
      <c r="Y5" s="325">
        <v>7.1919999999999998E-2</v>
      </c>
      <c r="Z5" s="325">
        <f t="shared" si="9"/>
        <v>1.82192</v>
      </c>
      <c r="AA5" s="185"/>
      <c r="AB5" s="185" t="s">
        <v>22</v>
      </c>
      <c r="AC5" s="328">
        <v>46147</v>
      </c>
      <c r="AD5" s="185">
        <v>3668365</v>
      </c>
    </row>
    <row r="6" spans="2:30" x14ac:dyDescent="0.25">
      <c r="B6" s="328">
        <f t="shared" ca="1" si="0"/>
        <v>46306</v>
      </c>
      <c r="C6" s="328" t="s">
        <v>290</v>
      </c>
      <c r="D6" t="s">
        <v>47</v>
      </c>
      <c r="E6" s="328">
        <v>46133</v>
      </c>
      <c r="F6" s="328"/>
      <c r="G6" s="328"/>
      <c r="H6" s="328"/>
      <c r="J6" s="3">
        <f t="shared" si="1"/>
        <v>0</v>
      </c>
      <c r="K6" s="3"/>
      <c r="L6" s="325">
        <f t="shared" si="2"/>
        <v>0</v>
      </c>
      <c r="M6" s="325">
        <f t="shared" si="3"/>
        <v>0</v>
      </c>
      <c r="N6">
        <f t="shared" si="4"/>
        <v>0</v>
      </c>
      <c r="P6" s="325">
        <f t="shared" ca="1" si="5"/>
        <v>0</v>
      </c>
      <c r="Q6" s="325">
        <v>453.69</v>
      </c>
      <c r="R6" s="3">
        <v>95</v>
      </c>
      <c r="S6" s="3">
        <v>95.496899999999997</v>
      </c>
      <c r="T6" s="325">
        <f t="shared" si="6"/>
        <v>431.00550000000004</v>
      </c>
      <c r="U6" s="325">
        <f t="shared" si="7"/>
        <v>433.25988560999997</v>
      </c>
      <c r="V6" s="325">
        <f t="shared" si="8"/>
        <v>433.25988560999997</v>
      </c>
      <c r="W6" s="325">
        <v>0</v>
      </c>
      <c r="X6" s="325">
        <v>2.16</v>
      </c>
      <c r="Y6" s="325">
        <v>9.1920000000000002E-2</v>
      </c>
      <c r="Z6" s="325">
        <f t="shared" si="9"/>
        <v>2.2519200000000001</v>
      </c>
      <c r="AA6" s="185"/>
      <c r="AB6" s="185" t="s">
        <v>22</v>
      </c>
      <c r="AC6" s="328">
        <v>46147</v>
      </c>
      <c r="AD6" s="185">
        <v>3668365</v>
      </c>
    </row>
    <row r="7" spans="2:30" x14ac:dyDescent="0.25">
      <c r="B7" s="328">
        <f t="shared" ca="1" si="0"/>
        <v>46306</v>
      </c>
      <c r="C7" s="328" t="s">
        <v>290</v>
      </c>
      <c r="D7" t="s">
        <v>47</v>
      </c>
      <c r="E7" s="328">
        <v>46134</v>
      </c>
      <c r="F7" s="328"/>
      <c r="G7" s="328"/>
      <c r="H7" s="328"/>
      <c r="J7" s="3">
        <f t="shared" si="1"/>
        <v>0</v>
      </c>
      <c r="K7" s="3"/>
      <c r="L7" s="325">
        <f t="shared" si="2"/>
        <v>0</v>
      </c>
      <c r="M7" s="325">
        <f t="shared" si="3"/>
        <v>0</v>
      </c>
      <c r="N7">
        <f t="shared" si="4"/>
        <v>0</v>
      </c>
      <c r="P7" s="325">
        <f t="shared" ca="1" si="5"/>
        <v>0</v>
      </c>
      <c r="Q7" s="325">
        <v>204.47</v>
      </c>
      <c r="R7" s="3">
        <v>95</v>
      </c>
      <c r="S7" s="3">
        <v>95.495699999999999</v>
      </c>
      <c r="T7" s="325">
        <f t="shared" si="6"/>
        <v>194.24650000000003</v>
      </c>
      <c r="U7" s="325">
        <f t="shared" si="7"/>
        <v>195.26005778999999</v>
      </c>
      <c r="V7" s="325">
        <f t="shared" si="8"/>
        <v>195.26005778999999</v>
      </c>
      <c r="W7" s="325">
        <v>0</v>
      </c>
      <c r="X7" s="325">
        <v>0.97</v>
      </c>
      <c r="Y7" s="325">
        <v>0.04</v>
      </c>
      <c r="Z7" s="325">
        <f t="shared" si="9"/>
        <v>1.01</v>
      </c>
      <c r="AA7" s="185">
        <v>366200</v>
      </c>
      <c r="AB7" s="185" t="s">
        <v>22</v>
      </c>
      <c r="AC7" s="328">
        <v>46147</v>
      </c>
      <c r="AD7" s="185">
        <v>3668365</v>
      </c>
    </row>
    <row r="8" spans="2:30" x14ac:dyDescent="0.25">
      <c r="B8" s="328">
        <f t="shared" ca="1" si="0"/>
        <v>46306</v>
      </c>
      <c r="C8" s="328" t="s">
        <v>290</v>
      </c>
      <c r="D8" t="s">
        <v>47</v>
      </c>
      <c r="E8" s="328">
        <v>46134</v>
      </c>
      <c r="F8" s="328"/>
      <c r="G8" s="328"/>
      <c r="H8" s="328"/>
      <c r="J8" s="3">
        <f t="shared" si="1"/>
        <v>0</v>
      </c>
      <c r="K8" s="3"/>
      <c r="L8" s="325">
        <f t="shared" si="2"/>
        <v>0</v>
      </c>
      <c r="M8" s="325">
        <f t="shared" si="3"/>
        <v>0</v>
      </c>
      <c r="N8">
        <f t="shared" si="4"/>
        <v>0</v>
      </c>
      <c r="P8" s="325">
        <f t="shared" ca="1" si="5"/>
        <v>0</v>
      </c>
      <c r="Q8" s="325">
        <v>239.63</v>
      </c>
      <c r="R8" s="3">
        <v>95</v>
      </c>
      <c r="S8" s="3">
        <v>95.497200000000007</v>
      </c>
      <c r="T8" s="325">
        <f t="shared" si="6"/>
        <v>227.64849999999998</v>
      </c>
      <c r="U8" s="325">
        <f t="shared" si="7"/>
        <v>228.83994036000001</v>
      </c>
      <c r="V8" s="325">
        <f t="shared" si="8"/>
        <v>228.83994036000001</v>
      </c>
      <c r="W8" s="325">
        <v>0</v>
      </c>
      <c r="X8" s="325">
        <v>1.1399999999999999</v>
      </c>
      <c r="Y8" s="325">
        <v>0.05</v>
      </c>
      <c r="Z8" s="325">
        <f t="shared" si="9"/>
        <v>1.19</v>
      </c>
      <c r="AA8" s="185">
        <v>366205</v>
      </c>
      <c r="AB8" s="185" t="s">
        <v>22</v>
      </c>
      <c r="AC8" s="328">
        <v>46147</v>
      </c>
      <c r="AD8" s="185">
        <v>3668365</v>
      </c>
    </row>
    <row r="9" spans="2:30" x14ac:dyDescent="0.25">
      <c r="B9" s="328">
        <f t="shared" ca="1" si="0"/>
        <v>46306</v>
      </c>
      <c r="C9" s="328" t="s">
        <v>290</v>
      </c>
      <c r="D9" t="s">
        <v>47</v>
      </c>
      <c r="E9" s="328">
        <v>46134</v>
      </c>
      <c r="F9" s="328"/>
      <c r="G9" s="328"/>
      <c r="H9" s="328"/>
      <c r="J9" s="3">
        <f t="shared" si="1"/>
        <v>0</v>
      </c>
      <c r="K9" s="3"/>
      <c r="L9" s="325">
        <f t="shared" si="2"/>
        <v>0</v>
      </c>
      <c r="M9" s="325">
        <f t="shared" si="3"/>
        <v>0</v>
      </c>
      <c r="N9">
        <f t="shared" si="4"/>
        <v>0</v>
      </c>
      <c r="P9" s="325">
        <f t="shared" ca="1" si="5"/>
        <v>0</v>
      </c>
      <c r="Q9" s="325">
        <v>321.32</v>
      </c>
      <c r="R9" s="3">
        <v>95</v>
      </c>
      <c r="S9" s="3">
        <v>95.493600000000001</v>
      </c>
      <c r="T9" s="325">
        <f t="shared" si="6"/>
        <v>305.25399999999996</v>
      </c>
      <c r="U9" s="325">
        <f t="shared" si="7"/>
        <v>306.84003551999996</v>
      </c>
      <c r="V9" s="325">
        <f t="shared" si="8"/>
        <v>306.84003551999996</v>
      </c>
      <c r="W9" s="325">
        <v>0</v>
      </c>
      <c r="X9" s="325">
        <v>1.53</v>
      </c>
      <c r="Y9" s="325">
        <v>0.06</v>
      </c>
      <c r="Z9" s="325">
        <f t="shared" si="9"/>
        <v>1.59</v>
      </c>
      <c r="AA9" s="185">
        <v>366198</v>
      </c>
      <c r="AB9" s="185" t="s">
        <v>22</v>
      </c>
      <c r="AC9" s="328">
        <v>46147</v>
      </c>
      <c r="AD9" s="185">
        <v>3668365</v>
      </c>
    </row>
    <row r="10" spans="2:30" x14ac:dyDescent="0.25">
      <c r="B10" s="328">
        <f t="shared" ca="1" si="0"/>
        <v>46306</v>
      </c>
      <c r="C10" s="328" t="s">
        <v>290</v>
      </c>
      <c r="D10" t="s">
        <v>47</v>
      </c>
      <c r="E10" s="328">
        <v>46134</v>
      </c>
      <c r="F10" s="328"/>
      <c r="G10" s="328"/>
      <c r="H10" s="328"/>
      <c r="J10" s="3">
        <f t="shared" si="1"/>
        <v>0</v>
      </c>
      <c r="K10" s="3"/>
      <c r="L10" s="325">
        <f t="shared" si="2"/>
        <v>0</v>
      </c>
      <c r="M10" s="325">
        <f t="shared" si="3"/>
        <v>0</v>
      </c>
      <c r="N10">
        <f t="shared" si="4"/>
        <v>0</v>
      </c>
      <c r="P10" s="325">
        <f t="shared" ca="1" si="5"/>
        <v>0</v>
      </c>
      <c r="Q10" s="325">
        <v>556.88</v>
      </c>
      <c r="R10" s="3">
        <v>95</v>
      </c>
      <c r="S10" s="3">
        <v>95.496300000000005</v>
      </c>
      <c r="T10" s="325">
        <f t="shared" si="6"/>
        <v>529.03599999999994</v>
      </c>
      <c r="U10" s="325">
        <f t="shared" si="7"/>
        <v>531.79979544000003</v>
      </c>
      <c r="V10" s="325">
        <f t="shared" si="8"/>
        <v>531.79979544000003</v>
      </c>
      <c r="W10" s="325">
        <v>0</v>
      </c>
      <c r="X10" s="325">
        <v>2.65</v>
      </c>
      <c r="Y10" s="325">
        <v>0.11</v>
      </c>
      <c r="Z10" s="325">
        <f t="shared" si="9"/>
        <v>2.76</v>
      </c>
      <c r="AA10" s="185">
        <v>366199</v>
      </c>
      <c r="AB10" s="185" t="s">
        <v>22</v>
      </c>
      <c r="AC10" s="328">
        <v>46147</v>
      </c>
      <c r="AD10" s="185">
        <v>3668365</v>
      </c>
    </row>
    <row r="11" spans="2:30" x14ac:dyDescent="0.25">
      <c r="B11" s="328">
        <f t="shared" ca="1" si="0"/>
        <v>46306</v>
      </c>
      <c r="C11" s="328" t="s">
        <v>290</v>
      </c>
      <c r="D11" t="s">
        <v>47</v>
      </c>
      <c r="E11" s="328">
        <v>46134</v>
      </c>
      <c r="F11" s="328"/>
      <c r="G11" s="328"/>
      <c r="H11" s="328"/>
      <c r="J11" s="3">
        <f t="shared" si="1"/>
        <v>0</v>
      </c>
      <c r="K11" s="3"/>
      <c r="L11" s="325">
        <f t="shared" si="2"/>
        <v>0</v>
      </c>
      <c r="M11" s="325">
        <f t="shared" si="3"/>
        <v>0</v>
      </c>
      <c r="N11">
        <f t="shared" si="4"/>
        <v>0</v>
      </c>
      <c r="P11" s="325">
        <f t="shared" ca="1" si="5"/>
        <v>0</v>
      </c>
      <c r="Q11" s="325">
        <v>708.73</v>
      </c>
      <c r="R11" s="3">
        <v>95</v>
      </c>
      <c r="S11" s="3">
        <v>95.493300000000005</v>
      </c>
      <c r="T11" s="325">
        <f t="shared" si="6"/>
        <v>673.29350000000011</v>
      </c>
      <c r="U11" s="325">
        <f t="shared" si="7"/>
        <v>676.78966509000009</v>
      </c>
      <c r="V11" s="325">
        <f t="shared" si="8"/>
        <v>676.78966509000009</v>
      </c>
      <c r="W11" s="325">
        <v>0</v>
      </c>
      <c r="X11" s="325">
        <v>3.37</v>
      </c>
      <c r="Y11" s="325">
        <v>0.13</v>
      </c>
      <c r="Z11" s="325">
        <f t="shared" si="9"/>
        <v>3.5</v>
      </c>
      <c r="AA11" s="185">
        <v>366197</v>
      </c>
      <c r="AB11" s="185" t="s">
        <v>22</v>
      </c>
      <c r="AC11" s="328">
        <v>46147</v>
      </c>
      <c r="AD11" s="185">
        <v>3668365</v>
      </c>
    </row>
    <row r="12" spans="2:30" x14ac:dyDescent="0.25">
      <c r="B12" s="328">
        <f t="shared" ca="1" si="0"/>
        <v>46306</v>
      </c>
      <c r="C12" s="328" t="s">
        <v>290</v>
      </c>
      <c r="D12" t="s">
        <v>47</v>
      </c>
      <c r="E12" s="328">
        <v>46136</v>
      </c>
      <c r="F12" s="328"/>
      <c r="G12" s="328"/>
      <c r="H12" s="328"/>
      <c r="J12" s="3">
        <f t="shared" si="1"/>
        <v>0</v>
      </c>
      <c r="K12" s="3"/>
      <c r="L12" s="325">
        <f t="shared" si="2"/>
        <v>0</v>
      </c>
      <c r="M12" s="325">
        <f t="shared" si="3"/>
        <v>0</v>
      </c>
      <c r="N12">
        <f t="shared" si="4"/>
        <v>0</v>
      </c>
      <c r="P12" s="325">
        <f t="shared" ca="1" si="5"/>
        <v>0</v>
      </c>
      <c r="Q12" s="325">
        <v>140.82</v>
      </c>
      <c r="R12" s="3">
        <v>93</v>
      </c>
      <c r="S12" s="3">
        <v>93.45973583</v>
      </c>
      <c r="T12" s="325">
        <f t="shared" si="6"/>
        <v>130.96260000000001</v>
      </c>
      <c r="U12" s="325">
        <f t="shared" si="7"/>
        <v>131.60999999580599</v>
      </c>
      <c r="V12" s="325">
        <f t="shared" si="8"/>
        <v>131.60999999580599</v>
      </c>
      <c r="W12" s="325">
        <v>0</v>
      </c>
      <c r="X12" s="325">
        <v>0.65</v>
      </c>
      <c r="Y12" s="325">
        <v>0</v>
      </c>
      <c r="Z12" s="325">
        <f t="shared" si="9"/>
        <v>0.65</v>
      </c>
      <c r="AA12" s="370" t="s">
        <v>317</v>
      </c>
      <c r="AB12" s="185" t="s">
        <v>22</v>
      </c>
      <c r="AC12" s="328">
        <v>46147</v>
      </c>
      <c r="AD12" s="185">
        <v>3668365</v>
      </c>
    </row>
    <row r="13" spans="2:30" x14ac:dyDescent="0.25">
      <c r="B13" s="328">
        <f t="shared" ca="1" si="0"/>
        <v>46306</v>
      </c>
      <c r="C13" s="328" t="s">
        <v>290</v>
      </c>
      <c r="D13" t="s">
        <v>47</v>
      </c>
      <c r="E13" s="328">
        <v>46136</v>
      </c>
      <c r="F13" s="328"/>
      <c r="G13" s="328"/>
      <c r="H13" s="328"/>
      <c r="J13" s="3">
        <f t="shared" si="1"/>
        <v>0</v>
      </c>
      <c r="K13" s="3"/>
      <c r="L13" s="325">
        <f t="shared" si="2"/>
        <v>0</v>
      </c>
      <c r="M13" s="325">
        <f t="shared" si="3"/>
        <v>0</v>
      </c>
      <c r="N13">
        <f t="shared" si="4"/>
        <v>0</v>
      </c>
      <c r="P13" s="325">
        <f t="shared" ca="1" si="5"/>
        <v>0</v>
      </c>
      <c r="Q13" s="325">
        <v>204.19</v>
      </c>
      <c r="R13" s="3">
        <v>94</v>
      </c>
      <c r="S13" s="3">
        <v>94.490399999999994</v>
      </c>
      <c r="T13" s="325">
        <f t="shared" si="6"/>
        <v>191.93860000000001</v>
      </c>
      <c r="U13" s="325">
        <f t="shared" si="7"/>
        <v>192.93994776</v>
      </c>
      <c r="V13" s="325">
        <f t="shared" si="8"/>
        <v>192.93994776</v>
      </c>
      <c r="W13" s="325">
        <v>0</v>
      </c>
      <c r="X13" s="325">
        <v>0.96</v>
      </c>
      <c r="Y13" s="325">
        <v>0.04</v>
      </c>
      <c r="Z13" s="325">
        <f t="shared" si="9"/>
        <v>1</v>
      </c>
      <c r="AA13" s="185">
        <v>366401</v>
      </c>
      <c r="AB13" s="185" t="s">
        <v>22</v>
      </c>
      <c r="AC13" s="328">
        <v>46147</v>
      </c>
      <c r="AD13" s="185">
        <v>3668365</v>
      </c>
    </row>
    <row r="14" spans="2:30" x14ac:dyDescent="0.25">
      <c r="B14" s="328">
        <f t="shared" ca="1" si="0"/>
        <v>46306</v>
      </c>
      <c r="C14" s="328" t="s">
        <v>290</v>
      </c>
      <c r="D14" t="s">
        <v>47</v>
      </c>
      <c r="E14" s="328">
        <v>46136</v>
      </c>
      <c r="F14" s="328"/>
      <c r="G14" s="328"/>
      <c r="H14" s="328"/>
      <c r="J14" s="3">
        <f t="shared" si="1"/>
        <v>0</v>
      </c>
      <c r="K14" s="3"/>
      <c r="L14" s="325">
        <f t="shared" si="2"/>
        <v>0</v>
      </c>
      <c r="M14" s="325">
        <f t="shared" si="3"/>
        <v>0</v>
      </c>
      <c r="N14">
        <f t="shared" si="4"/>
        <v>0</v>
      </c>
      <c r="P14" s="325">
        <f t="shared" ca="1" si="5"/>
        <v>0</v>
      </c>
      <c r="Q14" s="325">
        <v>281.63</v>
      </c>
      <c r="R14" s="3">
        <v>94</v>
      </c>
      <c r="S14" s="3">
        <v>94.467918900000001</v>
      </c>
      <c r="T14" s="325">
        <f t="shared" si="6"/>
        <v>264.73220000000003</v>
      </c>
      <c r="U14" s="325">
        <f t="shared" si="7"/>
        <v>266.04999999807001</v>
      </c>
      <c r="V14" s="325">
        <f t="shared" si="8"/>
        <v>266.04999999807001</v>
      </c>
      <c r="W14" s="325">
        <v>0</v>
      </c>
      <c r="X14" s="325">
        <v>1.32</v>
      </c>
      <c r="Y14" s="325">
        <v>0</v>
      </c>
      <c r="Z14" s="325">
        <f t="shared" si="9"/>
        <v>1.32</v>
      </c>
      <c r="AA14" s="370" t="s">
        <v>318</v>
      </c>
      <c r="AB14" s="185" t="s">
        <v>22</v>
      </c>
      <c r="AC14" s="328">
        <v>46147</v>
      </c>
      <c r="AD14" s="185">
        <v>3668365</v>
      </c>
    </row>
    <row r="15" spans="2:30" x14ac:dyDescent="0.25">
      <c r="B15" s="328">
        <f t="shared" ca="1" si="0"/>
        <v>46306</v>
      </c>
      <c r="C15" s="328" t="s">
        <v>290</v>
      </c>
      <c r="D15" t="s">
        <v>47</v>
      </c>
      <c r="E15" s="328">
        <v>46136</v>
      </c>
      <c r="F15" s="328"/>
      <c r="G15" s="328"/>
      <c r="H15" s="328"/>
      <c r="J15" s="3">
        <f t="shared" si="1"/>
        <v>0</v>
      </c>
      <c r="K15" s="3"/>
      <c r="L15" s="325">
        <f t="shared" si="2"/>
        <v>0</v>
      </c>
      <c r="M15" s="325">
        <f t="shared" si="3"/>
        <v>0</v>
      </c>
      <c r="N15">
        <f t="shared" si="4"/>
        <v>0</v>
      </c>
      <c r="P15" s="325">
        <f t="shared" ca="1" si="5"/>
        <v>0</v>
      </c>
      <c r="Q15" s="325">
        <v>428.45</v>
      </c>
      <c r="R15" s="3">
        <v>96</v>
      </c>
      <c r="S15" s="3">
        <v>96.498999999999995</v>
      </c>
      <c r="T15" s="325">
        <f t="shared" si="6"/>
        <v>411.31199999999995</v>
      </c>
      <c r="U15" s="325">
        <f t="shared" si="7"/>
        <v>413.44996549999996</v>
      </c>
      <c r="V15" s="325">
        <f t="shared" si="8"/>
        <v>413.44996549999996</v>
      </c>
      <c r="W15" s="325">
        <v>0</v>
      </c>
      <c r="X15" s="325">
        <v>2.06</v>
      </c>
      <c r="Y15" s="325">
        <v>0.08</v>
      </c>
      <c r="Z15" s="325">
        <f t="shared" si="9"/>
        <v>2.14</v>
      </c>
      <c r="AA15" s="185">
        <v>366392</v>
      </c>
      <c r="AB15" s="185" t="s">
        <v>22</v>
      </c>
      <c r="AC15" s="328">
        <v>46147</v>
      </c>
      <c r="AD15" s="185">
        <v>3668365</v>
      </c>
    </row>
    <row r="16" spans="2:30" x14ac:dyDescent="0.25">
      <c r="B16" s="328">
        <f t="shared" ca="1" si="0"/>
        <v>46306</v>
      </c>
      <c r="C16" s="328" t="s">
        <v>290</v>
      </c>
      <c r="D16" t="s">
        <v>47</v>
      </c>
      <c r="E16" s="328">
        <v>46139</v>
      </c>
      <c r="F16" s="328"/>
      <c r="G16" s="328"/>
      <c r="H16" s="328"/>
      <c r="J16" s="3">
        <f t="shared" si="1"/>
        <v>0</v>
      </c>
      <c r="K16" s="3"/>
      <c r="L16" s="325">
        <f t="shared" si="2"/>
        <v>0</v>
      </c>
      <c r="M16" s="325">
        <f t="shared" si="3"/>
        <v>0</v>
      </c>
      <c r="N16">
        <f t="shared" si="4"/>
        <v>0</v>
      </c>
      <c r="P16" s="325">
        <f t="shared" ca="1" si="5"/>
        <v>0</v>
      </c>
      <c r="Q16" s="325">
        <v>245.86</v>
      </c>
      <c r="R16" s="3">
        <v>95</v>
      </c>
      <c r="S16" s="3">
        <v>95.497399999999999</v>
      </c>
      <c r="T16" s="325">
        <f t="shared" si="6"/>
        <v>233.56700000000001</v>
      </c>
      <c r="U16" s="325">
        <f t="shared" si="7"/>
        <v>234.78990764000002</v>
      </c>
      <c r="V16" s="325">
        <f t="shared" si="8"/>
        <v>234.78990764000002</v>
      </c>
      <c r="W16" s="325">
        <v>0</v>
      </c>
      <c r="X16" s="325">
        <v>1.17</v>
      </c>
      <c r="Y16" s="325">
        <v>0.05</v>
      </c>
      <c r="Z16" s="325">
        <f t="shared" si="9"/>
        <v>1.22</v>
      </c>
      <c r="AA16" s="185"/>
      <c r="AB16" s="185" t="s">
        <v>22</v>
      </c>
      <c r="AC16" s="328">
        <v>46147</v>
      </c>
      <c r="AD16" s="185">
        <v>3668365</v>
      </c>
    </row>
    <row r="17" spans="2:30" x14ac:dyDescent="0.25">
      <c r="B17" s="328">
        <f t="shared" ca="1" si="0"/>
        <v>46306</v>
      </c>
      <c r="C17" s="328" t="s">
        <v>290</v>
      </c>
      <c r="D17" t="s">
        <v>47</v>
      </c>
      <c r="E17" s="328">
        <v>46139</v>
      </c>
      <c r="F17" s="328"/>
      <c r="G17" s="328"/>
      <c r="H17" s="328"/>
      <c r="J17" s="3">
        <f t="shared" si="1"/>
        <v>0</v>
      </c>
      <c r="K17" s="3"/>
      <c r="L17" s="325">
        <f t="shared" si="2"/>
        <v>0</v>
      </c>
      <c r="M17" s="325">
        <f t="shared" si="3"/>
        <v>0</v>
      </c>
      <c r="N17">
        <f t="shared" si="4"/>
        <v>0</v>
      </c>
      <c r="P17" s="325">
        <f t="shared" ca="1" si="5"/>
        <v>0</v>
      </c>
      <c r="Q17" s="325">
        <v>529.05999999999995</v>
      </c>
      <c r="R17" s="3">
        <v>96</v>
      </c>
      <c r="S17" s="3">
        <v>96.499499999999998</v>
      </c>
      <c r="T17" s="325">
        <f t="shared" si="6"/>
        <v>507.89759999999995</v>
      </c>
      <c r="U17" s="325">
        <f t="shared" si="7"/>
        <v>510.54025469999993</v>
      </c>
      <c r="V17" s="325">
        <f t="shared" si="8"/>
        <v>510.54025469999993</v>
      </c>
      <c r="W17" s="325">
        <v>0</v>
      </c>
      <c r="X17" s="325">
        <v>2.54</v>
      </c>
      <c r="Y17" s="325">
        <v>0.1</v>
      </c>
      <c r="Z17" s="325">
        <f t="shared" si="9"/>
        <v>2.64</v>
      </c>
      <c r="AA17" s="185"/>
      <c r="AB17" s="185" t="s">
        <v>22</v>
      </c>
      <c r="AC17" s="328">
        <v>46147</v>
      </c>
      <c r="AD17" s="185">
        <v>3668365</v>
      </c>
    </row>
    <row r="18" spans="2:30" x14ac:dyDescent="0.25">
      <c r="B18" s="328">
        <f t="shared" ca="1" si="0"/>
        <v>46306</v>
      </c>
      <c r="C18" s="328" t="s">
        <v>290</v>
      </c>
      <c r="D18" t="s">
        <v>47</v>
      </c>
      <c r="E18" s="328">
        <v>46139</v>
      </c>
      <c r="F18" s="328"/>
      <c r="G18" s="328"/>
      <c r="H18" s="328"/>
      <c r="J18" s="3">
        <f t="shared" si="1"/>
        <v>0</v>
      </c>
      <c r="K18" s="3"/>
      <c r="L18" s="325">
        <f t="shared" si="2"/>
        <v>0</v>
      </c>
      <c r="M18" s="325">
        <f t="shared" si="3"/>
        <v>0</v>
      </c>
      <c r="N18">
        <f t="shared" si="4"/>
        <v>0</v>
      </c>
      <c r="P18" s="325">
        <f t="shared" ca="1" si="5"/>
        <v>0</v>
      </c>
      <c r="Q18" s="325">
        <v>545.24</v>
      </c>
      <c r="R18" s="3">
        <v>96.3</v>
      </c>
      <c r="S18" s="3">
        <v>96.610699999999994</v>
      </c>
      <c r="T18" s="325">
        <f t="shared" si="6"/>
        <v>525.06611999999996</v>
      </c>
      <c r="U18" s="325">
        <f t="shared" si="7"/>
        <v>526.76018067999996</v>
      </c>
      <c r="V18" s="325">
        <f t="shared" si="8"/>
        <v>526.76018067999996</v>
      </c>
      <c r="W18" s="325">
        <v>0</v>
      </c>
      <c r="X18" s="325">
        <v>1.58</v>
      </c>
      <c r="Y18" s="325">
        <v>0.11</v>
      </c>
      <c r="Z18" s="325">
        <f t="shared" si="9"/>
        <v>1.6900000000000002</v>
      </c>
      <c r="AA18" s="185"/>
      <c r="AB18" s="185" t="s">
        <v>22</v>
      </c>
      <c r="AC18" s="328">
        <v>46147</v>
      </c>
      <c r="AD18" s="185">
        <v>3668365</v>
      </c>
    </row>
    <row r="19" spans="2:30" x14ac:dyDescent="0.25">
      <c r="B19" s="328">
        <f t="shared" ca="1" si="0"/>
        <v>46306</v>
      </c>
      <c r="C19" s="328" t="s">
        <v>290</v>
      </c>
      <c r="D19" t="s">
        <v>47</v>
      </c>
      <c r="E19" s="328">
        <v>46139</v>
      </c>
      <c r="F19" s="328"/>
      <c r="G19" s="328"/>
      <c r="H19" s="328"/>
      <c r="J19" s="3">
        <f t="shared" si="1"/>
        <v>0</v>
      </c>
      <c r="K19" s="3"/>
      <c r="L19" s="325">
        <f t="shared" si="2"/>
        <v>0</v>
      </c>
      <c r="M19" s="325">
        <f t="shared" si="3"/>
        <v>0</v>
      </c>
      <c r="N19">
        <f t="shared" si="4"/>
        <v>0</v>
      </c>
      <c r="P19" s="325">
        <f t="shared" ca="1" si="5"/>
        <v>0</v>
      </c>
      <c r="Q19" s="325">
        <v>54.8</v>
      </c>
      <c r="R19" s="3">
        <v>90</v>
      </c>
      <c r="S19" s="3">
        <v>90.912408760000005</v>
      </c>
      <c r="T19" s="325">
        <f t="shared" si="6"/>
        <v>49.32</v>
      </c>
      <c r="U19" s="325">
        <f t="shared" si="7"/>
        <v>49.820000000480007</v>
      </c>
      <c r="V19" s="325">
        <f t="shared" si="8"/>
        <v>49.820000000480007</v>
      </c>
      <c r="W19" s="325">
        <v>0</v>
      </c>
      <c r="X19" s="325">
        <v>0.5</v>
      </c>
      <c r="Y19" s="325">
        <v>0</v>
      </c>
      <c r="Z19" s="325">
        <f t="shared" si="9"/>
        <v>0.5</v>
      </c>
      <c r="AA19" s="185"/>
      <c r="AB19" s="185" t="s">
        <v>22</v>
      </c>
      <c r="AC19" s="328">
        <v>46147</v>
      </c>
      <c r="AD19" s="185">
        <v>3668365</v>
      </c>
    </row>
    <row r="20" spans="2:30" x14ac:dyDescent="0.25">
      <c r="B20" s="328">
        <f t="shared" ca="1" si="0"/>
        <v>46306</v>
      </c>
      <c r="C20" s="328" t="s">
        <v>290</v>
      </c>
      <c r="D20" t="s">
        <v>47</v>
      </c>
      <c r="E20" s="328">
        <v>46140</v>
      </c>
      <c r="F20" s="328"/>
      <c r="G20" s="328"/>
      <c r="H20" s="328"/>
      <c r="J20" s="3">
        <f t="shared" si="1"/>
        <v>0</v>
      </c>
      <c r="K20" s="3"/>
      <c r="L20" s="325">
        <f t="shared" si="2"/>
        <v>0</v>
      </c>
      <c r="M20" s="325">
        <f t="shared" si="3"/>
        <v>0</v>
      </c>
      <c r="N20">
        <f t="shared" si="4"/>
        <v>0</v>
      </c>
      <c r="P20" s="325">
        <f t="shared" ca="1" si="5"/>
        <v>0</v>
      </c>
      <c r="Q20" s="325">
        <v>161.01</v>
      </c>
      <c r="R20" s="3">
        <v>95</v>
      </c>
      <c r="S20" s="3">
        <v>95.491</v>
      </c>
      <c r="T20" s="325">
        <f t="shared" si="6"/>
        <v>152.95949999999999</v>
      </c>
      <c r="U20" s="325">
        <f t="shared" si="7"/>
        <v>153.75005909999999</v>
      </c>
      <c r="V20" s="325">
        <f t="shared" si="8"/>
        <v>153.75005909999999</v>
      </c>
      <c r="W20" s="325">
        <v>0</v>
      </c>
      <c r="X20" s="325">
        <v>0.76</v>
      </c>
      <c r="Y20" s="325">
        <v>3.2649999999999998E-2</v>
      </c>
      <c r="Z20" s="325">
        <f t="shared" si="9"/>
        <v>0.79264999999999997</v>
      </c>
      <c r="AA20" s="185"/>
      <c r="AB20" s="185" t="s">
        <v>22</v>
      </c>
      <c r="AC20" s="328">
        <v>46147</v>
      </c>
      <c r="AD20" s="185">
        <v>3668365</v>
      </c>
    </row>
    <row r="21" spans="2:30" x14ac:dyDescent="0.25">
      <c r="B21" s="328">
        <f t="shared" ca="1" si="0"/>
        <v>46306</v>
      </c>
      <c r="C21" s="328" t="s">
        <v>290</v>
      </c>
      <c r="D21" t="s">
        <v>47</v>
      </c>
      <c r="E21" s="328">
        <v>46140</v>
      </c>
      <c r="F21" s="328"/>
      <c r="G21" s="328"/>
      <c r="H21" s="328"/>
      <c r="J21" s="3">
        <f t="shared" si="1"/>
        <v>0</v>
      </c>
      <c r="K21" s="3"/>
      <c r="L21" s="325">
        <f t="shared" si="2"/>
        <v>0</v>
      </c>
      <c r="M21" s="325">
        <f t="shared" si="3"/>
        <v>0</v>
      </c>
      <c r="N21">
        <f t="shared" si="4"/>
        <v>0</v>
      </c>
      <c r="P21" s="325">
        <f t="shared" ca="1" si="5"/>
        <v>0</v>
      </c>
      <c r="Q21" s="325">
        <v>519.32000000000005</v>
      </c>
      <c r="R21" s="3">
        <v>96</v>
      </c>
      <c r="S21" s="3">
        <v>96.499300000000005</v>
      </c>
      <c r="T21" s="325">
        <f t="shared" si="6"/>
        <v>498.54720000000003</v>
      </c>
      <c r="U21" s="325">
        <f t="shared" si="7"/>
        <v>501.14016476000006</v>
      </c>
      <c r="V21" s="325">
        <f t="shared" si="8"/>
        <v>501.14016476000006</v>
      </c>
      <c r="W21" s="325">
        <v>0</v>
      </c>
      <c r="X21" s="325">
        <v>2.4900000000000002</v>
      </c>
      <c r="Y21" s="325">
        <v>0.10265000000000001</v>
      </c>
      <c r="Z21" s="325">
        <f t="shared" si="9"/>
        <v>2.5926500000000003</v>
      </c>
      <c r="AA21" s="185"/>
      <c r="AB21" s="185" t="s">
        <v>22</v>
      </c>
      <c r="AC21" s="328">
        <v>46147</v>
      </c>
      <c r="AD21" s="185">
        <v>3668365</v>
      </c>
    </row>
    <row r="22" spans="2:30" x14ac:dyDescent="0.25">
      <c r="B22" s="328">
        <f t="shared" ca="1" si="0"/>
        <v>46306</v>
      </c>
      <c r="C22" s="328" t="s">
        <v>290</v>
      </c>
      <c r="D22" t="s">
        <v>47</v>
      </c>
      <c r="E22" s="328">
        <v>46140</v>
      </c>
      <c r="F22" s="328"/>
      <c r="G22" s="328"/>
      <c r="H22" s="328"/>
      <c r="J22" s="3">
        <f t="shared" si="1"/>
        <v>0</v>
      </c>
      <c r="K22" s="3"/>
      <c r="L22" s="325">
        <f t="shared" si="2"/>
        <v>0</v>
      </c>
      <c r="M22" s="325">
        <f t="shared" si="3"/>
        <v>0</v>
      </c>
      <c r="N22">
        <f t="shared" si="4"/>
        <v>0</v>
      </c>
      <c r="P22" s="325">
        <f t="shared" ca="1" si="5"/>
        <v>0</v>
      </c>
      <c r="Q22" s="325">
        <v>461.19</v>
      </c>
      <c r="R22" s="3">
        <v>96</v>
      </c>
      <c r="S22" s="3">
        <v>96.498199999999997</v>
      </c>
      <c r="T22" s="325">
        <f t="shared" si="6"/>
        <v>442.74239999999998</v>
      </c>
      <c r="U22" s="325">
        <f t="shared" si="7"/>
        <v>445.04004858000002</v>
      </c>
      <c r="V22" s="325">
        <f t="shared" si="8"/>
        <v>445.04004858000002</v>
      </c>
      <c r="W22" s="325">
        <v>0</v>
      </c>
      <c r="X22" s="325">
        <v>2.21</v>
      </c>
      <c r="Y22" s="325">
        <v>9.2649999999999996E-2</v>
      </c>
      <c r="Z22" s="325">
        <f t="shared" si="9"/>
        <v>2.3026499999999999</v>
      </c>
      <c r="AA22" s="185"/>
      <c r="AB22" s="185" t="s">
        <v>22</v>
      </c>
      <c r="AC22" s="328">
        <v>46147</v>
      </c>
      <c r="AD22" s="185">
        <v>3668365</v>
      </c>
    </row>
    <row r="23" spans="2:30" x14ac:dyDescent="0.25">
      <c r="B23" s="328">
        <f t="shared" ca="1" si="0"/>
        <v>46306</v>
      </c>
      <c r="C23" s="328" t="s">
        <v>290</v>
      </c>
      <c r="D23" t="s">
        <v>47</v>
      </c>
      <c r="E23" s="328">
        <v>46140</v>
      </c>
      <c r="F23" s="328"/>
      <c r="G23" s="328"/>
      <c r="H23" s="328"/>
      <c r="J23" s="3">
        <f t="shared" si="1"/>
        <v>0</v>
      </c>
      <c r="K23" s="3"/>
      <c r="L23" s="325">
        <f t="shared" si="2"/>
        <v>0</v>
      </c>
      <c r="M23" s="325">
        <f t="shared" si="3"/>
        <v>0</v>
      </c>
      <c r="N23">
        <f t="shared" si="4"/>
        <v>0</v>
      </c>
      <c r="P23" s="325">
        <f t="shared" ca="1" si="5"/>
        <v>0</v>
      </c>
      <c r="Q23" s="325">
        <v>492.41</v>
      </c>
      <c r="R23" s="3">
        <v>95</v>
      </c>
      <c r="S23" s="3">
        <v>95.493600000000001</v>
      </c>
      <c r="T23" s="325">
        <f t="shared" si="6"/>
        <v>467.78950000000003</v>
      </c>
      <c r="U23" s="325">
        <f t="shared" si="7"/>
        <v>470.22003576000003</v>
      </c>
      <c r="V23" s="325">
        <f t="shared" si="8"/>
        <v>470.22003576000003</v>
      </c>
      <c r="W23" s="325">
        <v>0</v>
      </c>
      <c r="X23" s="325">
        <v>2.34</v>
      </c>
      <c r="Y23" s="325">
        <v>9.0000000000000006E-5</v>
      </c>
      <c r="Z23" s="325">
        <f t="shared" si="9"/>
        <v>2.34009</v>
      </c>
      <c r="AA23" s="185"/>
      <c r="AB23" s="185" t="s">
        <v>22</v>
      </c>
      <c r="AC23" s="328">
        <v>46147</v>
      </c>
      <c r="AD23" s="185">
        <v>3668365</v>
      </c>
    </row>
    <row r="24" spans="2:30" x14ac:dyDescent="0.25">
      <c r="B24" s="328">
        <f t="shared" ca="1" si="0"/>
        <v>46306</v>
      </c>
      <c r="C24" s="328" t="s">
        <v>290</v>
      </c>
      <c r="D24" t="s">
        <v>47</v>
      </c>
      <c r="E24" s="328">
        <v>46140</v>
      </c>
      <c r="F24" s="328"/>
      <c r="G24" s="328"/>
      <c r="H24" s="328"/>
      <c r="J24" s="3">
        <f t="shared" si="1"/>
        <v>0</v>
      </c>
      <c r="K24" s="3"/>
      <c r="L24" s="325">
        <f t="shared" si="2"/>
        <v>0</v>
      </c>
      <c r="M24" s="325">
        <f t="shared" si="3"/>
        <v>0</v>
      </c>
      <c r="N24">
        <f t="shared" si="4"/>
        <v>0</v>
      </c>
      <c r="P24" s="325">
        <f t="shared" ca="1" si="5"/>
        <v>0</v>
      </c>
      <c r="Q24" s="325">
        <v>451.95</v>
      </c>
      <c r="R24" s="3">
        <v>95</v>
      </c>
      <c r="S24" s="3">
        <v>95.495099999999994</v>
      </c>
      <c r="T24" s="325">
        <f t="shared" si="6"/>
        <v>429.35250000000002</v>
      </c>
      <c r="U24" s="325">
        <f t="shared" si="7"/>
        <v>431.5901044499999</v>
      </c>
      <c r="V24" s="325">
        <f t="shared" si="8"/>
        <v>431.5901044499999</v>
      </c>
      <c r="W24" s="325">
        <v>0</v>
      </c>
      <c r="X24" s="325">
        <v>2.15</v>
      </c>
      <c r="Y24" s="325">
        <v>9.0000000000000006E-5</v>
      </c>
      <c r="Z24" s="325">
        <f t="shared" si="9"/>
        <v>2.1500900000000001</v>
      </c>
      <c r="AA24" s="185"/>
      <c r="AB24" s="185" t="s">
        <v>22</v>
      </c>
      <c r="AC24" s="328">
        <v>46147</v>
      </c>
      <c r="AD24" s="185">
        <v>3668365</v>
      </c>
    </row>
    <row r="25" spans="2:30" x14ac:dyDescent="0.25">
      <c r="B25" s="328">
        <f t="shared" ca="1" si="0"/>
        <v>46306</v>
      </c>
      <c r="C25" s="328" t="s">
        <v>290</v>
      </c>
      <c r="D25" t="s">
        <v>47</v>
      </c>
      <c r="E25" s="328">
        <v>46140</v>
      </c>
      <c r="F25" s="328"/>
      <c r="G25" s="328"/>
      <c r="H25" s="328"/>
      <c r="J25" s="3">
        <f t="shared" si="1"/>
        <v>0</v>
      </c>
      <c r="K25" s="3"/>
      <c r="L25" s="325">
        <f t="shared" si="2"/>
        <v>0</v>
      </c>
      <c r="M25" s="325">
        <f t="shared" si="3"/>
        <v>0</v>
      </c>
      <c r="N25">
        <f t="shared" si="4"/>
        <v>0</v>
      </c>
      <c r="P25" s="325">
        <f t="shared" ca="1" si="5"/>
        <v>0</v>
      </c>
      <c r="Q25" s="325">
        <v>250.88</v>
      </c>
      <c r="R25" s="3">
        <v>95</v>
      </c>
      <c r="S25" s="3">
        <v>95.495900000000006</v>
      </c>
      <c r="T25" s="325">
        <f t="shared" si="6"/>
        <v>238.33599999999998</v>
      </c>
      <c r="U25" s="325">
        <f t="shared" si="7"/>
        <v>239.58011392</v>
      </c>
      <c r="V25" s="325">
        <f t="shared" si="8"/>
        <v>239.58011392</v>
      </c>
      <c r="W25" s="325">
        <v>0</v>
      </c>
      <c r="X25" s="325">
        <v>1.19</v>
      </c>
      <c r="Y25" s="325">
        <v>5.0000000000000002E-5</v>
      </c>
      <c r="Z25" s="325">
        <f t="shared" si="9"/>
        <v>1.1900500000000001</v>
      </c>
      <c r="AA25" s="185"/>
      <c r="AB25" s="185" t="s">
        <v>22</v>
      </c>
      <c r="AC25" s="328">
        <v>46147</v>
      </c>
      <c r="AD25" s="185">
        <v>3668365</v>
      </c>
    </row>
    <row r="26" spans="2:30" x14ac:dyDescent="0.25">
      <c r="B26" s="328">
        <f t="shared" ca="1" si="0"/>
        <v>46306</v>
      </c>
      <c r="C26" s="328" t="s">
        <v>290</v>
      </c>
      <c r="D26" t="s">
        <v>47</v>
      </c>
      <c r="E26" s="328">
        <v>46140</v>
      </c>
      <c r="F26" s="328"/>
      <c r="G26" s="328"/>
      <c r="H26" s="328"/>
      <c r="J26" s="3">
        <f t="shared" si="1"/>
        <v>0</v>
      </c>
      <c r="K26" s="3"/>
      <c r="L26" s="325">
        <f t="shared" si="2"/>
        <v>0</v>
      </c>
      <c r="M26" s="325">
        <f t="shared" si="3"/>
        <v>0</v>
      </c>
      <c r="N26">
        <f t="shared" si="4"/>
        <v>0</v>
      </c>
      <c r="P26" s="325">
        <f t="shared" ca="1" si="5"/>
        <v>0</v>
      </c>
      <c r="Q26" s="325">
        <v>2270</v>
      </c>
      <c r="R26" s="3">
        <v>97</v>
      </c>
      <c r="S26" s="3">
        <v>97.310599999999994</v>
      </c>
      <c r="T26" s="325">
        <f t="shared" si="6"/>
        <v>2201.9</v>
      </c>
      <c r="U26" s="325">
        <f t="shared" si="7"/>
        <v>2208.9506199999996</v>
      </c>
      <c r="V26" s="325">
        <f t="shared" si="8"/>
        <v>2208.9506199999996</v>
      </c>
      <c r="W26" s="325">
        <v>0</v>
      </c>
      <c r="X26" s="325">
        <v>6.61</v>
      </c>
      <c r="Y26" s="325">
        <v>4.4000000000000002E-4</v>
      </c>
      <c r="Z26" s="325">
        <f t="shared" si="9"/>
        <v>6.6104400000000005</v>
      </c>
      <c r="AA26" s="185"/>
      <c r="AB26" s="185" t="s">
        <v>22</v>
      </c>
      <c r="AC26" s="328">
        <v>46147</v>
      </c>
      <c r="AD26" s="185">
        <v>3668365</v>
      </c>
    </row>
    <row r="27" spans="2:30" x14ac:dyDescent="0.25">
      <c r="B27" s="328">
        <f t="shared" ca="1" si="0"/>
        <v>46306</v>
      </c>
      <c r="C27" s="328" t="s">
        <v>290</v>
      </c>
      <c r="D27" t="s">
        <v>47</v>
      </c>
      <c r="E27" s="328">
        <v>46140</v>
      </c>
      <c r="F27" s="328"/>
      <c r="G27" s="328"/>
      <c r="H27" s="328"/>
      <c r="J27" s="3">
        <f t="shared" si="1"/>
        <v>0</v>
      </c>
      <c r="K27" s="3"/>
      <c r="L27" s="325">
        <f t="shared" si="2"/>
        <v>0</v>
      </c>
      <c r="M27" s="325">
        <f t="shared" si="3"/>
        <v>0</v>
      </c>
      <c r="N27">
        <f t="shared" si="4"/>
        <v>0</v>
      </c>
      <c r="P27" s="325">
        <f t="shared" ca="1" si="5"/>
        <v>0</v>
      </c>
      <c r="Q27" s="325">
        <v>397.2</v>
      </c>
      <c r="R27" s="3">
        <v>95</v>
      </c>
      <c r="S27" s="3">
        <v>95.495999999999995</v>
      </c>
      <c r="T27" s="325">
        <f t="shared" si="6"/>
        <v>377.34</v>
      </c>
      <c r="U27" s="325">
        <f t="shared" si="7"/>
        <v>379.31011199999995</v>
      </c>
      <c r="V27" s="325">
        <f t="shared" si="8"/>
        <v>379.31011199999995</v>
      </c>
      <c r="W27" s="325">
        <v>0</v>
      </c>
      <c r="X27" s="325">
        <v>1.89</v>
      </c>
      <c r="Y27" s="325">
        <v>8.0000000000000007E-5</v>
      </c>
      <c r="Z27" s="325">
        <f t="shared" si="9"/>
        <v>1.89008</v>
      </c>
      <c r="AA27" s="185"/>
      <c r="AB27" s="185" t="s">
        <v>22</v>
      </c>
      <c r="AC27" s="328">
        <v>46147</v>
      </c>
      <c r="AD27" s="185">
        <v>3668365</v>
      </c>
    </row>
    <row r="28" spans="2:30" x14ac:dyDescent="0.25">
      <c r="B28" s="328">
        <f t="shared" ca="1" si="0"/>
        <v>46306</v>
      </c>
      <c r="C28" s="328" t="s">
        <v>290</v>
      </c>
      <c r="D28" t="s">
        <v>47</v>
      </c>
      <c r="E28" s="328">
        <v>46140</v>
      </c>
      <c r="F28" s="328"/>
      <c r="G28" s="328"/>
      <c r="H28" s="328"/>
      <c r="J28" s="3">
        <f t="shared" si="1"/>
        <v>0</v>
      </c>
      <c r="K28" s="3"/>
      <c r="L28" s="325">
        <f t="shared" si="2"/>
        <v>0</v>
      </c>
      <c r="M28" s="325">
        <f t="shared" si="3"/>
        <v>0</v>
      </c>
      <c r="N28">
        <f t="shared" si="4"/>
        <v>0</v>
      </c>
      <c r="P28" s="325">
        <f t="shared" ca="1" si="5"/>
        <v>0</v>
      </c>
      <c r="Q28" s="325">
        <v>806.44</v>
      </c>
      <c r="R28" s="3">
        <v>97</v>
      </c>
      <c r="S28" s="3">
        <v>97.4084</v>
      </c>
      <c r="T28" s="325">
        <f t="shared" si="6"/>
        <v>782.24680000000012</v>
      </c>
      <c r="U28" s="325">
        <f t="shared" si="7"/>
        <v>785.54030095999997</v>
      </c>
      <c r="V28" s="325">
        <f t="shared" si="8"/>
        <v>785.54030095999997</v>
      </c>
      <c r="W28" s="325">
        <v>0</v>
      </c>
      <c r="X28" s="325">
        <v>3.13</v>
      </c>
      <c r="Y28" s="325">
        <v>1.6000000000000001E-4</v>
      </c>
      <c r="Z28" s="325">
        <f t="shared" si="9"/>
        <v>3.1301600000000001</v>
      </c>
      <c r="AA28" s="185"/>
      <c r="AB28" s="185" t="s">
        <v>22</v>
      </c>
      <c r="AC28" s="328">
        <v>46147</v>
      </c>
      <c r="AD28" s="185">
        <v>3668365</v>
      </c>
    </row>
    <row r="29" spans="2:30" x14ac:dyDescent="0.25">
      <c r="B29" s="328">
        <f t="shared" ca="1" si="0"/>
        <v>46306</v>
      </c>
      <c r="C29" s="328" t="s">
        <v>290</v>
      </c>
      <c r="D29" t="s">
        <v>47</v>
      </c>
      <c r="E29" s="328">
        <v>46140</v>
      </c>
      <c r="F29" s="328"/>
      <c r="G29" s="328"/>
      <c r="H29" s="328"/>
      <c r="J29" s="3">
        <f t="shared" si="1"/>
        <v>0</v>
      </c>
      <c r="K29" s="3"/>
      <c r="L29" s="325">
        <f t="shared" si="2"/>
        <v>0</v>
      </c>
      <c r="M29" s="325">
        <f t="shared" si="3"/>
        <v>0</v>
      </c>
      <c r="N29">
        <f t="shared" si="4"/>
        <v>0</v>
      </c>
      <c r="P29" s="325">
        <f t="shared" ca="1" si="5"/>
        <v>0</v>
      </c>
      <c r="Q29" s="325">
        <v>351.55</v>
      </c>
      <c r="R29" s="3">
        <v>93</v>
      </c>
      <c r="S29" s="3">
        <v>93.483099999999993</v>
      </c>
      <c r="T29" s="325">
        <f t="shared" si="6"/>
        <v>326.94150000000002</v>
      </c>
      <c r="U29" s="325">
        <f t="shared" si="7"/>
        <v>328.63983804999998</v>
      </c>
      <c r="V29" s="325">
        <f t="shared" si="8"/>
        <v>328.63983804999998</v>
      </c>
      <c r="W29" s="325">
        <v>0</v>
      </c>
      <c r="X29" s="325">
        <v>1.63</v>
      </c>
      <c r="Y29" s="325">
        <v>7.2650000000000006E-2</v>
      </c>
      <c r="Z29" s="325">
        <f t="shared" si="9"/>
        <v>1.70265</v>
      </c>
      <c r="AA29" s="185"/>
      <c r="AB29" s="185" t="s">
        <v>22</v>
      </c>
      <c r="AC29" s="328">
        <v>46147</v>
      </c>
      <c r="AD29" s="185">
        <v>3668365</v>
      </c>
    </row>
    <row r="30" spans="2:30" x14ac:dyDescent="0.25">
      <c r="B30" s="328">
        <f t="shared" ca="1" si="0"/>
        <v>46306</v>
      </c>
      <c r="C30" s="328" t="s">
        <v>290</v>
      </c>
      <c r="D30" t="s">
        <v>47</v>
      </c>
      <c r="E30" s="328">
        <v>46140</v>
      </c>
      <c r="F30" s="328"/>
      <c r="G30" s="328"/>
      <c r="H30" s="328"/>
      <c r="J30" s="3">
        <f t="shared" si="1"/>
        <v>0</v>
      </c>
      <c r="K30" s="3"/>
      <c r="L30" s="325">
        <f t="shared" si="2"/>
        <v>0</v>
      </c>
      <c r="M30" s="325">
        <f t="shared" si="3"/>
        <v>0</v>
      </c>
      <c r="N30">
        <f t="shared" si="4"/>
        <v>0</v>
      </c>
      <c r="P30" s="325">
        <f t="shared" ca="1" si="5"/>
        <v>0</v>
      </c>
      <c r="Q30" s="325">
        <v>1300.5899999999999</v>
      </c>
      <c r="R30" s="3">
        <v>97</v>
      </c>
      <c r="S30" s="3">
        <v>97.212800000000001</v>
      </c>
      <c r="T30" s="325">
        <f t="shared" si="6"/>
        <v>1261.5723</v>
      </c>
      <c r="U30" s="325">
        <f t="shared" si="7"/>
        <v>1264.3399555199999</v>
      </c>
      <c r="V30" s="325">
        <f t="shared" si="8"/>
        <v>1264.3399555199999</v>
      </c>
      <c r="W30" s="325">
        <v>0</v>
      </c>
      <c r="X30" s="325">
        <v>2.52</v>
      </c>
      <c r="Y30" s="325">
        <v>0.25264999999999999</v>
      </c>
      <c r="Z30" s="325">
        <f t="shared" si="9"/>
        <v>2.7726500000000001</v>
      </c>
      <c r="AA30" s="185"/>
      <c r="AB30" s="185" t="s">
        <v>22</v>
      </c>
      <c r="AC30" s="328">
        <v>46147</v>
      </c>
      <c r="AD30" s="185">
        <v>3668365</v>
      </c>
    </row>
    <row r="31" spans="2:30" x14ac:dyDescent="0.25">
      <c r="B31" s="328">
        <f t="shared" ca="1" si="0"/>
        <v>46306</v>
      </c>
      <c r="C31" s="328" t="s">
        <v>290</v>
      </c>
      <c r="D31" t="s">
        <v>47</v>
      </c>
      <c r="E31" s="328">
        <v>46140</v>
      </c>
      <c r="F31" s="328"/>
      <c r="G31" s="328"/>
      <c r="H31" s="328"/>
      <c r="J31" s="3">
        <f t="shared" si="1"/>
        <v>0</v>
      </c>
      <c r="K31" s="3"/>
      <c r="L31" s="325">
        <f t="shared" si="2"/>
        <v>0</v>
      </c>
      <c r="M31" s="325">
        <f t="shared" si="3"/>
        <v>0</v>
      </c>
      <c r="N31">
        <f t="shared" si="4"/>
        <v>0</v>
      </c>
      <c r="P31" s="325">
        <f t="shared" ca="1" si="5"/>
        <v>0</v>
      </c>
      <c r="Q31" s="325">
        <v>782.44</v>
      </c>
      <c r="R31" s="3">
        <v>97</v>
      </c>
      <c r="S31" s="3">
        <v>97.311000000000007</v>
      </c>
      <c r="T31" s="325">
        <f t="shared" si="6"/>
        <v>758.96680000000003</v>
      </c>
      <c r="U31" s="325">
        <f t="shared" si="7"/>
        <v>761.40018840000005</v>
      </c>
      <c r="V31" s="325">
        <f t="shared" si="8"/>
        <v>761.40018840000005</v>
      </c>
      <c r="W31" s="325">
        <v>0</v>
      </c>
      <c r="X31" s="325">
        <v>2.2799999999999998</v>
      </c>
      <c r="Y31" s="325">
        <v>0.15265000000000001</v>
      </c>
      <c r="Z31" s="325">
        <f t="shared" si="9"/>
        <v>2.4326499999999998</v>
      </c>
      <c r="AA31" s="185"/>
      <c r="AB31" s="185" t="s">
        <v>22</v>
      </c>
      <c r="AC31" s="328">
        <v>46147</v>
      </c>
      <c r="AD31" s="185">
        <v>3668365</v>
      </c>
    </row>
    <row r="32" spans="2:30" x14ac:dyDescent="0.25">
      <c r="B32" s="328">
        <f t="shared" ca="1" si="0"/>
        <v>46306</v>
      </c>
      <c r="C32" s="328" t="s">
        <v>290</v>
      </c>
      <c r="D32" t="s">
        <v>47</v>
      </c>
      <c r="E32" s="328">
        <v>46140</v>
      </c>
      <c r="F32" s="328"/>
      <c r="G32" s="328"/>
      <c r="H32" s="328"/>
      <c r="J32" s="3">
        <f t="shared" si="1"/>
        <v>0</v>
      </c>
      <c r="K32" s="3"/>
      <c r="L32" s="325">
        <f t="shared" si="2"/>
        <v>0</v>
      </c>
      <c r="M32" s="325">
        <f t="shared" si="3"/>
        <v>0</v>
      </c>
      <c r="N32">
        <f t="shared" si="4"/>
        <v>0</v>
      </c>
      <c r="P32" s="325">
        <f t="shared" ca="1" si="5"/>
        <v>0</v>
      </c>
      <c r="Q32" s="325">
        <v>539.23</v>
      </c>
      <c r="R32" s="3">
        <v>96</v>
      </c>
      <c r="S32" s="3">
        <v>96.498699999999999</v>
      </c>
      <c r="T32" s="325">
        <f t="shared" si="6"/>
        <v>517.66079999999999</v>
      </c>
      <c r="U32" s="325">
        <f t="shared" si="7"/>
        <v>520.34994000999995</v>
      </c>
      <c r="V32" s="325">
        <f t="shared" si="8"/>
        <v>520.34994000999995</v>
      </c>
      <c r="W32" s="325">
        <v>0</v>
      </c>
      <c r="X32" s="325">
        <v>2.59</v>
      </c>
      <c r="Y32" s="325">
        <v>0.10265000000000001</v>
      </c>
      <c r="Z32" s="325">
        <f t="shared" si="9"/>
        <v>2.69265</v>
      </c>
      <c r="AA32" s="185"/>
      <c r="AB32" s="185" t="s">
        <v>22</v>
      </c>
      <c r="AC32" s="328">
        <v>46147</v>
      </c>
      <c r="AD32" s="185">
        <v>3668365</v>
      </c>
    </row>
    <row r="33" spans="2:30" x14ac:dyDescent="0.25">
      <c r="B33" s="328">
        <f t="shared" ca="1" si="0"/>
        <v>46306</v>
      </c>
      <c r="C33" s="328" t="s">
        <v>290</v>
      </c>
      <c r="D33" t="s">
        <v>47</v>
      </c>
      <c r="E33" s="328">
        <v>46140</v>
      </c>
      <c r="F33" s="328"/>
      <c r="G33" s="328"/>
      <c r="H33" s="328"/>
      <c r="J33" s="3">
        <f t="shared" si="1"/>
        <v>0</v>
      </c>
      <c r="K33" s="3"/>
      <c r="L33" s="325">
        <f t="shared" si="2"/>
        <v>0</v>
      </c>
      <c r="M33" s="325">
        <f t="shared" si="3"/>
        <v>0</v>
      </c>
      <c r="N33">
        <f t="shared" si="4"/>
        <v>0</v>
      </c>
      <c r="P33" s="325">
        <f t="shared" ca="1" si="5"/>
        <v>0</v>
      </c>
      <c r="Q33" s="325">
        <v>923.15</v>
      </c>
      <c r="R33" s="3">
        <v>97</v>
      </c>
      <c r="S33" s="3">
        <v>97.311400000000006</v>
      </c>
      <c r="T33" s="325">
        <f t="shared" si="6"/>
        <v>895.45550000000003</v>
      </c>
      <c r="U33" s="325">
        <f t="shared" si="7"/>
        <v>898.33018909999998</v>
      </c>
      <c r="V33" s="325">
        <f t="shared" si="8"/>
        <v>898.33018909999998</v>
      </c>
      <c r="W33" s="325">
        <v>0</v>
      </c>
      <c r="X33" s="325">
        <v>2.69</v>
      </c>
      <c r="Y33" s="325">
        <v>0.18265000000000001</v>
      </c>
      <c r="Z33" s="325">
        <f t="shared" si="9"/>
        <v>2.8726500000000001</v>
      </c>
      <c r="AA33" s="185"/>
      <c r="AB33" s="185" t="s">
        <v>22</v>
      </c>
      <c r="AC33" s="328">
        <v>46147</v>
      </c>
      <c r="AD33" s="185">
        <v>3668365</v>
      </c>
    </row>
    <row r="34" spans="2:30" x14ac:dyDescent="0.25">
      <c r="B34" s="328">
        <f t="shared" ca="1" si="0"/>
        <v>46306</v>
      </c>
      <c r="C34" s="328" t="s">
        <v>290</v>
      </c>
      <c r="D34" t="s">
        <v>47</v>
      </c>
      <c r="E34" s="328">
        <v>46140</v>
      </c>
      <c r="F34" s="328"/>
      <c r="G34" s="328"/>
      <c r="H34" s="328"/>
      <c r="J34" s="3">
        <f t="shared" si="1"/>
        <v>0</v>
      </c>
      <c r="K34" s="3"/>
      <c r="L34" s="325">
        <f t="shared" si="2"/>
        <v>0</v>
      </c>
      <c r="M34" s="325">
        <f t="shared" si="3"/>
        <v>0</v>
      </c>
      <c r="N34">
        <f t="shared" si="4"/>
        <v>0</v>
      </c>
      <c r="P34" s="325">
        <f t="shared" ca="1" si="5"/>
        <v>0</v>
      </c>
      <c r="Q34" s="325">
        <v>958.92</v>
      </c>
      <c r="R34" s="3">
        <v>97</v>
      </c>
      <c r="S34" s="3">
        <v>97.310500000000005</v>
      </c>
      <c r="T34" s="325">
        <f t="shared" si="6"/>
        <v>930.15239999999994</v>
      </c>
      <c r="U34" s="325">
        <f t="shared" si="7"/>
        <v>933.12984660000006</v>
      </c>
      <c r="V34" s="325">
        <f t="shared" si="8"/>
        <v>933.12984660000006</v>
      </c>
      <c r="W34" s="325">
        <v>0</v>
      </c>
      <c r="X34" s="325">
        <v>2.79</v>
      </c>
      <c r="Y34" s="325">
        <v>0.19264999999999999</v>
      </c>
      <c r="Z34" s="325">
        <f t="shared" si="9"/>
        <v>2.98265</v>
      </c>
      <c r="AA34" s="185"/>
      <c r="AB34" s="185" t="s">
        <v>22</v>
      </c>
      <c r="AC34" s="328">
        <v>46147</v>
      </c>
      <c r="AD34" s="185">
        <v>3668365</v>
      </c>
    </row>
    <row r="35" spans="2:30" x14ac:dyDescent="0.25">
      <c r="B35" s="328">
        <f t="shared" ref="B35:B66" ca="1" si="10">TODAY()</f>
        <v>46306</v>
      </c>
      <c r="C35" s="328" t="s">
        <v>290</v>
      </c>
      <c r="D35" t="s">
        <v>47</v>
      </c>
      <c r="E35" s="328">
        <v>46140</v>
      </c>
      <c r="F35" s="328"/>
      <c r="G35" s="328"/>
      <c r="H35" s="328"/>
      <c r="J35" s="3">
        <f t="shared" ref="J35:J66" si="11">L35*12/U35*100</f>
        <v>0</v>
      </c>
      <c r="K35" s="3"/>
      <c r="L35" s="325">
        <f t="shared" ref="L35:L66" si="12">Q35*I35/100/12</f>
        <v>0</v>
      </c>
      <c r="M35" s="325">
        <f t="shared" si="3"/>
        <v>0</v>
      </c>
      <c r="N35">
        <f t="shared" ref="N35:N66" si="13">IF(F35="", 0, IF(B35&gt;F35,INT((B35-F35)/30),0))</f>
        <v>0</v>
      </c>
      <c r="P35" s="325">
        <f t="shared" ref="P35:P66" ca="1" si="14">L35*N35+M35+IF(B35&gt;H35,O35,0)</f>
        <v>0</v>
      </c>
      <c r="Q35" s="325">
        <v>852.72</v>
      </c>
      <c r="R35" s="3">
        <v>96.7</v>
      </c>
      <c r="S35" s="3">
        <v>97.008399999999995</v>
      </c>
      <c r="T35" s="325">
        <f t="shared" ref="T35:T66" si="15">Q35*R35/100</f>
        <v>824.58024</v>
      </c>
      <c r="U35" s="325">
        <f t="shared" ref="U35:U66" si="16">Q35*S35/100</f>
        <v>827.21002848000001</v>
      </c>
      <c r="V35" s="325">
        <f t="shared" ref="V35:V66" si="17">U35+W35</f>
        <v>827.21002848000001</v>
      </c>
      <c r="W35" s="325">
        <v>0</v>
      </c>
      <c r="X35" s="325">
        <v>2.4700000000000002</v>
      </c>
      <c r="Y35" s="325">
        <v>0.16264999999999999</v>
      </c>
      <c r="Z35" s="325">
        <f t="shared" ref="Z35:Z66" si="18">X35+Y35</f>
        <v>2.6326500000000004</v>
      </c>
      <c r="AA35" s="185"/>
      <c r="AB35" s="185" t="s">
        <v>22</v>
      </c>
      <c r="AC35" s="328">
        <v>46147</v>
      </c>
      <c r="AD35" s="185">
        <v>3668365</v>
      </c>
    </row>
    <row r="36" spans="2:30" x14ac:dyDescent="0.25">
      <c r="B36" s="328">
        <f t="shared" ca="1" si="10"/>
        <v>46306</v>
      </c>
      <c r="C36" s="328" t="s">
        <v>290</v>
      </c>
      <c r="D36" t="s">
        <v>47</v>
      </c>
      <c r="E36" s="328">
        <v>46140</v>
      </c>
      <c r="F36" s="328"/>
      <c r="G36" s="328"/>
      <c r="H36" s="328"/>
      <c r="J36" s="3">
        <f t="shared" si="11"/>
        <v>0</v>
      </c>
      <c r="K36" s="3"/>
      <c r="L36" s="325">
        <f t="shared" si="12"/>
        <v>0</v>
      </c>
      <c r="M36" s="325">
        <f t="shared" si="3"/>
        <v>0</v>
      </c>
      <c r="N36">
        <f t="shared" si="13"/>
        <v>0</v>
      </c>
      <c r="P36" s="325">
        <f t="shared" ca="1" si="14"/>
        <v>0</v>
      </c>
      <c r="Q36" s="325">
        <v>621.99</v>
      </c>
      <c r="R36" s="3">
        <v>96.5</v>
      </c>
      <c r="S36" s="3">
        <v>96.905100000000004</v>
      </c>
      <c r="T36" s="325">
        <f t="shared" si="15"/>
        <v>600.22035000000005</v>
      </c>
      <c r="U36" s="325">
        <f t="shared" si="16"/>
        <v>602.74003149000009</v>
      </c>
      <c r="V36" s="325">
        <f t="shared" si="17"/>
        <v>602.74003149000009</v>
      </c>
      <c r="W36" s="325">
        <v>0</v>
      </c>
      <c r="X36" s="325">
        <v>2.4</v>
      </c>
      <c r="Y36" s="325">
        <v>0.12265</v>
      </c>
      <c r="Z36" s="325">
        <f t="shared" si="18"/>
        <v>2.5226500000000001</v>
      </c>
      <c r="AA36" s="185"/>
      <c r="AB36" s="185" t="s">
        <v>22</v>
      </c>
      <c r="AC36" s="328">
        <v>46147</v>
      </c>
      <c r="AD36" s="185">
        <v>3668365</v>
      </c>
    </row>
    <row r="37" spans="2:30" x14ac:dyDescent="0.25">
      <c r="B37" s="328">
        <f t="shared" ca="1" si="10"/>
        <v>46306</v>
      </c>
      <c r="C37" s="328" t="s">
        <v>290</v>
      </c>
      <c r="D37" t="s">
        <v>47</v>
      </c>
      <c r="E37" s="328">
        <v>46140</v>
      </c>
      <c r="F37" s="328"/>
      <c r="G37" s="328"/>
      <c r="H37" s="328"/>
      <c r="J37" s="3">
        <f t="shared" si="11"/>
        <v>0</v>
      </c>
      <c r="K37" s="3"/>
      <c r="L37" s="325">
        <f t="shared" si="12"/>
        <v>0</v>
      </c>
      <c r="M37" s="325">
        <f t="shared" si="3"/>
        <v>0</v>
      </c>
      <c r="N37">
        <f t="shared" si="13"/>
        <v>0</v>
      </c>
      <c r="P37" s="325">
        <f t="shared" ca="1" si="14"/>
        <v>0</v>
      </c>
      <c r="Q37" s="325">
        <v>436.63</v>
      </c>
      <c r="R37" s="3">
        <v>95</v>
      </c>
      <c r="S37" s="3">
        <v>95.492800000000003</v>
      </c>
      <c r="T37" s="325">
        <f t="shared" si="15"/>
        <v>414.79849999999999</v>
      </c>
      <c r="U37" s="325">
        <f t="shared" si="16"/>
        <v>416.95021264000002</v>
      </c>
      <c r="V37" s="325">
        <f t="shared" si="17"/>
        <v>416.95021264000002</v>
      </c>
      <c r="W37" s="325">
        <v>0</v>
      </c>
      <c r="X37" s="325">
        <v>2.0699999999999998</v>
      </c>
      <c r="Y37" s="325">
        <v>8.2650000000000001E-2</v>
      </c>
      <c r="Z37" s="325">
        <f t="shared" si="18"/>
        <v>2.15265</v>
      </c>
      <c r="AA37" s="185"/>
      <c r="AB37" s="185" t="s">
        <v>22</v>
      </c>
      <c r="AC37" s="328">
        <v>46147</v>
      </c>
      <c r="AD37" s="185">
        <v>3668365</v>
      </c>
    </row>
    <row r="38" spans="2:30" x14ac:dyDescent="0.25">
      <c r="B38" s="328">
        <f t="shared" ca="1" si="10"/>
        <v>46306</v>
      </c>
      <c r="C38" s="328" t="s">
        <v>290</v>
      </c>
      <c r="D38" t="s">
        <v>47</v>
      </c>
      <c r="E38" s="328">
        <v>46140</v>
      </c>
      <c r="F38" s="328"/>
      <c r="G38" s="328"/>
      <c r="H38" s="328"/>
      <c r="J38" s="3">
        <f t="shared" si="11"/>
        <v>0</v>
      </c>
      <c r="K38" s="3"/>
      <c r="L38" s="325">
        <f t="shared" si="12"/>
        <v>0</v>
      </c>
      <c r="M38" s="325">
        <f t="shared" si="3"/>
        <v>0</v>
      </c>
      <c r="N38">
        <f t="shared" si="13"/>
        <v>0</v>
      </c>
      <c r="P38" s="325">
        <f t="shared" ca="1" si="14"/>
        <v>0</v>
      </c>
      <c r="Q38" s="325">
        <v>564.86</v>
      </c>
      <c r="R38" s="3">
        <v>95</v>
      </c>
      <c r="S38" s="3">
        <v>95.494500000000002</v>
      </c>
      <c r="T38" s="325">
        <f t="shared" si="15"/>
        <v>536.61700000000008</v>
      </c>
      <c r="U38" s="325">
        <f t="shared" si="16"/>
        <v>539.41023270000005</v>
      </c>
      <c r="V38" s="325">
        <f t="shared" si="17"/>
        <v>539.41023270000005</v>
      </c>
      <c r="W38" s="325">
        <v>0</v>
      </c>
      <c r="X38" s="325">
        <v>2.68</v>
      </c>
      <c r="Y38" s="325">
        <v>0.11265</v>
      </c>
      <c r="Z38" s="325">
        <f t="shared" si="18"/>
        <v>2.7926500000000001</v>
      </c>
      <c r="AA38" s="185"/>
      <c r="AB38" s="185" t="s">
        <v>22</v>
      </c>
      <c r="AC38" s="328">
        <v>46147</v>
      </c>
      <c r="AD38" s="185">
        <v>3668365</v>
      </c>
    </row>
    <row r="39" spans="2:30" x14ac:dyDescent="0.25">
      <c r="B39" s="328">
        <f t="shared" ca="1" si="10"/>
        <v>46306</v>
      </c>
      <c r="C39" s="328" t="s">
        <v>290</v>
      </c>
      <c r="D39" t="s">
        <v>47</v>
      </c>
      <c r="E39" s="328">
        <v>46140</v>
      </c>
      <c r="F39" s="328"/>
      <c r="G39" s="328"/>
      <c r="H39" s="328"/>
      <c r="J39" s="3">
        <f t="shared" si="11"/>
        <v>0</v>
      </c>
      <c r="K39" s="3"/>
      <c r="L39" s="325">
        <f t="shared" si="12"/>
        <v>0</v>
      </c>
      <c r="M39" s="325">
        <f t="shared" si="3"/>
        <v>0</v>
      </c>
      <c r="N39">
        <f t="shared" si="13"/>
        <v>0</v>
      </c>
      <c r="P39" s="325">
        <f t="shared" ca="1" si="14"/>
        <v>0</v>
      </c>
      <c r="Q39" s="325">
        <v>895.63</v>
      </c>
      <c r="R39" s="3">
        <v>97</v>
      </c>
      <c r="S39" s="3">
        <v>97.503399999999999</v>
      </c>
      <c r="T39" s="325">
        <f t="shared" si="15"/>
        <v>868.76110000000006</v>
      </c>
      <c r="U39" s="325">
        <f t="shared" si="16"/>
        <v>873.26970142000005</v>
      </c>
      <c r="V39" s="325">
        <f t="shared" si="17"/>
        <v>873.26970142000005</v>
      </c>
      <c r="W39" s="325">
        <v>0</v>
      </c>
      <c r="X39" s="325">
        <v>4.34</v>
      </c>
      <c r="Y39" s="325">
        <v>0.17265</v>
      </c>
      <c r="Z39" s="325">
        <f t="shared" si="18"/>
        <v>4.5126499999999998</v>
      </c>
      <c r="AA39" s="185"/>
      <c r="AB39" s="185" t="s">
        <v>22</v>
      </c>
      <c r="AC39" s="328">
        <v>46147</v>
      </c>
      <c r="AD39" s="185">
        <v>3668365</v>
      </c>
    </row>
    <row r="40" spans="2:30" x14ac:dyDescent="0.25">
      <c r="B40" s="328">
        <f t="shared" ca="1" si="10"/>
        <v>46306</v>
      </c>
      <c r="C40" s="328" t="s">
        <v>290</v>
      </c>
      <c r="D40" t="s">
        <v>47</v>
      </c>
      <c r="E40" s="328">
        <v>46140</v>
      </c>
      <c r="F40" s="328"/>
      <c r="G40" s="328"/>
      <c r="H40" s="328"/>
      <c r="J40" s="3">
        <f t="shared" si="11"/>
        <v>0</v>
      </c>
      <c r="K40" s="3"/>
      <c r="L40" s="325">
        <f t="shared" si="12"/>
        <v>0</v>
      </c>
      <c r="M40" s="325">
        <f t="shared" si="3"/>
        <v>0</v>
      </c>
      <c r="N40">
        <f t="shared" si="13"/>
        <v>0</v>
      </c>
      <c r="P40" s="325">
        <f t="shared" ca="1" si="14"/>
        <v>0</v>
      </c>
      <c r="Q40" s="325">
        <v>823.75</v>
      </c>
      <c r="R40" s="3">
        <v>97</v>
      </c>
      <c r="S40" s="3">
        <v>97.505300000000005</v>
      </c>
      <c r="T40" s="325">
        <f t="shared" si="15"/>
        <v>799.03750000000002</v>
      </c>
      <c r="U40" s="325">
        <f t="shared" si="16"/>
        <v>803.19990875000008</v>
      </c>
      <c r="V40" s="325">
        <f t="shared" si="17"/>
        <v>803.19990875000008</v>
      </c>
      <c r="W40" s="325">
        <v>0</v>
      </c>
      <c r="X40" s="325">
        <v>4</v>
      </c>
      <c r="Y40" s="325">
        <v>0.16264999999999999</v>
      </c>
      <c r="Z40" s="325">
        <f t="shared" si="18"/>
        <v>4.1626500000000002</v>
      </c>
      <c r="AA40" s="185"/>
      <c r="AB40" s="185" t="s">
        <v>22</v>
      </c>
      <c r="AC40" s="328">
        <v>46147</v>
      </c>
      <c r="AD40" s="185">
        <v>3668365</v>
      </c>
    </row>
    <row r="41" spans="2:30" x14ac:dyDescent="0.25">
      <c r="B41" s="328">
        <f t="shared" ca="1" si="10"/>
        <v>46306</v>
      </c>
      <c r="C41" s="328" t="s">
        <v>290</v>
      </c>
      <c r="D41" t="s">
        <v>47</v>
      </c>
      <c r="E41" s="328">
        <v>46140</v>
      </c>
      <c r="F41" s="328"/>
      <c r="G41" s="328"/>
      <c r="H41" s="328"/>
      <c r="J41" s="3">
        <f t="shared" si="11"/>
        <v>0</v>
      </c>
      <c r="K41" s="3"/>
      <c r="L41" s="325">
        <f t="shared" si="12"/>
        <v>0</v>
      </c>
      <c r="M41" s="325">
        <f t="shared" si="3"/>
        <v>0</v>
      </c>
      <c r="N41">
        <f t="shared" si="13"/>
        <v>0</v>
      </c>
      <c r="P41" s="325">
        <f t="shared" ca="1" si="14"/>
        <v>0</v>
      </c>
      <c r="Q41" s="325">
        <v>785.81</v>
      </c>
      <c r="R41" s="3">
        <v>97</v>
      </c>
      <c r="S41" s="3">
        <v>97.213066769999998</v>
      </c>
      <c r="T41" s="325">
        <f t="shared" si="15"/>
        <v>762.23569999999995</v>
      </c>
      <c r="U41" s="325">
        <f t="shared" si="16"/>
        <v>763.90999998533687</v>
      </c>
      <c r="V41" s="325">
        <f t="shared" si="17"/>
        <v>763.90999998533687</v>
      </c>
      <c r="W41" s="325">
        <v>0</v>
      </c>
      <c r="X41" s="325">
        <v>1.52</v>
      </c>
      <c r="Y41" s="325">
        <v>0.15</v>
      </c>
      <c r="Z41" s="325">
        <f t="shared" si="18"/>
        <v>1.67</v>
      </c>
      <c r="AA41" s="185"/>
      <c r="AB41" s="185" t="s">
        <v>22</v>
      </c>
      <c r="AC41" s="328">
        <v>46147</v>
      </c>
      <c r="AD41" s="185">
        <v>3668365</v>
      </c>
    </row>
    <row r="42" spans="2:30" x14ac:dyDescent="0.25">
      <c r="B42" s="328">
        <f t="shared" ca="1" si="10"/>
        <v>46306</v>
      </c>
      <c r="C42" s="328" t="s">
        <v>290</v>
      </c>
      <c r="D42" t="s">
        <v>47</v>
      </c>
      <c r="E42" s="328">
        <v>46140</v>
      </c>
      <c r="F42" s="328"/>
      <c r="G42" s="328"/>
      <c r="H42" s="328"/>
      <c r="J42" s="3">
        <f t="shared" si="11"/>
        <v>0</v>
      </c>
      <c r="K42" s="3"/>
      <c r="L42" s="325">
        <f t="shared" si="12"/>
        <v>0</v>
      </c>
      <c r="M42" s="325">
        <f t="shared" si="3"/>
        <v>0</v>
      </c>
      <c r="N42">
        <f t="shared" si="13"/>
        <v>0</v>
      </c>
      <c r="P42" s="325">
        <f t="shared" ca="1" si="14"/>
        <v>0</v>
      </c>
      <c r="Q42" s="325">
        <v>911.8</v>
      </c>
      <c r="R42" s="3">
        <v>96.5</v>
      </c>
      <c r="S42" s="3">
        <v>97.002632160000005</v>
      </c>
      <c r="T42" s="325">
        <f t="shared" si="15"/>
        <v>879.88699999999994</v>
      </c>
      <c r="U42" s="325">
        <f t="shared" si="16"/>
        <v>884.47000003488006</v>
      </c>
      <c r="V42" s="325">
        <f t="shared" si="17"/>
        <v>884.47000003488006</v>
      </c>
      <c r="W42" s="325">
        <v>0</v>
      </c>
      <c r="X42" s="325">
        <v>4.4000000000000004</v>
      </c>
      <c r="Y42" s="325">
        <v>0.18</v>
      </c>
      <c r="Z42" s="325">
        <f t="shared" si="18"/>
        <v>4.58</v>
      </c>
      <c r="AA42" s="185"/>
      <c r="AB42" s="185" t="s">
        <v>22</v>
      </c>
      <c r="AC42" s="328">
        <v>46147</v>
      </c>
      <c r="AD42" s="185">
        <v>3668365</v>
      </c>
    </row>
    <row r="43" spans="2:30" x14ac:dyDescent="0.25">
      <c r="B43" s="328">
        <f t="shared" ca="1" si="10"/>
        <v>46306</v>
      </c>
      <c r="C43" s="328" t="s">
        <v>290</v>
      </c>
      <c r="D43" t="s">
        <v>47</v>
      </c>
      <c r="E43" s="328">
        <v>46140</v>
      </c>
      <c r="F43" s="328"/>
      <c r="G43" s="328"/>
      <c r="H43" s="328"/>
      <c r="J43" s="3">
        <f t="shared" si="11"/>
        <v>0</v>
      </c>
      <c r="K43" s="3"/>
      <c r="L43" s="325">
        <f t="shared" si="12"/>
        <v>0</v>
      </c>
      <c r="M43" s="325">
        <f t="shared" si="3"/>
        <v>0</v>
      </c>
      <c r="N43">
        <f t="shared" si="13"/>
        <v>0</v>
      </c>
      <c r="P43" s="325">
        <f t="shared" ca="1" si="14"/>
        <v>0</v>
      </c>
      <c r="Q43" s="325">
        <v>464.2</v>
      </c>
      <c r="R43" s="3">
        <v>96</v>
      </c>
      <c r="S43" s="3">
        <v>96.479965530000001</v>
      </c>
      <c r="T43" s="325">
        <f t="shared" si="15"/>
        <v>445.63199999999995</v>
      </c>
      <c r="U43" s="325">
        <f t="shared" si="16"/>
        <v>447.85999999025995</v>
      </c>
      <c r="V43" s="325">
        <f t="shared" si="17"/>
        <v>447.85999999025995</v>
      </c>
      <c r="W43" s="325">
        <v>0</v>
      </c>
      <c r="X43" s="325">
        <v>2.23</v>
      </c>
      <c r="Y43" s="325">
        <v>0</v>
      </c>
      <c r="Z43" s="325">
        <f t="shared" si="18"/>
        <v>2.23</v>
      </c>
      <c r="AA43" s="185"/>
      <c r="AB43" s="185" t="s">
        <v>22</v>
      </c>
      <c r="AC43" s="328">
        <v>46147</v>
      </c>
      <c r="AD43" s="185">
        <v>3668365</v>
      </c>
    </row>
    <row r="44" spans="2:30" x14ac:dyDescent="0.25">
      <c r="B44" s="328">
        <f t="shared" ca="1" si="10"/>
        <v>46306</v>
      </c>
      <c r="C44" s="328" t="s">
        <v>290</v>
      </c>
      <c r="D44" t="s">
        <v>47</v>
      </c>
      <c r="E44" s="328">
        <v>46140</v>
      </c>
      <c r="F44" s="328"/>
      <c r="G44" s="328"/>
      <c r="H44" s="328"/>
      <c r="J44" s="3">
        <f t="shared" si="11"/>
        <v>0</v>
      </c>
      <c r="K44" s="3"/>
      <c r="L44" s="325">
        <f t="shared" si="12"/>
        <v>0</v>
      </c>
      <c r="M44" s="325">
        <f t="shared" si="3"/>
        <v>0</v>
      </c>
      <c r="N44">
        <f t="shared" si="13"/>
        <v>0</v>
      </c>
      <c r="P44" s="325">
        <f t="shared" ca="1" si="14"/>
        <v>0</v>
      </c>
      <c r="Q44" s="325">
        <v>933.1</v>
      </c>
      <c r="R44" s="3">
        <v>96</v>
      </c>
      <c r="S44" s="3">
        <v>96.499839249999994</v>
      </c>
      <c r="T44" s="325">
        <f t="shared" si="15"/>
        <v>895.77600000000007</v>
      </c>
      <c r="U44" s="325">
        <f t="shared" si="16"/>
        <v>900.44000004175007</v>
      </c>
      <c r="V44" s="325">
        <f t="shared" si="17"/>
        <v>900.44000004175007</v>
      </c>
      <c r="W44" s="325">
        <v>0</v>
      </c>
      <c r="X44" s="325">
        <v>4.4800000000000004</v>
      </c>
      <c r="Y44" s="325">
        <v>0.18</v>
      </c>
      <c r="Z44" s="325">
        <f t="shared" si="18"/>
        <v>4.66</v>
      </c>
      <c r="AA44" s="185"/>
      <c r="AB44" s="185" t="s">
        <v>22</v>
      </c>
      <c r="AC44" s="328">
        <v>46147</v>
      </c>
      <c r="AD44" s="185">
        <v>3668365</v>
      </c>
    </row>
    <row r="45" spans="2:30" x14ac:dyDescent="0.25">
      <c r="B45" s="328">
        <f t="shared" ca="1" si="10"/>
        <v>46306</v>
      </c>
      <c r="C45" s="328" t="s">
        <v>290</v>
      </c>
      <c r="D45" t="s">
        <v>47</v>
      </c>
      <c r="E45" s="328">
        <v>46141</v>
      </c>
      <c r="F45" s="328"/>
      <c r="G45" s="328"/>
      <c r="H45" s="328"/>
      <c r="J45" s="3">
        <f t="shared" si="11"/>
        <v>0</v>
      </c>
      <c r="K45" s="3"/>
      <c r="L45" s="325">
        <f t="shared" si="12"/>
        <v>0</v>
      </c>
      <c r="M45" s="325"/>
      <c r="N45">
        <f t="shared" si="13"/>
        <v>0</v>
      </c>
      <c r="P45" s="325">
        <f t="shared" ca="1" si="14"/>
        <v>0</v>
      </c>
      <c r="Q45" s="325">
        <v>833.24</v>
      </c>
      <c r="R45" s="3">
        <v>96.5</v>
      </c>
      <c r="S45" s="3">
        <v>96.906099999999995</v>
      </c>
      <c r="T45" s="325">
        <f t="shared" si="15"/>
        <v>804.07659999999998</v>
      </c>
      <c r="U45" s="325">
        <f t="shared" si="16"/>
        <v>807.46038764000002</v>
      </c>
      <c r="V45" s="325">
        <f t="shared" si="17"/>
        <v>807.46038764000002</v>
      </c>
      <c r="W45" s="325">
        <v>0</v>
      </c>
      <c r="X45" s="325">
        <v>3.22</v>
      </c>
      <c r="Y45" s="325">
        <v>0.16020999999999999</v>
      </c>
      <c r="Z45" s="325">
        <f t="shared" si="18"/>
        <v>3.3802100000000004</v>
      </c>
      <c r="AA45" s="185"/>
      <c r="AB45" s="185" t="s">
        <v>22</v>
      </c>
      <c r="AC45" s="328">
        <v>46147</v>
      </c>
      <c r="AD45" s="185">
        <v>3668365</v>
      </c>
    </row>
    <row r="46" spans="2:30" x14ac:dyDescent="0.25">
      <c r="B46" s="328">
        <f t="shared" ca="1" si="10"/>
        <v>46306</v>
      </c>
      <c r="C46" s="328" t="s">
        <v>290</v>
      </c>
      <c r="D46" t="s">
        <v>47</v>
      </c>
      <c r="E46" s="328">
        <v>46141</v>
      </c>
      <c r="F46" s="328"/>
      <c r="G46" s="328"/>
      <c r="H46" s="328"/>
      <c r="J46" s="3">
        <f t="shared" si="11"/>
        <v>0</v>
      </c>
      <c r="K46" s="3"/>
      <c r="L46" s="325">
        <f t="shared" si="12"/>
        <v>0</v>
      </c>
      <c r="M46" s="325"/>
      <c r="N46">
        <f t="shared" si="13"/>
        <v>0</v>
      </c>
      <c r="P46" s="325">
        <f t="shared" ca="1" si="14"/>
        <v>0</v>
      </c>
      <c r="Q46" s="325">
        <v>2888.41</v>
      </c>
      <c r="R46" s="3">
        <v>96.75</v>
      </c>
      <c r="S46" s="3">
        <v>96.962999999999994</v>
      </c>
      <c r="T46" s="325">
        <f t="shared" si="15"/>
        <v>2794.5366749999998</v>
      </c>
      <c r="U46" s="325">
        <f t="shared" si="16"/>
        <v>2800.6889882999994</v>
      </c>
      <c r="V46" s="325">
        <f t="shared" si="17"/>
        <v>2800.6889882999994</v>
      </c>
      <c r="W46" s="325">
        <v>0</v>
      </c>
      <c r="X46" s="325">
        <v>5.59</v>
      </c>
      <c r="Y46" s="325">
        <v>0.56000000000000005</v>
      </c>
      <c r="Z46" s="325">
        <f t="shared" si="18"/>
        <v>6.15</v>
      </c>
      <c r="AA46" s="185"/>
      <c r="AB46" s="185" t="s">
        <v>22</v>
      </c>
      <c r="AC46" s="328">
        <v>46147</v>
      </c>
      <c r="AD46" s="185">
        <v>3668365</v>
      </c>
    </row>
    <row r="47" spans="2:30" x14ac:dyDescent="0.25">
      <c r="B47" s="328">
        <f t="shared" ca="1" si="10"/>
        <v>46306</v>
      </c>
      <c r="C47" s="328" t="s">
        <v>290</v>
      </c>
      <c r="D47" t="s">
        <v>47</v>
      </c>
      <c r="E47" s="328">
        <v>46141</v>
      </c>
      <c r="F47" s="328"/>
      <c r="G47" s="328"/>
      <c r="H47" s="328"/>
      <c r="J47" s="3">
        <f t="shared" si="11"/>
        <v>0</v>
      </c>
      <c r="K47" s="3"/>
      <c r="L47" s="325">
        <f t="shared" si="12"/>
        <v>0</v>
      </c>
      <c r="M47" s="325"/>
      <c r="N47">
        <f t="shared" si="13"/>
        <v>0</v>
      </c>
      <c r="P47" s="325">
        <f t="shared" ca="1" si="14"/>
        <v>0</v>
      </c>
      <c r="Q47" s="325">
        <v>1617.93</v>
      </c>
      <c r="R47" s="3">
        <v>97</v>
      </c>
      <c r="S47" s="3">
        <v>97.310100000000006</v>
      </c>
      <c r="T47" s="325">
        <f t="shared" si="15"/>
        <v>1569.3921</v>
      </c>
      <c r="U47" s="325">
        <f t="shared" si="16"/>
        <v>1574.40930093</v>
      </c>
      <c r="V47" s="325">
        <f t="shared" si="17"/>
        <v>1574.40930093</v>
      </c>
      <c r="W47" s="325">
        <v>0</v>
      </c>
      <c r="X47" s="325">
        <v>4.71</v>
      </c>
      <c r="Y47" s="325">
        <v>0.31020999999999999</v>
      </c>
      <c r="Z47" s="325">
        <f t="shared" si="18"/>
        <v>5.0202099999999996</v>
      </c>
      <c r="AA47" s="185"/>
      <c r="AB47" s="185" t="s">
        <v>22</v>
      </c>
      <c r="AC47" s="328">
        <v>46147</v>
      </c>
      <c r="AD47" s="185">
        <v>3668365</v>
      </c>
    </row>
    <row r="48" spans="2:30" x14ac:dyDescent="0.25">
      <c r="B48" s="328">
        <f t="shared" ca="1" si="10"/>
        <v>46306</v>
      </c>
      <c r="C48" s="328" t="s">
        <v>290</v>
      </c>
      <c r="D48" t="s">
        <v>47</v>
      </c>
      <c r="E48" s="328">
        <v>46141</v>
      </c>
      <c r="F48" s="328"/>
      <c r="G48" s="328"/>
      <c r="H48" s="328"/>
      <c r="J48" s="3">
        <f t="shared" si="11"/>
        <v>0</v>
      </c>
      <c r="K48" s="3"/>
      <c r="L48" s="325">
        <f t="shared" si="12"/>
        <v>0</v>
      </c>
      <c r="M48" s="325"/>
      <c r="N48">
        <f t="shared" si="13"/>
        <v>0</v>
      </c>
      <c r="P48" s="325">
        <f t="shared" ca="1" si="14"/>
        <v>0</v>
      </c>
      <c r="Q48" s="325">
        <v>705.56</v>
      </c>
      <c r="R48" s="3">
        <v>96.5</v>
      </c>
      <c r="S48" s="3">
        <v>96.906000000000006</v>
      </c>
      <c r="T48" s="325">
        <f t="shared" si="15"/>
        <v>680.86539999999991</v>
      </c>
      <c r="U48" s="325">
        <f t="shared" si="16"/>
        <v>683.72997359999999</v>
      </c>
      <c r="V48" s="325">
        <f t="shared" si="17"/>
        <v>683.72997359999999</v>
      </c>
      <c r="W48" s="325">
        <v>0</v>
      </c>
      <c r="X48" s="325">
        <v>2.72</v>
      </c>
      <c r="Y48" s="325">
        <v>0.14021</v>
      </c>
      <c r="Z48" s="325">
        <f t="shared" si="18"/>
        <v>2.8602100000000004</v>
      </c>
      <c r="AA48" s="185"/>
      <c r="AB48" s="185" t="s">
        <v>22</v>
      </c>
      <c r="AC48" s="328">
        <v>46147</v>
      </c>
      <c r="AD48" s="185">
        <v>3668365</v>
      </c>
    </row>
    <row r="49" spans="2:30" x14ac:dyDescent="0.25">
      <c r="B49" s="328">
        <f t="shared" ca="1" si="10"/>
        <v>46306</v>
      </c>
      <c r="C49" s="328" t="s">
        <v>290</v>
      </c>
      <c r="D49" t="s">
        <v>47</v>
      </c>
      <c r="E49" s="328">
        <v>46141</v>
      </c>
      <c r="F49" s="328"/>
      <c r="G49" s="328"/>
      <c r="H49" s="328"/>
      <c r="J49" s="3">
        <f t="shared" si="11"/>
        <v>0</v>
      </c>
      <c r="K49" s="3"/>
      <c r="L49" s="325">
        <f t="shared" si="12"/>
        <v>0</v>
      </c>
      <c r="M49" s="325"/>
      <c r="N49">
        <f t="shared" si="13"/>
        <v>0</v>
      </c>
      <c r="P49" s="325">
        <f t="shared" ca="1" si="14"/>
        <v>0</v>
      </c>
      <c r="Q49" s="325">
        <v>752.89</v>
      </c>
      <c r="R49" s="3">
        <v>96</v>
      </c>
      <c r="S49" s="3">
        <v>96.306200000000004</v>
      </c>
      <c r="T49" s="325">
        <f t="shared" si="15"/>
        <v>722.77440000000001</v>
      </c>
      <c r="U49" s="325">
        <f t="shared" si="16"/>
        <v>725.07974918000002</v>
      </c>
      <c r="V49" s="325">
        <f t="shared" si="17"/>
        <v>725.07974918000002</v>
      </c>
      <c r="W49" s="325">
        <v>0</v>
      </c>
      <c r="X49" s="325">
        <v>2.17</v>
      </c>
      <c r="Y49" s="325">
        <v>0.14021</v>
      </c>
      <c r="Z49" s="325">
        <f t="shared" si="18"/>
        <v>2.3102100000000001</v>
      </c>
      <c r="AA49" s="185"/>
      <c r="AB49" s="185" t="s">
        <v>22</v>
      </c>
      <c r="AC49" s="328">
        <v>46147</v>
      </c>
      <c r="AD49" s="185">
        <v>3668365</v>
      </c>
    </row>
    <row r="50" spans="2:30" x14ac:dyDescent="0.25">
      <c r="B50" s="328">
        <f t="shared" ca="1" si="10"/>
        <v>46306</v>
      </c>
      <c r="C50" s="328" t="s">
        <v>290</v>
      </c>
      <c r="D50" t="s">
        <v>47</v>
      </c>
      <c r="E50" s="328">
        <v>46141</v>
      </c>
      <c r="F50" s="328"/>
      <c r="G50" s="328"/>
      <c r="H50" s="328"/>
      <c r="J50" s="3">
        <f t="shared" si="11"/>
        <v>0</v>
      </c>
      <c r="K50" s="3"/>
      <c r="L50" s="325">
        <f t="shared" si="12"/>
        <v>0</v>
      </c>
      <c r="M50" s="325"/>
      <c r="N50">
        <f t="shared" si="13"/>
        <v>0</v>
      </c>
      <c r="P50" s="325">
        <f t="shared" ca="1" si="14"/>
        <v>0</v>
      </c>
      <c r="Q50" s="325">
        <v>1019.71</v>
      </c>
      <c r="R50" s="3">
        <v>97</v>
      </c>
      <c r="S50" s="3">
        <v>97.311000000000007</v>
      </c>
      <c r="T50" s="325">
        <f t="shared" si="15"/>
        <v>989.1187000000001</v>
      </c>
      <c r="U50" s="325">
        <f t="shared" si="16"/>
        <v>992.28999810000005</v>
      </c>
      <c r="V50" s="325">
        <f t="shared" si="17"/>
        <v>992.28999810000005</v>
      </c>
      <c r="W50" s="325">
        <v>0</v>
      </c>
      <c r="X50" s="325">
        <v>2.97</v>
      </c>
      <c r="Y50" s="325">
        <v>0.20021</v>
      </c>
      <c r="Z50" s="325">
        <f t="shared" si="18"/>
        <v>3.17021</v>
      </c>
      <c r="AA50" s="185"/>
      <c r="AB50" s="185" t="s">
        <v>22</v>
      </c>
      <c r="AC50" s="328">
        <v>46147</v>
      </c>
      <c r="AD50" s="185">
        <v>3668365</v>
      </c>
    </row>
    <row r="51" spans="2:30" x14ac:dyDescent="0.25">
      <c r="B51" s="328">
        <f t="shared" ca="1" si="10"/>
        <v>46306</v>
      </c>
      <c r="C51" s="328" t="s">
        <v>290</v>
      </c>
      <c r="D51" t="s">
        <v>47</v>
      </c>
      <c r="E51" s="328">
        <v>46141</v>
      </c>
      <c r="F51" s="328"/>
      <c r="G51" s="328"/>
      <c r="H51" s="328"/>
      <c r="J51" s="3">
        <f t="shared" si="11"/>
        <v>0</v>
      </c>
      <c r="K51" s="3"/>
      <c r="L51" s="325">
        <f t="shared" si="12"/>
        <v>0</v>
      </c>
      <c r="M51" s="325"/>
      <c r="N51">
        <f t="shared" si="13"/>
        <v>0</v>
      </c>
      <c r="P51" s="325">
        <f t="shared" ca="1" si="14"/>
        <v>0</v>
      </c>
      <c r="Q51" s="325">
        <v>1782.82</v>
      </c>
      <c r="R51" s="3">
        <v>97</v>
      </c>
      <c r="S51" s="3">
        <v>97.213999999999999</v>
      </c>
      <c r="T51" s="325">
        <f t="shared" si="15"/>
        <v>1729.3354000000002</v>
      </c>
      <c r="U51" s="325">
        <f t="shared" si="16"/>
        <v>1733.1506347999998</v>
      </c>
      <c r="V51" s="325">
        <f t="shared" si="17"/>
        <v>1733.1506347999998</v>
      </c>
      <c r="W51" s="325">
        <v>0</v>
      </c>
      <c r="X51" s="325">
        <v>3.46</v>
      </c>
      <c r="Y51" s="325">
        <v>0.35</v>
      </c>
      <c r="Z51" s="325">
        <f t="shared" si="18"/>
        <v>3.81</v>
      </c>
      <c r="AA51" s="185"/>
      <c r="AB51" s="185" t="s">
        <v>22</v>
      </c>
      <c r="AC51" s="328">
        <v>46147</v>
      </c>
      <c r="AD51" s="185">
        <v>3668365</v>
      </c>
    </row>
    <row r="52" spans="2:30" x14ac:dyDescent="0.25">
      <c r="B52" s="328">
        <f t="shared" ca="1" si="10"/>
        <v>46306</v>
      </c>
      <c r="C52" s="328" t="s">
        <v>290</v>
      </c>
      <c r="D52" t="s">
        <v>47</v>
      </c>
      <c r="E52" s="328">
        <v>46141</v>
      </c>
      <c r="F52" s="328"/>
      <c r="G52" s="328"/>
      <c r="H52" s="328"/>
      <c r="J52" s="3">
        <f t="shared" si="11"/>
        <v>0</v>
      </c>
      <c r="K52" s="3"/>
      <c r="L52" s="325">
        <f t="shared" si="12"/>
        <v>0</v>
      </c>
      <c r="M52" s="325"/>
      <c r="N52">
        <f t="shared" si="13"/>
        <v>0</v>
      </c>
      <c r="P52" s="325">
        <f t="shared" ca="1" si="14"/>
        <v>0</v>
      </c>
      <c r="Q52" s="325">
        <v>776.37</v>
      </c>
      <c r="R52" s="3">
        <v>96</v>
      </c>
      <c r="S52" s="3">
        <v>96.403800000000004</v>
      </c>
      <c r="T52" s="325">
        <f t="shared" si="15"/>
        <v>745.3152</v>
      </c>
      <c r="U52" s="325">
        <f t="shared" si="16"/>
        <v>748.45018206000009</v>
      </c>
      <c r="V52" s="325">
        <f t="shared" si="17"/>
        <v>748.45018206000009</v>
      </c>
      <c r="W52" s="325">
        <v>0</v>
      </c>
      <c r="X52" s="325">
        <v>2.98</v>
      </c>
      <c r="Y52" s="325">
        <v>0.15</v>
      </c>
      <c r="Z52" s="325">
        <f t="shared" si="18"/>
        <v>3.13</v>
      </c>
      <c r="AA52" s="185"/>
      <c r="AB52" s="185" t="s">
        <v>22</v>
      </c>
      <c r="AC52" s="328">
        <v>46147</v>
      </c>
      <c r="AD52" s="185">
        <v>3668365</v>
      </c>
    </row>
    <row r="53" spans="2:30" x14ac:dyDescent="0.25">
      <c r="B53" s="328">
        <f t="shared" ca="1" si="10"/>
        <v>46306</v>
      </c>
      <c r="C53" s="328" t="s">
        <v>290</v>
      </c>
      <c r="D53" t="s">
        <v>47</v>
      </c>
      <c r="E53" s="328">
        <v>46141</v>
      </c>
      <c r="F53" s="328"/>
      <c r="G53" s="328"/>
      <c r="H53" s="328"/>
      <c r="J53" s="3">
        <f t="shared" si="11"/>
        <v>0</v>
      </c>
      <c r="K53" s="3"/>
      <c r="L53" s="325">
        <f t="shared" si="12"/>
        <v>0</v>
      </c>
      <c r="M53" s="325"/>
      <c r="N53">
        <f t="shared" si="13"/>
        <v>0</v>
      </c>
      <c r="P53" s="325">
        <f t="shared" ca="1" si="14"/>
        <v>0</v>
      </c>
      <c r="Q53" s="325">
        <v>461.84</v>
      </c>
      <c r="R53" s="3">
        <v>95</v>
      </c>
      <c r="S53" s="3">
        <v>95.494100000000003</v>
      </c>
      <c r="T53" s="325">
        <f t="shared" si="15"/>
        <v>438.74799999999993</v>
      </c>
      <c r="U53" s="325">
        <f t="shared" si="16"/>
        <v>441.02995143999999</v>
      </c>
      <c r="V53" s="325">
        <f t="shared" si="17"/>
        <v>441.02995143999999</v>
      </c>
      <c r="W53" s="325">
        <v>0</v>
      </c>
      <c r="X53" s="325">
        <v>2.19</v>
      </c>
      <c r="Y53" s="325">
        <v>0.09</v>
      </c>
      <c r="Z53" s="325">
        <f t="shared" si="18"/>
        <v>2.2799999999999998</v>
      </c>
      <c r="AA53" s="185"/>
      <c r="AB53" s="185" t="s">
        <v>22</v>
      </c>
      <c r="AC53" s="328">
        <v>46147</v>
      </c>
      <c r="AD53" s="185">
        <v>3668365</v>
      </c>
    </row>
    <row r="54" spans="2:30" x14ac:dyDescent="0.25">
      <c r="B54" s="328">
        <f t="shared" ca="1" si="10"/>
        <v>46306</v>
      </c>
      <c r="C54" s="328" t="s">
        <v>290</v>
      </c>
      <c r="D54" t="s">
        <v>47</v>
      </c>
      <c r="E54" s="328">
        <v>46141</v>
      </c>
      <c r="F54" s="328"/>
      <c r="G54" s="328"/>
      <c r="H54" s="328"/>
      <c r="J54" s="3">
        <f t="shared" si="11"/>
        <v>0</v>
      </c>
      <c r="K54" s="3"/>
      <c r="L54" s="325">
        <f t="shared" si="12"/>
        <v>0</v>
      </c>
      <c r="M54" s="325"/>
      <c r="N54">
        <f t="shared" si="13"/>
        <v>0</v>
      </c>
      <c r="P54" s="325">
        <f t="shared" ca="1" si="14"/>
        <v>0</v>
      </c>
      <c r="Q54" s="325">
        <v>447.76</v>
      </c>
      <c r="R54" s="3">
        <v>95</v>
      </c>
      <c r="S54" s="3">
        <v>95.495400000000004</v>
      </c>
      <c r="T54" s="325">
        <f t="shared" si="15"/>
        <v>425.37199999999996</v>
      </c>
      <c r="U54" s="325">
        <f t="shared" si="16"/>
        <v>427.59020304000001</v>
      </c>
      <c r="V54" s="325">
        <f t="shared" si="17"/>
        <v>427.59020304000001</v>
      </c>
      <c r="W54" s="325">
        <v>0</v>
      </c>
      <c r="X54" s="325">
        <v>2.13</v>
      </c>
      <c r="Y54" s="325">
        <v>0.09</v>
      </c>
      <c r="Z54" s="325">
        <f t="shared" si="18"/>
        <v>2.2199999999999998</v>
      </c>
      <c r="AA54" s="185"/>
      <c r="AB54" s="185" t="s">
        <v>22</v>
      </c>
      <c r="AC54" s="328">
        <v>46147</v>
      </c>
      <c r="AD54" s="185">
        <v>3668365</v>
      </c>
    </row>
    <row r="55" spans="2:30" x14ac:dyDescent="0.25">
      <c r="B55" s="328">
        <f t="shared" ca="1" si="10"/>
        <v>46306</v>
      </c>
      <c r="C55" s="328" t="s">
        <v>290</v>
      </c>
      <c r="D55" t="s">
        <v>47</v>
      </c>
      <c r="E55" s="328">
        <v>46141</v>
      </c>
      <c r="F55" s="328"/>
      <c r="G55" s="328"/>
      <c r="H55" s="328"/>
      <c r="J55" s="3">
        <f t="shared" si="11"/>
        <v>0</v>
      </c>
      <c r="K55" s="3"/>
      <c r="L55" s="325">
        <f t="shared" si="12"/>
        <v>0</v>
      </c>
      <c r="M55" s="325"/>
      <c r="N55">
        <f t="shared" si="13"/>
        <v>0</v>
      </c>
      <c r="P55" s="325">
        <f t="shared" ca="1" si="14"/>
        <v>0</v>
      </c>
      <c r="Q55" s="325">
        <v>1844.93</v>
      </c>
      <c r="R55" s="3">
        <v>96</v>
      </c>
      <c r="S55" s="3">
        <v>96.402600000000007</v>
      </c>
      <c r="T55" s="325">
        <f t="shared" si="15"/>
        <v>1771.1328000000001</v>
      </c>
      <c r="U55" s="325">
        <f t="shared" si="16"/>
        <v>1778.56048818</v>
      </c>
      <c r="V55" s="325">
        <f t="shared" si="17"/>
        <v>1778.56048818</v>
      </c>
      <c r="W55" s="325">
        <v>0</v>
      </c>
      <c r="X55" s="325">
        <v>7.08</v>
      </c>
      <c r="Y55" s="325">
        <v>0.35</v>
      </c>
      <c r="Z55" s="325">
        <f t="shared" si="18"/>
        <v>7.43</v>
      </c>
      <c r="AA55" s="185"/>
      <c r="AB55" s="185" t="s">
        <v>22</v>
      </c>
      <c r="AC55" s="328">
        <v>46147</v>
      </c>
      <c r="AD55" s="185">
        <v>3668365</v>
      </c>
    </row>
    <row r="56" spans="2:30" x14ac:dyDescent="0.25">
      <c r="B56" s="328">
        <f t="shared" ca="1" si="10"/>
        <v>46306</v>
      </c>
      <c r="C56" s="328" t="s">
        <v>290</v>
      </c>
      <c r="D56" t="s">
        <v>47</v>
      </c>
      <c r="E56" s="328">
        <v>46141</v>
      </c>
      <c r="F56" s="328"/>
      <c r="G56" s="328"/>
      <c r="H56" s="328"/>
      <c r="J56" s="3">
        <f t="shared" si="11"/>
        <v>0</v>
      </c>
      <c r="K56" s="3"/>
      <c r="L56" s="325">
        <f t="shared" si="12"/>
        <v>0</v>
      </c>
      <c r="M56" s="325"/>
      <c r="N56">
        <f t="shared" si="13"/>
        <v>0</v>
      </c>
      <c r="P56" s="325">
        <f t="shared" ca="1" si="14"/>
        <v>0</v>
      </c>
      <c r="Q56" s="325">
        <v>453.71</v>
      </c>
      <c r="R56" s="3">
        <v>95</v>
      </c>
      <c r="S56" s="3">
        <v>95.378104960000002</v>
      </c>
      <c r="T56" s="325">
        <f t="shared" si="15"/>
        <v>431.02449999999999</v>
      </c>
      <c r="U56" s="325">
        <f t="shared" si="16"/>
        <v>432.74000001401595</v>
      </c>
      <c r="V56" s="325">
        <f t="shared" si="17"/>
        <v>432.74000001401595</v>
      </c>
      <c r="W56" s="325">
        <v>0</v>
      </c>
      <c r="X56" s="325">
        <v>1.72</v>
      </c>
      <c r="Y56" s="325">
        <v>0</v>
      </c>
      <c r="Z56" s="325">
        <f t="shared" si="18"/>
        <v>1.72</v>
      </c>
      <c r="AA56" s="185"/>
      <c r="AB56" s="185" t="s">
        <v>22</v>
      </c>
      <c r="AC56" s="328">
        <v>46147</v>
      </c>
      <c r="AD56" s="185">
        <v>3668365</v>
      </c>
    </row>
    <row r="57" spans="2:30" x14ac:dyDescent="0.25">
      <c r="B57" s="328">
        <f t="shared" ca="1" si="10"/>
        <v>46306</v>
      </c>
      <c r="C57" s="328" t="s">
        <v>290</v>
      </c>
      <c r="D57" t="s">
        <v>47</v>
      </c>
      <c r="E57" s="328">
        <v>46146</v>
      </c>
      <c r="F57" s="328"/>
      <c r="G57" s="328"/>
      <c r="H57" s="328"/>
      <c r="J57" s="3">
        <f t="shared" si="11"/>
        <v>0</v>
      </c>
      <c r="K57" s="3"/>
      <c r="L57" s="325">
        <f t="shared" si="12"/>
        <v>0</v>
      </c>
      <c r="M57" s="325"/>
      <c r="N57">
        <f t="shared" si="13"/>
        <v>0</v>
      </c>
      <c r="P57" s="325">
        <f t="shared" ca="1" si="14"/>
        <v>0</v>
      </c>
      <c r="Q57" s="325">
        <v>314.8</v>
      </c>
      <c r="R57" s="3">
        <v>95</v>
      </c>
      <c r="S57" s="3">
        <v>95.495599999999996</v>
      </c>
      <c r="T57" s="325">
        <f t="shared" si="15"/>
        <v>299.06</v>
      </c>
      <c r="U57" s="325">
        <f t="shared" si="16"/>
        <v>300.62014879999998</v>
      </c>
      <c r="V57" s="325">
        <f t="shared" si="17"/>
        <v>300.62014879999998</v>
      </c>
      <c r="W57" s="325">
        <v>0</v>
      </c>
      <c r="X57" s="325">
        <v>1.5</v>
      </c>
      <c r="Y57" s="325">
        <v>0.06</v>
      </c>
      <c r="Z57" s="325">
        <f t="shared" si="18"/>
        <v>1.56</v>
      </c>
      <c r="AA57" s="185">
        <v>366724</v>
      </c>
      <c r="AB57" s="185" t="s">
        <v>22</v>
      </c>
      <c r="AC57" s="328">
        <v>46147</v>
      </c>
      <c r="AD57" s="185">
        <v>3668365</v>
      </c>
    </row>
    <row r="58" spans="2:30" x14ac:dyDescent="0.25">
      <c r="B58" s="328">
        <f t="shared" ca="1" si="10"/>
        <v>46306</v>
      </c>
      <c r="C58" s="328" t="s">
        <v>290</v>
      </c>
      <c r="D58" t="s">
        <v>47</v>
      </c>
      <c r="E58" s="328">
        <v>46146</v>
      </c>
      <c r="F58" s="328"/>
      <c r="G58" s="328"/>
      <c r="H58" s="328"/>
      <c r="J58" s="3">
        <f t="shared" si="11"/>
        <v>0</v>
      </c>
      <c r="K58" s="3"/>
      <c r="L58" s="325">
        <f t="shared" si="12"/>
        <v>0</v>
      </c>
      <c r="M58" s="325"/>
      <c r="N58">
        <f t="shared" si="13"/>
        <v>0</v>
      </c>
      <c r="P58" s="325">
        <f t="shared" ca="1" si="14"/>
        <v>0</v>
      </c>
      <c r="Q58" s="325">
        <v>506.93</v>
      </c>
      <c r="R58" s="3">
        <v>95</v>
      </c>
      <c r="S58" s="3">
        <v>95.494399999999999</v>
      </c>
      <c r="T58" s="325">
        <f t="shared" si="15"/>
        <v>481.58349999999996</v>
      </c>
      <c r="U58" s="325">
        <f t="shared" si="16"/>
        <v>484.08976192</v>
      </c>
      <c r="V58" s="325">
        <f t="shared" si="17"/>
        <v>484.08976192</v>
      </c>
      <c r="W58" s="325">
        <v>0</v>
      </c>
      <c r="X58" s="325">
        <v>2.41</v>
      </c>
      <c r="Y58" s="325">
        <v>0.1</v>
      </c>
      <c r="Z58" s="325">
        <f t="shared" si="18"/>
        <v>2.5100000000000002</v>
      </c>
      <c r="AA58" s="185">
        <v>366736</v>
      </c>
      <c r="AB58" s="185" t="s">
        <v>22</v>
      </c>
      <c r="AC58" s="328">
        <v>46147</v>
      </c>
      <c r="AD58" s="185">
        <v>3668365</v>
      </c>
    </row>
    <row r="59" spans="2:30" x14ac:dyDescent="0.25">
      <c r="B59" s="328">
        <f t="shared" ca="1" si="10"/>
        <v>46306</v>
      </c>
      <c r="C59" s="328" t="s">
        <v>290</v>
      </c>
      <c r="D59" t="s">
        <v>47</v>
      </c>
      <c r="E59" s="328">
        <v>46146</v>
      </c>
      <c r="F59" s="328"/>
      <c r="G59" s="328"/>
      <c r="H59" s="328"/>
      <c r="J59" s="3">
        <f t="shared" si="11"/>
        <v>0</v>
      </c>
      <c r="K59" s="3"/>
      <c r="L59" s="325">
        <f t="shared" si="12"/>
        <v>0</v>
      </c>
      <c r="M59" s="325"/>
      <c r="N59">
        <f t="shared" si="13"/>
        <v>0</v>
      </c>
      <c r="P59" s="325">
        <f t="shared" ca="1" si="14"/>
        <v>0</v>
      </c>
      <c r="Q59" s="325">
        <v>434.71</v>
      </c>
      <c r="R59" s="3">
        <v>95</v>
      </c>
      <c r="S59" s="3">
        <v>95.491200000000006</v>
      </c>
      <c r="T59" s="325">
        <f t="shared" si="15"/>
        <v>412.97449999999998</v>
      </c>
      <c r="U59" s="325">
        <f t="shared" si="16"/>
        <v>415.10979552000003</v>
      </c>
      <c r="V59" s="325">
        <f t="shared" si="17"/>
        <v>415.10979552000003</v>
      </c>
      <c r="W59" s="325">
        <v>0</v>
      </c>
      <c r="X59" s="325">
        <v>2.06</v>
      </c>
      <c r="Y59" s="325">
        <v>0.08</v>
      </c>
      <c r="Z59" s="325">
        <f t="shared" si="18"/>
        <v>2.14</v>
      </c>
      <c r="AA59" s="185">
        <v>366737</v>
      </c>
      <c r="AB59" s="185" t="s">
        <v>22</v>
      </c>
      <c r="AC59" s="328">
        <v>46147</v>
      </c>
      <c r="AD59" s="185">
        <v>3668365</v>
      </c>
    </row>
    <row r="60" spans="2:30" x14ac:dyDescent="0.25">
      <c r="B60" s="328">
        <f t="shared" ca="1" si="10"/>
        <v>46306</v>
      </c>
      <c r="C60" s="328" t="s">
        <v>290</v>
      </c>
      <c r="D60" t="s">
        <v>47</v>
      </c>
      <c r="E60" s="328">
        <v>46146</v>
      </c>
      <c r="F60" s="328"/>
      <c r="G60" s="328"/>
      <c r="H60" s="328"/>
      <c r="J60" s="3">
        <f t="shared" si="11"/>
        <v>0</v>
      </c>
      <c r="K60" s="3"/>
      <c r="L60" s="325">
        <f t="shared" si="12"/>
        <v>0</v>
      </c>
      <c r="M60" s="325"/>
      <c r="N60">
        <f t="shared" si="13"/>
        <v>0</v>
      </c>
      <c r="P60" s="325">
        <f t="shared" ca="1" si="14"/>
        <v>0</v>
      </c>
      <c r="Q60" s="325">
        <v>243.08</v>
      </c>
      <c r="R60" s="3">
        <v>94</v>
      </c>
      <c r="S60" s="3">
        <v>94.491500000000002</v>
      </c>
      <c r="T60" s="325">
        <f t="shared" si="15"/>
        <v>228.49520000000001</v>
      </c>
      <c r="U60" s="325">
        <f t="shared" si="16"/>
        <v>229.68993820000003</v>
      </c>
      <c r="V60" s="325">
        <f t="shared" si="17"/>
        <v>229.68993820000003</v>
      </c>
      <c r="W60" s="325">
        <v>0</v>
      </c>
      <c r="X60" s="325">
        <v>1.1399999999999999</v>
      </c>
      <c r="Y60" s="325">
        <v>0.05</v>
      </c>
      <c r="Z60" s="325">
        <f t="shared" si="18"/>
        <v>1.19</v>
      </c>
      <c r="AA60" s="185">
        <v>366758</v>
      </c>
      <c r="AB60" s="185" t="s">
        <v>22</v>
      </c>
      <c r="AC60" s="328">
        <v>46147</v>
      </c>
      <c r="AD60" s="185">
        <v>3668365</v>
      </c>
    </row>
    <row r="61" spans="2:30" x14ac:dyDescent="0.25">
      <c r="B61" s="328">
        <f t="shared" ca="1" si="10"/>
        <v>46306</v>
      </c>
      <c r="C61" s="328" t="s">
        <v>290</v>
      </c>
      <c r="D61" t="s">
        <v>48</v>
      </c>
      <c r="E61" s="328">
        <v>46148</v>
      </c>
      <c r="F61" s="328"/>
      <c r="G61" s="328"/>
      <c r="H61" s="328"/>
      <c r="J61" s="3">
        <f t="shared" si="11"/>
        <v>0</v>
      </c>
      <c r="K61" s="3"/>
      <c r="L61" s="325">
        <f t="shared" si="12"/>
        <v>0</v>
      </c>
      <c r="M61" s="325"/>
      <c r="N61">
        <f t="shared" si="13"/>
        <v>0</v>
      </c>
      <c r="P61" s="325">
        <f t="shared" ca="1" si="14"/>
        <v>0</v>
      </c>
      <c r="Q61" s="325">
        <v>337.49</v>
      </c>
      <c r="R61" s="3">
        <v>95</v>
      </c>
      <c r="S61" s="3">
        <v>95.303600000000003</v>
      </c>
      <c r="T61" s="325">
        <f t="shared" si="15"/>
        <v>320.6155</v>
      </c>
      <c r="U61" s="325">
        <f t="shared" si="16"/>
        <v>321.64011964000002</v>
      </c>
      <c r="V61" s="325">
        <f t="shared" si="17"/>
        <v>321.64011964000002</v>
      </c>
      <c r="W61" s="325">
        <v>0</v>
      </c>
      <c r="X61" s="325">
        <v>0.96</v>
      </c>
      <c r="Y61" s="325">
        <v>6.0000000000000053E-2</v>
      </c>
      <c r="Z61" s="325">
        <f t="shared" si="18"/>
        <v>1.02</v>
      </c>
      <c r="AA61" s="185">
        <v>366968</v>
      </c>
      <c r="AB61" s="185" t="s">
        <v>22</v>
      </c>
      <c r="AC61" s="328">
        <v>46161</v>
      </c>
      <c r="AD61" s="185">
        <v>3676471</v>
      </c>
    </row>
    <row r="62" spans="2:30" x14ac:dyDescent="0.25">
      <c r="B62" s="328">
        <f t="shared" ca="1" si="10"/>
        <v>46306</v>
      </c>
      <c r="C62" s="328" t="s">
        <v>290</v>
      </c>
      <c r="D62" t="s">
        <v>48</v>
      </c>
      <c r="E62" s="328">
        <v>46148</v>
      </c>
      <c r="F62" s="328"/>
      <c r="G62" s="328"/>
      <c r="H62" s="328"/>
      <c r="J62" s="3">
        <f t="shared" si="11"/>
        <v>0</v>
      </c>
      <c r="K62" s="3"/>
      <c r="L62" s="325">
        <f t="shared" si="12"/>
        <v>0</v>
      </c>
      <c r="M62" s="325"/>
      <c r="N62">
        <f t="shared" si="13"/>
        <v>0</v>
      </c>
      <c r="P62" s="325">
        <f t="shared" ca="1" si="14"/>
        <v>0</v>
      </c>
      <c r="Q62" s="325">
        <v>338.21</v>
      </c>
      <c r="R62" s="3">
        <v>97</v>
      </c>
      <c r="S62" s="3">
        <v>97.288666800000001</v>
      </c>
      <c r="T62" s="325">
        <f t="shared" si="15"/>
        <v>328.06369999999993</v>
      </c>
      <c r="U62" s="325">
        <f t="shared" si="16"/>
        <v>329.03999998428003</v>
      </c>
      <c r="V62" s="325">
        <f t="shared" si="17"/>
        <v>329.03999998428003</v>
      </c>
      <c r="W62" s="325">
        <v>0</v>
      </c>
      <c r="X62" s="325">
        <v>0.98</v>
      </c>
      <c r="Y62" s="325">
        <v>0</v>
      </c>
      <c r="Z62" s="325">
        <f t="shared" si="18"/>
        <v>0.98</v>
      </c>
      <c r="AA62" s="370" t="s">
        <v>319</v>
      </c>
      <c r="AB62" s="185" t="s">
        <v>22</v>
      </c>
      <c r="AC62" s="328">
        <v>46161</v>
      </c>
      <c r="AD62" s="185">
        <v>3676471</v>
      </c>
    </row>
    <row r="63" spans="2:30" x14ac:dyDescent="0.25">
      <c r="B63" s="328">
        <f t="shared" ca="1" si="10"/>
        <v>46306</v>
      </c>
      <c r="C63" s="328" t="s">
        <v>290</v>
      </c>
      <c r="D63" t="s">
        <v>48</v>
      </c>
      <c r="E63" s="328">
        <v>46148</v>
      </c>
      <c r="F63" s="328"/>
      <c r="G63" s="328"/>
      <c r="H63" s="328"/>
      <c r="J63" s="3">
        <f t="shared" si="11"/>
        <v>0</v>
      </c>
      <c r="K63" s="3"/>
      <c r="L63" s="325">
        <f t="shared" si="12"/>
        <v>0</v>
      </c>
      <c r="M63" s="325"/>
      <c r="N63">
        <f t="shared" si="13"/>
        <v>0</v>
      </c>
      <c r="P63" s="325">
        <f t="shared" ca="1" si="14"/>
        <v>0</v>
      </c>
      <c r="Q63" s="325">
        <v>1160.6500000000001</v>
      </c>
      <c r="R63" s="3">
        <v>97</v>
      </c>
      <c r="S63" s="3">
        <v>97.311000000000007</v>
      </c>
      <c r="T63" s="325">
        <f t="shared" si="15"/>
        <v>1125.8305</v>
      </c>
      <c r="U63" s="325">
        <f t="shared" si="16"/>
        <v>1129.4401215000003</v>
      </c>
      <c r="V63" s="325">
        <f t="shared" si="17"/>
        <v>1129.4401215000003</v>
      </c>
      <c r="W63" s="325">
        <v>0</v>
      </c>
      <c r="X63" s="325">
        <v>3.38</v>
      </c>
      <c r="Y63" s="325">
        <v>0.23</v>
      </c>
      <c r="Z63" s="325">
        <f t="shared" si="18"/>
        <v>3.61</v>
      </c>
      <c r="AA63" s="185">
        <v>366964</v>
      </c>
      <c r="AB63" s="185" t="s">
        <v>22</v>
      </c>
      <c r="AC63" s="328">
        <v>46161</v>
      </c>
      <c r="AD63" s="185">
        <v>3676471</v>
      </c>
    </row>
    <row r="64" spans="2:30" x14ac:dyDescent="0.25">
      <c r="B64" s="328">
        <f t="shared" ca="1" si="10"/>
        <v>46306</v>
      </c>
      <c r="C64" s="328" t="s">
        <v>290</v>
      </c>
      <c r="D64" t="s">
        <v>48</v>
      </c>
      <c r="E64" s="328">
        <v>46148</v>
      </c>
      <c r="F64" s="328"/>
      <c r="G64" s="328"/>
      <c r="H64" s="328"/>
      <c r="J64" s="3">
        <f t="shared" si="11"/>
        <v>0</v>
      </c>
      <c r="K64" s="3"/>
      <c r="L64" s="325">
        <f t="shared" si="12"/>
        <v>0</v>
      </c>
      <c r="M64" s="325"/>
      <c r="N64">
        <f t="shared" si="13"/>
        <v>0</v>
      </c>
      <c r="P64" s="325">
        <f t="shared" ca="1" si="14"/>
        <v>0</v>
      </c>
      <c r="Q64" s="325">
        <v>711.43</v>
      </c>
      <c r="R64" s="3">
        <v>96.5</v>
      </c>
      <c r="S64" s="3">
        <v>96.809200000000004</v>
      </c>
      <c r="T64" s="325">
        <f t="shared" si="15"/>
        <v>686.52994999999999</v>
      </c>
      <c r="U64" s="325">
        <f t="shared" si="16"/>
        <v>688.72969155999988</v>
      </c>
      <c r="V64" s="325">
        <f t="shared" si="17"/>
        <v>688.72969155999988</v>
      </c>
      <c r="W64" s="325">
        <v>0</v>
      </c>
      <c r="X64" s="325">
        <v>2.06</v>
      </c>
      <c r="Y64" s="325">
        <v>0.1400000000000001</v>
      </c>
      <c r="Z64" s="325">
        <f t="shared" si="18"/>
        <v>2.2000000000000002</v>
      </c>
      <c r="AA64" s="185">
        <v>366966</v>
      </c>
      <c r="AB64" s="185" t="s">
        <v>22</v>
      </c>
      <c r="AC64" s="328">
        <v>46161</v>
      </c>
      <c r="AD64" s="185">
        <v>3676471</v>
      </c>
    </row>
    <row r="65" spans="2:30" x14ac:dyDescent="0.25">
      <c r="B65" s="328">
        <f t="shared" ca="1" si="10"/>
        <v>46306</v>
      </c>
      <c r="C65" s="328" t="s">
        <v>290</v>
      </c>
      <c r="D65" t="s">
        <v>48</v>
      </c>
      <c r="E65" s="328">
        <v>46148</v>
      </c>
      <c r="F65" s="328"/>
      <c r="G65" s="328"/>
      <c r="H65" s="328"/>
      <c r="J65" s="3">
        <f t="shared" si="11"/>
        <v>0</v>
      </c>
      <c r="K65" s="3"/>
      <c r="L65" s="325">
        <f t="shared" si="12"/>
        <v>0</v>
      </c>
      <c r="M65" s="325"/>
      <c r="N65">
        <f t="shared" si="13"/>
        <v>0</v>
      </c>
      <c r="P65" s="325">
        <f t="shared" ca="1" si="14"/>
        <v>0</v>
      </c>
      <c r="Q65" s="325">
        <v>650.79999999999995</v>
      </c>
      <c r="R65" s="3">
        <v>96.5</v>
      </c>
      <c r="S65" s="3">
        <v>96.808499999999995</v>
      </c>
      <c r="T65" s="325">
        <f t="shared" si="15"/>
        <v>628.02199999999993</v>
      </c>
      <c r="U65" s="325">
        <f t="shared" si="16"/>
        <v>630.02971799999989</v>
      </c>
      <c r="V65" s="325">
        <f t="shared" si="17"/>
        <v>630.02971799999989</v>
      </c>
      <c r="W65" s="325">
        <v>0</v>
      </c>
      <c r="X65" s="325">
        <v>1.88</v>
      </c>
      <c r="Y65" s="325">
        <v>0.12999999999999989</v>
      </c>
      <c r="Z65" s="325">
        <f t="shared" si="18"/>
        <v>2.0099999999999998</v>
      </c>
      <c r="AA65" s="185">
        <v>366967</v>
      </c>
      <c r="AB65" s="185" t="s">
        <v>22</v>
      </c>
      <c r="AC65" s="328">
        <v>46161</v>
      </c>
      <c r="AD65" s="185">
        <v>3676471</v>
      </c>
    </row>
    <row r="66" spans="2:30" x14ac:dyDescent="0.25">
      <c r="B66" s="328">
        <f t="shared" ca="1" si="10"/>
        <v>46306</v>
      </c>
      <c r="C66" s="328" t="s">
        <v>290</v>
      </c>
      <c r="D66" t="s">
        <v>48</v>
      </c>
      <c r="E66" s="328">
        <v>46148</v>
      </c>
      <c r="F66" s="328"/>
      <c r="G66" s="328"/>
      <c r="H66" s="328"/>
      <c r="J66" s="3">
        <f t="shared" si="11"/>
        <v>0</v>
      </c>
      <c r="K66" s="3"/>
      <c r="L66" s="325">
        <f t="shared" si="12"/>
        <v>0</v>
      </c>
      <c r="M66" s="325"/>
      <c r="N66">
        <f t="shared" si="13"/>
        <v>0</v>
      </c>
      <c r="P66" s="325">
        <f t="shared" ca="1" si="14"/>
        <v>0</v>
      </c>
      <c r="Q66" s="325">
        <v>324.58</v>
      </c>
      <c r="R66" s="3">
        <v>94</v>
      </c>
      <c r="S66" s="3">
        <v>94.491299999999995</v>
      </c>
      <c r="T66" s="325">
        <f t="shared" si="15"/>
        <v>305.10519999999997</v>
      </c>
      <c r="U66" s="325">
        <f t="shared" si="16"/>
        <v>306.69986153999997</v>
      </c>
      <c r="V66" s="325">
        <f t="shared" si="17"/>
        <v>306.69986153999997</v>
      </c>
      <c r="W66" s="325">
        <v>0</v>
      </c>
      <c r="X66" s="325">
        <v>1.53</v>
      </c>
      <c r="Y66" s="325">
        <v>6.0000000000000053E-2</v>
      </c>
      <c r="Z66" s="325">
        <f t="shared" si="18"/>
        <v>1.59</v>
      </c>
      <c r="AA66" s="185">
        <v>366928</v>
      </c>
      <c r="AB66" s="185" t="s">
        <v>22</v>
      </c>
      <c r="AC66" s="328">
        <v>46161</v>
      </c>
      <c r="AD66" s="185">
        <v>3676471</v>
      </c>
    </row>
    <row r="67" spans="2:30" x14ac:dyDescent="0.25">
      <c r="B67" s="328">
        <f t="shared" ref="B67:B98" ca="1" si="19">TODAY()</f>
        <v>46306</v>
      </c>
      <c r="C67" s="328" t="s">
        <v>290</v>
      </c>
      <c r="D67" t="s">
        <v>48</v>
      </c>
      <c r="E67" s="328">
        <v>46148</v>
      </c>
      <c r="F67" s="328"/>
      <c r="G67" s="328"/>
      <c r="H67" s="328"/>
      <c r="J67" s="3">
        <f t="shared" ref="J67:J98" si="20">L67*12/U67*100</f>
        <v>0</v>
      </c>
      <c r="K67" s="3"/>
      <c r="L67" s="325">
        <f t="shared" ref="L67:L98" si="21">Q67*I67/100/12</f>
        <v>0</v>
      </c>
      <c r="M67" s="325"/>
      <c r="N67">
        <f t="shared" ref="N67:N98" si="22">IF(F67="", 0, IF(B67&gt;F67,INT((B67-F67)/30),0))</f>
        <v>0</v>
      </c>
      <c r="P67" s="325">
        <f t="shared" ref="P67:P98" ca="1" si="23">L67*N67+M67+IF(B67&gt;H67,O67,0)</f>
        <v>0</v>
      </c>
      <c r="Q67" s="325">
        <v>243.96</v>
      </c>
      <c r="R67" s="3">
        <v>94</v>
      </c>
      <c r="S67" s="3">
        <v>94.490899999999996</v>
      </c>
      <c r="T67" s="325">
        <f t="shared" ref="T67:T98" si="24">Q67*R67/100</f>
        <v>229.32240000000002</v>
      </c>
      <c r="U67" s="325">
        <f t="shared" ref="U67:U79" si="25">Q67*S67/100</f>
        <v>230.51999963999998</v>
      </c>
      <c r="V67" s="325">
        <f t="shared" ref="V67:V98" si="26">U67+W67</f>
        <v>230.51999963999998</v>
      </c>
      <c r="W67" s="325">
        <v>0</v>
      </c>
      <c r="X67" s="325">
        <v>1.1499999999999999</v>
      </c>
      <c r="Y67" s="325">
        <v>5.0000000000000037E-2</v>
      </c>
      <c r="Z67" s="325">
        <f t="shared" ref="Z67:Z98" si="27">X67+Y67</f>
        <v>1.2</v>
      </c>
      <c r="AA67" s="185">
        <v>366934</v>
      </c>
      <c r="AB67" s="185" t="s">
        <v>22</v>
      </c>
      <c r="AC67" s="328">
        <v>46161</v>
      </c>
      <c r="AD67" s="185">
        <v>3676471</v>
      </c>
    </row>
    <row r="68" spans="2:30" x14ac:dyDescent="0.25">
      <c r="B68" s="328">
        <f t="shared" ca="1" si="19"/>
        <v>46306</v>
      </c>
      <c r="C68" s="328" t="s">
        <v>290</v>
      </c>
      <c r="D68" t="s">
        <v>48</v>
      </c>
      <c r="E68" s="328">
        <v>46148</v>
      </c>
      <c r="F68" s="328"/>
      <c r="G68" s="328"/>
      <c r="H68" s="328"/>
      <c r="J68" s="3">
        <f t="shared" si="20"/>
        <v>0</v>
      </c>
      <c r="K68" s="3"/>
      <c r="L68" s="325">
        <f t="shared" si="21"/>
        <v>0</v>
      </c>
      <c r="M68" s="325"/>
      <c r="N68">
        <f t="shared" si="22"/>
        <v>0</v>
      </c>
      <c r="P68" s="325">
        <f t="shared" ca="1" si="23"/>
        <v>0</v>
      </c>
      <c r="Q68" s="325">
        <v>1766.94</v>
      </c>
      <c r="R68" s="3">
        <v>97.25</v>
      </c>
      <c r="S68" s="3">
        <v>97.561300000000003</v>
      </c>
      <c r="T68" s="325">
        <f t="shared" si="24"/>
        <v>1718.34915</v>
      </c>
      <c r="U68" s="325">
        <f t="shared" si="25"/>
        <v>1723.8496342200001</v>
      </c>
      <c r="V68" s="325">
        <f t="shared" si="26"/>
        <v>1723.8496342200001</v>
      </c>
      <c r="W68" s="325">
        <v>0</v>
      </c>
      <c r="X68" s="325">
        <v>5.16</v>
      </c>
      <c r="Y68" s="325">
        <v>0.33999999999999991</v>
      </c>
      <c r="Z68" s="325">
        <f t="shared" si="27"/>
        <v>5.5</v>
      </c>
      <c r="AA68" s="185">
        <v>366943</v>
      </c>
      <c r="AB68" s="185" t="s">
        <v>22</v>
      </c>
      <c r="AC68" s="328">
        <v>46161</v>
      </c>
      <c r="AD68" s="185">
        <v>3676471</v>
      </c>
    </row>
    <row r="69" spans="2:30" x14ac:dyDescent="0.25">
      <c r="B69" s="328">
        <f t="shared" ca="1" si="19"/>
        <v>46306</v>
      </c>
      <c r="C69" s="328" t="s">
        <v>290</v>
      </c>
      <c r="D69" t="s">
        <v>48</v>
      </c>
      <c r="E69" s="328">
        <v>46148</v>
      </c>
      <c r="F69" s="328"/>
      <c r="G69" s="328"/>
      <c r="H69" s="328"/>
      <c r="J69" s="3">
        <f t="shared" si="20"/>
        <v>0</v>
      </c>
      <c r="K69" s="3"/>
      <c r="L69" s="325">
        <f t="shared" si="21"/>
        <v>0</v>
      </c>
      <c r="M69" s="325"/>
      <c r="N69">
        <f t="shared" si="22"/>
        <v>0</v>
      </c>
      <c r="P69" s="325">
        <f t="shared" ca="1" si="23"/>
        <v>0</v>
      </c>
      <c r="Q69" s="325">
        <v>211.13</v>
      </c>
      <c r="R69" s="3">
        <v>94</v>
      </c>
      <c r="S69" s="3">
        <v>94.302099999999996</v>
      </c>
      <c r="T69" s="325">
        <f t="shared" si="24"/>
        <v>198.46220000000002</v>
      </c>
      <c r="U69" s="325">
        <f t="shared" si="25"/>
        <v>199.10002373</v>
      </c>
      <c r="V69" s="325">
        <f t="shared" si="26"/>
        <v>199.10002373</v>
      </c>
      <c r="W69" s="325">
        <v>0</v>
      </c>
      <c r="X69" s="325">
        <v>0.6</v>
      </c>
      <c r="Y69" s="325">
        <v>4.0000000000000042E-2</v>
      </c>
      <c r="Z69" s="325">
        <f t="shared" si="27"/>
        <v>0.64</v>
      </c>
      <c r="AA69" s="185">
        <v>366945</v>
      </c>
      <c r="AB69" s="185" t="s">
        <v>22</v>
      </c>
      <c r="AC69" s="328">
        <v>46161</v>
      </c>
      <c r="AD69" s="185">
        <v>3676471</v>
      </c>
    </row>
    <row r="70" spans="2:30" x14ac:dyDescent="0.25">
      <c r="B70" s="328">
        <f t="shared" ca="1" si="19"/>
        <v>46306</v>
      </c>
      <c r="C70" s="328" t="s">
        <v>290</v>
      </c>
      <c r="D70" t="s">
        <v>48</v>
      </c>
      <c r="E70" s="328">
        <v>46148</v>
      </c>
      <c r="F70" s="328"/>
      <c r="G70" s="328"/>
      <c r="H70" s="328"/>
      <c r="J70" s="3">
        <f t="shared" si="20"/>
        <v>0</v>
      </c>
      <c r="K70" s="3"/>
      <c r="L70" s="325">
        <f t="shared" si="21"/>
        <v>0</v>
      </c>
      <c r="M70" s="325"/>
      <c r="N70">
        <f t="shared" si="22"/>
        <v>0</v>
      </c>
      <c r="P70" s="325">
        <f t="shared" ca="1" si="23"/>
        <v>0</v>
      </c>
      <c r="Q70" s="325">
        <v>625.76</v>
      </c>
      <c r="R70" s="3">
        <v>95.5</v>
      </c>
      <c r="S70" s="3">
        <v>95.805099999999996</v>
      </c>
      <c r="T70" s="325">
        <f t="shared" si="24"/>
        <v>597.60080000000005</v>
      </c>
      <c r="U70" s="325">
        <f t="shared" si="25"/>
        <v>599.50999376000004</v>
      </c>
      <c r="V70" s="325">
        <f t="shared" si="26"/>
        <v>599.50999376000004</v>
      </c>
      <c r="W70" s="325">
        <v>0</v>
      </c>
      <c r="X70" s="325">
        <v>1.79</v>
      </c>
      <c r="Y70" s="325">
        <v>0.1199999999999999</v>
      </c>
      <c r="Z70" s="325">
        <f t="shared" si="27"/>
        <v>1.91</v>
      </c>
      <c r="AA70" s="185">
        <v>366949</v>
      </c>
      <c r="AB70" s="185" t="s">
        <v>22</v>
      </c>
      <c r="AC70" s="328">
        <v>46161</v>
      </c>
      <c r="AD70" s="185">
        <v>3676471</v>
      </c>
    </row>
    <row r="71" spans="2:30" x14ac:dyDescent="0.25">
      <c r="B71" s="328">
        <f t="shared" ca="1" si="19"/>
        <v>46306</v>
      </c>
      <c r="C71" s="328" t="s">
        <v>290</v>
      </c>
      <c r="D71" t="s">
        <v>48</v>
      </c>
      <c r="E71" s="328">
        <v>46148</v>
      </c>
      <c r="F71" s="328"/>
      <c r="G71" s="328"/>
      <c r="H71" s="328"/>
      <c r="J71" s="3">
        <f t="shared" si="20"/>
        <v>0</v>
      </c>
      <c r="K71" s="3"/>
      <c r="L71" s="325">
        <f t="shared" si="21"/>
        <v>0</v>
      </c>
      <c r="M71" s="325"/>
      <c r="N71">
        <f t="shared" si="22"/>
        <v>0</v>
      </c>
      <c r="P71" s="325">
        <f t="shared" ca="1" si="23"/>
        <v>0</v>
      </c>
      <c r="Q71" s="325">
        <v>701.38</v>
      </c>
      <c r="R71" s="3">
        <v>96.5</v>
      </c>
      <c r="S71" s="3">
        <v>96.809100000000001</v>
      </c>
      <c r="T71" s="325">
        <f t="shared" si="24"/>
        <v>676.83169999999996</v>
      </c>
      <c r="U71" s="325">
        <f t="shared" si="25"/>
        <v>678.99966558000006</v>
      </c>
      <c r="V71" s="325">
        <f t="shared" si="26"/>
        <v>678.99966558000006</v>
      </c>
      <c r="W71" s="325">
        <v>0</v>
      </c>
      <c r="X71" s="325">
        <v>2.0299999999999998</v>
      </c>
      <c r="Y71" s="325">
        <v>0.1400000000000001</v>
      </c>
      <c r="Z71" s="325">
        <f t="shared" si="27"/>
        <v>2.17</v>
      </c>
      <c r="AA71" s="185">
        <v>366956</v>
      </c>
      <c r="AB71" s="185" t="s">
        <v>22</v>
      </c>
      <c r="AC71" s="328">
        <v>46161</v>
      </c>
      <c r="AD71" s="185">
        <v>3676471</v>
      </c>
    </row>
    <row r="72" spans="2:30" x14ac:dyDescent="0.25">
      <c r="B72" s="328">
        <f t="shared" ca="1" si="19"/>
        <v>46306</v>
      </c>
      <c r="C72" s="328" t="s">
        <v>290</v>
      </c>
      <c r="D72" t="s">
        <v>48</v>
      </c>
      <c r="E72" s="328">
        <v>46148</v>
      </c>
      <c r="F72" s="328"/>
      <c r="G72" s="328"/>
      <c r="H72" s="328"/>
      <c r="J72" s="3">
        <f t="shared" si="20"/>
        <v>0</v>
      </c>
      <c r="K72" s="3"/>
      <c r="L72" s="325">
        <f t="shared" si="21"/>
        <v>0</v>
      </c>
      <c r="M72" s="325"/>
      <c r="N72">
        <f t="shared" si="22"/>
        <v>0</v>
      </c>
      <c r="P72" s="325">
        <f t="shared" ca="1" si="23"/>
        <v>0</v>
      </c>
      <c r="Q72" s="325">
        <v>730.01</v>
      </c>
      <c r="R72" s="3">
        <v>96.5</v>
      </c>
      <c r="S72" s="3">
        <v>96.808300000000003</v>
      </c>
      <c r="T72" s="325">
        <f t="shared" si="24"/>
        <v>704.45965000000001</v>
      </c>
      <c r="U72" s="325">
        <f t="shared" si="25"/>
        <v>706.71027083000013</v>
      </c>
      <c r="V72" s="325">
        <f t="shared" si="26"/>
        <v>706.71027083000013</v>
      </c>
      <c r="W72" s="325">
        <v>0</v>
      </c>
      <c r="X72" s="325">
        <v>2.11</v>
      </c>
      <c r="Y72" s="325">
        <v>0.1400000000000001</v>
      </c>
      <c r="Z72" s="325">
        <f t="shared" si="27"/>
        <v>2.25</v>
      </c>
      <c r="AA72" s="185">
        <v>366958</v>
      </c>
      <c r="AB72" s="185" t="s">
        <v>22</v>
      </c>
      <c r="AC72" s="328">
        <v>46161</v>
      </c>
      <c r="AD72" s="185">
        <v>3676471</v>
      </c>
    </row>
    <row r="73" spans="2:30" x14ac:dyDescent="0.25">
      <c r="B73" s="328">
        <f t="shared" ca="1" si="19"/>
        <v>46306</v>
      </c>
      <c r="C73" s="328" t="s">
        <v>290</v>
      </c>
      <c r="D73" t="s">
        <v>48</v>
      </c>
      <c r="E73" s="328">
        <v>46148</v>
      </c>
      <c r="F73" s="328"/>
      <c r="G73" s="328"/>
      <c r="H73" s="328"/>
      <c r="J73" s="3">
        <f t="shared" si="20"/>
        <v>0</v>
      </c>
      <c r="K73" s="3"/>
      <c r="L73" s="325">
        <f t="shared" si="21"/>
        <v>0</v>
      </c>
      <c r="M73" s="325"/>
      <c r="N73">
        <f t="shared" si="22"/>
        <v>0</v>
      </c>
      <c r="P73" s="325">
        <f t="shared" ca="1" si="23"/>
        <v>0</v>
      </c>
      <c r="Q73" s="325">
        <v>281.74</v>
      </c>
      <c r="R73" s="3">
        <v>94</v>
      </c>
      <c r="S73" s="3">
        <v>94.299700000000001</v>
      </c>
      <c r="T73" s="325">
        <f t="shared" si="24"/>
        <v>264.8356</v>
      </c>
      <c r="U73" s="325">
        <f t="shared" si="25"/>
        <v>265.67997478000001</v>
      </c>
      <c r="V73" s="325">
        <f t="shared" si="26"/>
        <v>265.67997478000001</v>
      </c>
      <c r="W73" s="325">
        <v>0</v>
      </c>
      <c r="X73" s="325">
        <v>0.79</v>
      </c>
      <c r="Y73" s="325">
        <v>4.9999999999999933E-2</v>
      </c>
      <c r="Z73" s="325">
        <f t="shared" si="27"/>
        <v>0.84</v>
      </c>
      <c r="AA73" s="185">
        <v>366963</v>
      </c>
      <c r="AB73" s="185" t="s">
        <v>22</v>
      </c>
      <c r="AC73" s="328">
        <v>46161</v>
      </c>
      <c r="AD73" s="185">
        <v>3676471</v>
      </c>
    </row>
    <row r="74" spans="2:30" x14ac:dyDescent="0.25">
      <c r="B74" s="328">
        <f t="shared" ca="1" si="19"/>
        <v>46306</v>
      </c>
      <c r="C74" s="328" t="s">
        <v>290</v>
      </c>
      <c r="D74" t="s">
        <v>48</v>
      </c>
      <c r="E74" s="328">
        <v>46149</v>
      </c>
      <c r="F74" s="328"/>
      <c r="G74" s="328"/>
      <c r="H74" s="328"/>
      <c r="J74" s="3">
        <f t="shared" si="20"/>
        <v>0</v>
      </c>
      <c r="K74" s="3"/>
      <c r="L74" s="325">
        <f t="shared" si="21"/>
        <v>0</v>
      </c>
      <c r="M74" s="325"/>
      <c r="N74">
        <f t="shared" si="22"/>
        <v>0</v>
      </c>
      <c r="P74" s="325">
        <f t="shared" ca="1" si="23"/>
        <v>0</v>
      </c>
      <c r="Q74" s="325">
        <v>135.38999999999999</v>
      </c>
      <c r="R74" s="3">
        <v>94</v>
      </c>
      <c r="S74" s="3">
        <v>94.497399999999999</v>
      </c>
      <c r="T74" s="325">
        <f t="shared" si="24"/>
        <v>127.26659999999998</v>
      </c>
      <c r="U74" s="325">
        <f t="shared" si="25"/>
        <v>127.94002985999998</v>
      </c>
      <c r="V74" s="325">
        <f t="shared" si="26"/>
        <v>127.94002985999998</v>
      </c>
      <c r="W74" s="325">
        <v>0</v>
      </c>
      <c r="X74" s="325">
        <v>0.64</v>
      </c>
      <c r="Y74" s="325">
        <v>3.000000000000003E-2</v>
      </c>
      <c r="Z74" s="325">
        <f t="shared" si="27"/>
        <v>0.67</v>
      </c>
      <c r="AA74" s="185">
        <v>367024</v>
      </c>
      <c r="AB74" s="185" t="s">
        <v>22</v>
      </c>
      <c r="AC74" s="328">
        <v>46161</v>
      </c>
      <c r="AD74" s="185">
        <v>3676471</v>
      </c>
    </row>
    <row r="75" spans="2:30" x14ac:dyDescent="0.25">
      <c r="B75" s="328">
        <f t="shared" ca="1" si="19"/>
        <v>46306</v>
      </c>
      <c r="C75" s="328" t="s">
        <v>290</v>
      </c>
      <c r="D75" t="s">
        <v>48</v>
      </c>
      <c r="E75" s="328">
        <v>46149</v>
      </c>
      <c r="F75" s="328"/>
      <c r="G75" s="328"/>
      <c r="H75" s="328"/>
      <c r="J75" s="3">
        <f t="shared" si="20"/>
        <v>0</v>
      </c>
      <c r="K75" s="3"/>
      <c r="L75" s="325">
        <f t="shared" si="21"/>
        <v>0</v>
      </c>
      <c r="M75" s="325"/>
      <c r="N75">
        <f t="shared" si="22"/>
        <v>0</v>
      </c>
      <c r="P75" s="325">
        <f t="shared" ca="1" si="23"/>
        <v>0</v>
      </c>
      <c r="Q75" s="325">
        <v>844.9</v>
      </c>
      <c r="R75" s="3">
        <v>96.5</v>
      </c>
      <c r="S75" s="3">
        <v>96.809100000000001</v>
      </c>
      <c r="T75" s="325">
        <f t="shared" si="24"/>
        <v>815.32849999999996</v>
      </c>
      <c r="U75" s="325">
        <f t="shared" si="25"/>
        <v>817.94008589999999</v>
      </c>
      <c r="V75" s="325">
        <f t="shared" si="26"/>
        <v>817.94008589999999</v>
      </c>
      <c r="W75" s="325">
        <v>0</v>
      </c>
      <c r="X75" s="325">
        <v>2.4500000000000002</v>
      </c>
      <c r="Y75" s="325">
        <v>0.1599999999999997</v>
      </c>
      <c r="Z75" s="325">
        <f t="shared" si="27"/>
        <v>2.61</v>
      </c>
      <c r="AA75" s="185">
        <v>367036</v>
      </c>
      <c r="AB75" s="185" t="s">
        <v>22</v>
      </c>
      <c r="AC75" s="328">
        <v>46161</v>
      </c>
      <c r="AD75" s="185">
        <v>3676471</v>
      </c>
    </row>
    <row r="76" spans="2:30" x14ac:dyDescent="0.25">
      <c r="B76" s="328">
        <f t="shared" ca="1" si="19"/>
        <v>46306</v>
      </c>
      <c r="C76" s="328" t="s">
        <v>290</v>
      </c>
      <c r="D76" t="s">
        <v>48</v>
      </c>
      <c r="E76" s="328">
        <v>46149</v>
      </c>
      <c r="F76" s="328"/>
      <c r="G76" s="328"/>
      <c r="H76" s="328"/>
      <c r="J76" s="3">
        <f t="shared" si="20"/>
        <v>0</v>
      </c>
      <c r="K76" s="3"/>
      <c r="L76" s="325">
        <f t="shared" si="21"/>
        <v>0</v>
      </c>
      <c r="M76" s="325"/>
      <c r="N76">
        <f t="shared" si="22"/>
        <v>0</v>
      </c>
      <c r="P76" s="325">
        <f t="shared" ca="1" si="23"/>
        <v>0</v>
      </c>
      <c r="Q76" s="325">
        <v>714.13</v>
      </c>
      <c r="R76" s="3">
        <v>96.5</v>
      </c>
      <c r="S76" s="3">
        <v>96.810100000000006</v>
      </c>
      <c r="T76" s="325">
        <f t="shared" si="24"/>
        <v>689.13544999999999</v>
      </c>
      <c r="U76" s="325">
        <f t="shared" si="25"/>
        <v>691.34996712999998</v>
      </c>
      <c r="V76" s="325">
        <f t="shared" si="26"/>
        <v>691.34996712999998</v>
      </c>
      <c r="W76" s="325">
        <v>0</v>
      </c>
      <c r="X76" s="325">
        <v>2.0699999999999998</v>
      </c>
      <c r="Y76" s="325">
        <v>0.1400000000000001</v>
      </c>
      <c r="Z76" s="325">
        <f t="shared" si="27"/>
        <v>2.21</v>
      </c>
      <c r="AA76" s="185">
        <v>367037</v>
      </c>
      <c r="AB76" s="185" t="s">
        <v>22</v>
      </c>
      <c r="AC76" s="328">
        <v>46161</v>
      </c>
      <c r="AD76" s="185">
        <v>3676471</v>
      </c>
    </row>
    <row r="77" spans="2:30" x14ac:dyDescent="0.25">
      <c r="B77" s="328">
        <f t="shared" ca="1" si="19"/>
        <v>46306</v>
      </c>
      <c r="C77" s="328" t="s">
        <v>290</v>
      </c>
      <c r="D77" t="s">
        <v>48</v>
      </c>
      <c r="E77" s="328">
        <v>46149</v>
      </c>
      <c r="F77" s="328"/>
      <c r="G77" s="328"/>
      <c r="H77" s="328"/>
      <c r="J77" s="3">
        <f t="shared" si="20"/>
        <v>0</v>
      </c>
      <c r="K77" s="3"/>
      <c r="L77" s="325">
        <f t="shared" si="21"/>
        <v>0</v>
      </c>
      <c r="M77" s="325"/>
      <c r="N77">
        <f t="shared" si="22"/>
        <v>0</v>
      </c>
      <c r="P77" s="325">
        <f t="shared" ca="1" si="23"/>
        <v>0</v>
      </c>
      <c r="Q77" s="325">
        <v>509.73</v>
      </c>
      <c r="R77" s="3">
        <v>96</v>
      </c>
      <c r="S77" s="3">
        <v>96.3078</v>
      </c>
      <c r="T77" s="325">
        <f t="shared" si="24"/>
        <v>489.3408</v>
      </c>
      <c r="U77" s="325">
        <f t="shared" si="25"/>
        <v>490.90974893999999</v>
      </c>
      <c r="V77" s="325">
        <f t="shared" si="26"/>
        <v>490.90974893999999</v>
      </c>
      <c r="W77" s="325">
        <v>0</v>
      </c>
      <c r="X77" s="325">
        <v>1.47</v>
      </c>
      <c r="Y77" s="325">
        <v>0.1000000000000001</v>
      </c>
      <c r="Z77" s="325">
        <f t="shared" si="27"/>
        <v>1.57</v>
      </c>
      <c r="AA77" s="185">
        <v>367048</v>
      </c>
      <c r="AB77" s="185" t="s">
        <v>22</v>
      </c>
      <c r="AC77" s="328">
        <v>46161</v>
      </c>
      <c r="AD77" s="185">
        <v>3676471</v>
      </c>
    </row>
    <row r="78" spans="2:30" x14ac:dyDescent="0.25">
      <c r="B78" s="328">
        <f t="shared" ca="1" si="19"/>
        <v>46306</v>
      </c>
      <c r="C78" s="328" t="s">
        <v>290</v>
      </c>
      <c r="D78" t="s">
        <v>48</v>
      </c>
      <c r="E78" s="328">
        <v>46150</v>
      </c>
      <c r="F78" s="328"/>
      <c r="G78" s="328"/>
      <c r="H78" s="328"/>
      <c r="J78" s="3">
        <f t="shared" si="20"/>
        <v>0</v>
      </c>
      <c r="K78" s="3"/>
      <c r="L78" s="325">
        <f t="shared" si="21"/>
        <v>0</v>
      </c>
      <c r="M78" s="325"/>
      <c r="N78">
        <f t="shared" si="22"/>
        <v>0</v>
      </c>
      <c r="P78" s="325">
        <f t="shared" ca="1" si="23"/>
        <v>0</v>
      </c>
      <c r="Q78" s="325">
        <v>297.52</v>
      </c>
      <c r="R78" s="3">
        <v>94</v>
      </c>
      <c r="S78" s="3">
        <v>94.302899999999994</v>
      </c>
      <c r="T78" s="325">
        <f t="shared" si="24"/>
        <v>279.66879999999998</v>
      </c>
      <c r="U78" s="325">
        <f t="shared" si="25"/>
        <v>280.56998807999997</v>
      </c>
      <c r="V78" s="325">
        <f t="shared" si="26"/>
        <v>280.56998807999997</v>
      </c>
      <c r="W78" s="325">
        <v>0</v>
      </c>
      <c r="X78" s="325">
        <v>0.84</v>
      </c>
      <c r="Y78" s="325">
        <v>6.0000000000000053E-2</v>
      </c>
      <c r="Z78" s="325">
        <f t="shared" si="27"/>
        <v>0.9</v>
      </c>
      <c r="AA78" s="185">
        <v>367112</v>
      </c>
      <c r="AB78" s="185" t="s">
        <v>22</v>
      </c>
      <c r="AC78" s="328">
        <v>46161</v>
      </c>
      <c r="AD78" s="185">
        <v>3676471</v>
      </c>
    </row>
    <row r="79" spans="2:30" x14ac:dyDescent="0.25">
      <c r="B79" s="328">
        <f t="shared" ca="1" si="19"/>
        <v>46306</v>
      </c>
      <c r="C79" s="328" t="s">
        <v>290</v>
      </c>
      <c r="D79" t="s">
        <v>48</v>
      </c>
      <c r="E79" s="328">
        <v>46150</v>
      </c>
      <c r="F79" s="328"/>
      <c r="G79" s="328"/>
      <c r="H79" s="328"/>
      <c r="J79" s="3">
        <f t="shared" si="20"/>
        <v>0</v>
      </c>
      <c r="K79" s="3"/>
      <c r="L79" s="325">
        <f t="shared" si="21"/>
        <v>0</v>
      </c>
      <c r="M79" s="325"/>
      <c r="N79">
        <f t="shared" si="22"/>
        <v>0</v>
      </c>
      <c r="P79" s="325">
        <f t="shared" ca="1" si="23"/>
        <v>0</v>
      </c>
      <c r="Q79" s="325">
        <v>303.72000000000003</v>
      </c>
      <c r="R79" s="3">
        <v>94</v>
      </c>
      <c r="S79" s="3">
        <v>94.304000000000002</v>
      </c>
      <c r="T79" s="325">
        <f t="shared" si="24"/>
        <v>285.49680000000006</v>
      </c>
      <c r="U79" s="325">
        <f t="shared" si="25"/>
        <v>286.42010880000004</v>
      </c>
      <c r="V79" s="325">
        <f t="shared" si="26"/>
        <v>286.42010880000004</v>
      </c>
      <c r="W79" s="325">
        <v>0</v>
      </c>
      <c r="X79" s="325">
        <v>0.86</v>
      </c>
      <c r="Y79" s="325">
        <v>6.0000000000000053E-2</v>
      </c>
      <c r="Z79" s="325">
        <f t="shared" si="27"/>
        <v>0.92</v>
      </c>
      <c r="AA79" s="185">
        <v>367068</v>
      </c>
      <c r="AB79" s="185" t="s">
        <v>22</v>
      </c>
      <c r="AC79" s="328">
        <v>46161</v>
      </c>
      <c r="AD79" s="185">
        <v>3676471</v>
      </c>
    </row>
    <row r="80" spans="2:30" x14ac:dyDescent="0.25">
      <c r="B80" s="328">
        <f t="shared" ca="1" si="19"/>
        <v>46306</v>
      </c>
      <c r="C80" s="328" t="s">
        <v>290</v>
      </c>
      <c r="D80" t="s">
        <v>48</v>
      </c>
      <c r="E80" s="328">
        <v>46153</v>
      </c>
      <c r="F80" s="328"/>
      <c r="G80" s="328"/>
      <c r="H80" s="328"/>
      <c r="J80" s="3">
        <f t="shared" si="20"/>
        <v>0</v>
      </c>
      <c r="K80" s="3"/>
      <c r="L80" s="325">
        <f t="shared" si="21"/>
        <v>0</v>
      </c>
      <c r="M80" s="325"/>
      <c r="N80">
        <f t="shared" si="22"/>
        <v>0</v>
      </c>
      <c r="P80" s="325">
        <f t="shared" ca="1" si="23"/>
        <v>0</v>
      </c>
      <c r="Q80" s="325">
        <v>1314.08</v>
      </c>
      <c r="R80" s="3">
        <v>97.3</v>
      </c>
      <c r="S80" s="3">
        <v>97.319800000000001</v>
      </c>
      <c r="T80" s="325">
        <f t="shared" si="24"/>
        <v>1278.5998399999999</v>
      </c>
      <c r="U80" s="325">
        <f>Q80*S80/100+X80</f>
        <v>1282.7000278399998</v>
      </c>
      <c r="V80" s="325">
        <f t="shared" si="26"/>
        <v>1282.7000278399998</v>
      </c>
      <c r="W80" s="325">
        <v>0</v>
      </c>
      <c r="X80" s="325">
        <v>3.84</v>
      </c>
      <c r="Y80" s="325">
        <v>0.26</v>
      </c>
      <c r="Z80" s="325">
        <f t="shared" si="27"/>
        <v>4.0999999999999996</v>
      </c>
      <c r="AA80" s="185">
        <v>367167</v>
      </c>
      <c r="AB80" s="185" t="s">
        <v>22</v>
      </c>
      <c r="AC80" s="328">
        <v>46161</v>
      </c>
      <c r="AD80" s="185">
        <v>3676471</v>
      </c>
    </row>
    <row r="81" spans="2:30" x14ac:dyDescent="0.25">
      <c r="B81" s="328">
        <f t="shared" ca="1" si="19"/>
        <v>46306</v>
      </c>
      <c r="C81" s="328" t="s">
        <v>290</v>
      </c>
      <c r="D81" t="s">
        <v>48</v>
      </c>
      <c r="E81" s="328">
        <v>46154</v>
      </c>
      <c r="F81" s="328"/>
      <c r="G81" s="328"/>
      <c r="H81" s="328"/>
      <c r="J81" s="3">
        <f t="shared" si="20"/>
        <v>0</v>
      </c>
      <c r="K81" s="3"/>
      <c r="L81" s="325">
        <f t="shared" si="21"/>
        <v>0</v>
      </c>
      <c r="M81" s="325"/>
      <c r="N81">
        <f t="shared" si="22"/>
        <v>0</v>
      </c>
      <c r="P81" s="325">
        <f t="shared" ca="1" si="23"/>
        <v>0</v>
      </c>
      <c r="Q81" s="325">
        <v>5405.34</v>
      </c>
      <c r="R81" s="3">
        <v>97</v>
      </c>
      <c r="S81" s="3">
        <v>97.310400000000001</v>
      </c>
      <c r="T81" s="325">
        <f t="shared" si="24"/>
        <v>5243.1797999999999</v>
      </c>
      <c r="U81" s="325">
        <f t="shared" ref="U81:U125" si="28">Q81*S81/100</f>
        <v>5259.9579753600001</v>
      </c>
      <c r="V81" s="325">
        <f t="shared" si="26"/>
        <v>5259.9579753600001</v>
      </c>
      <c r="W81" s="325">
        <v>0</v>
      </c>
      <c r="X81" s="325">
        <v>15.73</v>
      </c>
      <c r="Y81" s="325">
        <v>1.05</v>
      </c>
      <c r="Z81" s="325">
        <f t="shared" si="27"/>
        <v>16.78</v>
      </c>
      <c r="AA81" s="185">
        <v>367240</v>
      </c>
      <c r="AB81" s="185" t="s">
        <v>22</v>
      </c>
      <c r="AC81" s="328">
        <v>46161</v>
      </c>
      <c r="AD81" s="185">
        <v>3676471</v>
      </c>
    </row>
    <row r="82" spans="2:30" x14ac:dyDescent="0.25">
      <c r="B82" s="328">
        <f t="shared" ca="1" si="19"/>
        <v>46306</v>
      </c>
      <c r="C82" s="328" t="s">
        <v>290</v>
      </c>
      <c r="D82" t="s">
        <v>48</v>
      </c>
      <c r="E82" s="328">
        <v>46155</v>
      </c>
      <c r="F82" s="328"/>
      <c r="G82" s="328"/>
      <c r="H82" s="328"/>
      <c r="J82" s="3">
        <f t="shared" si="20"/>
        <v>0</v>
      </c>
      <c r="K82" s="3"/>
      <c r="L82" s="325">
        <f t="shared" si="21"/>
        <v>0</v>
      </c>
      <c r="M82" s="325"/>
      <c r="N82">
        <f t="shared" si="22"/>
        <v>0</v>
      </c>
      <c r="P82" s="325">
        <f t="shared" ca="1" si="23"/>
        <v>0</v>
      </c>
      <c r="Q82" s="325">
        <v>1791.53</v>
      </c>
      <c r="R82" s="3">
        <v>97.1</v>
      </c>
      <c r="S82" s="3">
        <v>97.411199999999994</v>
      </c>
      <c r="T82" s="325">
        <f t="shared" si="24"/>
        <v>1739.57563</v>
      </c>
      <c r="U82" s="325">
        <f t="shared" si="28"/>
        <v>1745.1508713599999</v>
      </c>
      <c r="V82" s="325">
        <f t="shared" si="26"/>
        <v>1745.1508713599999</v>
      </c>
      <c r="W82" s="325">
        <v>0</v>
      </c>
      <c r="X82" s="325">
        <v>5.22</v>
      </c>
      <c r="Y82" s="325">
        <v>0.35000000000000048</v>
      </c>
      <c r="Z82" s="325">
        <f t="shared" si="27"/>
        <v>5.57</v>
      </c>
      <c r="AA82" s="185">
        <v>367302</v>
      </c>
      <c r="AB82" s="185" t="s">
        <v>22</v>
      </c>
      <c r="AC82" s="328">
        <v>46161</v>
      </c>
      <c r="AD82" s="185">
        <v>3676471</v>
      </c>
    </row>
    <row r="83" spans="2:30" x14ac:dyDescent="0.25">
      <c r="B83" s="328">
        <f t="shared" ca="1" si="19"/>
        <v>46306</v>
      </c>
      <c r="C83" s="328" t="s">
        <v>290</v>
      </c>
      <c r="D83" t="s">
        <v>48</v>
      </c>
      <c r="E83" s="328">
        <v>46155</v>
      </c>
      <c r="F83" s="328"/>
      <c r="G83" s="328"/>
      <c r="H83" s="328"/>
      <c r="J83" s="3">
        <f t="shared" si="20"/>
        <v>0</v>
      </c>
      <c r="K83" s="3"/>
      <c r="L83" s="325">
        <f t="shared" si="21"/>
        <v>0</v>
      </c>
      <c r="M83" s="325"/>
      <c r="N83">
        <f t="shared" si="22"/>
        <v>0</v>
      </c>
      <c r="P83" s="325">
        <f t="shared" ca="1" si="23"/>
        <v>0</v>
      </c>
      <c r="Q83" s="325">
        <v>925.34</v>
      </c>
      <c r="R83" s="3">
        <v>97</v>
      </c>
      <c r="S83" s="3">
        <v>97.310199999999995</v>
      </c>
      <c r="T83" s="325">
        <f t="shared" si="24"/>
        <v>897.57979999999998</v>
      </c>
      <c r="U83" s="325">
        <f t="shared" si="28"/>
        <v>900.45020468000007</v>
      </c>
      <c r="V83" s="325">
        <f t="shared" si="26"/>
        <v>900.45020468000007</v>
      </c>
      <c r="W83" s="325">
        <v>0</v>
      </c>
      <c r="X83" s="325">
        <v>2.69</v>
      </c>
      <c r="Y83" s="325">
        <v>0.18000000000000019</v>
      </c>
      <c r="Z83" s="325">
        <f t="shared" si="27"/>
        <v>2.87</v>
      </c>
      <c r="AA83" s="185">
        <v>367309</v>
      </c>
      <c r="AB83" s="185" t="s">
        <v>22</v>
      </c>
      <c r="AC83" s="328">
        <v>46161</v>
      </c>
      <c r="AD83" s="185">
        <v>3676471</v>
      </c>
    </row>
    <row r="84" spans="2:30" x14ac:dyDescent="0.25">
      <c r="B84" s="328">
        <f t="shared" ca="1" si="19"/>
        <v>46306</v>
      </c>
      <c r="C84" s="328" t="s">
        <v>290</v>
      </c>
      <c r="D84" t="s">
        <v>48</v>
      </c>
      <c r="E84" s="328">
        <v>46155</v>
      </c>
      <c r="F84" s="328"/>
      <c r="G84" s="328"/>
      <c r="H84" s="328"/>
      <c r="J84" s="3">
        <f t="shared" si="20"/>
        <v>0</v>
      </c>
      <c r="K84" s="3"/>
      <c r="L84" s="325">
        <f t="shared" si="21"/>
        <v>0</v>
      </c>
      <c r="M84" s="325"/>
      <c r="N84">
        <f t="shared" si="22"/>
        <v>0</v>
      </c>
      <c r="P84" s="325">
        <f t="shared" ca="1" si="23"/>
        <v>0</v>
      </c>
      <c r="Q84" s="325">
        <v>814.22</v>
      </c>
      <c r="R84" s="3">
        <v>97</v>
      </c>
      <c r="S84" s="3">
        <v>97.310299999999998</v>
      </c>
      <c r="T84" s="325">
        <f t="shared" si="24"/>
        <v>789.79340000000002</v>
      </c>
      <c r="U84" s="325">
        <f t="shared" si="28"/>
        <v>792.31992465999997</v>
      </c>
      <c r="V84" s="325">
        <f t="shared" si="26"/>
        <v>792.31992465999997</v>
      </c>
      <c r="W84" s="325">
        <v>0</v>
      </c>
      <c r="X84" s="325">
        <v>2.37</v>
      </c>
      <c r="Y84" s="325">
        <v>0.1599999999999997</v>
      </c>
      <c r="Z84" s="325">
        <f t="shared" si="27"/>
        <v>2.5299999999999998</v>
      </c>
      <c r="AA84" s="185">
        <v>367339</v>
      </c>
      <c r="AB84" s="185" t="s">
        <v>22</v>
      </c>
      <c r="AC84" s="328">
        <v>46161</v>
      </c>
      <c r="AD84" s="185">
        <v>3676471</v>
      </c>
    </row>
    <row r="85" spans="2:30" x14ac:dyDescent="0.25">
      <c r="B85" s="328">
        <f t="shared" ca="1" si="19"/>
        <v>46306</v>
      </c>
      <c r="C85" s="328" t="s">
        <v>290</v>
      </c>
      <c r="D85" t="s">
        <v>48</v>
      </c>
      <c r="E85" s="328">
        <v>46156</v>
      </c>
      <c r="F85" s="328"/>
      <c r="G85" s="328"/>
      <c r="H85" s="328"/>
      <c r="J85" s="3">
        <f t="shared" si="20"/>
        <v>0</v>
      </c>
      <c r="K85" s="3"/>
      <c r="L85" s="325">
        <f t="shared" si="21"/>
        <v>0</v>
      </c>
      <c r="M85" s="325"/>
      <c r="N85">
        <f t="shared" si="22"/>
        <v>0</v>
      </c>
      <c r="P85" s="325">
        <f t="shared" ca="1" si="23"/>
        <v>0</v>
      </c>
      <c r="Q85" s="325">
        <v>423.07</v>
      </c>
      <c r="R85" s="3">
        <v>96</v>
      </c>
      <c r="S85" s="3">
        <v>96.307900000000004</v>
      </c>
      <c r="T85" s="325">
        <f t="shared" si="24"/>
        <v>406.1472</v>
      </c>
      <c r="U85" s="325">
        <f t="shared" si="28"/>
        <v>407.44983252999998</v>
      </c>
      <c r="V85" s="325">
        <f t="shared" si="26"/>
        <v>407.44983252999998</v>
      </c>
      <c r="W85" s="325">
        <v>0</v>
      </c>
      <c r="X85" s="325">
        <v>1.22</v>
      </c>
      <c r="Y85" s="325">
        <v>8.0000000000000071E-2</v>
      </c>
      <c r="Z85" s="325">
        <f t="shared" si="27"/>
        <v>1.3</v>
      </c>
      <c r="AA85" s="185">
        <v>367352</v>
      </c>
      <c r="AB85" s="185" t="s">
        <v>22</v>
      </c>
      <c r="AC85" s="328">
        <v>46161</v>
      </c>
      <c r="AD85" s="185">
        <v>3676471</v>
      </c>
    </row>
    <row r="86" spans="2:30" x14ac:dyDescent="0.25">
      <c r="B86" s="328">
        <f t="shared" ca="1" si="19"/>
        <v>46306</v>
      </c>
      <c r="C86" s="328" t="s">
        <v>290</v>
      </c>
      <c r="D86" t="s">
        <v>48</v>
      </c>
      <c r="E86" s="328">
        <v>46156</v>
      </c>
      <c r="F86" s="328"/>
      <c r="G86" s="328"/>
      <c r="H86" s="328"/>
      <c r="J86" s="3">
        <f t="shared" si="20"/>
        <v>0</v>
      </c>
      <c r="K86" s="3"/>
      <c r="L86" s="325">
        <f t="shared" si="21"/>
        <v>0</v>
      </c>
      <c r="M86" s="325"/>
      <c r="N86">
        <f t="shared" si="22"/>
        <v>0</v>
      </c>
      <c r="P86" s="325">
        <f t="shared" ca="1" si="23"/>
        <v>0</v>
      </c>
      <c r="Q86" s="325">
        <v>622.20000000000005</v>
      </c>
      <c r="R86" s="3">
        <v>96</v>
      </c>
      <c r="S86" s="3">
        <v>96.306700000000006</v>
      </c>
      <c r="T86" s="325">
        <f t="shared" si="24"/>
        <v>597.31200000000001</v>
      </c>
      <c r="U86" s="325">
        <f t="shared" si="28"/>
        <v>599.22028740000007</v>
      </c>
      <c r="V86" s="325">
        <f t="shared" si="26"/>
        <v>599.22028740000007</v>
      </c>
      <c r="W86" s="325">
        <v>0</v>
      </c>
      <c r="X86" s="325">
        <v>1.79</v>
      </c>
      <c r="Y86" s="325">
        <v>0.1199999999999999</v>
      </c>
      <c r="Z86" s="325">
        <f t="shared" si="27"/>
        <v>1.91</v>
      </c>
      <c r="AA86" s="185">
        <v>367357</v>
      </c>
      <c r="AB86" s="185" t="s">
        <v>22</v>
      </c>
      <c r="AC86" s="328">
        <v>46161</v>
      </c>
      <c r="AD86" s="185">
        <v>3676471</v>
      </c>
    </row>
    <row r="87" spans="2:30" x14ac:dyDescent="0.25">
      <c r="B87" s="328">
        <f t="shared" ca="1" si="19"/>
        <v>46306</v>
      </c>
      <c r="C87" s="328" t="s">
        <v>290</v>
      </c>
      <c r="D87" t="s">
        <v>48</v>
      </c>
      <c r="E87" s="328">
        <v>46156</v>
      </c>
      <c r="F87" s="328"/>
      <c r="G87" s="328"/>
      <c r="H87" s="328"/>
      <c r="J87" s="3">
        <f t="shared" si="20"/>
        <v>0</v>
      </c>
      <c r="K87" s="3"/>
      <c r="L87" s="325">
        <f t="shared" si="21"/>
        <v>0</v>
      </c>
      <c r="M87" s="325"/>
      <c r="N87">
        <f t="shared" si="22"/>
        <v>0</v>
      </c>
      <c r="P87" s="325">
        <f t="shared" ca="1" si="23"/>
        <v>0</v>
      </c>
      <c r="Q87" s="325">
        <v>984.61</v>
      </c>
      <c r="R87" s="3">
        <v>97</v>
      </c>
      <c r="S87" s="3">
        <v>97.310599999999994</v>
      </c>
      <c r="T87" s="325">
        <f t="shared" si="24"/>
        <v>955.07169999999996</v>
      </c>
      <c r="U87" s="325">
        <f t="shared" si="28"/>
        <v>958.12989865999987</v>
      </c>
      <c r="V87" s="325">
        <f t="shared" si="26"/>
        <v>958.12989865999987</v>
      </c>
      <c r="W87" s="325">
        <v>0</v>
      </c>
      <c r="X87" s="325">
        <v>2.87</v>
      </c>
      <c r="Y87" s="325">
        <v>0.18999999999999989</v>
      </c>
      <c r="Z87" s="325">
        <f t="shared" si="27"/>
        <v>3.06</v>
      </c>
      <c r="AA87" s="185">
        <v>367362</v>
      </c>
      <c r="AB87" s="185" t="s">
        <v>22</v>
      </c>
      <c r="AC87" s="328">
        <v>46161</v>
      </c>
      <c r="AD87" s="185">
        <v>3676471</v>
      </c>
    </row>
    <row r="88" spans="2:30" x14ac:dyDescent="0.25">
      <c r="B88" s="328">
        <f t="shared" ca="1" si="19"/>
        <v>46306</v>
      </c>
      <c r="C88" s="328" t="s">
        <v>290</v>
      </c>
      <c r="D88" t="s">
        <v>48</v>
      </c>
      <c r="E88" s="328">
        <v>46156</v>
      </c>
      <c r="F88" s="328"/>
      <c r="G88" s="328"/>
      <c r="H88" s="328"/>
      <c r="J88" s="3">
        <f t="shared" si="20"/>
        <v>0</v>
      </c>
      <c r="K88" s="3"/>
      <c r="L88" s="325">
        <f t="shared" si="21"/>
        <v>0</v>
      </c>
      <c r="M88" s="325"/>
      <c r="N88">
        <f t="shared" si="22"/>
        <v>0</v>
      </c>
      <c r="P88" s="325">
        <f t="shared" ca="1" si="23"/>
        <v>0</v>
      </c>
      <c r="Q88" s="325">
        <v>1085.0999999999999</v>
      </c>
      <c r="R88" s="3">
        <v>97</v>
      </c>
      <c r="S88" s="3">
        <v>97.3108</v>
      </c>
      <c r="T88" s="325">
        <f t="shared" si="24"/>
        <v>1052.547</v>
      </c>
      <c r="U88" s="325">
        <f t="shared" si="28"/>
        <v>1055.9194907999999</v>
      </c>
      <c r="V88" s="325">
        <f t="shared" si="26"/>
        <v>1055.9194907999999</v>
      </c>
      <c r="W88" s="325">
        <v>0</v>
      </c>
      <c r="X88" s="325">
        <v>3.16</v>
      </c>
      <c r="Y88" s="325">
        <v>0.21</v>
      </c>
      <c r="Z88" s="325">
        <f t="shared" si="27"/>
        <v>3.37</v>
      </c>
      <c r="AA88" s="185">
        <v>367366</v>
      </c>
      <c r="AB88" s="185" t="s">
        <v>22</v>
      </c>
      <c r="AC88" s="328">
        <v>46161</v>
      </c>
      <c r="AD88" s="185">
        <v>3676471</v>
      </c>
    </row>
    <row r="89" spans="2:30" x14ac:dyDescent="0.25">
      <c r="B89" s="328">
        <f t="shared" ca="1" si="19"/>
        <v>46306</v>
      </c>
      <c r="C89" s="328" t="s">
        <v>290</v>
      </c>
      <c r="D89" t="s">
        <v>48</v>
      </c>
      <c r="E89" s="328">
        <v>46156</v>
      </c>
      <c r="F89" s="328"/>
      <c r="G89" s="328"/>
      <c r="H89" s="328"/>
      <c r="J89" s="3">
        <f t="shared" si="20"/>
        <v>0</v>
      </c>
      <c r="K89" s="3"/>
      <c r="L89" s="325">
        <f t="shared" si="21"/>
        <v>0</v>
      </c>
      <c r="M89" s="325"/>
      <c r="N89">
        <f t="shared" si="22"/>
        <v>0</v>
      </c>
      <c r="P89" s="325">
        <f t="shared" ca="1" si="23"/>
        <v>0</v>
      </c>
      <c r="Q89" s="325">
        <v>535.30999999999995</v>
      </c>
      <c r="R89" s="3">
        <v>96</v>
      </c>
      <c r="S89" s="3">
        <v>96.306799999999996</v>
      </c>
      <c r="T89" s="325">
        <f t="shared" si="24"/>
        <v>513.8975999999999</v>
      </c>
      <c r="U89" s="325">
        <f t="shared" si="28"/>
        <v>515.53993107999997</v>
      </c>
      <c r="V89" s="325">
        <f t="shared" si="26"/>
        <v>515.53993107999997</v>
      </c>
      <c r="W89" s="325">
        <v>0</v>
      </c>
      <c r="X89" s="325">
        <v>1.54</v>
      </c>
      <c r="Y89" s="325">
        <v>9.9999999999999867E-2</v>
      </c>
      <c r="Z89" s="325">
        <f t="shared" si="27"/>
        <v>1.64</v>
      </c>
      <c r="AA89" s="185">
        <v>367369</v>
      </c>
      <c r="AB89" s="185" t="s">
        <v>22</v>
      </c>
      <c r="AC89" s="328">
        <v>46161</v>
      </c>
      <c r="AD89" s="185">
        <v>3676471</v>
      </c>
    </row>
    <row r="90" spans="2:30" x14ac:dyDescent="0.25">
      <c r="B90" s="328">
        <f t="shared" ca="1" si="19"/>
        <v>46306</v>
      </c>
      <c r="C90" s="328" t="s">
        <v>290</v>
      </c>
      <c r="D90" t="s">
        <v>48</v>
      </c>
      <c r="E90" s="328">
        <v>46156</v>
      </c>
      <c r="F90" s="328"/>
      <c r="G90" s="328"/>
      <c r="H90" s="328"/>
      <c r="J90" s="3">
        <f t="shared" si="20"/>
        <v>0</v>
      </c>
      <c r="K90" s="3"/>
      <c r="L90" s="325">
        <f t="shared" si="21"/>
        <v>0</v>
      </c>
      <c r="M90" s="325"/>
      <c r="N90">
        <f t="shared" si="22"/>
        <v>0</v>
      </c>
      <c r="P90" s="325">
        <f t="shared" ca="1" si="23"/>
        <v>0</v>
      </c>
      <c r="Q90" s="325">
        <v>150.56</v>
      </c>
      <c r="R90" s="3">
        <v>95</v>
      </c>
      <c r="S90" s="3">
        <v>95.304199999999994</v>
      </c>
      <c r="T90" s="325">
        <f t="shared" si="24"/>
        <v>143.03200000000001</v>
      </c>
      <c r="U90" s="325">
        <f t="shared" si="28"/>
        <v>143.49000351999999</v>
      </c>
      <c r="V90" s="325">
        <f t="shared" si="26"/>
        <v>143.49000351999999</v>
      </c>
      <c r="W90" s="325">
        <v>0</v>
      </c>
      <c r="X90" s="325">
        <v>0.43</v>
      </c>
      <c r="Y90" s="325">
        <v>3.000000000000003E-2</v>
      </c>
      <c r="Z90" s="325">
        <f t="shared" si="27"/>
        <v>0.46</v>
      </c>
      <c r="AA90" s="185">
        <v>367417</v>
      </c>
      <c r="AB90" s="185" t="s">
        <v>22</v>
      </c>
      <c r="AC90" s="328">
        <v>46161</v>
      </c>
      <c r="AD90" s="185">
        <v>3676471</v>
      </c>
    </row>
    <row r="91" spans="2:30" x14ac:dyDescent="0.25">
      <c r="B91" s="328">
        <f t="shared" ca="1" si="19"/>
        <v>46306</v>
      </c>
      <c r="C91" s="328" t="s">
        <v>290</v>
      </c>
      <c r="D91" t="s">
        <v>48</v>
      </c>
      <c r="E91" s="328">
        <v>46156</v>
      </c>
      <c r="F91" s="328"/>
      <c r="G91" s="328"/>
      <c r="H91" s="328"/>
      <c r="J91" s="3">
        <f t="shared" si="20"/>
        <v>0</v>
      </c>
      <c r="K91" s="3"/>
      <c r="L91" s="325">
        <f t="shared" si="21"/>
        <v>0</v>
      </c>
      <c r="M91" s="325"/>
      <c r="N91">
        <f t="shared" si="22"/>
        <v>0</v>
      </c>
      <c r="P91" s="325">
        <f t="shared" ca="1" si="23"/>
        <v>0</v>
      </c>
      <c r="Q91" s="325">
        <v>984.96</v>
      </c>
      <c r="R91" s="3">
        <v>97</v>
      </c>
      <c r="S91" s="3">
        <v>97.310599999999994</v>
      </c>
      <c r="T91" s="325">
        <f t="shared" si="24"/>
        <v>955.41120000000012</v>
      </c>
      <c r="U91" s="325">
        <f t="shared" si="28"/>
        <v>958.47048575999997</v>
      </c>
      <c r="V91" s="325">
        <f t="shared" si="26"/>
        <v>958.47048575999997</v>
      </c>
      <c r="W91" s="325">
        <v>0</v>
      </c>
      <c r="X91" s="325">
        <v>2.87</v>
      </c>
      <c r="Y91" s="325">
        <v>0.18999999999999989</v>
      </c>
      <c r="Z91" s="325">
        <f t="shared" si="27"/>
        <v>3.06</v>
      </c>
      <c r="AA91" s="185">
        <v>367426</v>
      </c>
      <c r="AB91" s="185" t="s">
        <v>22</v>
      </c>
      <c r="AC91" s="328">
        <v>46161</v>
      </c>
      <c r="AD91" s="185">
        <v>3676471</v>
      </c>
    </row>
    <row r="92" spans="2:30" x14ac:dyDescent="0.25">
      <c r="B92" s="328">
        <f t="shared" ca="1" si="19"/>
        <v>46306</v>
      </c>
      <c r="C92" s="328" t="s">
        <v>290</v>
      </c>
      <c r="D92" t="s">
        <v>48</v>
      </c>
      <c r="E92" s="328">
        <v>46157</v>
      </c>
      <c r="F92" s="328"/>
      <c r="G92" s="328"/>
      <c r="H92" s="328"/>
      <c r="J92" s="3">
        <f t="shared" si="20"/>
        <v>0</v>
      </c>
      <c r="K92" s="3"/>
      <c r="L92" s="325">
        <f t="shared" si="21"/>
        <v>0</v>
      </c>
      <c r="M92" s="325"/>
      <c r="N92">
        <f t="shared" si="22"/>
        <v>0</v>
      </c>
      <c r="P92" s="325">
        <f t="shared" ca="1" si="23"/>
        <v>0</v>
      </c>
      <c r="Q92" s="325">
        <v>1761.33</v>
      </c>
      <c r="R92" s="3">
        <v>97.15</v>
      </c>
      <c r="S92" s="3">
        <v>97.460400000000007</v>
      </c>
      <c r="T92" s="325">
        <f t="shared" si="24"/>
        <v>1711.1320949999999</v>
      </c>
      <c r="U92" s="325">
        <f t="shared" si="28"/>
        <v>1716.5992633200001</v>
      </c>
      <c r="V92" s="325">
        <f t="shared" si="26"/>
        <v>1716.5992633200001</v>
      </c>
      <c r="W92" s="325">
        <v>0</v>
      </c>
      <c r="X92" s="325">
        <v>5.13</v>
      </c>
      <c r="Y92" s="325">
        <v>0.33999999999999991</v>
      </c>
      <c r="Z92" s="325">
        <f t="shared" si="27"/>
        <v>5.47</v>
      </c>
      <c r="AA92" s="185">
        <v>367488</v>
      </c>
      <c r="AB92" s="185" t="s">
        <v>22</v>
      </c>
      <c r="AC92" s="328">
        <v>46161</v>
      </c>
      <c r="AD92" s="185">
        <v>3676471</v>
      </c>
    </row>
    <row r="93" spans="2:30" x14ac:dyDescent="0.25">
      <c r="B93" s="328">
        <f t="shared" ca="1" si="19"/>
        <v>46306</v>
      </c>
      <c r="C93" s="328" t="s">
        <v>290</v>
      </c>
      <c r="D93" t="s">
        <v>48</v>
      </c>
      <c r="E93" s="328">
        <v>46157</v>
      </c>
      <c r="F93" s="328"/>
      <c r="G93" s="328"/>
      <c r="H93" s="328"/>
      <c r="J93" s="3">
        <f t="shared" si="20"/>
        <v>0</v>
      </c>
      <c r="K93" s="3"/>
      <c r="L93" s="325">
        <f t="shared" si="21"/>
        <v>0</v>
      </c>
      <c r="M93" s="325"/>
      <c r="N93">
        <f t="shared" si="22"/>
        <v>0</v>
      </c>
      <c r="P93" s="325">
        <f t="shared" ca="1" si="23"/>
        <v>0</v>
      </c>
      <c r="Q93" s="325">
        <v>99.56</v>
      </c>
      <c r="R93" s="3">
        <v>95</v>
      </c>
      <c r="S93" s="3">
        <v>96.022499999999994</v>
      </c>
      <c r="T93" s="325">
        <f t="shared" si="24"/>
        <v>94.582000000000008</v>
      </c>
      <c r="U93" s="325">
        <f t="shared" si="28"/>
        <v>95.600000999999992</v>
      </c>
      <c r="V93" s="325">
        <f t="shared" si="26"/>
        <v>95.600000999999992</v>
      </c>
      <c r="W93" s="325">
        <v>0</v>
      </c>
      <c r="X93" s="325">
        <v>1</v>
      </c>
      <c r="Y93" s="325">
        <v>2.0000000000000021E-2</v>
      </c>
      <c r="Z93" s="325">
        <f t="shared" si="27"/>
        <v>1.02</v>
      </c>
      <c r="AA93" s="185">
        <v>367493</v>
      </c>
      <c r="AB93" s="185" t="s">
        <v>22</v>
      </c>
      <c r="AC93" s="328">
        <v>46161</v>
      </c>
      <c r="AD93" s="185">
        <v>3676471</v>
      </c>
    </row>
    <row r="94" spans="2:30" x14ac:dyDescent="0.25">
      <c r="B94" s="328">
        <f t="shared" ca="1" si="19"/>
        <v>46306</v>
      </c>
      <c r="C94" s="328" t="s">
        <v>290</v>
      </c>
      <c r="D94" t="s">
        <v>47</v>
      </c>
      <c r="E94" s="328">
        <v>46160</v>
      </c>
      <c r="F94" s="328"/>
      <c r="G94" s="328"/>
      <c r="H94" s="328"/>
      <c r="J94" s="3">
        <f t="shared" si="20"/>
        <v>0</v>
      </c>
      <c r="K94" s="3"/>
      <c r="L94" s="325">
        <f t="shared" si="21"/>
        <v>0</v>
      </c>
      <c r="M94" s="325"/>
      <c r="N94">
        <f t="shared" si="22"/>
        <v>0</v>
      </c>
      <c r="P94" s="325">
        <f t="shared" ca="1" si="23"/>
        <v>0</v>
      </c>
      <c r="Q94" s="325">
        <v>3146.77</v>
      </c>
      <c r="R94" s="3">
        <v>97.25</v>
      </c>
      <c r="S94" s="3">
        <v>97.463700000000003</v>
      </c>
      <c r="T94" s="325">
        <f t="shared" si="24"/>
        <v>3060.2338250000003</v>
      </c>
      <c r="U94" s="325">
        <f t="shared" si="28"/>
        <v>3066.9584724899996</v>
      </c>
      <c r="V94" s="325">
        <f t="shared" si="26"/>
        <v>3066.9584724899996</v>
      </c>
      <c r="W94" s="325">
        <v>0</v>
      </c>
      <c r="X94" s="325">
        <v>6.12</v>
      </c>
      <c r="Y94" s="325">
        <v>0.61000000000000032</v>
      </c>
      <c r="Z94" s="325">
        <f t="shared" si="27"/>
        <v>6.73</v>
      </c>
      <c r="AA94" s="185">
        <v>367592</v>
      </c>
      <c r="AB94" s="185" t="s">
        <v>22</v>
      </c>
      <c r="AC94" s="328">
        <v>46161</v>
      </c>
      <c r="AD94" s="185">
        <v>3676471</v>
      </c>
    </row>
    <row r="95" spans="2:30" x14ac:dyDescent="0.25">
      <c r="B95" s="328">
        <f t="shared" ca="1" si="19"/>
        <v>46306</v>
      </c>
      <c r="C95" s="328" t="s">
        <v>290</v>
      </c>
      <c r="D95" t="s">
        <v>48</v>
      </c>
      <c r="E95" s="328">
        <v>46160</v>
      </c>
      <c r="F95" s="328"/>
      <c r="G95" s="328"/>
      <c r="H95" s="328"/>
      <c r="J95" s="3">
        <f t="shared" si="20"/>
        <v>0</v>
      </c>
      <c r="K95" s="3"/>
      <c r="L95" s="325">
        <f t="shared" si="21"/>
        <v>0</v>
      </c>
      <c r="M95" s="325"/>
      <c r="N95">
        <f t="shared" si="22"/>
        <v>0</v>
      </c>
      <c r="P95" s="325">
        <f t="shared" ca="1" si="23"/>
        <v>0</v>
      </c>
      <c r="Q95" s="325">
        <v>66.83</v>
      </c>
      <c r="R95" s="3">
        <v>97.15</v>
      </c>
      <c r="S95" s="3">
        <v>98.668300000000002</v>
      </c>
      <c r="T95" s="325">
        <f t="shared" si="24"/>
        <v>64.925345000000007</v>
      </c>
      <c r="U95" s="325">
        <f t="shared" si="28"/>
        <v>65.940024890000004</v>
      </c>
      <c r="V95" s="325">
        <f t="shared" si="26"/>
        <v>65.940024890000004</v>
      </c>
      <c r="W95" s="325">
        <v>0</v>
      </c>
      <c r="X95" s="325">
        <v>1</v>
      </c>
      <c r="Y95" s="325">
        <v>1.0000000000000011E-2</v>
      </c>
      <c r="Z95" s="325">
        <f t="shared" si="27"/>
        <v>1.01</v>
      </c>
      <c r="AA95" s="185">
        <v>367590</v>
      </c>
      <c r="AB95" s="185" t="s">
        <v>22</v>
      </c>
      <c r="AC95" s="328">
        <v>46161</v>
      </c>
      <c r="AD95" s="185">
        <v>3676471</v>
      </c>
    </row>
    <row r="96" spans="2:30" x14ac:dyDescent="0.25">
      <c r="B96" s="328">
        <f t="shared" ca="1" si="19"/>
        <v>46306</v>
      </c>
      <c r="C96" s="328" t="s">
        <v>290</v>
      </c>
      <c r="D96" t="s">
        <v>46</v>
      </c>
      <c r="E96" s="328">
        <v>46160</v>
      </c>
      <c r="F96" s="328"/>
      <c r="G96" s="328"/>
      <c r="H96" s="328"/>
      <c r="J96" s="3">
        <f t="shared" si="20"/>
        <v>0</v>
      </c>
      <c r="K96" s="3"/>
      <c r="L96" s="325">
        <f t="shared" si="21"/>
        <v>0</v>
      </c>
      <c r="M96" s="325"/>
      <c r="N96">
        <f t="shared" si="22"/>
        <v>0</v>
      </c>
      <c r="P96" s="325">
        <f t="shared" ca="1" si="23"/>
        <v>0</v>
      </c>
      <c r="Q96" s="325">
        <v>1114.1099999999999</v>
      </c>
      <c r="R96" s="3">
        <v>97.15</v>
      </c>
      <c r="S96" s="3">
        <v>97.461699999999993</v>
      </c>
      <c r="T96" s="325">
        <f t="shared" si="24"/>
        <v>1082.3578649999999</v>
      </c>
      <c r="U96" s="325">
        <f t="shared" si="28"/>
        <v>1085.8305458699997</v>
      </c>
      <c r="V96" s="325">
        <f t="shared" si="26"/>
        <v>1085.8305458699997</v>
      </c>
      <c r="W96" s="325">
        <v>0</v>
      </c>
      <c r="X96" s="325">
        <v>3.25</v>
      </c>
      <c r="Y96" s="325">
        <v>0.2200000000000002</v>
      </c>
      <c r="Z96" s="325">
        <f t="shared" si="27"/>
        <v>3.47</v>
      </c>
      <c r="AA96" s="185">
        <v>367591</v>
      </c>
      <c r="AB96" s="185" t="s">
        <v>22</v>
      </c>
      <c r="AC96" s="328">
        <v>46161</v>
      </c>
      <c r="AD96" s="185">
        <v>3676471</v>
      </c>
    </row>
    <row r="97" spans="1:30" x14ac:dyDescent="0.25">
      <c r="B97" s="328">
        <f t="shared" ca="1" si="19"/>
        <v>46306</v>
      </c>
      <c r="C97" s="328" t="s">
        <v>290</v>
      </c>
      <c r="D97" t="s">
        <v>46</v>
      </c>
      <c r="E97" s="328">
        <v>46160</v>
      </c>
      <c r="F97" s="328"/>
      <c r="G97" s="328"/>
      <c r="H97" s="328"/>
      <c r="J97" s="3">
        <f t="shared" si="20"/>
        <v>0</v>
      </c>
      <c r="K97" s="3"/>
      <c r="L97" s="325">
        <f t="shared" si="21"/>
        <v>0</v>
      </c>
      <c r="M97" s="325"/>
      <c r="N97">
        <f t="shared" si="22"/>
        <v>0</v>
      </c>
      <c r="P97" s="325">
        <f t="shared" ca="1" si="23"/>
        <v>0</v>
      </c>
      <c r="Q97" s="325">
        <v>1227.05</v>
      </c>
      <c r="R97" s="3">
        <v>97.15</v>
      </c>
      <c r="S97" s="3">
        <v>97.461399999999998</v>
      </c>
      <c r="T97" s="325">
        <f t="shared" si="24"/>
        <v>1192.0790750000001</v>
      </c>
      <c r="U97" s="325">
        <f t="shared" si="28"/>
        <v>1195.9001086999999</v>
      </c>
      <c r="V97" s="325">
        <f t="shared" si="26"/>
        <v>1195.9001086999999</v>
      </c>
      <c r="W97" s="325">
        <v>0</v>
      </c>
      <c r="X97" s="325">
        <v>3.58</v>
      </c>
      <c r="Y97" s="325">
        <v>0.2399999999999998</v>
      </c>
      <c r="Z97" s="325">
        <f t="shared" si="27"/>
        <v>3.82</v>
      </c>
      <c r="AA97" s="185">
        <v>367597</v>
      </c>
      <c r="AB97" s="185" t="s">
        <v>22</v>
      </c>
      <c r="AC97" s="328">
        <v>46161</v>
      </c>
      <c r="AD97" s="185">
        <v>3676471</v>
      </c>
    </row>
    <row r="98" spans="1:30" x14ac:dyDescent="0.25">
      <c r="B98" s="328">
        <f t="shared" ca="1" si="19"/>
        <v>46306</v>
      </c>
      <c r="C98" s="328" t="s">
        <v>290</v>
      </c>
      <c r="D98" t="s">
        <v>46</v>
      </c>
      <c r="E98" s="328">
        <v>46161</v>
      </c>
      <c r="F98" s="328"/>
      <c r="G98" s="328"/>
      <c r="H98" s="328"/>
      <c r="J98" s="3">
        <f t="shared" si="20"/>
        <v>0</v>
      </c>
      <c r="K98" s="3"/>
      <c r="L98" s="325">
        <f t="shared" si="21"/>
        <v>0</v>
      </c>
      <c r="M98" s="325"/>
      <c r="N98">
        <f t="shared" si="22"/>
        <v>0</v>
      </c>
      <c r="P98" s="325">
        <f t="shared" ca="1" si="23"/>
        <v>0</v>
      </c>
      <c r="Q98" s="325">
        <v>412.14</v>
      </c>
      <c r="R98" s="3">
        <v>96</v>
      </c>
      <c r="S98" s="3">
        <v>96.307100000000005</v>
      </c>
      <c r="T98" s="325">
        <f t="shared" si="24"/>
        <v>395.65440000000001</v>
      </c>
      <c r="U98" s="325">
        <f t="shared" si="28"/>
        <v>396.92008194000005</v>
      </c>
      <c r="V98" s="325">
        <f t="shared" si="26"/>
        <v>396.92008194000005</v>
      </c>
      <c r="W98" s="325">
        <v>0</v>
      </c>
      <c r="X98" s="325">
        <v>1.19</v>
      </c>
      <c r="Y98" s="325">
        <v>8.0000000000000071E-2</v>
      </c>
      <c r="Z98" s="325">
        <f t="shared" si="27"/>
        <v>1.27</v>
      </c>
      <c r="AA98" s="185">
        <v>367615</v>
      </c>
      <c r="AB98" s="185" t="s">
        <v>22</v>
      </c>
      <c r="AC98" s="328">
        <v>46169</v>
      </c>
      <c r="AD98" s="185">
        <v>368144</v>
      </c>
    </row>
    <row r="99" spans="1:30" x14ac:dyDescent="0.25">
      <c r="B99" s="328">
        <f t="shared" ref="B99:B125" ca="1" si="29">TODAY()</f>
        <v>46306</v>
      </c>
      <c r="C99" s="328" t="s">
        <v>290</v>
      </c>
      <c r="D99" t="s">
        <v>47</v>
      </c>
      <c r="E99" s="328">
        <v>46161</v>
      </c>
      <c r="F99" s="328"/>
      <c r="G99" s="328"/>
      <c r="H99" s="328"/>
      <c r="J99" s="3">
        <f t="shared" ref="J99:J125" si="30">L99*12/U99*100</f>
        <v>0</v>
      </c>
      <c r="K99" s="3"/>
      <c r="L99" s="325">
        <f t="shared" ref="L99:L125" si="31">Q99*I99/100/12</f>
        <v>0</v>
      </c>
      <c r="M99" s="325"/>
      <c r="N99">
        <f t="shared" ref="N99:N125" si="32">IF(F99="", 0, IF(B99&gt;F99,INT((B99-F99)/30),0))</f>
        <v>0</v>
      </c>
      <c r="P99" s="325">
        <f t="shared" ref="P99:P125" ca="1" si="33">L99*N99+M99+IF(B99&gt;H99,O99,0)</f>
        <v>0</v>
      </c>
      <c r="Q99" s="325">
        <v>387.18</v>
      </c>
      <c r="R99" s="3">
        <v>96</v>
      </c>
      <c r="S99" s="3">
        <v>96.288547960000002</v>
      </c>
      <c r="T99" s="325">
        <f t="shared" ref="T99:T125" si="34">Q99*R99/100</f>
        <v>371.69279999999998</v>
      </c>
      <c r="U99" s="325">
        <f t="shared" si="28"/>
        <v>372.809999991528</v>
      </c>
      <c r="V99" s="325">
        <f t="shared" ref="V99:V125" si="35">U99+W99</f>
        <v>372.809999991528</v>
      </c>
      <c r="W99" s="325">
        <v>0</v>
      </c>
      <c r="X99" s="325">
        <v>1.1200000000000001</v>
      </c>
      <c r="Y99" s="325">
        <v>0</v>
      </c>
      <c r="Z99" s="325">
        <f t="shared" ref="Z99:Z125" si="36">X99+Y99</f>
        <v>1.1200000000000001</v>
      </c>
      <c r="AA99" s="370" t="s">
        <v>320</v>
      </c>
      <c r="AB99" s="185" t="s">
        <v>22</v>
      </c>
      <c r="AC99" s="328">
        <v>46169</v>
      </c>
      <c r="AD99" s="185">
        <v>368144</v>
      </c>
    </row>
    <row r="100" spans="1:30" x14ac:dyDescent="0.25">
      <c r="B100" s="328">
        <f t="shared" ca="1" si="29"/>
        <v>46306</v>
      </c>
      <c r="C100" s="328" t="s">
        <v>290</v>
      </c>
      <c r="D100" t="s">
        <v>47</v>
      </c>
      <c r="E100" s="328">
        <v>46161</v>
      </c>
      <c r="F100" s="328"/>
      <c r="G100" s="328"/>
      <c r="H100" s="328"/>
      <c r="J100" s="3">
        <f t="shared" si="30"/>
        <v>0</v>
      </c>
      <c r="K100" s="3"/>
      <c r="L100" s="325">
        <f t="shared" si="31"/>
        <v>0</v>
      </c>
      <c r="M100" s="325"/>
      <c r="N100">
        <f t="shared" si="32"/>
        <v>0</v>
      </c>
      <c r="P100" s="325">
        <f t="shared" ca="1" si="33"/>
        <v>0</v>
      </c>
      <c r="Q100" s="325">
        <v>852.97</v>
      </c>
      <c r="R100" s="3">
        <v>97.1</v>
      </c>
      <c r="S100" s="3">
        <v>97.410200000000003</v>
      </c>
      <c r="T100" s="325">
        <f t="shared" si="34"/>
        <v>828.23387000000002</v>
      </c>
      <c r="U100" s="325">
        <f t="shared" si="28"/>
        <v>830.87978294000004</v>
      </c>
      <c r="V100" s="325">
        <f t="shared" si="35"/>
        <v>830.87978294000004</v>
      </c>
      <c r="W100" s="325">
        <v>0</v>
      </c>
      <c r="X100" s="325">
        <v>2.48</v>
      </c>
      <c r="Y100" s="325">
        <v>0.1699999999999999</v>
      </c>
      <c r="Z100" s="325">
        <f t="shared" si="36"/>
        <v>2.65</v>
      </c>
      <c r="AA100" s="185">
        <v>367618</v>
      </c>
      <c r="AB100" s="185" t="s">
        <v>22</v>
      </c>
      <c r="AC100" s="328">
        <v>46169</v>
      </c>
      <c r="AD100" s="185">
        <v>368144</v>
      </c>
    </row>
    <row r="101" spans="1:30" x14ac:dyDescent="0.25">
      <c r="B101" s="328">
        <f t="shared" ca="1" si="29"/>
        <v>46306</v>
      </c>
      <c r="C101" s="328" t="s">
        <v>123</v>
      </c>
      <c r="D101" t="s">
        <v>47</v>
      </c>
      <c r="E101" s="328">
        <v>46139</v>
      </c>
      <c r="F101" s="328"/>
      <c r="G101" s="328">
        <v>46136</v>
      </c>
      <c r="H101" s="328">
        <v>46486</v>
      </c>
      <c r="J101" s="3">
        <f t="shared" si="30"/>
        <v>0</v>
      </c>
      <c r="K101" s="3"/>
      <c r="L101" s="325">
        <f t="shared" si="31"/>
        <v>0</v>
      </c>
      <c r="M101" s="325">
        <v>0</v>
      </c>
      <c r="N101">
        <f t="shared" si="32"/>
        <v>0</v>
      </c>
      <c r="O101" s="325">
        <v>11758.81</v>
      </c>
      <c r="P101" s="325">
        <f t="shared" ca="1" si="33"/>
        <v>0</v>
      </c>
      <c r="Q101" s="325">
        <v>150000</v>
      </c>
      <c r="R101" s="3">
        <v>92.017483319999997</v>
      </c>
      <c r="S101" s="3">
        <v>92.160799999999995</v>
      </c>
      <c r="T101" s="325">
        <f t="shared" si="34"/>
        <v>138026.22498</v>
      </c>
      <c r="U101" s="325">
        <f t="shared" si="28"/>
        <v>138241.20000000001</v>
      </c>
      <c r="V101" s="325">
        <f t="shared" si="35"/>
        <v>138241.20000000001</v>
      </c>
      <c r="W101" s="325">
        <v>0</v>
      </c>
      <c r="X101" s="325">
        <v>133.04</v>
      </c>
      <c r="Y101" s="325">
        <v>81.930139999999994</v>
      </c>
      <c r="Z101" s="325">
        <f t="shared" si="36"/>
        <v>214.97013999999999</v>
      </c>
      <c r="AA101" s="185">
        <v>366433</v>
      </c>
      <c r="AB101" s="185" t="s">
        <v>321</v>
      </c>
      <c r="AC101" s="328">
        <v>46156</v>
      </c>
      <c r="AD101" s="185">
        <v>367383</v>
      </c>
    </row>
    <row r="102" spans="1:30" x14ac:dyDescent="0.25">
      <c r="B102" s="328">
        <f t="shared" ca="1" si="29"/>
        <v>46306</v>
      </c>
      <c r="C102" s="328" t="s">
        <v>123</v>
      </c>
      <c r="D102" t="s">
        <v>47</v>
      </c>
      <c r="E102" s="328">
        <v>46139</v>
      </c>
      <c r="F102" s="328"/>
      <c r="G102" s="328">
        <v>46136</v>
      </c>
      <c r="H102" s="328">
        <v>46486</v>
      </c>
      <c r="J102" s="3">
        <f t="shared" si="30"/>
        <v>0</v>
      </c>
      <c r="K102" s="3"/>
      <c r="L102" s="325">
        <f t="shared" si="31"/>
        <v>0</v>
      </c>
      <c r="M102" s="325">
        <v>0</v>
      </c>
      <c r="N102">
        <f t="shared" si="32"/>
        <v>0</v>
      </c>
      <c r="O102" s="325">
        <v>9650.0634066666644</v>
      </c>
      <c r="P102" s="325">
        <f t="shared" ca="1" si="33"/>
        <v>0</v>
      </c>
      <c r="Q102" s="325">
        <v>123100</v>
      </c>
      <c r="R102" s="3">
        <v>92.017483319999997</v>
      </c>
      <c r="S102" s="3">
        <v>92.160799999999995</v>
      </c>
      <c r="T102" s="325">
        <f t="shared" si="34"/>
        <v>113273.52196691999</v>
      </c>
      <c r="U102" s="325">
        <f t="shared" si="28"/>
        <v>113449.94479999998</v>
      </c>
      <c r="V102" s="325">
        <f t="shared" si="35"/>
        <v>113449.94479999998</v>
      </c>
      <c r="W102" s="325">
        <v>0</v>
      </c>
      <c r="X102" s="325">
        <v>109.18149333333329</v>
      </c>
      <c r="Y102" s="325">
        <v>67.237334893333326</v>
      </c>
      <c r="Z102" s="325">
        <f t="shared" si="36"/>
        <v>176.41882822666662</v>
      </c>
      <c r="AA102" s="185">
        <v>366433</v>
      </c>
      <c r="AB102" s="185" t="s">
        <v>321</v>
      </c>
      <c r="AC102" s="328">
        <v>46161</v>
      </c>
      <c r="AD102" s="185" t="s">
        <v>322</v>
      </c>
    </row>
    <row r="103" spans="1:30" x14ac:dyDescent="0.25">
      <c r="B103" s="328">
        <f t="shared" ca="1" si="29"/>
        <v>46306</v>
      </c>
      <c r="C103" s="328" t="s">
        <v>123</v>
      </c>
      <c r="D103" t="s">
        <v>47</v>
      </c>
      <c r="E103" s="328">
        <v>46139</v>
      </c>
      <c r="F103" s="328"/>
      <c r="G103" s="328">
        <v>46136</v>
      </c>
      <c r="H103" s="328">
        <v>46486</v>
      </c>
      <c r="J103" s="3">
        <f t="shared" si="30"/>
        <v>0</v>
      </c>
      <c r="K103" s="3"/>
      <c r="L103" s="325">
        <f t="shared" si="31"/>
        <v>0</v>
      </c>
      <c r="M103" s="325">
        <v>0</v>
      </c>
      <c r="N103">
        <f t="shared" si="32"/>
        <v>0</v>
      </c>
      <c r="O103" s="325">
        <v>5439.2335456666651</v>
      </c>
      <c r="P103" s="325">
        <f t="shared" ca="1" si="33"/>
        <v>0</v>
      </c>
      <c r="Q103" s="325">
        <v>69385</v>
      </c>
      <c r="R103" s="3">
        <v>92.017483319999997</v>
      </c>
      <c r="S103" s="3">
        <v>92.160799999999995</v>
      </c>
      <c r="T103" s="325">
        <f t="shared" si="34"/>
        <v>63846.330801582</v>
      </c>
      <c r="U103" s="325">
        <f t="shared" si="28"/>
        <v>63945.771079999999</v>
      </c>
      <c r="V103" s="325">
        <f t="shared" si="35"/>
        <v>63945.771079999999</v>
      </c>
      <c r="W103" s="325">
        <v>0</v>
      </c>
      <c r="X103" s="325">
        <v>61.539869333333321</v>
      </c>
      <c r="Y103" s="325">
        <v>37.898151759333317</v>
      </c>
      <c r="Z103" s="325">
        <f t="shared" si="36"/>
        <v>99.438021092666645</v>
      </c>
      <c r="AA103" s="185">
        <v>366433</v>
      </c>
      <c r="AB103" s="185" t="s">
        <v>321</v>
      </c>
      <c r="AC103" s="328">
        <v>46161</v>
      </c>
      <c r="AD103" s="185">
        <v>367684</v>
      </c>
    </row>
    <row r="104" spans="1:30" x14ac:dyDescent="0.25">
      <c r="B104" s="328">
        <f t="shared" ca="1" si="29"/>
        <v>46306</v>
      </c>
      <c r="C104" s="328" t="s">
        <v>290</v>
      </c>
      <c r="D104" t="s">
        <v>48</v>
      </c>
      <c r="E104" s="328">
        <v>46162</v>
      </c>
      <c r="F104" s="328"/>
      <c r="G104" s="328"/>
      <c r="H104" s="328"/>
      <c r="J104" s="3">
        <f t="shared" si="30"/>
        <v>0</v>
      </c>
      <c r="K104" s="3"/>
      <c r="L104" s="325">
        <f t="shared" si="31"/>
        <v>0</v>
      </c>
      <c r="M104" s="325"/>
      <c r="N104">
        <f t="shared" si="32"/>
        <v>0</v>
      </c>
      <c r="P104" s="325">
        <f t="shared" ca="1" si="33"/>
        <v>0</v>
      </c>
      <c r="Q104" s="325">
        <v>274.52</v>
      </c>
      <c r="R104" s="3">
        <v>95</v>
      </c>
      <c r="S104" s="3">
        <v>95.300899999999999</v>
      </c>
      <c r="T104" s="325">
        <f t="shared" si="34"/>
        <v>260.79399999999998</v>
      </c>
      <c r="U104" s="325">
        <f t="shared" si="28"/>
        <v>261.62003067999996</v>
      </c>
      <c r="V104" s="325">
        <f t="shared" si="35"/>
        <v>261.62003067999996</v>
      </c>
      <c r="W104" s="325">
        <v>0</v>
      </c>
      <c r="X104" s="325">
        <v>0.78</v>
      </c>
      <c r="Y104" s="325">
        <v>4.9999999999999933E-2</v>
      </c>
      <c r="Z104" s="325">
        <f t="shared" si="36"/>
        <v>0.83</v>
      </c>
      <c r="AA104" s="185">
        <v>367704</v>
      </c>
      <c r="AB104" s="185" t="s">
        <v>22</v>
      </c>
      <c r="AC104" s="328">
        <v>46169</v>
      </c>
      <c r="AD104" s="185">
        <v>368144</v>
      </c>
    </row>
    <row r="105" spans="1:30" x14ac:dyDescent="0.25">
      <c r="B105" s="328">
        <f t="shared" ca="1" si="29"/>
        <v>46306</v>
      </c>
      <c r="C105" s="328" t="s">
        <v>290</v>
      </c>
      <c r="D105" t="s">
        <v>48</v>
      </c>
      <c r="E105" s="328">
        <v>46162</v>
      </c>
      <c r="F105" s="328"/>
      <c r="G105" s="328"/>
      <c r="H105" s="328"/>
      <c r="J105" s="3">
        <f t="shared" si="30"/>
        <v>0</v>
      </c>
      <c r="K105" s="3"/>
      <c r="L105" s="325">
        <f t="shared" si="31"/>
        <v>0</v>
      </c>
      <c r="M105" s="325"/>
      <c r="N105">
        <f t="shared" si="32"/>
        <v>0</v>
      </c>
      <c r="P105" s="325">
        <f t="shared" ca="1" si="33"/>
        <v>0</v>
      </c>
      <c r="Q105" s="325">
        <v>1225.03</v>
      </c>
      <c r="R105" s="3">
        <v>97.2</v>
      </c>
      <c r="S105" s="3">
        <v>97.511099999999999</v>
      </c>
      <c r="T105" s="325">
        <f t="shared" si="34"/>
        <v>1190.7291599999999</v>
      </c>
      <c r="U105" s="325">
        <f t="shared" si="28"/>
        <v>1194.54022833</v>
      </c>
      <c r="V105" s="325">
        <f t="shared" si="35"/>
        <v>1194.54022833</v>
      </c>
      <c r="W105" s="325">
        <v>0</v>
      </c>
      <c r="X105" s="325">
        <v>3.57</v>
      </c>
      <c r="Y105" s="325">
        <v>0.24000000000000021</v>
      </c>
      <c r="Z105" s="325">
        <f t="shared" si="36"/>
        <v>3.81</v>
      </c>
      <c r="AA105" s="185">
        <v>367705</v>
      </c>
      <c r="AB105" s="185" t="s">
        <v>22</v>
      </c>
      <c r="AC105" s="328">
        <v>46169</v>
      </c>
      <c r="AD105" s="185">
        <v>368144</v>
      </c>
    </row>
    <row r="106" spans="1:30" x14ac:dyDescent="0.25">
      <c r="B106" s="328">
        <f t="shared" ca="1" si="29"/>
        <v>46306</v>
      </c>
      <c r="C106" s="328" t="s">
        <v>290</v>
      </c>
      <c r="D106" t="s">
        <v>48</v>
      </c>
      <c r="E106" s="328">
        <v>46162</v>
      </c>
      <c r="F106" s="328"/>
      <c r="G106" s="328"/>
      <c r="H106" s="328"/>
      <c r="J106" s="3">
        <f t="shared" si="30"/>
        <v>0</v>
      </c>
      <c r="K106" s="3"/>
      <c r="L106" s="325">
        <f t="shared" si="31"/>
        <v>0</v>
      </c>
      <c r="M106" s="325"/>
      <c r="N106">
        <f t="shared" si="32"/>
        <v>0</v>
      </c>
      <c r="P106" s="325">
        <f t="shared" ca="1" si="33"/>
        <v>0</v>
      </c>
      <c r="Q106" s="325">
        <v>2203.29</v>
      </c>
      <c r="R106" s="3">
        <v>97.26</v>
      </c>
      <c r="S106" s="3">
        <v>97.474199999999996</v>
      </c>
      <c r="T106" s="325">
        <f t="shared" si="34"/>
        <v>2142.9198540000002</v>
      </c>
      <c r="U106" s="325">
        <f t="shared" si="28"/>
        <v>2147.6393011800001</v>
      </c>
      <c r="V106" s="325">
        <f t="shared" si="35"/>
        <v>2147.6393011800001</v>
      </c>
      <c r="W106" s="325">
        <v>0</v>
      </c>
      <c r="X106" s="325">
        <v>4.29</v>
      </c>
      <c r="Y106" s="325">
        <v>0.42999999999999972</v>
      </c>
      <c r="Z106" s="325">
        <f t="shared" si="36"/>
        <v>4.72</v>
      </c>
      <c r="AA106" s="185">
        <v>367709</v>
      </c>
      <c r="AB106" s="185" t="s">
        <v>22</v>
      </c>
      <c r="AC106" s="328">
        <v>46169</v>
      </c>
      <c r="AD106" s="185">
        <v>368144</v>
      </c>
    </row>
    <row r="107" spans="1:30" x14ac:dyDescent="0.25">
      <c r="B107" s="328">
        <f t="shared" ca="1" si="29"/>
        <v>46306</v>
      </c>
      <c r="C107" s="328" t="s">
        <v>290</v>
      </c>
      <c r="D107" t="s">
        <v>48</v>
      </c>
      <c r="E107" s="328">
        <v>46162</v>
      </c>
      <c r="F107" s="328"/>
      <c r="G107" s="328"/>
      <c r="H107" s="328"/>
      <c r="J107" s="3">
        <f t="shared" si="30"/>
        <v>0</v>
      </c>
      <c r="K107" s="3"/>
      <c r="L107" s="325">
        <f t="shared" si="31"/>
        <v>0</v>
      </c>
      <c r="M107" s="325"/>
      <c r="N107">
        <f t="shared" si="32"/>
        <v>0</v>
      </c>
      <c r="P107" s="325">
        <f t="shared" ca="1" si="33"/>
        <v>0</v>
      </c>
      <c r="Q107" s="325">
        <v>173.56</v>
      </c>
      <c r="R107" s="3">
        <v>93</v>
      </c>
      <c r="S107" s="3">
        <v>93.593000000000004</v>
      </c>
      <c r="T107" s="325">
        <f t="shared" si="34"/>
        <v>161.41079999999999</v>
      </c>
      <c r="U107" s="325">
        <f t="shared" si="28"/>
        <v>162.44001080000001</v>
      </c>
      <c r="V107" s="325">
        <f t="shared" si="35"/>
        <v>162.44001080000001</v>
      </c>
      <c r="W107" s="325">
        <v>0</v>
      </c>
      <c r="X107" s="325">
        <v>1</v>
      </c>
      <c r="Y107" s="325">
        <v>3.000000000000003E-2</v>
      </c>
      <c r="Z107" s="325">
        <f t="shared" si="36"/>
        <v>1.03</v>
      </c>
      <c r="AA107" s="185">
        <v>367713</v>
      </c>
      <c r="AB107" s="185" t="s">
        <v>22</v>
      </c>
      <c r="AC107" s="328">
        <v>46169</v>
      </c>
      <c r="AD107" s="185">
        <v>368144</v>
      </c>
    </row>
    <row r="108" spans="1:30" x14ac:dyDescent="0.25">
      <c r="B108" s="328">
        <f t="shared" ca="1" si="29"/>
        <v>46306</v>
      </c>
      <c r="C108" s="328" t="s">
        <v>290</v>
      </c>
      <c r="D108" t="s">
        <v>48</v>
      </c>
      <c r="E108" s="328">
        <v>46162</v>
      </c>
      <c r="F108" s="328"/>
      <c r="G108" s="328"/>
      <c r="H108" s="328"/>
      <c r="J108" s="3">
        <f t="shared" si="30"/>
        <v>0</v>
      </c>
      <c r="K108" s="3"/>
      <c r="L108" s="325">
        <f t="shared" si="31"/>
        <v>0</v>
      </c>
      <c r="M108" s="325"/>
      <c r="N108">
        <f t="shared" si="32"/>
        <v>0</v>
      </c>
      <c r="P108" s="325">
        <f t="shared" ca="1" si="33"/>
        <v>0</v>
      </c>
      <c r="Q108" s="325">
        <v>134.16999999999999</v>
      </c>
      <c r="R108" s="3">
        <v>95</v>
      </c>
      <c r="S108" s="3">
        <v>95.543000000000006</v>
      </c>
      <c r="T108" s="325">
        <f t="shared" si="34"/>
        <v>127.4615</v>
      </c>
      <c r="U108" s="325">
        <f t="shared" si="28"/>
        <v>128.1900431</v>
      </c>
      <c r="V108" s="325">
        <f t="shared" si="35"/>
        <v>128.1900431</v>
      </c>
      <c r="W108" s="325">
        <v>0</v>
      </c>
      <c r="X108" s="325">
        <v>0.7</v>
      </c>
      <c r="Y108" s="325">
        <v>3.000000000000003E-2</v>
      </c>
      <c r="Z108" s="325">
        <f t="shared" si="36"/>
        <v>0.73</v>
      </c>
      <c r="AA108" s="185">
        <v>367715</v>
      </c>
      <c r="AB108" s="185" t="s">
        <v>22</v>
      </c>
      <c r="AC108" s="328">
        <v>46169</v>
      </c>
      <c r="AD108" s="185">
        <v>368144</v>
      </c>
    </row>
    <row r="109" spans="1:30" x14ac:dyDescent="0.25">
      <c r="B109" s="328">
        <f t="shared" ca="1" si="29"/>
        <v>46306</v>
      </c>
      <c r="C109" s="328" t="s">
        <v>290</v>
      </c>
      <c r="D109" t="s">
        <v>48</v>
      </c>
      <c r="E109" s="328">
        <v>46162</v>
      </c>
      <c r="F109" s="328"/>
      <c r="G109" s="328"/>
      <c r="H109" s="328"/>
      <c r="J109" s="3">
        <f t="shared" si="30"/>
        <v>0</v>
      </c>
      <c r="K109" s="3"/>
      <c r="L109" s="325">
        <f t="shared" si="31"/>
        <v>0</v>
      </c>
      <c r="M109" s="325"/>
      <c r="N109">
        <f t="shared" si="32"/>
        <v>0</v>
      </c>
      <c r="P109" s="325">
        <f t="shared" ca="1" si="33"/>
        <v>0</v>
      </c>
      <c r="Q109" s="325">
        <v>288.75</v>
      </c>
      <c r="R109" s="3">
        <v>95</v>
      </c>
      <c r="S109" s="3">
        <v>95.300399999999996</v>
      </c>
      <c r="T109" s="325">
        <f t="shared" si="34"/>
        <v>274.3125</v>
      </c>
      <c r="U109" s="325">
        <f t="shared" si="28"/>
        <v>275.17990500000002</v>
      </c>
      <c r="V109" s="325">
        <f t="shared" si="35"/>
        <v>275.17990500000002</v>
      </c>
      <c r="W109" s="325">
        <v>0</v>
      </c>
      <c r="X109" s="325">
        <v>0.82</v>
      </c>
      <c r="Y109" s="325">
        <v>5.0000000000000037E-2</v>
      </c>
      <c r="Z109" s="325">
        <f t="shared" si="36"/>
        <v>0.87</v>
      </c>
      <c r="AA109" s="185">
        <v>367753</v>
      </c>
      <c r="AB109" s="185" t="s">
        <v>22</v>
      </c>
      <c r="AC109" s="328">
        <v>46169</v>
      </c>
      <c r="AD109" s="185">
        <v>368144</v>
      </c>
    </row>
    <row r="110" spans="1:30" x14ac:dyDescent="0.25">
      <c r="B110" s="328">
        <f t="shared" ca="1" si="29"/>
        <v>46306</v>
      </c>
      <c r="C110" s="328" t="s">
        <v>290</v>
      </c>
      <c r="D110" t="s">
        <v>48</v>
      </c>
      <c r="E110" s="328">
        <v>46162</v>
      </c>
      <c r="F110" s="328"/>
      <c r="G110" s="328"/>
      <c r="H110" s="328"/>
      <c r="J110" s="3">
        <f t="shared" si="30"/>
        <v>0</v>
      </c>
      <c r="K110" s="3"/>
      <c r="L110" s="325">
        <f t="shared" si="31"/>
        <v>0</v>
      </c>
      <c r="M110" s="325"/>
      <c r="N110">
        <f t="shared" si="32"/>
        <v>0</v>
      </c>
      <c r="P110" s="325">
        <f t="shared" ca="1" si="33"/>
        <v>0</v>
      </c>
      <c r="Q110" s="325">
        <v>3225.81</v>
      </c>
      <c r="R110" s="3">
        <v>97.4</v>
      </c>
      <c r="S110" s="3">
        <v>97.614199999999997</v>
      </c>
      <c r="T110" s="325">
        <f t="shared" si="34"/>
        <v>3141.9389400000005</v>
      </c>
      <c r="U110" s="325">
        <f t="shared" si="28"/>
        <v>3148.8486250199999</v>
      </c>
      <c r="V110" s="325">
        <f t="shared" si="35"/>
        <v>3148.8486250199999</v>
      </c>
      <c r="W110" s="325">
        <v>0</v>
      </c>
      <c r="X110" s="325">
        <v>6.28</v>
      </c>
      <c r="Y110" s="325">
        <v>0.62999999999999989</v>
      </c>
      <c r="Z110" s="325">
        <f t="shared" si="36"/>
        <v>6.91</v>
      </c>
      <c r="AA110" s="185">
        <v>367766</v>
      </c>
      <c r="AB110" s="185" t="s">
        <v>22</v>
      </c>
      <c r="AC110" s="328">
        <v>46169</v>
      </c>
      <c r="AD110" s="185">
        <v>368144</v>
      </c>
    </row>
    <row r="111" spans="1:30" x14ac:dyDescent="0.25">
      <c r="A111" s="15"/>
      <c r="B111" s="328">
        <f t="shared" ca="1" si="29"/>
        <v>46306</v>
      </c>
      <c r="C111" s="328" t="s">
        <v>123</v>
      </c>
      <c r="D111" t="s">
        <v>47</v>
      </c>
      <c r="E111" s="328">
        <v>46139</v>
      </c>
      <c r="F111" s="328"/>
      <c r="G111" s="328">
        <v>46136</v>
      </c>
      <c r="H111" s="328">
        <v>46486</v>
      </c>
      <c r="J111" s="3">
        <f t="shared" si="30"/>
        <v>0</v>
      </c>
      <c r="K111" s="3"/>
      <c r="L111" s="325">
        <f t="shared" si="31"/>
        <v>0</v>
      </c>
      <c r="M111" s="325">
        <v>0</v>
      </c>
      <c r="N111">
        <f t="shared" si="32"/>
        <v>0</v>
      </c>
      <c r="O111" s="325">
        <f>3334.40372*30000/42535</f>
        <v>2351.7599999999998</v>
      </c>
      <c r="P111" s="325">
        <f t="shared" ca="1" si="33"/>
        <v>0</v>
      </c>
      <c r="Q111" s="325">
        <f>42535*30000/42535</f>
        <v>30000</v>
      </c>
      <c r="R111" s="3">
        <v>92.017483319999997</v>
      </c>
      <c r="S111" s="3">
        <v>92.160799999999995</v>
      </c>
      <c r="T111" s="325">
        <f t="shared" si="34"/>
        <v>27605.244995999998</v>
      </c>
      <c r="U111" s="325">
        <f t="shared" si="28"/>
        <v>27648.240000000002</v>
      </c>
      <c r="V111" s="325">
        <f t="shared" si="35"/>
        <v>27648.240000000002</v>
      </c>
      <c r="W111" s="325">
        <v>0</v>
      </c>
      <c r="X111" s="325">
        <f>37.7257093333333*30000/42535</f>
        <v>26.607999999999972</v>
      </c>
      <c r="Y111" s="325">
        <f>23.2326566993333*30000/42535</f>
        <v>16.386027999999978</v>
      </c>
      <c r="Z111" s="325">
        <f t="shared" si="36"/>
        <v>42.99402799999995</v>
      </c>
      <c r="AA111" s="185">
        <v>366433</v>
      </c>
      <c r="AB111" s="185" t="s">
        <v>321</v>
      </c>
      <c r="AC111" s="328">
        <v>46237</v>
      </c>
      <c r="AD111" s="185">
        <v>372150</v>
      </c>
    </row>
    <row r="112" spans="1:30" x14ac:dyDescent="0.25">
      <c r="B112" s="328">
        <f t="shared" ca="1" si="29"/>
        <v>46306</v>
      </c>
      <c r="C112" s="328" t="s">
        <v>290</v>
      </c>
      <c r="D112" t="s">
        <v>48</v>
      </c>
      <c r="E112" s="328">
        <v>46163</v>
      </c>
      <c r="F112" s="328"/>
      <c r="G112" s="328"/>
      <c r="H112" s="328"/>
      <c r="J112" s="3">
        <f t="shared" si="30"/>
        <v>0</v>
      </c>
      <c r="K112" s="3"/>
      <c r="L112" s="325">
        <f t="shared" si="31"/>
        <v>0</v>
      </c>
      <c r="M112" s="325"/>
      <c r="N112">
        <f t="shared" si="32"/>
        <v>0</v>
      </c>
      <c r="P112" s="325">
        <f t="shared" ca="1" si="33"/>
        <v>0</v>
      </c>
      <c r="Q112" s="325">
        <v>1455.99</v>
      </c>
      <c r="R112" s="3">
        <v>97.05</v>
      </c>
      <c r="S112" s="3">
        <v>97.263717470000003</v>
      </c>
      <c r="T112" s="325">
        <f t="shared" si="34"/>
        <v>1413.0382949999998</v>
      </c>
      <c r="U112" s="325">
        <f t="shared" si="28"/>
        <v>1416.1499999914531</v>
      </c>
      <c r="V112" s="325">
        <f t="shared" si="35"/>
        <v>1416.1499999914531</v>
      </c>
      <c r="W112" s="325">
        <v>0</v>
      </c>
      <c r="X112" s="325">
        <v>2.83</v>
      </c>
      <c r="Y112" s="325">
        <v>0.2799999999999998</v>
      </c>
      <c r="Z112" s="325">
        <f t="shared" si="36"/>
        <v>3.11</v>
      </c>
      <c r="AA112" s="370" t="s">
        <v>323</v>
      </c>
      <c r="AB112" s="185" t="s">
        <v>22</v>
      </c>
      <c r="AC112" s="328">
        <v>46169</v>
      </c>
      <c r="AD112" s="185">
        <v>368144</v>
      </c>
    </row>
    <row r="113" spans="2:30" x14ac:dyDescent="0.25">
      <c r="B113" s="328">
        <f t="shared" ca="1" si="29"/>
        <v>46306</v>
      </c>
      <c r="C113" s="328" t="s">
        <v>290</v>
      </c>
      <c r="D113" t="s">
        <v>48</v>
      </c>
      <c r="E113" s="328">
        <v>46163</v>
      </c>
      <c r="F113" s="328"/>
      <c r="G113" s="328"/>
      <c r="H113" s="328"/>
      <c r="J113" s="3">
        <f t="shared" si="30"/>
        <v>0</v>
      </c>
      <c r="K113" s="3"/>
      <c r="L113" s="325">
        <f t="shared" si="31"/>
        <v>0</v>
      </c>
      <c r="M113" s="325"/>
      <c r="N113">
        <f t="shared" si="32"/>
        <v>0</v>
      </c>
      <c r="P113" s="325">
        <f t="shared" ca="1" si="33"/>
        <v>0</v>
      </c>
      <c r="Q113" s="325">
        <v>783.14</v>
      </c>
      <c r="R113" s="3">
        <v>96</v>
      </c>
      <c r="S113" s="3">
        <v>96.210128460000007</v>
      </c>
      <c r="T113" s="325">
        <f t="shared" si="34"/>
        <v>751.81439999999998</v>
      </c>
      <c r="U113" s="325">
        <f t="shared" si="28"/>
        <v>753.46000002164408</v>
      </c>
      <c r="V113" s="325">
        <f t="shared" si="35"/>
        <v>753.46000002164408</v>
      </c>
      <c r="W113" s="325">
        <v>0</v>
      </c>
      <c r="X113" s="325">
        <v>1.5</v>
      </c>
      <c r="Y113" s="325">
        <v>0.14999999999999991</v>
      </c>
      <c r="Z113" s="325">
        <f t="shared" si="36"/>
        <v>1.65</v>
      </c>
      <c r="AA113" s="370" t="s">
        <v>324</v>
      </c>
      <c r="AB113" s="185" t="s">
        <v>22</v>
      </c>
      <c r="AC113" s="328">
        <v>46169</v>
      </c>
      <c r="AD113" s="185">
        <v>368144</v>
      </c>
    </row>
    <row r="114" spans="2:30" x14ac:dyDescent="0.25">
      <c r="B114" s="328">
        <f t="shared" ca="1" si="29"/>
        <v>46306</v>
      </c>
      <c r="C114" s="328" t="s">
        <v>290</v>
      </c>
      <c r="D114" t="s">
        <v>48</v>
      </c>
      <c r="E114" s="328">
        <v>46163</v>
      </c>
      <c r="F114" s="328"/>
      <c r="G114" s="328"/>
      <c r="H114" s="328"/>
      <c r="J114" s="3">
        <f t="shared" si="30"/>
        <v>0</v>
      </c>
      <c r="K114" s="3"/>
      <c r="L114" s="325">
        <f t="shared" si="31"/>
        <v>0</v>
      </c>
      <c r="M114" s="325"/>
      <c r="N114">
        <f t="shared" si="32"/>
        <v>0</v>
      </c>
      <c r="P114" s="325">
        <f t="shared" ca="1" si="33"/>
        <v>0</v>
      </c>
      <c r="Q114" s="325">
        <v>303.14</v>
      </c>
      <c r="R114" s="3">
        <v>93.05</v>
      </c>
      <c r="S114" s="3">
        <v>93.32981461</v>
      </c>
      <c r="T114" s="325">
        <f t="shared" si="34"/>
        <v>282.07177000000001</v>
      </c>
      <c r="U114" s="325">
        <f t="shared" si="28"/>
        <v>282.92000000875402</v>
      </c>
      <c r="V114" s="325">
        <f t="shared" si="35"/>
        <v>282.92000000875402</v>
      </c>
      <c r="W114" s="325">
        <v>0</v>
      </c>
      <c r="X114" s="325">
        <v>0.85</v>
      </c>
      <c r="Y114" s="325">
        <v>0</v>
      </c>
      <c r="Z114" s="325">
        <f t="shared" si="36"/>
        <v>0.85</v>
      </c>
      <c r="AA114" s="370" t="s">
        <v>325</v>
      </c>
      <c r="AB114" s="185" t="s">
        <v>22</v>
      </c>
      <c r="AC114" s="328">
        <v>46169</v>
      </c>
      <c r="AD114" s="185">
        <v>368144</v>
      </c>
    </row>
    <row r="115" spans="2:30" x14ac:dyDescent="0.25">
      <c r="B115" s="328">
        <f t="shared" ca="1" si="29"/>
        <v>46306</v>
      </c>
      <c r="C115" s="328" t="s">
        <v>290</v>
      </c>
      <c r="D115" t="s">
        <v>48</v>
      </c>
      <c r="E115" s="328">
        <v>46163</v>
      </c>
      <c r="F115" s="328"/>
      <c r="G115" s="328"/>
      <c r="H115" s="328"/>
      <c r="J115" s="3">
        <f t="shared" si="30"/>
        <v>0</v>
      </c>
      <c r="K115" s="3"/>
      <c r="L115" s="325">
        <f t="shared" si="31"/>
        <v>0</v>
      </c>
      <c r="M115" s="325"/>
      <c r="N115">
        <f t="shared" si="32"/>
        <v>0</v>
      </c>
      <c r="P115" s="325">
        <f t="shared" ca="1" si="33"/>
        <v>0</v>
      </c>
      <c r="Q115" s="325">
        <v>410.77</v>
      </c>
      <c r="R115" s="3">
        <v>96.05</v>
      </c>
      <c r="S115" s="3">
        <v>96.336149180000007</v>
      </c>
      <c r="T115" s="325">
        <f t="shared" si="34"/>
        <v>394.54458499999998</v>
      </c>
      <c r="U115" s="325">
        <f t="shared" si="28"/>
        <v>395.71999998668599</v>
      </c>
      <c r="V115" s="325">
        <f t="shared" si="35"/>
        <v>395.71999998668599</v>
      </c>
      <c r="W115" s="325">
        <v>0</v>
      </c>
      <c r="X115" s="325">
        <v>1.18</v>
      </c>
      <c r="Y115" s="325">
        <v>0</v>
      </c>
      <c r="Z115" s="325">
        <f t="shared" si="36"/>
        <v>1.18</v>
      </c>
      <c r="AA115" s="370" t="s">
        <v>326</v>
      </c>
      <c r="AB115" s="185" t="s">
        <v>22</v>
      </c>
      <c r="AC115" s="328">
        <v>46169</v>
      </c>
      <c r="AD115" s="185">
        <v>368144</v>
      </c>
    </row>
    <row r="116" spans="2:30" x14ac:dyDescent="0.25">
      <c r="B116" s="328">
        <f t="shared" ca="1" si="29"/>
        <v>46306</v>
      </c>
      <c r="C116" s="328" t="s">
        <v>290</v>
      </c>
      <c r="D116" t="s">
        <v>48</v>
      </c>
      <c r="E116" s="328">
        <v>46163</v>
      </c>
      <c r="F116" s="328"/>
      <c r="G116" s="328"/>
      <c r="H116" s="328"/>
      <c r="J116" s="3">
        <f t="shared" si="30"/>
        <v>0</v>
      </c>
      <c r="K116" s="3"/>
      <c r="L116" s="325">
        <f t="shared" si="31"/>
        <v>0</v>
      </c>
      <c r="M116" s="325"/>
      <c r="N116">
        <f t="shared" si="32"/>
        <v>0</v>
      </c>
      <c r="P116" s="325">
        <f t="shared" ca="1" si="33"/>
        <v>0</v>
      </c>
      <c r="Q116" s="325">
        <v>325.56</v>
      </c>
      <c r="R116" s="3">
        <v>96.05</v>
      </c>
      <c r="S116" s="3">
        <v>96.338616540000004</v>
      </c>
      <c r="T116" s="325">
        <f t="shared" si="34"/>
        <v>312.70038</v>
      </c>
      <c r="U116" s="325">
        <f t="shared" si="28"/>
        <v>313.640000007624</v>
      </c>
      <c r="V116" s="325">
        <f t="shared" si="35"/>
        <v>313.640000007624</v>
      </c>
      <c r="W116" s="325">
        <v>0</v>
      </c>
      <c r="X116" s="325">
        <v>0.94</v>
      </c>
      <c r="Y116" s="325">
        <v>0</v>
      </c>
      <c r="Z116" s="325">
        <f t="shared" si="36"/>
        <v>0.94</v>
      </c>
      <c r="AA116" s="370" t="s">
        <v>327</v>
      </c>
      <c r="AB116" s="185" t="s">
        <v>22</v>
      </c>
      <c r="AC116" s="328">
        <v>46169</v>
      </c>
      <c r="AD116" s="185">
        <v>368144</v>
      </c>
    </row>
    <row r="117" spans="2:30" x14ac:dyDescent="0.25">
      <c r="B117" s="328">
        <f t="shared" ca="1" si="29"/>
        <v>46306</v>
      </c>
      <c r="C117" s="328" t="s">
        <v>290</v>
      </c>
      <c r="D117" t="s">
        <v>48</v>
      </c>
      <c r="E117" s="328">
        <v>46163</v>
      </c>
      <c r="F117" s="328"/>
      <c r="G117" s="328"/>
      <c r="H117" s="328"/>
      <c r="J117" s="3">
        <f t="shared" si="30"/>
        <v>0</v>
      </c>
      <c r="K117" s="3"/>
      <c r="L117" s="325">
        <f t="shared" si="31"/>
        <v>0</v>
      </c>
      <c r="M117" s="325"/>
      <c r="N117">
        <f t="shared" si="32"/>
        <v>0</v>
      </c>
      <c r="P117" s="325">
        <f t="shared" ca="1" si="33"/>
        <v>0</v>
      </c>
      <c r="Q117" s="325">
        <v>804.65</v>
      </c>
      <c r="R117" s="3">
        <v>96.75</v>
      </c>
      <c r="S117" s="3">
        <v>96.963899999999995</v>
      </c>
      <c r="T117" s="325">
        <f t="shared" si="34"/>
        <v>778.498875</v>
      </c>
      <c r="U117" s="325">
        <f t="shared" si="28"/>
        <v>780.22002134999991</v>
      </c>
      <c r="V117" s="325">
        <f t="shared" si="35"/>
        <v>780.22002134999991</v>
      </c>
      <c r="W117" s="325">
        <v>0</v>
      </c>
      <c r="X117" s="325">
        <v>1.56</v>
      </c>
      <c r="Y117" s="325">
        <v>0.15999999999999989</v>
      </c>
      <c r="Z117" s="325">
        <f t="shared" si="36"/>
        <v>1.72</v>
      </c>
      <c r="AA117" s="185">
        <v>367832</v>
      </c>
      <c r="AB117" s="185" t="s">
        <v>22</v>
      </c>
      <c r="AC117" s="328">
        <v>46169</v>
      </c>
      <c r="AD117" s="185">
        <v>368144</v>
      </c>
    </row>
    <row r="118" spans="2:30" x14ac:dyDescent="0.25">
      <c r="B118" s="328">
        <f t="shared" ca="1" si="29"/>
        <v>46306</v>
      </c>
      <c r="C118" s="328" t="s">
        <v>290</v>
      </c>
      <c r="D118" t="s">
        <v>48</v>
      </c>
      <c r="E118" s="328">
        <v>46163</v>
      </c>
      <c r="F118" s="328"/>
      <c r="G118" s="328"/>
      <c r="H118" s="328"/>
      <c r="J118" s="3">
        <f t="shared" si="30"/>
        <v>0</v>
      </c>
      <c r="K118" s="3"/>
      <c r="L118" s="325">
        <f t="shared" si="31"/>
        <v>0</v>
      </c>
      <c r="M118" s="325"/>
      <c r="N118">
        <f t="shared" si="32"/>
        <v>0</v>
      </c>
      <c r="P118" s="325">
        <f t="shared" ca="1" si="33"/>
        <v>0</v>
      </c>
      <c r="Q118" s="325">
        <v>975.56</v>
      </c>
      <c r="R118" s="3">
        <v>96.75</v>
      </c>
      <c r="S118" s="3">
        <v>96.962800000000001</v>
      </c>
      <c r="T118" s="325">
        <f t="shared" si="34"/>
        <v>943.85429999999997</v>
      </c>
      <c r="U118" s="325">
        <f t="shared" si="28"/>
        <v>945.93029167999998</v>
      </c>
      <c r="V118" s="325">
        <f t="shared" si="35"/>
        <v>945.93029167999998</v>
      </c>
      <c r="W118" s="325">
        <v>0</v>
      </c>
      <c r="X118" s="325">
        <v>1.89</v>
      </c>
      <c r="Y118" s="325">
        <v>0.1900000000000002</v>
      </c>
      <c r="Z118" s="325">
        <f t="shared" si="36"/>
        <v>2.08</v>
      </c>
      <c r="AA118" s="185">
        <v>367833</v>
      </c>
      <c r="AB118" s="185" t="s">
        <v>22</v>
      </c>
      <c r="AC118" s="328">
        <v>46169</v>
      </c>
      <c r="AD118" s="185">
        <v>368144</v>
      </c>
    </row>
    <row r="119" spans="2:30" x14ac:dyDescent="0.25">
      <c r="B119" s="328">
        <f t="shared" ca="1" si="29"/>
        <v>46306</v>
      </c>
      <c r="C119" s="328" t="s">
        <v>290</v>
      </c>
      <c r="D119" t="s">
        <v>48</v>
      </c>
      <c r="E119" s="328">
        <v>46163</v>
      </c>
      <c r="F119" s="328"/>
      <c r="G119" s="328"/>
      <c r="H119" s="328"/>
      <c r="J119" s="3">
        <f t="shared" si="30"/>
        <v>0</v>
      </c>
      <c r="K119" s="3"/>
      <c r="L119" s="325">
        <f t="shared" si="31"/>
        <v>0</v>
      </c>
      <c r="M119" s="325"/>
      <c r="N119">
        <f t="shared" si="32"/>
        <v>0</v>
      </c>
      <c r="P119" s="325">
        <f t="shared" ca="1" si="33"/>
        <v>0</v>
      </c>
      <c r="Q119" s="325">
        <v>641.6</v>
      </c>
      <c r="R119" s="3">
        <v>96.5</v>
      </c>
      <c r="S119" s="3">
        <v>96.711299999999994</v>
      </c>
      <c r="T119" s="325">
        <f t="shared" si="34"/>
        <v>619.14400000000001</v>
      </c>
      <c r="U119" s="325">
        <f t="shared" si="28"/>
        <v>620.49970080000003</v>
      </c>
      <c r="V119" s="325">
        <f t="shared" si="35"/>
        <v>620.49970080000003</v>
      </c>
      <c r="W119" s="325">
        <v>0</v>
      </c>
      <c r="X119" s="325">
        <v>1.24</v>
      </c>
      <c r="Y119" s="325">
        <v>0.12000000000000011</v>
      </c>
      <c r="Z119" s="325">
        <f t="shared" si="36"/>
        <v>1.36</v>
      </c>
      <c r="AA119" s="185">
        <v>367843</v>
      </c>
      <c r="AB119" s="185" t="s">
        <v>22</v>
      </c>
      <c r="AC119" s="328">
        <v>46169</v>
      </c>
      <c r="AD119" s="185">
        <v>368144</v>
      </c>
    </row>
    <row r="120" spans="2:30" x14ac:dyDescent="0.25">
      <c r="B120" s="328">
        <f t="shared" ca="1" si="29"/>
        <v>46306</v>
      </c>
      <c r="C120" s="328" t="s">
        <v>290</v>
      </c>
      <c r="D120" t="s">
        <v>48</v>
      </c>
      <c r="E120" s="328">
        <v>46163</v>
      </c>
      <c r="F120" s="328"/>
      <c r="G120" s="328"/>
      <c r="H120" s="328"/>
      <c r="J120" s="3">
        <f t="shared" si="30"/>
        <v>0</v>
      </c>
      <c r="K120" s="3"/>
      <c r="L120" s="325">
        <f t="shared" si="31"/>
        <v>0</v>
      </c>
      <c r="M120" s="325"/>
      <c r="N120">
        <f t="shared" si="32"/>
        <v>0</v>
      </c>
      <c r="P120" s="325">
        <f t="shared" ca="1" si="33"/>
        <v>0</v>
      </c>
      <c r="Q120" s="325">
        <v>427.52</v>
      </c>
      <c r="R120" s="3">
        <v>96</v>
      </c>
      <c r="S120" s="3">
        <v>96.210700000000003</v>
      </c>
      <c r="T120" s="325">
        <f t="shared" si="34"/>
        <v>410.41919999999999</v>
      </c>
      <c r="U120" s="325">
        <f t="shared" si="28"/>
        <v>411.31998463999997</v>
      </c>
      <c r="V120" s="325">
        <f t="shared" si="35"/>
        <v>411.31998463999997</v>
      </c>
      <c r="W120" s="325">
        <v>0</v>
      </c>
      <c r="X120" s="325">
        <v>0.82</v>
      </c>
      <c r="Y120" s="325">
        <v>8.0000000000000071E-2</v>
      </c>
      <c r="Z120" s="325">
        <f t="shared" si="36"/>
        <v>0.9</v>
      </c>
      <c r="AA120" s="185">
        <v>367852</v>
      </c>
      <c r="AB120" s="185" t="s">
        <v>22</v>
      </c>
      <c r="AC120" s="328">
        <v>46169</v>
      </c>
      <c r="AD120" s="185">
        <v>368144</v>
      </c>
    </row>
    <row r="121" spans="2:30" x14ac:dyDescent="0.25">
      <c r="B121" s="328">
        <f t="shared" ca="1" si="29"/>
        <v>46306</v>
      </c>
      <c r="C121" s="328" t="s">
        <v>290</v>
      </c>
      <c r="D121" t="s">
        <v>48</v>
      </c>
      <c r="E121" s="328">
        <v>46163</v>
      </c>
      <c r="F121" s="328"/>
      <c r="G121" s="328"/>
      <c r="H121" s="328"/>
      <c r="J121" s="3">
        <f t="shared" si="30"/>
        <v>0</v>
      </c>
      <c r="K121" s="3"/>
      <c r="L121" s="325">
        <f t="shared" si="31"/>
        <v>0</v>
      </c>
      <c r="M121" s="325"/>
      <c r="N121">
        <f t="shared" si="32"/>
        <v>0</v>
      </c>
      <c r="P121" s="325">
        <f t="shared" ca="1" si="33"/>
        <v>0</v>
      </c>
      <c r="Q121" s="325">
        <v>133.31</v>
      </c>
      <c r="R121" s="3">
        <v>94.5</v>
      </c>
      <c r="S121" s="3">
        <v>94.711600000000004</v>
      </c>
      <c r="T121" s="325">
        <f t="shared" si="34"/>
        <v>125.97795000000001</v>
      </c>
      <c r="U121" s="325">
        <f t="shared" si="28"/>
        <v>126.26003396</v>
      </c>
      <c r="V121" s="325">
        <f t="shared" si="35"/>
        <v>126.26003396</v>
      </c>
      <c r="W121" s="325">
        <v>0</v>
      </c>
      <c r="X121" s="325">
        <v>0.25</v>
      </c>
      <c r="Y121" s="325">
        <v>3.000000000000003E-2</v>
      </c>
      <c r="Z121" s="325">
        <f t="shared" si="36"/>
        <v>0.28000000000000003</v>
      </c>
      <c r="AA121" s="185">
        <v>367857</v>
      </c>
      <c r="AB121" s="185" t="s">
        <v>22</v>
      </c>
      <c r="AC121" s="328">
        <v>46169</v>
      </c>
      <c r="AD121" s="185">
        <v>368144</v>
      </c>
    </row>
    <row r="122" spans="2:30" x14ac:dyDescent="0.25">
      <c r="B122" s="328">
        <f t="shared" ca="1" si="29"/>
        <v>46306</v>
      </c>
      <c r="C122" s="328" t="s">
        <v>290</v>
      </c>
      <c r="D122" t="s">
        <v>48</v>
      </c>
      <c r="E122" s="328">
        <v>46163</v>
      </c>
      <c r="F122" s="328"/>
      <c r="G122" s="328"/>
      <c r="H122" s="328"/>
      <c r="J122" s="3">
        <f t="shared" si="30"/>
        <v>0</v>
      </c>
      <c r="K122" s="3"/>
      <c r="L122" s="325">
        <f t="shared" si="31"/>
        <v>0</v>
      </c>
      <c r="M122" s="325"/>
      <c r="N122">
        <f t="shared" si="32"/>
        <v>0</v>
      </c>
      <c r="P122" s="325">
        <f t="shared" ca="1" si="33"/>
        <v>0</v>
      </c>
      <c r="Q122" s="325">
        <v>146.21</v>
      </c>
      <c r="R122" s="3">
        <v>94</v>
      </c>
      <c r="S122" s="3">
        <v>94.302700000000002</v>
      </c>
      <c r="T122" s="325">
        <f t="shared" si="34"/>
        <v>137.43740000000003</v>
      </c>
      <c r="U122" s="325">
        <f t="shared" si="28"/>
        <v>137.87997767000002</v>
      </c>
      <c r="V122" s="325">
        <f t="shared" si="35"/>
        <v>137.87997767000002</v>
      </c>
      <c r="W122" s="325">
        <v>0</v>
      </c>
      <c r="X122" s="325">
        <v>0.41</v>
      </c>
      <c r="Y122" s="325">
        <v>3.000000000000003E-2</v>
      </c>
      <c r="Z122" s="325">
        <f t="shared" si="36"/>
        <v>0.44</v>
      </c>
      <c r="AA122" s="185">
        <v>367862</v>
      </c>
      <c r="AB122" s="185" t="s">
        <v>22</v>
      </c>
      <c r="AC122" s="328">
        <v>46169</v>
      </c>
      <c r="AD122" s="185">
        <v>368144</v>
      </c>
    </row>
    <row r="123" spans="2:30" x14ac:dyDescent="0.25">
      <c r="B123" s="328">
        <f t="shared" ca="1" si="29"/>
        <v>46306</v>
      </c>
      <c r="C123" s="328" t="s">
        <v>290</v>
      </c>
      <c r="D123" t="s">
        <v>48</v>
      </c>
      <c r="E123" s="328">
        <v>46163</v>
      </c>
      <c r="F123" s="328"/>
      <c r="G123" s="328"/>
      <c r="H123" s="328"/>
      <c r="J123" s="3">
        <f t="shared" si="30"/>
        <v>0</v>
      </c>
      <c r="K123" s="3"/>
      <c r="L123" s="325">
        <f t="shared" si="31"/>
        <v>0</v>
      </c>
      <c r="M123" s="325"/>
      <c r="N123">
        <f t="shared" si="32"/>
        <v>0</v>
      </c>
      <c r="P123" s="325">
        <f t="shared" ca="1" si="33"/>
        <v>0</v>
      </c>
      <c r="Q123" s="325">
        <v>708.8</v>
      </c>
      <c r="R123" s="3">
        <v>96.5</v>
      </c>
      <c r="S123" s="3">
        <v>96.808700000000002</v>
      </c>
      <c r="T123" s="325">
        <f t="shared" si="34"/>
        <v>683.99199999999996</v>
      </c>
      <c r="U123" s="325">
        <f t="shared" si="28"/>
        <v>686.18006559999992</v>
      </c>
      <c r="V123" s="325">
        <f t="shared" si="35"/>
        <v>686.18006559999992</v>
      </c>
      <c r="W123" s="325">
        <v>0</v>
      </c>
      <c r="X123" s="325">
        <v>2.0499999999999998</v>
      </c>
      <c r="Y123" s="325">
        <v>0.1400000000000001</v>
      </c>
      <c r="Z123" s="325">
        <f t="shared" si="36"/>
        <v>2.19</v>
      </c>
      <c r="AA123" s="185">
        <v>367872</v>
      </c>
      <c r="AB123" s="185" t="s">
        <v>22</v>
      </c>
      <c r="AC123" s="328">
        <v>46169</v>
      </c>
      <c r="AD123" s="185">
        <v>368144</v>
      </c>
    </row>
    <row r="124" spans="2:30" x14ac:dyDescent="0.25">
      <c r="B124" s="328">
        <f t="shared" ca="1" si="29"/>
        <v>46306</v>
      </c>
      <c r="C124" s="328" t="s">
        <v>290</v>
      </c>
      <c r="D124" t="s">
        <v>48</v>
      </c>
      <c r="E124" s="328">
        <v>46163</v>
      </c>
      <c r="F124" s="328"/>
      <c r="G124" s="328"/>
      <c r="H124" s="328"/>
      <c r="J124" s="3">
        <f t="shared" si="30"/>
        <v>0</v>
      </c>
      <c r="K124" s="3"/>
      <c r="L124" s="325">
        <f t="shared" si="31"/>
        <v>0</v>
      </c>
      <c r="M124" s="325"/>
      <c r="N124">
        <f t="shared" si="32"/>
        <v>0</v>
      </c>
      <c r="P124" s="325">
        <f t="shared" ca="1" si="33"/>
        <v>0</v>
      </c>
      <c r="Q124" s="325">
        <v>1267.32</v>
      </c>
      <c r="R124" s="3">
        <v>97.1</v>
      </c>
      <c r="S124" s="3">
        <v>97.411100000000005</v>
      </c>
      <c r="T124" s="325">
        <f t="shared" si="34"/>
        <v>1230.5677199999998</v>
      </c>
      <c r="U124" s="325">
        <f t="shared" si="28"/>
        <v>1234.51035252</v>
      </c>
      <c r="V124" s="325">
        <f t="shared" si="35"/>
        <v>1234.51035252</v>
      </c>
      <c r="W124" s="325">
        <v>0</v>
      </c>
      <c r="X124" s="325">
        <v>3.69</v>
      </c>
      <c r="Y124" s="325">
        <v>0.25</v>
      </c>
      <c r="Z124" s="325">
        <f t="shared" si="36"/>
        <v>3.94</v>
      </c>
      <c r="AA124" s="185">
        <v>367874</v>
      </c>
      <c r="AB124" s="185" t="s">
        <v>22</v>
      </c>
      <c r="AC124" s="328">
        <v>46169</v>
      </c>
      <c r="AD124" s="185">
        <v>368144</v>
      </c>
    </row>
    <row r="125" spans="2:30" x14ac:dyDescent="0.25">
      <c r="B125" s="328">
        <f t="shared" ca="1" si="29"/>
        <v>46306</v>
      </c>
      <c r="C125" s="328" t="s">
        <v>290</v>
      </c>
      <c r="D125" t="s">
        <v>48</v>
      </c>
      <c r="E125" s="328">
        <v>46163</v>
      </c>
      <c r="F125" s="328"/>
      <c r="G125" s="328"/>
      <c r="H125" s="328"/>
      <c r="J125" s="3">
        <f t="shared" si="30"/>
        <v>0</v>
      </c>
      <c r="K125" s="3"/>
      <c r="L125" s="325">
        <f t="shared" si="31"/>
        <v>0</v>
      </c>
      <c r="M125" s="325"/>
      <c r="N125">
        <f t="shared" si="32"/>
        <v>0</v>
      </c>
      <c r="P125" s="325">
        <f t="shared" ca="1" si="33"/>
        <v>0</v>
      </c>
      <c r="Q125" s="325">
        <v>1024.07</v>
      </c>
      <c r="R125" s="3">
        <v>97</v>
      </c>
      <c r="S125" s="3">
        <v>97.310699999999997</v>
      </c>
      <c r="T125" s="325">
        <f t="shared" si="34"/>
        <v>993.34789999999998</v>
      </c>
      <c r="U125" s="325">
        <f t="shared" si="28"/>
        <v>996.52968549000002</v>
      </c>
      <c r="V125" s="325">
        <f t="shared" si="35"/>
        <v>996.52968549000002</v>
      </c>
      <c r="W125" s="325">
        <v>0</v>
      </c>
      <c r="X125" s="325">
        <v>2.98</v>
      </c>
      <c r="Y125" s="325">
        <v>0.20000000000000021</v>
      </c>
      <c r="Z125" s="325">
        <f t="shared" si="36"/>
        <v>3.18</v>
      </c>
      <c r="AA125" s="185">
        <v>367878</v>
      </c>
      <c r="AB125" s="185" t="s">
        <v>22</v>
      </c>
      <c r="AC125" s="328">
        <v>46169</v>
      </c>
      <c r="AD125" s="185">
        <v>368144</v>
      </c>
    </row>
    <row r="127" spans="2:30" x14ac:dyDescent="0.25">
      <c r="B127" s="328">
        <f t="shared" ref="B127:B190" ca="1" si="37">TODAY()</f>
        <v>46306</v>
      </c>
      <c r="C127" s="328" t="s">
        <v>123</v>
      </c>
      <c r="D127" t="s">
        <v>47</v>
      </c>
      <c r="E127" s="328">
        <v>46129</v>
      </c>
      <c r="F127" s="328"/>
      <c r="G127" s="328"/>
      <c r="H127" s="328">
        <v>46486</v>
      </c>
      <c r="J127" s="3">
        <f t="shared" ref="J127:J190" si="38">L127*12/U127*100</f>
        <v>0</v>
      </c>
      <c r="K127" s="3"/>
      <c r="L127" s="325">
        <f t="shared" ref="L127:L190" si="39">Q127*I127/100/12</f>
        <v>0</v>
      </c>
      <c r="M127" s="325">
        <v>0</v>
      </c>
      <c r="N127">
        <f t="shared" ref="N127:N190" si="40">IF(F127="", 0, IF(B127&gt;F127,INT((B127-F127)/30),0))</f>
        <v>0</v>
      </c>
      <c r="O127" s="325">
        <v>3134.54</v>
      </c>
      <c r="P127" s="325">
        <f t="shared" ref="P127:P190" ca="1" si="41">L127*N127+M127+IF(B127&gt;H127,O127,0)</f>
        <v>0</v>
      </c>
      <c r="Q127" s="325"/>
      <c r="R127" s="3"/>
      <c r="S127" s="3"/>
      <c r="T127" s="325">
        <f t="shared" ref="T127:T190" si="42">Q127*R127/100</f>
        <v>0</v>
      </c>
      <c r="U127" s="325">
        <v>36865.46</v>
      </c>
      <c r="V127" s="325">
        <f t="shared" ref="V127:V190" si="43">U127+W127</f>
        <v>36865.46</v>
      </c>
      <c r="W127" s="325">
        <v>0</v>
      </c>
      <c r="X127" s="325"/>
      <c r="Y127" s="325"/>
      <c r="Z127" s="325">
        <f t="shared" ref="Z127:Z190" si="44">X127+Y127</f>
        <v>0</v>
      </c>
      <c r="AA127" s="185"/>
      <c r="AB127" s="185" t="s">
        <v>241</v>
      </c>
      <c r="AC127" s="328"/>
      <c r="AD127" s="185"/>
    </row>
    <row r="128" spans="2:30" x14ac:dyDescent="0.25">
      <c r="B128" s="328">
        <f t="shared" ca="1" si="37"/>
        <v>46306</v>
      </c>
      <c r="C128" s="328" t="s">
        <v>123</v>
      </c>
      <c r="D128" t="s">
        <v>47</v>
      </c>
      <c r="E128" s="328">
        <v>46129</v>
      </c>
      <c r="F128" s="328"/>
      <c r="G128" s="328"/>
      <c r="H128" s="328">
        <v>46486</v>
      </c>
      <c r="J128" s="3">
        <f t="shared" si="38"/>
        <v>0</v>
      </c>
      <c r="K128" s="3"/>
      <c r="L128" s="325">
        <f t="shared" si="39"/>
        <v>0</v>
      </c>
      <c r="M128" s="325">
        <v>0</v>
      </c>
      <c r="N128">
        <f t="shared" si="40"/>
        <v>0</v>
      </c>
      <c r="O128" s="325">
        <v>642</v>
      </c>
      <c r="P128" s="325">
        <f t="shared" ca="1" si="41"/>
        <v>0</v>
      </c>
      <c r="Q128" s="325"/>
      <c r="R128" s="3"/>
      <c r="S128" s="3"/>
      <c r="T128" s="325">
        <f t="shared" si="42"/>
        <v>0</v>
      </c>
      <c r="U128" s="325">
        <v>7558</v>
      </c>
      <c r="V128" s="325">
        <f t="shared" si="43"/>
        <v>7558</v>
      </c>
      <c r="W128" s="325">
        <v>0</v>
      </c>
      <c r="X128" s="325"/>
      <c r="Y128" s="325"/>
      <c r="Z128" s="325">
        <f t="shared" si="44"/>
        <v>0</v>
      </c>
      <c r="AA128" s="185"/>
      <c r="AB128" s="185" t="s">
        <v>241</v>
      </c>
      <c r="AC128" s="328"/>
      <c r="AD128" s="185"/>
    </row>
    <row r="129" spans="2:30" x14ac:dyDescent="0.25">
      <c r="B129" s="328">
        <f t="shared" ca="1" si="37"/>
        <v>46306</v>
      </c>
      <c r="C129" s="328" t="s">
        <v>123</v>
      </c>
      <c r="D129" t="s">
        <v>47</v>
      </c>
      <c r="E129" s="328">
        <v>46129</v>
      </c>
      <c r="F129" s="328"/>
      <c r="G129" s="328"/>
      <c r="H129" s="328">
        <v>46486</v>
      </c>
      <c r="J129" s="3">
        <f t="shared" si="38"/>
        <v>0</v>
      </c>
      <c r="K129" s="3"/>
      <c r="L129" s="325">
        <f t="shared" si="39"/>
        <v>0</v>
      </c>
      <c r="M129" s="325">
        <v>0</v>
      </c>
      <c r="N129">
        <f t="shared" si="40"/>
        <v>0</v>
      </c>
      <c r="O129" s="325">
        <v>526.44999999999982</v>
      </c>
      <c r="P129" s="325">
        <f t="shared" ca="1" si="41"/>
        <v>0</v>
      </c>
      <c r="Q129" s="325"/>
      <c r="R129" s="3"/>
      <c r="S129" s="3"/>
      <c r="T129" s="325">
        <f t="shared" si="42"/>
        <v>0</v>
      </c>
      <c r="U129" s="325">
        <v>6191.55</v>
      </c>
      <c r="V129" s="325">
        <f t="shared" si="43"/>
        <v>6191.55</v>
      </c>
      <c r="W129" s="325">
        <v>0</v>
      </c>
      <c r="X129" s="325"/>
      <c r="Y129" s="325"/>
      <c r="Z129" s="325">
        <f t="shared" si="44"/>
        <v>0</v>
      </c>
      <c r="AA129" s="185"/>
      <c r="AB129" s="185" t="s">
        <v>241</v>
      </c>
      <c r="AC129" s="328"/>
      <c r="AD129" s="185"/>
    </row>
    <row r="130" spans="2:30" x14ac:dyDescent="0.25">
      <c r="B130" s="328">
        <f t="shared" ca="1" si="37"/>
        <v>46306</v>
      </c>
      <c r="C130" s="328" t="s">
        <v>123</v>
      </c>
      <c r="D130" t="s">
        <v>47</v>
      </c>
      <c r="E130" s="328">
        <v>46129</v>
      </c>
      <c r="F130" s="328"/>
      <c r="G130" s="328"/>
      <c r="H130" s="328">
        <v>46486</v>
      </c>
      <c r="J130" s="3">
        <f t="shared" si="38"/>
        <v>0</v>
      </c>
      <c r="K130" s="3"/>
      <c r="L130" s="325">
        <f t="shared" si="39"/>
        <v>0</v>
      </c>
      <c r="M130" s="325">
        <v>0</v>
      </c>
      <c r="N130">
        <f t="shared" si="40"/>
        <v>0</v>
      </c>
      <c r="O130" s="325">
        <v>1142.700000000001</v>
      </c>
      <c r="P130" s="325">
        <f t="shared" ca="1" si="41"/>
        <v>0</v>
      </c>
      <c r="Q130" s="325"/>
      <c r="R130" s="3"/>
      <c r="S130" s="3"/>
      <c r="T130" s="325">
        <f t="shared" si="42"/>
        <v>0</v>
      </c>
      <c r="U130" s="325">
        <v>13439.3</v>
      </c>
      <c r="V130" s="325">
        <f t="shared" si="43"/>
        <v>13439.3</v>
      </c>
      <c r="W130" s="325">
        <v>0</v>
      </c>
      <c r="X130" s="325"/>
      <c r="Y130" s="325"/>
      <c r="Z130" s="325">
        <f t="shared" si="44"/>
        <v>0</v>
      </c>
      <c r="AA130" s="185"/>
      <c r="AB130" s="185" t="s">
        <v>241</v>
      </c>
      <c r="AC130" s="328"/>
      <c r="AD130" s="185"/>
    </row>
    <row r="131" spans="2:30" x14ac:dyDescent="0.25">
      <c r="B131" s="328">
        <f t="shared" ca="1" si="37"/>
        <v>46306</v>
      </c>
      <c r="C131" s="328" t="s">
        <v>123</v>
      </c>
      <c r="D131" t="s">
        <v>47</v>
      </c>
      <c r="E131" s="328">
        <v>46134</v>
      </c>
      <c r="F131" s="328"/>
      <c r="G131" s="328"/>
      <c r="H131" s="328">
        <v>46493</v>
      </c>
      <c r="J131" s="3">
        <f t="shared" si="38"/>
        <v>0</v>
      </c>
      <c r="K131" s="3"/>
      <c r="L131" s="325">
        <f t="shared" si="39"/>
        <v>0</v>
      </c>
      <c r="M131" s="325">
        <v>0</v>
      </c>
      <c r="N131">
        <f t="shared" si="40"/>
        <v>0</v>
      </c>
      <c r="O131" s="325">
        <v>2100</v>
      </c>
      <c r="P131" s="325">
        <f t="shared" ca="1" si="41"/>
        <v>0</v>
      </c>
      <c r="Q131" s="325"/>
      <c r="R131" s="3"/>
      <c r="S131" s="3"/>
      <c r="T131" s="325">
        <f t="shared" si="42"/>
        <v>0</v>
      </c>
      <c r="U131" s="325">
        <v>24500</v>
      </c>
      <c r="V131" s="325">
        <f t="shared" si="43"/>
        <v>24500</v>
      </c>
      <c r="W131" s="325">
        <v>0</v>
      </c>
      <c r="X131" s="325"/>
      <c r="Y131" s="325"/>
      <c r="Z131" s="325">
        <f t="shared" si="44"/>
        <v>0</v>
      </c>
      <c r="AA131" s="185"/>
      <c r="AB131" s="185" t="s">
        <v>241</v>
      </c>
      <c r="AC131" s="328"/>
      <c r="AD131" s="185"/>
    </row>
    <row r="132" spans="2:30" x14ac:dyDescent="0.25">
      <c r="B132" s="328">
        <f t="shared" ca="1" si="37"/>
        <v>46306</v>
      </c>
      <c r="C132" s="328" t="s">
        <v>123</v>
      </c>
      <c r="D132" t="s">
        <v>47</v>
      </c>
      <c r="E132" s="328">
        <v>46139</v>
      </c>
      <c r="F132" s="328"/>
      <c r="G132" s="328"/>
      <c r="H132" s="328">
        <v>46486</v>
      </c>
      <c r="J132" s="3">
        <f t="shared" si="38"/>
        <v>0</v>
      </c>
      <c r="K132" s="3"/>
      <c r="L132" s="325">
        <f t="shared" si="39"/>
        <v>0</v>
      </c>
      <c r="M132" s="325">
        <v>0</v>
      </c>
      <c r="N132">
        <f t="shared" si="40"/>
        <v>0</v>
      </c>
      <c r="O132" s="325">
        <v>7843.71</v>
      </c>
      <c r="P132" s="325">
        <f t="shared" ca="1" si="41"/>
        <v>0</v>
      </c>
      <c r="Q132" s="325"/>
      <c r="R132" s="3"/>
      <c r="S132" s="3"/>
      <c r="T132" s="325">
        <f t="shared" si="42"/>
        <v>0</v>
      </c>
      <c r="U132" s="325">
        <v>92156.29</v>
      </c>
      <c r="V132" s="325">
        <f t="shared" si="43"/>
        <v>92156.29</v>
      </c>
      <c r="W132" s="325">
        <v>0</v>
      </c>
      <c r="X132" s="325"/>
      <c r="Y132" s="325"/>
      <c r="Z132" s="325">
        <f t="shared" si="44"/>
        <v>0</v>
      </c>
      <c r="AA132" s="185"/>
      <c r="AB132" s="185" t="s">
        <v>241</v>
      </c>
      <c r="AC132" s="328"/>
      <c r="AD132" s="185"/>
    </row>
    <row r="133" spans="2:30" x14ac:dyDescent="0.25">
      <c r="B133" s="328">
        <f t="shared" ca="1" si="37"/>
        <v>46306</v>
      </c>
      <c r="C133" s="328" t="s">
        <v>123</v>
      </c>
      <c r="D133" t="s">
        <v>47</v>
      </c>
      <c r="E133" s="328">
        <v>46139</v>
      </c>
      <c r="F133" s="328"/>
      <c r="G133" s="328"/>
      <c r="H133" s="328">
        <v>46486</v>
      </c>
      <c r="J133" s="3">
        <f t="shared" si="38"/>
        <v>0</v>
      </c>
      <c r="K133" s="3"/>
      <c r="L133" s="325">
        <f t="shared" si="39"/>
        <v>0</v>
      </c>
      <c r="M133" s="325">
        <v>0</v>
      </c>
      <c r="N133">
        <f t="shared" si="40"/>
        <v>0</v>
      </c>
      <c r="O133" s="325">
        <v>471.35000000000042</v>
      </c>
      <c r="P133" s="325">
        <f t="shared" ca="1" si="41"/>
        <v>0</v>
      </c>
      <c r="Q133" s="325"/>
      <c r="R133" s="3"/>
      <c r="S133" s="3"/>
      <c r="T133" s="325">
        <f t="shared" si="42"/>
        <v>0</v>
      </c>
      <c r="U133" s="325">
        <v>5728.65</v>
      </c>
      <c r="V133" s="325">
        <f t="shared" si="43"/>
        <v>5728.65</v>
      </c>
      <c r="W133" s="325">
        <v>0</v>
      </c>
      <c r="X133" s="325"/>
      <c r="Y133" s="325"/>
      <c r="Z133" s="325">
        <f t="shared" si="44"/>
        <v>0</v>
      </c>
      <c r="AA133" s="185"/>
      <c r="AB133" s="185" t="s">
        <v>241</v>
      </c>
      <c r="AC133" s="328"/>
      <c r="AD133" s="185"/>
    </row>
    <row r="134" spans="2:30" x14ac:dyDescent="0.25">
      <c r="B134" s="328">
        <f t="shared" ca="1" si="37"/>
        <v>46306</v>
      </c>
      <c r="C134" s="328" t="s">
        <v>290</v>
      </c>
      <c r="D134" t="s">
        <v>48</v>
      </c>
      <c r="E134" s="328">
        <v>46164</v>
      </c>
      <c r="F134" s="328"/>
      <c r="G134" s="328"/>
      <c r="H134" s="328"/>
      <c r="J134" s="3">
        <f t="shared" si="38"/>
        <v>0</v>
      </c>
      <c r="K134" s="3"/>
      <c r="L134" s="325">
        <f t="shared" si="39"/>
        <v>0</v>
      </c>
      <c r="M134" s="325"/>
      <c r="N134">
        <f t="shared" si="40"/>
        <v>0</v>
      </c>
      <c r="P134" s="325">
        <f t="shared" ca="1" si="41"/>
        <v>0</v>
      </c>
      <c r="Q134" s="325">
        <v>257.5</v>
      </c>
      <c r="R134" s="3">
        <v>96</v>
      </c>
      <c r="S134" s="3">
        <v>96.28737864</v>
      </c>
      <c r="T134" s="325">
        <f t="shared" si="42"/>
        <v>247.2</v>
      </c>
      <c r="U134" s="325">
        <f t="shared" ref="U134:U197" si="45">Q134*S134/100</f>
        <v>247.93999999799999</v>
      </c>
      <c r="V134" s="325">
        <f t="shared" si="43"/>
        <v>247.93999999799999</v>
      </c>
      <c r="W134" s="325">
        <v>0</v>
      </c>
      <c r="X134" s="325">
        <v>0.74</v>
      </c>
      <c r="Y134" s="325">
        <v>0</v>
      </c>
      <c r="Z134" s="325">
        <f t="shared" si="44"/>
        <v>0.74</v>
      </c>
      <c r="AA134" s="185" t="s">
        <v>328</v>
      </c>
      <c r="AB134" s="185" t="s">
        <v>22</v>
      </c>
      <c r="AC134" s="328">
        <v>46169</v>
      </c>
      <c r="AD134" s="185">
        <v>368144</v>
      </c>
    </row>
    <row r="135" spans="2:30" x14ac:dyDescent="0.25">
      <c r="B135" s="328">
        <f t="shared" ca="1" si="37"/>
        <v>46306</v>
      </c>
      <c r="C135" s="328" t="s">
        <v>290</v>
      </c>
      <c r="D135" t="s">
        <v>48</v>
      </c>
      <c r="E135" s="328">
        <v>46164</v>
      </c>
      <c r="F135" s="328"/>
      <c r="G135" s="328"/>
      <c r="H135" s="328"/>
      <c r="J135" s="3">
        <f t="shared" si="38"/>
        <v>0</v>
      </c>
      <c r="K135" s="3"/>
      <c r="L135" s="325">
        <f t="shared" si="39"/>
        <v>0</v>
      </c>
      <c r="M135" s="325"/>
      <c r="N135">
        <f t="shared" si="40"/>
        <v>0</v>
      </c>
      <c r="P135" s="325">
        <f t="shared" ca="1" si="41"/>
        <v>0</v>
      </c>
      <c r="Q135" s="325">
        <v>555.99</v>
      </c>
      <c r="R135" s="3">
        <v>96</v>
      </c>
      <c r="S135" s="3">
        <v>96.307487539999997</v>
      </c>
      <c r="T135" s="325">
        <f t="shared" si="42"/>
        <v>533.75040000000001</v>
      </c>
      <c r="U135" s="325">
        <f t="shared" si="45"/>
        <v>535.45999997364595</v>
      </c>
      <c r="V135" s="325">
        <f t="shared" si="43"/>
        <v>535.45999997364595</v>
      </c>
      <c r="W135" s="325">
        <v>0</v>
      </c>
      <c r="X135" s="325">
        <v>1.6</v>
      </c>
      <c r="Y135" s="325">
        <v>0.1099999999999999</v>
      </c>
      <c r="Z135" s="325">
        <f t="shared" si="44"/>
        <v>1.71</v>
      </c>
      <c r="AA135" s="185" t="s">
        <v>329</v>
      </c>
      <c r="AB135" s="185" t="s">
        <v>22</v>
      </c>
      <c r="AC135" s="328">
        <v>46169</v>
      </c>
      <c r="AD135" s="185">
        <v>368144</v>
      </c>
    </row>
    <row r="136" spans="2:30" x14ac:dyDescent="0.25">
      <c r="B136" s="328">
        <f t="shared" ca="1" si="37"/>
        <v>46306</v>
      </c>
      <c r="C136" s="328" t="s">
        <v>290</v>
      </c>
      <c r="D136" t="s">
        <v>48</v>
      </c>
      <c r="E136" s="328">
        <v>46164</v>
      </c>
      <c r="F136" s="328"/>
      <c r="G136" s="328"/>
      <c r="H136" s="328"/>
      <c r="J136" s="3">
        <f t="shared" si="38"/>
        <v>0</v>
      </c>
      <c r="K136" s="3"/>
      <c r="L136" s="325">
        <f t="shared" si="39"/>
        <v>0</v>
      </c>
      <c r="M136" s="325"/>
      <c r="N136">
        <f t="shared" si="40"/>
        <v>0</v>
      </c>
      <c r="P136" s="325">
        <f t="shared" ca="1" si="41"/>
        <v>0</v>
      </c>
      <c r="Q136" s="325">
        <v>591.16999999999996</v>
      </c>
      <c r="R136" s="3">
        <v>96</v>
      </c>
      <c r="S136" s="3">
        <v>96.305631210000001</v>
      </c>
      <c r="T136" s="325">
        <f t="shared" si="42"/>
        <v>567.52319999999997</v>
      </c>
      <c r="U136" s="325">
        <f t="shared" si="45"/>
        <v>569.33000002415702</v>
      </c>
      <c r="V136" s="325">
        <f t="shared" si="43"/>
        <v>569.33000002415702</v>
      </c>
      <c r="W136" s="325">
        <v>0</v>
      </c>
      <c r="X136" s="325">
        <v>1.7</v>
      </c>
      <c r="Y136" s="325">
        <v>0.1100000000000001</v>
      </c>
      <c r="Z136" s="325">
        <f t="shared" si="44"/>
        <v>1.81</v>
      </c>
      <c r="AA136" s="185" t="s">
        <v>330</v>
      </c>
      <c r="AB136" s="185" t="s">
        <v>22</v>
      </c>
      <c r="AC136" s="328">
        <v>46169</v>
      </c>
      <c r="AD136" s="185">
        <v>368144</v>
      </c>
    </row>
    <row r="137" spans="2:30" x14ac:dyDescent="0.25">
      <c r="B137" s="328">
        <f t="shared" ca="1" si="37"/>
        <v>46306</v>
      </c>
      <c r="C137" s="328" t="s">
        <v>290</v>
      </c>
      <c r="D137" t="s">
        <v>48</v>
      </c>
      <c r="E137" s="328">
        <v>46164</v>
      </c>
      <c r="F137" s="328"/>
      <c r="G137" s="328"/>
      <c r="H137" s="328"/>
      <c r="J137" s="3">
        <f t="shared" si="38"/>
        <v>0</v>
      </c>
      <c r="K137" s="3"/>
      <c r="L137" s="325">
        <f t="shared" si="39"/>
        <v>0</v>
      </c>
      <c r="M137" s="325"/>
      <c r="N137">
        <f t="shared" si="40"/>
        <v>0</v>
      </c>
      <c r="P137" s="325">
        <f t="shared" ca="1" si="41"/>
        <v>0</v>
      </c>
      <c r="Q137" s="325">
        <v>785.09</v>
      </c>
      <c r="R137" s="3">
        <v>96.5</v>
      </c>
      <c r="S137" s="3">
        <v>96.808000000000007</v>
      </c>
      <c r="T137" s="325">
        <f t="shared" si="42"/>
        <v>757.61185</v>
      </c>
      <c r="U137" s="325">
        <f t="shared" si="45"/>
        <v>760.02992720000009</v>
      </c>
      <c r="V137" s="325">
        <f t="shared" si="43"/>
        <v>760.02992720000009</v>
      </c>
      <c r="W137" s="325">
        <v>0</v>
      </c>
      <c r="X137" s="325">
        <v>2.27</v>
      </c>
      <c r="Y137" s="325">
        <v>0.14999999999999991</v>
      </c>
      <c r="Z137" s="325">
        <f t="shared" si="44"/>
        <v>2.42</v>
      </c>
      <c r="AA137" s="185">
        <v>367918</v>
      </c>
      <c r="AB137" s="185" t="s">
        <v>22</v>
      </c>
      <c r="AC137" s="328">
        <v>46169</v>
      </c>
      <c r="AD137" s="185">
        <v>368144</v>
      </c>
    </row>
    <row r="138" spans="2:30" x14ac:dyDescent="0.25">
      <c r="B138" s="328">
        <f t="shared" ca="1" si="37"/>
        <v>46306</v>
      </c>
      <c r="C138" s="328" t="s">
        <v>290</v>
      </c>
      <c r="D138" t="s">
        <v>48</v>
      </c>
      <c r="E138" s="328">
        <v>46164</v>
      </c>
      <c r="F138" s="328"/>
      <c r="G138" s="328"/>
      <c r="H138" s="328"/>
      <c r="J138" s="3">
        <f t="shared" si="38"/>
        <v>0</v>
      </c>
      <c r="K138" s="3"/>
      <c r="L138" s="325">
        <f t="shared" si="39"/>
        <v>0</v>
      </c>
      <c r="M138" s="325"/>
      <c r="N138">
        <f t="shared" si="40"/>
        <v>0</v>
      </c>
      <c r="P138" s="325">
        <f t="shared" ca="1" si="41"/>
        <v>0</v>
      </c>
      <c r="Q138" s="325">
        <v>625.85</v>
      </c>
      <c r="R138" s="3">
        <v>96.5</v>
      </c>
      <c r="S138" s="3">
        <v>96.809100000000001</v>
      </c>
      <c r="T138" s="325">
        <f t="shared" si="42"/>
        <v>603.94524999999999</v>
      </c>
      <c r="U138" s="325">
        <f t="shared" si="45"/>
        <v>605.8797523500001</v>
      </c>
      <c r="V138" s="325">
        <f t="shared" si="43"/>
        <v>605.8797523500001</v>
      </c>
      <c r="W138" s="325">
        <v>0</v>
      </c>
      <c r="X138" s="325">
        <v>1.81</v>
      </c>
      <c r="Y138" s="325">
        <v>0.1199999999999999</v>
      </c>
      <c r="Z138" s="325">
        <f t="shared" si="44"/>
        <v>1.93</v>
      </c>
      <c r="AA138" s="185">
        <v>367920</v>
      </c>
      <c r="AB138" s="185" t="s">
        <v>22</v>
      </c>
      <c r="AC138" s="328">
        <v>46169</v>
      </c>
      <c r="AD138" s="185">
        <v>368144</v>
      </c>
    </row>
    <row r="139" spans="2:30" x14ac:dyDescent="0.25">
      <c r="B139" s="328">
        <f t="shared" ca="1" si="37"/>
        <v>46306</v>
      </c>
      <c r="C139" s="328" t="s">
        <v>290</v>
      </c>
      <c r="D139" t="s">
        <v>48</v>
      </c>
      <c r="E139" s="328">
        <v>46164</v>
      </c>
      <c r="F139" s="328"/>
      <c r="G139" s="328"/>
      <c r="H139" s="328"/>
      <c r="J139" s="3">
        <f t="shared" si="38"/>
        <v>0</v>
      </c>
      <c r="K139" s="3"/>
      <c r="L139" s="325">
        <f t="shared" si="39"/>
        <v>0</v>
      </c>
      <c r="M139" s="325"/>
      <c r="N139">
        <f t="shared" si="40"/>
        <v>0</v>
      </c>
      <c r="P139" s="325">
        <f t="shared" ca="1" si="41"/>
        <v>0</v>
      </c>
      <c r="Q139" s="325">
        <v>2908.2</v>
      </c>
      <c r="R139" s="3">
        <v>97.3</v>
      </c>
      <c r="S139" s="3">
        <v>97.514300000000006</v>
      </c>
      <c r="T139" s="325">
        <f t="shared" si="42"/>
        <v>2829.6785999999997</v>
      </c>
      <c r="U139" s="325">
        <f t="shared" si="45"/>
        <v>2835.9108725999999</v>
      </c>
      <c r="V139" s="325">
        <f t="shared" si="43"/>
        <v>2835.9108725999999</v>
      </c>
      <c r="W139" s="325">
        <v>0</v>
      </c>
      <c r="X139" s="325">
        <v>5.66</v>
      </c>
      <c r="Y139" s="325">
        <v>0.57000000000000028</v>
      </c>
      <c r="Z139" s="325">
        <f t="shared" si="44"/>
        <v>6.23</v>
      </c>
      <c r="AA139" s="185">
        <v>367988</v>
      </c>
      <c r="AB139" s="185" t="s">
        <v>22</v>
      </c>
      <c r="AC139" s="328">
        <v>46169</v>
      </c>
      <c r="AD139" s="185">
        <v>368144</v>
      </c>
    </row>
    <row r="140" spans="2:30" x14ac:dyDescent="0.25">
      <c r="B140" s="328">
        <f t="shared" ca="1" si="37"/>
        <v>46306</v>
      </c>
      <c r="C140" s="328" t="s">
        <v>290</v>
      </c>
      <c r="D140" t="s">
        <v>48</v>
      </c>
      <c r="E140" s="328">
        <v>46164</v>
      </c>
      <c r="F140" s="328"/>
      <c r="G140" s="328"/>
      <c r="H140" s="328"/>
      <c r="J140" s="3">
        <f t="shared" si="38"/>
        <v>0</v>
      </c>
      <c r="K140" s="3"/>
      <c r="L140" s="325">
        <f t="shared" si="39"/>
        <v>0</v>
      </c>
      <c r="M140" s="325"/>
      <c r="N140">
        <f t="shared" si="40"/>
        <v>0</v>
      </c>
      <c r="P140" s="325">
        <f t="shared" ca="1" si="41"/>
        <v>0</v>
      </c>
      <c r="Q140" s="325">
        <v>695.32</v>
      </c>
      <c r="R140" s="3">
        <v>96.5</v>
      </c>
      <c r="S140" s="3">
        <v>96.710899999999995</v>
      </c>
      <c r="T140" s="325">
        <f t="shared" si="42"/>
        <v>670.98380000000009</v>
      </c>
      <c r="U140" s="325">
        <f t="shared" si="45"/>
        <v>672.45022987999994</v>
      </c>
      <c r="V140" s="325">
        <f t="shared" si="43"/>
        <v>672.45022987999994</v>
      </c>
      <c r="W140" s="325">
        <v>0</v>
      </c>
      <c r="X140" s="325">
        <v>1.34</v>
      </c>
      <c r="Y140" s="325">
        <v>0.12999999999999989</v>
      </c>
      <c r="Z140" s="325">
        <f t="shared" si="44"/>
        <v>1.47</v>
      </c>
      <c r="AA140" s="185">
        <v>367993</v>
      </c>
      <c r="AB140" s="185" t="s">
        <v>22</v>
      </c>
      <c r="AC140" s="328">
        <v>46169</v>
      </c>
      <c r="AD140" s="185">
        <v>368144</v>
      </c>
    </row>
    <row r="141" spans="2:30" x14ac:dyDescent="0.25">
      <c r="B141" s="328">
        <f t="shared" ca="1" si="37"/>
        <v>46306</v>
      </c>
      <c r="C141" s="328" t="s">
        <v>290</v>
      </c>
      <c r="D141" t="s">
        <v>48</v>
      </c>
      <c r="E141" s="328">
        <v>46164</v>
      </c>
      <c r="F141" s="328"/>
      <c r="G141" s="328"/>
      <c r="H141" s="328"/>
      <c r="J141" s="3">
        <f t="shared" si="38"/>
        <v>0</v>
      </c>
      <c r="K141" s="3"/>
      <c r="L141" s="325">
        <f t="shared" si="39"/>
        <v>0</v>
      </c>
      <c r="M141" s="325"/>
      <c r="N141">
        <f t="shared" si="40"/>
        <v>0</v>
      </c>
      <c r="P141" s="325">
        <f t="shared" ca="1" si="41"/>
        <v>0</v>
      </c>
      <c r="Q141" s="325">
        <v>1991.21</v>
      </c>
      <c r="R141" s="3">
        <v>97.25</v>
      </c>
      <c r="S141" s="3">
        <v>97.463899999999995</v>
      </c>
      <c r="T141" s="325">
        <f t="shared" si="42"/>
        <v>1936.4517250000001</v>
      </c>
      <c r="U141" s="325">
        <f t="shared" si="45"/>
        <v>1940.7109231899999</v>
      </c>
      <c r="V141" s="325">
        <f t="shared" si="43"/>
        <v>1940.7109231899999</v>
      </c>
      <c r="W141" s="325">
        <v>0</v>
      </c>
      <c r="X141" s="325">
        <v>3.87</v>
      </c>
      <c r="Y141" s="325">
        <v>0.38999999999999968</v>
      </c>
      <c r="Z141" s="325">
        <f t="shared" si="44"/>
        <v>4.26</v>
      </c>
      <c r="AA141" s="185">
        <v>367999</v>
      </c>
      <c r="AB141" s="185" t="s">
        <v>22</v>
      </c>
      <c r="AC141" s="328">
        <v>46169</v>
      </c>
      <c r="AD141" s="185">
        <v>368144</v>
      </c>
    </row>
    <row r="142" spans="2:30" x14ac:dyDescent="0.25">
      <c r="B142" s="328">
        <f t="shared" ca="1" si="37"/>
        <v>46306</v>
      </c>
      <c r="C142" s="328" t="s">
        <v>290</v>
      </c>
      <c r="D142" t="s">
        <v>48</v>
      </c>
      <c r="E142" s="328">
        <v>46164</v>
      </c>
      <c r="F142" s="328"/>
      <c r="G142" s="328"/>
      <c r="H142" s="328"/>
      <c r="J142" s="3">
        <f t="shared" si="38"/>
        <v>0</v>
      </c>
      <c r="K142" s="3"/>
      <c r="L142" s="325">
        <f t="shared" si="39"/>
        <v>0</v>
      </c>
      <c r="M142" s="325"/>
      <c r="N142">
        <f t="shared" si="40"/>
        <v>0</v>
      </c>
      <c r="P142" s="325">
        <f t="shared" ca="1" si="41"/>
        <v>0</v>
      </c>
      <c r="Q142" s="325">
        <v>1028.6300000000001</v>
      </c>
      <c r="R142" s="3">
        <v>97.141499999999994</v>
      </c>
      <c r="S142" s="3">
        <v>97.355699999999999</v>
      </c>
      <c r="T142" s="325">
        <f t="shared" si="42"/>
        <v>999.22661145000006</v>
      </c>
      <c r="U142" s="325">
        <f t="shared" si="45"/>
        <v>1001.4299369100002</v>
      </c>
      <c r="V142" s="325">
        <f t="shared" si="43"/>
        <v>1001.4299369100002</v>
      </c>
      <c r="W142" s="325">
        <v>0</v>
      </c>
      <c r="X142" s="325">
        <v>2</v>
      </c>
      <c r="Y142" s="325">
        <v>0.20000000000000021</v>
      </c>
      <c r="Z142" s="325">
        <f t="shared" si="44"/>
        <v>2.2000000000000002</v>
      </c>
      <c r="AA142" s="185">
        <v>368002</v>
      </c>
      <c r="AB142" s="185" t="s">
        <v>22</v>
      </c>
      <c r="AC142" s="328">
        <v>46169</v>
      </c>
      <c r="AD142" s="185">
        <v>368144</v>
      </c>
    </row>
    <row r="143" spans="2:30" x14ac:dyDescent="0.25">
      <c r="B143" s="397">
        <f t="shared" ca="1" si="37"/>
        <v>46306</v>
      </c>
      <c r="C143" s="397" t="s">
        <v>290</v>
      </c>
      <c r="D143" t="s">
        <v>48</v>
      </c>
      <c r="E143" s="397">
        <v>46168</v>
      </c>
      <c r="F143" s="397"/>
      <c r="G143" s="397"/>
      <c r="H143" s="397"/>
      <c r="J143" s="398">
        <f t="shared" si="38"/>
        <v>0</v>
      </c>
      <c r="K143" s="398"/>
      <c r="L143" s="399">
        <f t="shared" si="39"/>
        <v>0</v>
      </c>
      <c r="M143" s="399"/>
      <c r="N143">
        <f t="shared" si="40"/>
        <v>0</v>
      </c>
      <c r="P143" s="399">
        <f t="shared" ca="1" si="41"/>
        <v>0</v>
      </c>
      <c r="Q143" s="399">
        <v>881.73</v>
      </c>
      <c r="R143" s="398">
        <v>97.1</v>
      </c>
      <c r="S143" s="398">
        <v>97.313199999999995</v>
      </c>
      <c r="T143" s="399">
        <f t="shared" si="42"/>
        <v>856.15982999999994</v>
      </c>
      <c r="U143" s="399">
        <f t="shared" si="45"/>
        <v>858.03967835999993</v>
      </c>
      <c r="V143" s="399">
        <f t="shared" si="43"/>
        <v>858.03967835999993</v>
      </c>
      <c r="W143" s="325">
        <v>0</v>
      </c>
      <c r="X143" s="399">
        <v>1.71</v>
      </c>
      <c r="Y143" s="399">
        <v>0.1699999999999999</v>
      </c>
      <c r="Z143" s="399">
        <f t="shared" si="44"/>
        <v>1.88</v>
      </c>
      <c r="AA143" s="400">
        <v>368059</v>
      </c>
      <c r="AB143" s="185" t="s">
        <v>22</v>
      </c>
      <c r="AC143" s="328">
        <v>46169</v>
      </c>
      <c r="AD143" s="185">
        <v>368144</v>
      </c>
    </row>
    <row r="144" spans="2:30" x14ac:dyDescent="0.25">
      <c r="B144" s="328">
        <f t="shared" ca="1" si="37"/>
        <v>46306</v>
      </c>
      <c r="C144" s="397" t="s">
        <v>290</v>
      </c>
      <c r="D144" t="s">
        <v>48</v>
      </c>
      <c r="E144" s="397">
        <v>46169</v>
      </c>
      <c r="F144" s="328"/>
      <c r="G144" s="328"/>
      <c r="H144" s="328"/>
      <c r="J144" s="3">
        <f t="shared" si="38"/>
        <v>0</v>
      </c>
      <c r="K144" s="3"/>
      <c r="L144" s="325">
        <f t="shared" si="39"/>
        <v>0</v>
      </c>
      <c r="M144" s="325"/>
      <c r="N144">
        <f t="shared" si="40"/>
        <v>0</v>
      </c>
      <c r="P144" s="325">
        <f t="shared" ca="1" si="41"/>
        <v>0</v>
      </c>
      <c r="Q144" s="325">
        <v>799.13</v>
      </c>
      <c r="R144" s="3">
        <v>96.75</v>
      </c>
      <c r="S144" s="3">
        <v>96.962900000000005</v>
      </c>
      <c r="T144" s="325">
        <f t="shared" si="42"/>
        <v>773.158275</v>
      </c>
      <c r="U144" s="325">
        <f t="shared" si="45"/>
        <v>774.85962276999999</v>
      </c>
      <c r="V144" s="325">
        <f t="shared" si="43"/>
        <v>774.85962276999999</v>
      </c>
      <c r="W144" s="325">
        <v>0</v>
      </c>
      <c r="X144" s="325">
        <v>1.55</v>
      </c>
      <c r="Y144" s="325">
        <v>0.14999999999999991</v>
      </c>
      <c r="Z144" s="325">
        <f t="shared" si="44"/>
        <v>1.7</v>
      </c>
      <c r="AA144" s="185">
        <v>368081</v>
      </c>
      <c r="AB144" s="400" t="s">
        <v>22</v>
      </c>
      <c r="AC144" s="328">
        <v>46174</v>
      </c>
      <c r="AD144" s="185">
        <v>3683381</v>
      </c>
    </row>
    <row r="145" spans="2:30" x14ac:dyDescent="0.25">
      <c r="B145" s="328">
        <f t="shared" ca="1" si="37"/>
        <v>46306</v>
      </c>
      <c r="C145" s="397" t="s">
        <v>290</v>
      </c>
      <c r="D145" t="s">
        <v>48</v>
      </c>
      <c r="E145" s="397">
        <v>46169</v>
      </c>
      <c r="F145" s="328"/>
      <c r="G145" s="328"/>
      <c r="H145" s="328"/>
      <c r="J145" s="3">
        <f t="shared" si="38"/>
        <v>0</v>
      </c>
      <c r="K145" s="3"/>
      <c r="L145" s="325">
        <f t="shared" si="39"/>
        <v>0</v>
      </c>
      <c r="M145" s="325"/>
      <c r="N145">
        <f t="shared" si="40"/>
        <v>0</v>
      </c>
      <c r="P145" s="325">
        <f t="shared" ca="1" si="41"/>
        <v>0</v>
      </c>
      <c r="Q145" s="325">
        <v>367.12</v>
      </c>
      <c r="R145" s="3">
        <v>96.5</v>
      </c>
      <c r="S145" s="3">
        <v>96.807599999999994</v>
      </c>
      <c r="T145" s="325">
        <f t="shared" si="42"/>
        <v>354.27080000000001</v>
      </c>
      <c r="U145" s="325">
        <f t="shared" si="45"/>
        <v>355.40006111999998</v>
      </c>
      <c r="V145" s="325">
        <f t="shared" si="43"/>
        <v>355.40006111999998</v>
      </c>
      <c r="W145" s="325">
        <v>0</v>
      </c>
      <c r="X145" s="325">
        <v>1.06</v>
      </c>
      <c r="Y145" s="325">
        <v>6.999999999999984E-2</v>
      </c>
      <c r="Z145" s="325">
        <f t="shared" si="44"/>
        <v>1.1299999999999999</v>
      </c>
      <c r="AA145" s="185">
        <v>368115</v>
      </c>
      <c r="AB145" s="400" t="s">
        <v>22</v>
      </c>
      <c r="AC145" s="328">
        <v>46174</v>
      </c>
      <c r="AD145" s="185">
        <v>3683381</v>
      </c>
    </row>
    <row r="146" spans="2:30" x14ac:dyDescent="0.25">
      <c r="B146" s="328">
        <f t="shared" ca="1" si="37"/>
        <v>46306</v>
      </c>
      <c r="C146" s="397" t="s">
        <v>290</v>
      </c>
      <c r="D146" t="s">
        <v>48</v>
      </c>
      <c r="E146" s="397">
        <v>46169</v>
      </c>
      <c r="F146" s="328"/>
      <c r="G146" s="328"/>
      <c r="H146" s="328"/>
      <c r="J146" s="3">
        <f t="shared" si="38"/>
        <v>0</v>
      </c>
      <c r="K146" s="3"/>
      <c r="L146" s="325">
        <f t="shared" si="39"/>
        <v>0</v>
      </c>
      <c r="M146" s="325"/>
      <c r="N146">
        <f t="shared" si="40"/>
        <v>0</v>
      </c>
      <c r="P146" s="325">
        <f t="shared" ca="1" si="41"/>
        <v>0</v>
      </c>
      <c r="Q146" s="325">
        <v>372.82</v>
      </c>
      <c r="R146" s="3">
        <v>96.5</v>
      </c>
      <c r="S146" s="3">
        <v>96.808099999999996</v>
      </c>
      <c r="T146" s="325">
        <f t="shared" si="42"/>
        <v>359.7713</v>
      </c>
      <c r="U146" s="325">
        <f t="shared" si="45"/>
        <v>360.91995841999994</v>
      </c>
      <c r="V146" s="325">
        <f t="shared" si="43"/>
        <v>360.91995841999994</v>
      </c>
      <c r="W146" s="325">
        <v>0</v>
      </c>
      <c r="X146" s="325">
        <v>1.08</v>
      </c>
      <c r="Y146" s="325">
        <v>6.999999999999984E-2</v>
      </c>
      <c r="Z146" s="325">
        <f t="shared" si="44"/>
        <v>1.1499999999999999</v>
      </c>
      <c r="AA146" s="185">
        <v>368117</v>
      </c>
      <c r="AB146" s="400" t="s">
        <v>22</v>
      </c>
      <c r="AC146" s="328">
        <v>46174</v>
      </c>
      <c r="AD146" s="185">
        <v>3683381</v>
      </c>
    </row>
    <row r="147" spans="2:30" x14ac:dyDescent="0.25">
      <c r="B147" s="328">
        <f t="shared" ca="1" si="37"/>
        <v>46306</v>
      </c>
      <c r="C147" s="397" t="s">
        <v>290</v>
      </c>
      <c r="D147" t="s">
        <v>48</v>
      </c>
      <c r="E147" s="397">
        <v>46169</v>
      </c>
      <c r="F147" s="328"/>
      <c r="G147" s="328"/>
      <c r="H147" s="328"/>
      <c r="J147" s="3">
        <f t="shared" si="38"/>
        <v>0</v>
      </c>
      <c r="K147" s="3"/>
      <c r="L147" s="325">
        <f t="shared" si="39"/>
        <v>0</v>
      </c>
      <c r="M147" s="325"/>
      <c r="N147">
        <f t="shared" si="40"/>
        <v>0</v>
      </c>
      <c r="P147" s="325">
        <f t="shared" ca="1" si="41"/>
        <v>0</v>
      </c>
      <c r="Q147" s="325">
        <v>652.70000000000005</v>
      </c>
      <c r="R147" s="3">
        <v>96.75</v>
      </c>
      <c r="S147" s="3">
        <v>96.963399999999993</v>
      </c>
      <c r="T147" s="325">
        <f t="shared" si="42"/>
        <v>631.48725000000002</v>
      </c>
      <c r="U147" s="325">
        <f t="shared" si="45"/>
        <v>632.88011180000001</v>
      </c>
      <c r="V147" s="325">
        <f t="shared" si="43"/>
        <v>632.88011180000001</v>
      </c>
      <c r="W147" s="325">
        <v>0</v>
      </c>
      <c r="X147" s="325">
        <v>1.26</v>
      </c>
      <c r="Y147" s="325">
        <v>0.12999999999999989</v>
      </c>
      <c r="Z147" s="325">
        <f t="shared" si="44"/>
        <v>1.39</v>
      </c>
      <c r="AA147" s="185">
        <v>368118</v>
      </c>
      <c r="AB147" s="400" t="s">
        <v>22</v>
      </c>
      <c r="AC147" s="328">
        <v>46174</v>
      </c>
      <c r="AD147" s="185">
        <v>3683381</v>
      </c>
    </row>
    <row r="148" spans="2:30" x14ac:dyDescent="0.25">
      <c r="B148" s="328">
        <f t="shared" ca="1" si="37"/>
        <v>46306</v>
      </c>
      <c r="C148" s="397" t="s">
        <v>290</v>
      </c>
      <c r="D148" t="s">
        <v>48</v>
      </c>
      <c r="E148" s="397">
        <v>46169</v>
      </c>
      <c r="F148" s="328"/>
      <c r="G148" s="328"/>
      <c r="H148" s="328"/>
      <c r="J148" s="3">
        <f t="shared" si="38"/>
        <v>0</v>
      </c>
      <c r="K148" s="3"/>
      <c r="L148" s="325">
        <f t="shared" si="39"/>
        <v>0</v>
      </c>
      <c r="M148" s="325"/>
      <c r="N148">
        <f t="shared" si="40"/>
        <v>0</v>
      </c>
      <c r="P148" s="325">
        <f t="shared" ca="1" si="41"/>
        <v>0</v>
      </c>
      <c r="Q148" s="325">
        <v>1456.22</v>
      </c>
      <c r="R148" s="3">
        <v>97.3</v>
      </c>
      <c r="S148" s="3">
        <v>97.513400000000004</v>
      </c>
      <c r="T148" s="325">
        <f t="shared" si="42"/>
        <v>1416.9020600000001</v>
      </c>
      <c r="U148" s="325">
        <f t="shared" si="45"/>
        <v>1420.0096334800003</v>
      </c>
      <c r="V148" s="325">
        <f t="shared" si="43"/>
        <v>1420.0096334800003</v>
      </c>
      <c r="W148" s="325">
        <v>0</v>
      </c>
      <c r="X148" s="325">
        <v>2.83</v>
      </c>
      <c r="Y148" s="325">
        <v>0.2799999999999998</v>
      </c>
      <c r="Z148" s="325">
        <f t="shared" si="44"/>
        <v>3.11</v>
      </c>
      <c r="AA148" s="185">
        <v>368133</v>
      </c>
      <c r="AB148" s="400" t="s">
        <v>22</v>
      </c>
      <c r="AC148" s="328">
        <v>46174</v>
      </c>
      <c r="AD148" s="185">
        <v>3683381</v>
      </c>
    </row>
    <row r="149" spans="2:30" x14ac:dyDescent="0.25">
      <c r="B149" s="328">
        <f t="shared" ca="1" si="37"/>
        <v>46306</v>
      </c>
      <c r="C149" s="397" t="s">
        <v>290</v>
      </c>
      <c r="D149" t="s">
        <v>48</v>
      </c>
      <c r="E149" s="397">
        <v>46170</v>
      </c>
      <c r="F149" s="328"/>
      <c r="G149" s="328"/>
      <c r="H149" s="328"/>
      <c r="J149" s="3">
        <f t="shared" si="38"/>
        <v>0</v>
      </c>
      <c r="K149" s="3"/>
      <c r="L149" s="325">
        <f t="shared" si="39"/>
        <v>0</v>
      </c>
      <c r="M149" s="325"/>
      <c r="N149">
        <f t="shared" si="40"/>
        <v>0</v>
      </c>
      <c r="P149" s="325">
        <f t="shared" ca="1" si="41"/>
        <v>0</v>
      </c>
      <c r="Q149" s="325">
        <v>2038.64</v>
      </c>
      <c r="R149" s="3">
        <v>97.2</v>
      </c>
      <c r="S149" s="3">
        <v>97.414000000000001</v>
      </c>
      <c r="T149" s="325">
        <f t="shared" si="42"/>
        <v>1981.5580800000002</v>
      </c>
      <c r="U149" s="325">
        <f t="shared" si="45"/>
        <v>1985.9207696000001</v>
      </c>
      <c r="V149" s="325">
        <f t="shared" si="43"/>
        <v>1985.9207696000001</v>
      </c>
      <c r="W149" s="325">
        <v>0</v>
      </c>
      <c r="X149" s="325">
        <v>3.96</v>
      </c>
      <c r="Y149" s="325">
        <v>0.4</v>
      </c>
      <c r="Z149" s="325">
        <f t="shared" si="44"/>
        <v>4.3600000000000003</v>
      </c>
      <c r="AA149" s="185">
        <v>368254</v>
      </c>
      <c r="AB149" s="400" t="s">
        <v>22</v>
      </c>
      <c r="AC149" s="328">
        <v>46174</v>
      </c>
      <c r="AD149" s="185">
        <v>3683381</v>
      </c>
    </row>
    <row r="150" spans="2:30" x14ac:dyDescent="0.25">
      <c r="B150" s="328">
        <f t="shared" ca="1" si="37"/>
        <v>46306</v>
      </c>
      <c r="C150" s="397" t="s">
        <v>290</v>
      </c>
      <c r="D150" t="s">
        <v>48</v>
      </c>
      <c r="E150" s="397">
        <v>46170</v>
      </c>
      <c r="F150" s="328"/>
      <c r="G150" s="328"/>
      <c r="H150" s="328"/>
      <c r="J150" s="3">
        <f t="shared" si="38"/>
        <v>0</v>
      </c>
      <c r="K150" s="3"/>
      <c r="L150" s="325">
        <f t="shared" si="39"/>
        <v>0</v>
      </c>
      <c r="M150" s="325"/>
      <c r="N150">
        <f t="shared" si="40"/>
        <v>0</v>
      </c>
      <c r="P150" s="325">
        <f t="shared" ca="1" si="41"/>
        <v>0</v>
      </c>
      <c r="Q150" s="325">
        <v>635.91999999999996</v>
      </c>
      <c r="R150" s="3">
        <v>96.75</v>
      </c>
      <c r="S150" s="3">
        <v>96.9619</v>
      </c>
      <c r="T150" s="325">
        <f t="shared" si="42"/>
        <v>615.25259999999992</v>
      </c>
      <c r="U150" s="325">
        <f t="shared" si="45"/>
        <v>616.60011448</v>
      </c>
      <c r="V150" s="325">
        <f t="shared" si="43"/>
        <v>616.60011448</v>
      </c>
      <c r="W150" s="325">
        <v>0</v>
      </c>
      <c r="X150" s="325">
        <v>1.23</v>
      </c>
      <c r="Y150" s="325">
        <v>0.12</v>
      </c>
      <c r="Z150" s="325">
        <f t="shared" si="44"/>
        <v>1.35</v>
      </c>
      <c r="AA150" s="185">
        <v>368249</v>
      </c>
      <c r="AB150" s="400" t="s">
        <v>22</v>
      </c>
      <c r="AC150" s="328">
        <v>46174</v>
      </c>
      <c r="AD150" s="185">
        <v>3683381</v>
      </c>
    </row>
    <row r="151" spans="2:30" x14ac:dyDescent="0.25">
      <c r="B151" s="328">
        <f t="shared" ca="1" si="37"/>
        <v>46306</v>
      </c>
      <c r="C151" s="397" t="s">
        <v>290</v>
      </c>
      <c r="D151" t="s">
        <v>48</v>
      </c>
      <c r="E151" s="397">
        <v>46170</v>
      </c>
      <c r="F151" s="328"/>
      <c r="G151" s="328"/>
      <c r="H151" s="328"/>
      <c r="J151" s="3">
        <f t="shared" si="38"/>
        <v>0</v>
      </c>
      <c r="K151" s="3"/>
      <c r="L151" s="325">
        <f t="shared" si="39"/>
        <v>0</v>
      </c>
      <c r="M151" s="325"/>
      <c r="N151">
        <f t="shared" si="40"/>
        <v>0</v>
      </c>
      <c r="P151" s="325">
        <f t="shared" ca="1" si="41"/>
        <v>0</v>
      </c>
      <c r="Q151" s="325">
        <v>2575.4299999999998</v>
      </c>
      <c r="R151" s="3">
        <v>97.2</v>
      </c>
      <c r="S151" s="3">
        <v>97.414000000000001</v>
      </c>
      <c r="T151" s="325">
        <f t="shared" si="42"/>
        <v>2503.3179599999999</v>
      </c>
      <c r="U151" s="325">
        <f t="shared" si="45"/>
        <v>2508.8293801999998</v>
      </c>
      <c r="V151" s="325">
        <f t="shared" si="43"/>
        <v>2508.8293801999998</v>
      </c>
      <c r="W151" s="325">
        <v>0</v>
      </c>
      <c r="X151" s="325">
        <v>5.01</v>
      </c>
      <c r="Y151" s="325">
        <v>0.5</v>
      </c>
      <c r="Z151" s="325">
        <f t="shared" si="44"/>
        <v>5.51</v>
      </c>
      <c r="AA151" s="185">
        <v>368251</v>
      </c>
      <c r="AB151" s="400" t="s">
        <v>22</v>
      </c>
      <c r="AC151" s="328">
        <v>46174</v>
      </c>
      <c r="AD151" s="185">
        <v>3683381</v>
      </c>
    </row>
    <row r="152" spans="2:30" x14ac:dyDescent="0.25">
      <c r="B152" s="328">
        <f t="shared" ca="1" si="37"/>
        <v>46306</v>
      </c>
      <c r="C152" s="397" t="s">
        <v>290</v>
      </c>
      <c r="D152" t="s">
        <v>48</v>
      </c>
      <c r="E152" s="397">
        <v>46170</v>
      </c>
      <c r="F152" s="328"/>
      <c r="G152" s="328"/>
      <c r="H152" s="328"/>
      <c r="J152" s="3">
        <f t="shared" si="38"/>
        <v>0</v>
      </c>
      <c r="K152" s="3"/>
      <c r="L152" s="325">
        <f t="shared" si="39"/>
        <v>0</v>
      </c>
      <c r="M152" s="325"/>
      <c r="N152">
        <f t="shared" si="40"/>
        <v>0</v>
      </c>
      <c r="P152" s="325">
        <f t="shared" ca="1" si="41"/>
        <v>0</v>
      </c>
      <c r="Q152" s="325">
        <v>433.7</v>
      </c>
      <c r="R152" s="3">
        <v>96.5</v>
      </c>
      <c r="S152" s="3">
        <v>96.712000000000003</v>
      </c>
      <c r="T152" s="325">
        <f t="shared" si="42"/>
        <v>418.52049999999997</v>
      </c>
      <c r="U152" s="325">
        <f t="shared" si="45"/>
        <v>419.43994400000003</v>
      </c>
      <c r="V152" s="325">
        <f t="shared" si="43"/>
        <v>419.43994400000003</v>
      </c>
      <c r="W152" s="325">
        <v>0</v>
      </c>
      <c r="X152" s="325">
        <v>0.84</v>
      </c>
      <c r="Y152" s="325">
        <v>0.08</v>
      </c>
      <c r="Z152" s="325">
        <f t="shared" si="44"/>
        <v>0.91999999999999993</v>
      </c>
      <c r="AA152" s="185">
        <v>368252</v>
      </c>
      <c r="AB152" s="400" t="s">
        <v>22</v>
      </c>
      <c r="AC152" s="328">
        <v>46174</v>
      </c>
      <c r="AD152" s="185">
        <v>3683381</v>
      </c>
    </row>
    <row r="153" spans="2:30" x14ac:dyDescent="0.25">
      <c r="B153" s="328">
        <f t="shared" ca="1" si="37"/>
        <v>46306</v>
      </c>
      <c r="C153" s="397" t="s">
        <v>290</v>
      </c>
      <c r="D153" t="s">
        <v>48</v>
      </c>
      <c r="E153" s="397">
        <v>46170</v>
      </c>
      <c r="F153" s="328"/>
      <c r="G153" s="328"/>
      <c r="H153" s="328"/>
      <c r="J153" s="3">
        <f t="shared" si="38"/>
        <v>0</v>
      </c>
      <c r="K153" s="3"/>
      <c r="L153" s="325">
        <f t="shared" si="39"/>
        <v>0</v>
      </c>
      <c r="M153" s="325"/>
      <c r="N153">
        <f t="shared" si="40"/>
        <v>0</v>
      </c>
      <c r="P153" s="325">
        <f t="shared" ca="1" si="41"/>
        <v>0</v>
      </c>
      <c r="Q153" s="325">
        <v>1991.98</v>
      </c>
      <c r="R153" s="3">
        <v>97.2</v>
      </c>
      <c r="S153" s="3">
        <v>97.413600000000002</v>
      </c>
      <c r="T153" s="325">
        <f t="shared" si="42"/>
        <v>1936.2045600000001</v>
      </c>
      <c r="U153" s="325">
        <f t="shared" si="45"/>
        <v>1940.45942928</v>
      </c>
      <c r="V153" s="325">
        <f t="shared" si="43"/>
        <v>1940.45942928</v>
      </c>
      <c r="W153" s="325">
        <v>0</v>
      </c>
      <c r="X153" s="325">
        <v>3.87</v>
      </c>
      <c r="Y153" s="325">
        <v>0.39</v>
      </c>
      <c r="Z153" s="325">
        <f t="shared" si="44"/>
        <v>4.26</v>
      </c>
      <c r="AA153" s="185">
        <v>368180</v>
      </c>
      <c r="AB153" s="400" t="s">
        <v>22</v>
      </c>
      <c r="AC153" s="328">
        <v>46174</v>
      </c>
      <c r="AD153" s="185">
        <v>3683381</v>
      </c>
    </row>
    <row r="154" spans="2:30" x14ac:dyDescent="0.25">
      <c r="B154" s="328">
        <f t="shared" ca="1" si="37"/>
        <v>46306</v>
      </c>
      <c r="C154" s="397" t="s">
        <v>290</v>
      </c>
      <c r="D154" t="s">
        <v>48</v>
      </c>
      <c r="E154" s="397">
        <v>46170</v>
      </c>
      <c r="F154" s="328"/>
      <c r="G154" s="328"/>
      <c r="H154" s="328"/>
      <c r="J154" s="3">
        <f t="shared" si="38"/>
        <v>0</v>
      </c>
      <c r="K154" s="3"/>
      <c r="L154" s="325">
        <f t="shared" si="39"/>
        <v>0</v>
      </c>
      <c r="M154" s="325"/>
      <c r="N154">
        <f t="shared" si="40"/>
        <v>0</v>
      </c>
      <c r="P154" s="325">
        <f t="shared" ca="1" si="41"/>
        <v>0</v>
      </c>
      <c r="Q154" s="325">
        <v>1637.07</v>
      </c>
      <c r="R154" s="3">
        <v>97.2</v>
      </c>
      <c r="S154" s="3">
        <v>97.413700000000006</v>
      </c>
      <c r="T154" s="325">
        <f t="shared" si="42"/>
        <v>1591.2320399999999</v>
      </c>
      <c r="U154" s="325">
        <f t="shared" si="45"/>
        <v>1594.7304585900001</v>
      </c>
      <c r="V154" s="325">
        <f t="shared" si="43"/>
        <v>1594.7304585900001</v>
      </c>
      <c r="W154" s="325">
        <v>0</v>
      </c>
      <c r="X154" s="325">
        <v>3.18</v>
      </c>
      <c r="Y154" s="325">
        <v>0.32</v>
      </c>
      <c r="Z154" s="325">
        <f t="shared" si="44"/>
        <v>3.5</v>
      </c>
      <c r="AA154" s="185">
        <v>368192</v>
      </c>
      <c r="AB154" s="400" t="s">
        <v>22</v>
      </c>
      <c r="AC154" s="328">
        <v>46174</v>
      </c>
      <c r="AD154" s="185">
        <v>3683381</v>
      </c>
    </row>
    <row r="155" spans="2:30" x14ac:dyDescent="0.25">
      <c r="B155" s="328">
        <f t="shared" ca="1" si="37"/>
        <v>46306</v>
      </c>
      <c r="C155" s="397" t="s">
        <v>290</v>
      </c>
      <c r="D155" t="s">
        <v>48</v>
      </c>
      <c r="E155" s="397">
        <v>46170</v>
      </c>
      <c r="F155" s="328"/>
      <c r="G155" s="328"/>
      <c r="H155" s="328"/>
      <c r="J155" s="3">
        <f t="shared" si="38"/>
        <v>0</v>
      </c>
      <c r="K155" s="3"/>
      <c r="L155" s="325">
        <f t="shared" si="39"/>
        <v>0</v>
      </c>
      <c r="M155" s="325"/>
      <c r="N155">
        <f t="shared" si="40"/>
        <v>0</v>
      </c>
      <c r="P155" s="325">
        <f t="shared" ca="1" si="41"/>
        <v>0</v>
      </c>
      <c r="Q155" s="325">
        <v>542.25</v>
      </c>
      <c r="R155" s="3">
        <v>96.75</v>
      </c>
      <c r="S155" s="3">
        <v>96.962699999999998</v>
      </c>
      <c r="T155" s="325">
        <f t="shared" si="42"/>
        <v>524.62687500000004</v>
      </c>
      <c r="U155" s="325">
        <f t="shared" si="45"/>
        <v>525.78024074999996</v>
      </c>
      <c r="V155" s="325">
        <f t="shared" si="43"/>
        <v>525.78024074999996</v>
      </c>
      <c r="W155" s="325">
        <v>0</v>
      </c>
      <c r="X155" s="325">
        <v>1.05</v>
      </c>
      <c r="Y155" s="325">
        <v>0.1</v>
      </c>
      <c r="Z155" s="325">
        <f t="shared" si="44"/>
        <v>1.1500000000000001</v>
      </c>
      <c r="AA155" s="185">
        <v>368203</v>
      </c>
      <c r="AB155" s="400" t="s">
        <v>22</v>
      </c>
      <c r="AC155" s="328">
        <v>46174</v>
      </c>
      <c r="AD155" s="185">
        <v>3683381</v>
      </c>
    </row>
    <row r="156" spans="2:30" x14ac:dyDescent="0.25">
      <c r="B156" s="328">
        <f t="shared" ca="1" si="37"/>
        <v>46306</v>
      </c>
      <c r="C156" s="397" t="s">
        <v>290</v>
      </c>
      <c r="D156" t="s">
        <v>48</v>
      </c>
      <c r="E156" s="397">
        <v>46170</v>
      </c>
      <c r="F156" s="328"/>
      <c r="G156" s="328"/>
      <c r="H156" s="328"/>
      <c r="J156" s="3">
        <f t="shared" si="38"/>
        <v>0</v>
      </c>
      <c r="K156" s="3"/>
      <c r="L156" s="325">
        <f t="shared" si="39"/>
        <v>0</v>
      </c>
      <c r="M156" s="325"/>
      <c r="N156">
        <f t="shared" si="40"/>
        <v>0</v>
      </c>
      <c r="P156" s="325">
        <f t="shared" ca="1" si="41"/>
        <v>0</v>
      </c>
      <c r="Q156" s="325">
        <v>1268.7</v>
      </c>
      <c r="R156" s="3">
        <v>97.2</v>
      </c>
      <c r="S156" s="3">
        <v>97.414699999999996</v>
      </c>
      <c r="T156" s="325">
        <f t="shared" si="42"/>
        <v>1233.1764000000001</v>
      </c>
      <c r="U156" s="325">
        <f t="shared" si="45"/>
        <v>1235.9002989000001</v>
      </c>
      <c r="V156" s="325">
        <f t="shared" si="43"/>
        <v>1235.9002989000001</v>
      </c>
      <c r="W156" s="325">
        <v>0</v>
      </c>
      <c r="X156" s="325">
        <v>2.4700000000000002</v>
      </c>
      <c r="Y156" s="325">
        <v>0.25</v>
      </c>
      <c r="Z156" s="325">
        <f t="shared" si="44"/>
        <v>2.72</v>
      </c>
      <c r="AA156" s="185">
        <v>368221</v>
      </c>
      <c r="AB156" s="400" t="s">
        <v>22</v>
      </c>
      <c r="AC156" s="328">
        <v>46174</v>
      </c>
      <c r="AD156" s="185">
        <v>3683381</v>
      </c>
    </row>
    <row r="157" spans="2:30" x14ac:dyDescent="0.25">
      <c r="B157" s="328">
        <f t="shared" ca="1" si="37"/>
        <v>46306</v>
      </c>
      <c r="C157" s="397" t="s">
        <v>290</v>
      </c>
      <c r="D157" t="s">
        <v>48</v>
      </c>
      <c r="E157" s="397">
        <v>46170</v>
      </c>
      <c r="F157" s="328"/>
      <c r="G157" s="328"/>
      <c r="H157" s="328"/>
      <c r="J157" s="3">
        <f t="shared" si="38"/>
        <v>0</v>
      </c>
      <c r="K157" s="3"/>
      <c r="L157" s="325">
        <f t="shared" si="39"/>
        <v>0</v>
      </c>
      <c r="M157" s="325"/>
      <c r="N157">
        <f t="shared" si="40"/>
        <v>0</v>
      </c>
      <c r="P157" s="325">
        <f t="shared" ca="1" si="41"/>
        <v>0</v>
      </c>
      <c r="Q157" s="325">
        <v>814.36</v>
      </c>
      <c r="R157" s="3">
        <v>97</v>
      </c>
      <c r="S157" s="3">
        <v>97.213800000000006</v>
      </c>
      <c r="T157" s="325">
        <f t="shared" si="42"/>
        <v>789.92920000000004</v>
      </c>
      <c r="U157" s="325">
        <f t="shared" si="45"/>
        <v>791.67030168000008</v>
      </c>
      <c r="V157" s="325">
        <f t="shared" si="43"/>
        <v>791.67030168000008</v>
      </c>
      <c r="W157" s="325">
        <v>0</v>
      </c>
      <c r="X157" s="325">
        <v>1.58</v>
      </c>
      <c r="Y157" s="325">
        <v>0.16</v>
      </c>
      <c r="Z157" s="325">
        <f t="shared" si="44"/>
        <v>1.74</v>
      </c>
      <c r="AA157" s="185">
        <v>368223</v>
      </c>
      <c r="AB157" s="400" t="s">
        <v>22</v>
      </c>
      <c r="AC157" s="328">
        <v>46174</v>
      </c>
      <c r="AD157" s="185">
        <v>3683381</v>
      </c>
    </row>
    <row r="158" spans="2:30" x14ac:dyDescent="0.25">
      <c r="B158" s="328">
        <f t="shared" ca="1" si="37"/>
        <v>46306</v>
      </c>
      <c r="C158" s="397" t="s">
        <v>290</v>
      </c>
      <c r="D158" t="s">
        <v>48</v>
      </c>
      <c r="E158" s="397">
        <v>46170</v>
      </c>
      <c r="F158" s="328"/>
      <c r="G158" s="328"/>
      <c r="H158" s="328"/>
      <c r="J158" s="3">
        <f t="shared" si="38"/>
        <v>0</v>
      </c>
      <c r="K158" s="3"/>
      <c r="L158" s="325">
        <f t="shared" si="39"/>
        <v>0</v>
      </c>
      <c r="M158" s="325"/>
      <c r="N158">
        <f t="shared" si="40"/>
        <v>0</v>
      </c>
      <c r="P158" s="325">
        <f t="shared" ca="1" si="41"/>
        <v>0</v>
      </c>
      <c r="Q158" s="325">
        <v>2114.63</v>
      </c>
      <c r="R158" s="3">
        <v>97.1</v>
      </c>
      <c r="S158" s="3">
        <v>97.313999999999993</v>
      </c>
      <c r="T158" s="325">
        <f t="shared" si="42"/>
        <v>2053.30573</v>
      </c>
      <c r="U158" s="325">
        <f t="shared" si="45"/>
        <v>2057.8310382</v>
      </c>
      <c r="V158" s="325">
        <f t="shared" si="43"/>
        <v>2057.8310382</v>
      </c>
      <c r="W158" s="325">
        <v>0</v>
      </c>
      <c r="X158" s="325">
        <v>4.1100000000000003</v>
      </c>
      <c r="Y158" s="325">
        <v>0.41</v>
      </c>
      <c r="Z158" s="325">
        <f t="shared" si="44"/>
        <v>4.5200000000000005</v>
      </c>
      <c r="AA158" s="185">
        <v>368225</v>
      </c>
      <c r="AB158" s="400" t="s">
        <v>22</v>
      </c>
      <c r="AC158" s="328">
        <v>46174</v>
      </c>
      <c r="AD158" s="185">
        <v>3683381</v>
      </c>
    </row>
    <row r="159" spans="2:30" x14ac:dyDescent="0.25">
      <c r="B159" s="328">
        <f t="shared" ca="1" si="37"/>
        <v>46306</v>
      </c>
      <c r="C159" s="397" t="s">
        <v>290</v>
      </c>
      <c r="D159" t="s">
        <v>48</v>
      </c>
      <c r="E159" s="397">
        <v>46170</v>
      </c>
      <c r="F159" s="328"/>
      <c r="G159" s="328"/>
      <c r="H159" s="328"/>
      <c r="J159" s="3">
        <f t="shared" si="38"/>
        <v>0</v>
      </c>
      <c r="K159" s="3"/>
      <c r="L159" s="325">
        <f t="shared" si="39"/>
        <v>0</v>
      </c>
      <c r="M159" s="325"/>
      <c r="N159">
        <f t="shared" si="40"/>
        <v>0</v>
      </c>
      <c r="P159" s="325">
        <f t="shared" ca="1" si="41"/>
        <v>0</v>
      </c>
      <c r="Q159" s="325">
        <v>291.48</v>
      </c>
      <c r="R159" s="3">
        <v>96.05</v>
      </c>
      <c r="S159" s="3">
        <v>96.339371479999997</v>
      </c>
      <c r="T159" s="325">
        <f t="shared" si="42"/>
        <v>279.96654000000001</v>
      </c>
      <c r="U159" s="325">
        <f t="shared" si="45"/>
        <v>280.80999998990404</v>
      </c>
      <c r="V159" s="325">
        <f t="shared" si="43"/>
        <v>280.80999998990404</v>
      </c>
      <c r="W159" s="325">
        <v>0</v>
      </c>
      <c r="X159" s="325">
        <v>0.84</v>
      </c>
      <c r="Y159" s="325">
        <v>0</v>
      </c>
      <c r="Z159" s="325">
        <f t="shared" si="44"/>
        <v>0.84</v>
      </c>
      <c r="AA159" s="185" t="s">
        <v>331</v>
      </c>
      <c r="AB159" s="400" t="s">
        <v>22</v>
      </c>
      <c r="AC159" s="328">
        <v>46174</v>
      </c>
      <c r="AD159" s="185">
        <v>3683381</v>
      </c>
    </row>
    <row r="160" spans="2:30" x14ac:dyDescent="0.25">
      <c r="B160" s="328">
        <f t="shared" ca="1" si="37"/>
        <v>46306</v>
      </c>
      <c r="C160" s="397" t="s">
        <v>290</v>
      </c>
      <c r="D160" t="s">
        <v>48</v>
      </c>
      <c r="E160" s="397">
        <v>46170</v>
      </c>
      <c r="F160" s="328"/>
      <c r="G160" s="328"/>
      <c r="H160" s="328"/>
      <c r="J160" s="3">
        <f t="shared" si="38"/>
        <v>0</v>
      </c>
      <c r="K160" s="3"/>
      <c r="L160" s="325">
        <f t="shared" si="39"/>
        <v>0</v>
      </c>
      <c r="M160" s="325"/>
      <c r="N160">
        <f t="shared" si="40"/>
        <v>0</v>
      </c>
      <c r="P160" s="325">
        <f t="shared" ca="1" si="41"/>
        <v>0</v>
      </c>
      <c r="Q160" s="325">
        <v>2222.67</v>
      </c>
      <c r="R160" s="3">
        <v>97.3</v>
      </c>
      <c r="S160" s="3">
        <v>97.514250880000006</v>
      </c>
      <c r="T160" s="325">
        <f t="shared" si="42"/>
        <v>2162.6579099999999</v>
      </c>
      <c r="U160" s="325">
        <f t="shared" si="45"/>
        <v>2167.4200000344963</v>
      </c>
      <c r="V160" s="325">
        <f t="shared" si="43"/>
        <v>2167.4200000344963</v>
      </c>
      <c r="W160" s="325">
        <v>0</v>
      </c>
      <c r="X160" s="325">
        <v>4.33</v>
      </c>
      <c r="Y160" s="325">
        <v>0.43</v>
      </c>
      <c r="Z160" s="325">
        <f t="shared" si="44"/>
        <v>4.76</v>
      </c>
      <c r="AA160" s="185" t="s">
        <v>332</v>
      </c>
      <c r="AB160" s="400" t="s">
        <v>22</v>
      </c>
      <c r="AC160" s="328">
        <v>46174</v>
      </c>
      <c r="AD160" s="185">
        <v>3683381</v>
      </c>
    </row>
    <row r="161" spans="2:30" x14ac:dyDescent="0.25">
      <c r="B161" s="328">
        <f t="shared" ca="1" si="37"/>
        <v>46306</v>
      </c>
      <c r="C161" s="397" t="s">
        <v>290</v>
      </c>
      <c r="D161" t="s">
        <v>48</v>
      </c>
      <c r="E161" s="397">
        <v>46170</v>
      </c>
      <c r="F161" s="328"/>
      <c r="G161" s="328"/>
      <c r="H161" s="328"/>
      <c r="J161" s="3">
        <f t="shared" si="38"/>
        <v>0</v>
      </c>
      <c r="K161" s="3"/>
      <c r="L161" s="325">
        <f t="shared" si="39"/>
        <v>0</v>
      </c>
      <c r="M161" s="325"/>
      <c r="N161">
        <f t="shared" si="40"/>
        <v>0</v>
      </c>
      <c r="P161" s="325">
        <f t="shared" ca="1" si="41"/>
        <v>0</v>
      </c>
      <c r="Q161" s="325">
        <v>2478.4499999999998</v>
      </c>
      <c r="R161" s="3">
        <v>97</v>
      </c>
      <c r="S161" s="3">
        <v>97.213581070000004</v>
      </c>
      <c r="T161" s="325">
        <f t="shared" si="42"/>
        <v>2404.0965000000001</v>
      </c>
      <c r="U161" s="325">
        <f t="shared" si="45"/>
        <v>2409.3900000294148</v>
      </c>
      <c r="V161" s="325">
        <f t="shared" si="43"/>
        <v>2409.3900000294148</v>
      </c>
      <c r="W161" s="325">
        <v>0</v>
      </c>
      <c r="X161" s="325">
        <v>4.8099999999999996</v>
      </c>
      <c r="Y161" s="325">
        <v>0.48</v>
      </c>
      <c r="Z161" s="325">
        <f t="shared" si="44"/>
        <v>5.2899999999999991</v>
      </c>
      <c r="AA161" s="185" t="s">
        <v>333</v>
      </c>
      <c r="AB161" s="400" t="s">
        <v>22</v>
      </c>
      <c r="AC161" s="328">
        <v>46174</v>
      </c>
      <c r="AD161" s="185">
        <v>3683381</v>
      </c>
    </row>
    <row r="162" spans="2:30" x14ac:dyDescent="0.25">
      <c r="B162" s="328">
        <f t="shared" ca="1" si="37"/>
        <v>46306</v>
      </c>
      <c r="C162" s="397" t="s">
        <v>290</v>
      </c>
      <c r="D162" t="s">
        <v>47</v>
      </c>
      <c r="E162" s="397">
        <v>46171</v>
      </c>
      <c r="F162" s="328"/>
      <c r="G162" s="328"/>
      <c r="H162" s="328"/>
      <c r="J162" s="3">
        <f t="shared" si="38"/>
        <v>0</v>
      </c>
      <c r="K162" s="3"/>
      <c r="L162" s="325">
        <f t="shared" si="39"/>
        <v>0</v>
      </c>
      <c r="M162" s="325"/>
      <c r="N162">
        <f t="shared" si="40"/>
        <v>0</v>
      </c>
      <c r="P162" s="325">
        <f t="shared" ca="1" si="41"/>
        <v>0</v>
      </c>
      <c r="Q162" s="325">
        <v>4004.59</v>
      </c>
      <c r="R162" s="3">
        <v>97.2</v>
      </c>
      <c r="S162" s="3">
        <v>97.413700000000006</v>
      </c>
      <c r="T162" s="325">
        <f t="shared" si="42"/>
        <v>3892.4614800000004</v>
      </c>
      <c r="U162" s="325">
        <f t="shared" si="45"/>
        <v>3901.0192888300003</v>
      </c>
      <c r="V162" s="325">
        <f t="shared" si="43"/>
        <v>3901.0192888300003</v>
      </c>
      <c r="W162" s="325">
        <v>0</v>
      </c>
      <c r="X162" s="325">
        <v>7.78</v>
      </c>
      <c r="Y162" s="325">
        <v>0.78</v>
      </c>
      <c r="Z162" s="325">
        <f t="shared" si="44"/>
        <v>8.56</v>
      </c>
      <c r="AA162" s="185">
        <v>368314</v>
      </c>
      <c r="AB162" s="400" t="s">
        <v>22</v>
      </c>
      <c r="AC162" s="328">
        <v>46174</v>
      </c>
      <c r="AD162" s="185">
        <v>3683381</v>
      </c>
    </row>
    <row r="163" spans="2:30" x14ac:dyDescent="0.25">
      <c r="B163" s="328">
        <f t="shared" ca="1" si="37"/>
        <v>46306</v>
      </c>
      <c r="C163" s="397" t="s">
        <v>290</v>
      </c>
      <c r="D163" t="s">
        <v>48</v>
      </c>
      <c r="E163" s="397">
        <v>46171</v>
      </c>
      <c r="F163" s="328"/>
      <c r="G163" s="328"/>
      <c r="H163" s="328"/>
      <c r="J163" s="3">
        <f t="shared" si="38"/>
        <v>0</v>
      </c>
      <c r="K163" s="3"/>
      <c r="L163" s="325">
        <f t="shared" si="39"/>
        <v>0</v>
      </c>
      <c r="M163" s="325"/>
      <c r="N163">
        <f t="shared" si="40"/>
        <v>0</v>
      </c>
      <c r="P163" s="325">
        <f t="shared" ca="1" si="41"/>
        <v>0</v>
      </c>
      <c r="Q163" s="325">
        <v>971.8</v>
      </c>
      <c r="R163" s="3">
        <v>97</v>
      </c>
      <c r="S163" s="3">
        <v>97.214399999999998</v>
      </c>
      <c r="T163" s="325">
        <f t="shared" si="42"/>
        <v>942.64599999999996</v>
      </c>
      <c r="U163" s="325">
        <f t="shared" si="45"/>
        <v>944.72953919999998</v>
      </c>
      <c r="V163" s="325">
        <f t="shared" si="43"/>
        <v>944.72953919999998</v>
      </c>
      <c r="W163" s="325">
        <v>0</v>
      </c>
      <c r="X163" s="325">
        <v>1.89</v>
      </c>
      <c r="Y163" s="325">
        <v>0.19</v>
      </c>
      <c r="Z163" s="325">
        <f t="shared" si="44"/>
        <v>2.08</v>
      </c>
      <c r="AA163" s="185">
        <v>368300</v>
      </c>
      <c r="AB163" s="400" t="s">
        <v>22</v>
      </c>
      <c r="AC163" s="328">
        <v>46174</v>
      </c>
      <c r="AD163" s="185">
        <v>3683381</v>
      </c>
    </row>
    <row r="164" spans="2:30" x14ac:dyDescent="0.25">
      <c r="B164" s="328">
        <f t="shared" ca="1" si="37"/>
        <v>46306</v>
      </c>
      <c r="C164" s="397" t="s">
        <v>290</v>
      </c>
      <c r="D164" t="s">
        <v>48</v>
      </c>
      <c r="E164" s="397">
        <v>46171</v>
      </c>
      <c r="F164" s="328"/>
      <c r="G164" s="328"/>
      <c r="H164" s="328"/>
      <c r="J164" s="3">
        <f t="shared" si="38"/>
        <v>0</v>
      </c>
      <c r="K164" s="3"/>
      <c r="L164" s="325">
        <f t="shared" si="39"/>
        <v>0</v>
      </c>
      <c r="M164" s="325"/>
      <c r="N164">
        <f t="shared" si="40"/>
        <v>0</v>
      </c>
      <c r="P164" s="325">
        <f t="shared" ca="1" si="41"/>
        <v>0</v>
      </c>
      <c r="Q164" s="325">
        <v>706.21</v>
      </c>
      <c r="R164" s="3">
        <v>96</v>
      </c>
      <c r="S164" s="3">
        <v>96.212199999999996</v>
      </c>
      <c r="T164" s="325">
        <f t="shared" si="42"/>
        <v>677.96160000000009</v>
      </c>
      <c r="U164" s="325">
        <f t="shared" si="45"/>
        <v>679.46017762000008</v>
      </c>
      <c r="V164" s="325">
        <f t="shared" si="43"/>
        <v>679.46017762000008</v>
      </c>
      <c r="W164" s="325">
        <v>0</v>
      </c>
      <c r="X164" s="325">
        <v>1.36</v>
      </c>
      <c r="Y164" s="325">
        <v>0.14000000000000001</v>
      </c>
      <c r="Z164" s="325">
        <f t="shared" si="44"/>
        <v>1.5</v>
      </c>
      <c r="AA164" s="185">
        <v>368309</v>
      </c>
      <c r="AB164" s="400" t="s">
        <v>22</v>
      </c>
      <c r="AC164" s="328">
        <v>46174</v>
      </c>
      <c r="AD164" s="185">
        <v>3683381</v>
      </c>
    </row>
    <row r="165" spans="2:30" x14ac:dyDescent="0.25">
      <c r="B165" s="328">
        <f t="shared" ca="1" si="37"/>
        <v>46306</v>
      </c>
      <c r="C165" s="397" t="s">
        <v>290</v>
      </c>
      <c r="D165" t="s">
        <v>46</v>
      </c>
      <c r="E165" s="397">
        <v>46171</v>
      </c>
      <c r="F165" s="328"/>
      <c r="G165" s="328"/>
      <c r="H165" s="328"/>
      <c r="J165" s="3">
        <f t="shared" si="38"/>
        <v>0</v>
      </c>
      <c r="K165" s="3"/>
      <c r="L165" s="325">
        <f t="shared" si="39"/>
        <v>0</v>
      </c>
      <c r="M165" s="325"/>
      <c r="N165">
        <f t="shared" si="40"/>
        <v>0</v>
      </c>
      <c r="P165" s="325">
        <f t="shared" ca="1" si="41"/>
        <v>0</v>
      </c>
      <c r="Q165" s="325">
        <v>263.08999999999997</v>
      </c>
      <c r="R165" s="3">
        <v>96</v>
      </c>
      <c r="S165" s="3">
        <v>96.210400000000007</v>
      </c>
      <c r="T165" s="325">
        <f t="shared" si="42"/>
        <v>252.56639999999999</v>
      </c>
      <c r="U165" s="325">
        <f t="shared" si="45"/>
        <v>253.11994136000001</v>
      </c>
      <c r="V165" s="325">
        <f t="shared" si="43"/>
        <v>253.11994136000001</v>
      </c>
      <c r="W165" s="325">
        <v>0</v>
      </c>
      <c r="X165" s="325">
        <v>0.5</v>
      </c>
      <c r="Y165" s="325">
        <v>0.05</v>
      </c>
      <c r="Z165" s="325">
        <f t="shared" si="44"/>
        <v>0.55000000000000004</v>
      </c>
      <c r="AA165" s="185">
        <v>368299</v>
      </c>
      <c r="AB165" s="400" t="s">
        <v>22</v>
      </c>
      <c r="AC165" s="328">
        <v>46174</v>
      </c>
      <c r="AD165" s="185">
        <v>3683381</v>
      </c>
    </row>
    <row r="166" spans="2:30" x14ac:dyDescent="0.25">
      <c r="B166" s="328">
        <f t="shared" ca="1" si="37"/>
        <v>46306</v>
      </c>
      <c r="C166" s="397" t="s">
        <v>290</v>
      </c>
      <c r="D166" t="s">
        <v>47</v>
      </c>
      <c r="E166" s="397">
        <v>46171</v>
      </c>
      <c r="F166" s="328"/>
      <c r="G166" s="328"/>
      <c r="H166" s="328"/>
      <c r="J166" s="3">
        <f t="shared" si="38"/>
        <v>0</v>
      </c>
      <c r="K166" s="3"/>
      <c r="L166" s="325">
        <f t="shared" si="39"/>
        <v>0</v>
      </c>
      <c r="M166" s="325"/>
      <c r="N166">
        <f t="shared" si="40"/>
        <v>0</v>
      </c>
      <c r="P166" s="325">
        <f t="shared" ca="1" si="41"/>
        <v>0</v>
      </c>
      <c r="Q166" s="325">
        <v>512.94000000000005</v>
      </c>
      <c r="R166" s="3">
        <v>96.5</v>
      </c>
      <c r="S166" s="3">
        <v>96.713099999999997</v>
      </c>
      <c r="T166" s="325">
        <f t="shared" si="42"/>
        <v>494.98710000000005</v>
      </c>
      <c r="U166" s="325">
        <f t="shared" si="45"/>
        <v>496.08017514000005</v>
      </c>
      <c r="V166" s="325">
        <f t="shared" si="43"/>
        <v>496.08017514000005</v>
      </c>
      <c r="W166" s="325">
        <v>0</v>
      </c>
      <c r="X166" s="325">
        <v>0.99</v>
      </c>
      <c r="Y166" s="325">
        <v>0.1</v>
      </c>
      <c r="Z166" s="325">
        <f t="shared" si="44"/>
        <v>1.0900000000000001</v>
      </c>
      <c r="AA166" s="185">
        <v>368315</v>
      </c>
      <c r="AB166" s="400" t="s">
        <v>22</v>
      </c>
      <c r="AC166" s="328">
        <v>46174</v>
      </c>
      <c r="AD166" s="185">
        <v>3683381</v>
      </c>
    </row>
    <row r="167" spans="2:30" x14ac:dyDescent="0.25">
      <c r="B167" s="328">
        <f t="shared" ca="1" si="37"/>
        <v>46306</v>
      </c>
      <c r="C167" s="397" t="s">
        <v>290</v>
      </c>
      <c r="D167" t="s">
        <v>47</v>
      </c>
      <c r="E167" s="397">
        <v>46171</v>
      </c>
      <c r="F167" s="328"/>
      <c r="G167" s="328"/>
      <c r="H167" s="328"/>
      <c r="J167" s="3">
        <f t="shared" si="38"/>
        <v>0</v>
      </c>
      <c r="K167" s="3"/>
      <c r="L167" s="325">
        <f t="shared" si="39"/>
        <v>0</v>
      </c>
      <c r="M167" s="325"/>
      <c r="N167">
        <f t="shared" si="40"/>
        <v>0</v>
      </c>
      <c r="P167" s="325">
        <f t="shared" ca="1" si="41"/>
        <v>0</v>
      </c>
      <c r="Q167" s="325">
        <v>353.14</v>
      </c>
      <c r="R167" s="3">
        <v>96.5</v>
      </c>
      <c r="S167" s="3">
        <v>96.712400000000002</v>
      </c>
      <c r="T167" s="325">
        <f t="shared" si="42"/>
        <v>340.7801</v>
      </c>
      <c r="U167" s="325">
        <f t="shared" si="45"/>
        <v>341.53016936</v>
      </c>
      <c r="V167" s="325">
        <f t="shared" si="43"/>
        <v>341.53016936</v>
      </c>
      <c r="W167" s="325">
        <v>0</v>
      </c>
      <c r="X167" s="325">
        <v>0.68</v>
      </c>
      <c r="Y167" s="325">
        <v>7.0000000000000007E-2</v>
      </c>
      <c r="Z167" s="325">
        <f t="shared" si="44"/>
        <v>0.75</v>
      </c>
      <c r="AA167" s="185">
        <v>368316</v>
      </c>
      <c r="AB167" s="400" t="s">
        <v>22</v>
      </c>
      <c r="AC167" s="328">
        <v>46174</v>
      </c>
      <c r="AD167" s="185">
        <v>3683381</v>
      </c>
    </row>
    <row r="168" spans="2:30" x14ac:dyDescent="0.25">
      <c r="B168" s="328">
        <f t="shared" ca="1" si="37"/>
        <v>46306</v>
      </c>
      <c r="C168" s="397" t="s">
        <v>290</v>
      </c>
      <c r="D168" t="s">
        <v>47</v>
      </c>
      <c r="E168" s="397">
        <v>46171</v>
      </c>
      <c r="F168" s="328"/>
      <c r="G168" s="328"/>
      <c r="H168" s="328"/>
      <c r="J168" s="3">
        <f t="shared" si="38"/>
        <v>0</v>
      </c>
      <c r="K168" s="3"/>
      <c r="L168" s="325">
        <f t="shared" si="39"/>
        <v>0</v>
      </c>
      <c r="M168" s="325"/>
      <c r="N168">
        <f t="shared" si="40"/>
        <v>0</v>
      </c>
      <c r="P168" s="325">
        <f t="shared" ca="1" si="41"/>
        <v>0</v>
      </c>
      <c r="Q168" s="325">
        <v>485.25</v>
      </c>
      <c r="R168" s="3">
        <v>96.5</v>
      </c>
      <c r="S168" s="3">
        <v>96.712999999999994</v>
      </c>
      <c r="T168" s="325">
        <f t="shared" si="42"/>
        <v>468.26625000000001</v>
      </c>
      <c r="U168" s="325">
        <f t="shared" si="45"/>
        <v>469.29983249999998</v>
      </c>
      <c r="V168" s="325">
        <f t="shared" si="43"/>
        <v>469.29983249999998</v>
      </c>
      <c r="W168" s="325">
        <v>0</v>
      </c>
      <c r="X168" s="325">
        <v>0.94</v>
      </c>
      <c r="Y168" s="325">
        <v>0.09</v>
      </c>
      <c r="Z168" s="325">
        <f t="shared" si="44"/>
        <v>1.03</v>
      </c>
      <c r="AA168" s="185">
        <v>368317</v>
      </c>
      <c r="AB168" s="400" t="s">
        <v>22</v>
      </c>
      <c r="AC168" s="328">
        <v>46174</v>
      </c>
      <c r="AD168" s="185">
        <v>3683381</v>
      </c>
    </row>
    <row r="169" spans="2:30" x14ac:dyDescent="0.25">
      <c r="B169" s="328">
        <f t="shared" ca="1" si="37"/>
        <v>46306</v>
      </c>
      <c r="C169" s="397" t="s">
        <v>290</v>
      </c>
      <c r="D169" t="s">
        <v>48</v>
      </c>
      <c r="E169" s="397">
        <v>46171</v>
      </c>
      <c r="F169" s="328"/>
      <c r="G169" s="328"/>
      <c r="H169" s="328"/>
      <c r="J169" s="3">
        <f t="shared" si="38"/>
        <v>0</v>
      </c>
      <c r="K169" s="3"/>
      <c r="L169" s="325">
        <f t="shared" si="39"/>
        <v>0</v>
      </c>
      <c r="M169" s="325"/>
      <c r="N169">
        <f t="shared" si="40"/>
        <v>0</v>
      </c>
      <c r="P169" s="325">
        <f t="shared" ca="1" si="41"/>
        <v>0</v>
      </c>
      <c r="Q169" s="325">
        <v>1183.9000000000001</v>
      </c>
      <c r="R169" s="3">
        <v>97</v>
      </c>
      <c r="S169" s="3">
        <v>97.213399999999993</v>
      </c>
      <c r="T169" s="325">
        <f t="shared" si="42"/>
        <v>1148.383</v>
      </c>
      <c r="U169" s="325">
        <f t="shared" si="45"/>
        <v>1150.9094426000001</v>
      </c>
      <c r="V169" s="325">
        <f t="shared" si="43"/>
        <v>1150.9094426000001</v>
      </c>
      <c r="W169" s="325">
        <v>0</v>
      </c>
      <c r="X169" s="325">
        <v>2.2999999999999998</v>
      </c>
      <c r="Y169" s="325">
        <v>0.23</v>
      </c>
      <c r="Z169" s="325">
        <f t="shared" si="44"/>
        <v>2.5299999999999998</v>
      </c>
      <c r="AA169" s="185">
        <v>368278</v>
      </c>
      <c r="AB169" s="400" t="s">
        <v>22</v>
      </c>
      <c r="AC169" s="328">
        <v>46174</v>
      </c>
      <c r="AD169" s="185">
        <v>3683381</v>
      </c>
    </row>
    <row r="170" spans="2:30" x14ac:dyDescent="0.25">
      <c r="B170" s="328">
        <f t="shared" ca="1" si="37"/>
        <v>46306</v>
      </c>
      <c r="C170" s="397" t="s">
        <v>290</v>
      </c>
      <c r="D170" t="s">
        <v>48</v>
      </c>
      <c r="E170" s="397">
        <v>46171</v>
      </c>
      <c r="F170" s="328"/>
      <c r="G170" s="328"/>
      <c r="H170" s="328"/>
      <c r="J170" s="3">
        <f t="shared" si="38"/>
        <v>0</v>
      </c>
      <c r="K170" s="3"/>
      <c r="L170" s="325">
        <f t="shared" si="39"/>
        <v>0</v>
      </c>
      <c r="M170" s="325"/>
      <c r="N170">
        <f t="shared" si="40"/>
        <v>0</v>
      </c>
      <c r="P170" s="325">
        <f t="shared" ca="1" si="41"/>
        <v>0</v>
      </c>
      <c r="Q170" s="325">
        <v>1970.33</v>
      </c>
      <c r="R170" s="3">
        <v>97.1</v>
      </c>
      <c r="S170" s="3">
        <v>97.313599999999994</v>
      </c>
      <c r="T170" s="325">
        <f t="shared" si="42"/>
        <v>1913.1904299999997</v>
      </c>
      <c r="U170" s="325">
        <f t="shared" si="45"/>
        <v>1917.39905488</v>
      </c>
      <c r="V170" s="325">
        <f t="shared" si="43"/>
        <v>1917.39905488</v>
      </c>
      <c r="W170" s="325">
        <v>0</v>
      </c>
      <c r="X170" s="325">
        <v>3.83</v>
      </c>
      <c r="Y170" s="325">
        <v>0.38</v>
      </c>
      <c r="Z170" s="325">
        <f t="shared" si="44"/>
        <v>4.21</v>
      </c>
      <c r="AA170" s="185">
        <v>368282</v>
      </c>
      <c r="AB170" s="400" t="s">
        <v>22</v>
      </c>
      <c r="AC170" s="328">
        <v>46174</v>
      </c>
      <c r="AD170" s="185">
        <v>3683381</v>
      </c>
    </row>
    <row r="171" spans="2:30" x14ac:dyDescent="0.25">
      <c r="B171" s="328">
        <f t="shared" ca="1" si="37"/>
        <v>46306</v>
      </c>
      <c r="C171" s="397" t="s">
        <v>290</v>
      </c>
      <c r="D171" t="s">
        <v>48</v>
      </c>
      <c r="E171" s="397">
        <v>46171</v>
      </c>
      <c r="F171" s="328"/>
      <c r="G171" s="328"/>
      <c r="H171" s="328"/>
      <c r="J171" s="3">
        <f t="shared" si="38"/>
        <v>0</v>
      </c>
      <c r="K171" s="3"/>
      <c r="L171" s="325">
        <f t="shared" si="39"/>
        <v>0</v>
      </c>
      <c r="M171" s="325"/>
      <c r="N171">
        <f t="shared" si="40"/>
        <v>0</v>
      </c>
      <c r="P171" s="325">
        <f t="shared" ca="1" si="41"/>
        <v>0</v>
      </c>
      <c r="Q171" s="325">
        <v>486.17</v>
      </c>
      <c r="R171" s="3">
        <v>96.5</v>
      </c>
      <c r="S171" s="3">
        <v>96.710999999999999</v>
      </c>
      <c r="T171" s="325">
        <f t="shared" si="42"/>
        <v>469.15404999999998</v>
      </c>
      <c r="U171" s="325">
        <f t="shared" si="45"/>
        <v>470.17986869999999</v>
      </c>
      <c r="V171" s="325">
        <f t="shared" si="43"/>
        <v>470.17986869999999</v>
      </c>
      <c r="W171" s="325">
        <v>0</v>
      </c>
      <c r="X171" s="325">
        <v>0.94</v>
      </c>
      <c r="Y171" s="325">
        <v>0.09</v>
      </c>
      <c r="Z171" s="325">
        <f t="shared" si="44"/>
        <v>1.03</v>
      </c>
      <c r="AA171" s="185">
        <v>368283</v>
      </c>
      <c r="AB171" s="400" t="s">
        <v>22</v>
      </c>
      <c r="AC171" s="328">
        <v>46174</v>
      </c>
      <c r="AD171" s="185">
        <v>3683381</v>
      </c>
    </row>
    <row r="172" spans="2:30" x14ac:dyDescent="0.25">
      <c r="B172" s="328">
        <f t="shared" ca="1" si="37"/>
        <v>46306</v>
      </c>
      <c r="C172" s="397" t="s">
        <v>290</v>
      </c>
      <c r="D172" t="s">
        <v>48</v>
      </c>
      <c r="E172" s="397">
        <v>46171</v>
      </c>
      <c r="F172" s="328"/>
      <c r="G172" s="328"/>
      <c r="H172" s="328"/>
      <c r="J172" s="3">
        <f t="shared" si="38"/>
        <v>0</v>
      </c>
      <c r="K172" s="3"/>
      <c r="L172" s="325">
        <f t="shared" si="39"/>
        <v>0</v>
      </c>
      <c r="M172" s="325"/>
      <c r="N172">
        <f t="shared" si="40"/>
        <v>0</v>
      </c>
      <c r="P172" s="325">
        <f t="shared" ca="1" si="41"/>
        <v>0</v>
      </c>
      <c r="Q172" s="325">
        <v>319.62</v>
      </c>
      <c r="R172" s="3">
        <v>96.5</v>
      </c>
      <c r="S172" s="3">
        <v>96.711699999999993</v>
      </c>
      <c r="T172" s="325">
        <f t="shared" si="42"/>
        <v>308.43330000000003</v>
      </c>
      <c r="U172" s="325">
        <f t="shared" si="45"/>
        <v>309.10993553999998</v>
      </c>
      <c r="V172" s="325">
        <f t="shared" si="43"/>
        <v>309.10993553999998</v>
      </c>
      <c r="W172" s="325">
        <v>0</v>
      </c>
      <c r="X172" s="325">
        <v>0.62</v>
      </c>
      <c r="Y172" s="325">
        <v>0.06</v>
      </c>
      <c r="Z172" s="325">
        <f t="shared" si="44"/>
        <v>0.67999999999999994</v>
      </c>
      <c r="AA172" s="185">
        <v>368286</v>
      </c>
      <c r="AB172" s="400" t="s">
        <v>22</v>
      </c>
      <c r="AC172" s="328">
        <v>46174</v>
      </c>
      <c r="AD172" s="185">
        <v>3683381</v>
      </c>
    </row>
    <row r="173" spans="2:30" x14ac:dyDescent="0.25">
      <c r="B173" s="328">
        <f t="shared" ca="1" si="37"/>
        <v>46306</v>
      </c>
      <c r="C173" s="397" t="s">
        <v>290</v>
      </c>
      <c r="D173" t="s">
        <v>48</v>
      </c>
      <c r="E173" s="397">
        <v>46171</v>
      </c>
      <c r="F173" s="328"/>
      <c r="G173" s="328"/>
      <c r="H173" s="328"/>
      <c r="J173" s="3">
        <f t="shared" si="38"/>
        <v>0</v>
      </c>
      <c r="K173" s="3"/>
      <c r="L173" s="325">
        <f t="shared" si="39"/>
        <v>0</v>
      </c>
      <c r="M173" s="325"/>
      <c r="N173">
        <f t="shared" si="40"/>
        <v>0</v>
      </c>
      <c r="P173" s="325">
        <f t="shared" ca="1" si="41"/>
        <v>0</v>
      </c>
      <c r="Q173" s="325">
        <v>6992.14</v>
      </c>
      <c r="R173" s="3">
        <v>97.2</v>
      </c>
      <c r="S173" s="3">
        <v>97.413799999999995</v>
      </c>
      <c r="T173" s="325">
        <f t="shared" si="42"/>
        <v>6796.3600800000004</v>
      </c>
      <c r="U173" s="325">
        <f t="shared" si="45"/>
        <v>6811.3092753199999</v>
      </c>
      <c r="V173" s="325">
        <f t="shared" si="43"/>
        <v>6811.3092753199999</v>
      </c>
      <c r="W173" s="325">
        <v>0</v>
      </c>
      <c r="X173" s="325">
        <v>13.59</v>
      </c>
      <c r="Y173" s="325">
        <v>1.36</v>
      </c>
      <c r="Z173" s="325">
        <f t="shared" si="44"/>
        <v>14.95</v>
      </c>
      <c r="AA173" s="185">
        <v>368298</v>
      </c>
      <c r="AB173" s="400" t="s">
        <v>22</v>
      </c>
      <c r="AC173" s="328">
        <v>46174</v>
      </c>
      <c r="AD173" s="185">
        <v>3683381</v>
      </c>
    </row>
    <row r="174" spans="2:30" x14ac:dyDescent="0.25">
      <c r="B174" s="397">
        <f t="shared" ca="1" si="37"/>
        <v>46306</v>
      </c>
      <c r="C174" s="397" t="s">
        <v>290</v>
      </c>
      <c r="D174" t="s">
        <v>47</v>
      </c>
      <c r="E174" s="397">
        <v>46174</v>
      </c>
      <c r="F174" s="397"/>
      <c r="G174" s="397"/>
      <c r="H174" s="397"/>
      <c r="J174" s="398">
        <f t="shared" si="38"/>
        <v>0</v>
      </c>
      <c r="K174" s="398"/>
      <c r="L174" s="399">
        <f t="shared" si="39"/>
        <v>0</v>
      </c>
      <c r="M174" s="399"/>
      <c r="N174">
        <f t="shared" si="40"/>
        <v>0</v>
      </c>
      <c r="P174" s="399">
        <f t="shared" ca="1" si="41"/>
        <v>0</v>
      </c>
      <c r="Q174" s="399">
        <v>770.47</v>
      </c>
      <c r="R174" s="398">
        <v>97</v>
      </c>
      <c r="S174" s="398">
        <v>97.213399999999993</v>
      </c>
      <c r="T174" s="399">
        <f t="shared" si="42"/>
        <v>747.35590000000002</v>
      </c>
      <c r="U174" s="399">
        <f t="shared" si="45"/>
        <v>749.00008298</v>
      </c>
      <c r="V174" s="399">
        <f t="shared" si="43"/>
        <v>749.00008298</v>
      </c>
      <c r="W174" s="399"/>
      <c r="X174" s="399">
        <v>1.49</v>
      </c>
      <c r="Y174" s="399">
        <v>0.15</v>
      </c>
      <c r="Z174" s="399">
        <f t="shared" si="44"/>
        <v>1.64</v>
      </c>
      <c r="AA174" s="400">
        <v>368332</v>
      </c>
      <c r="AB174" s="400" t="s">
        <v>22</v>
      </c>
      <c r="AC174" s="397">
        <v>46178</v>
      </c>
      <c r="AD174" s="400">
        <v>3686693</v>
      </c>
    </row>
    <row r="175" spans="2:30" x14ac:dyDescent="0.25">
      <c r="B175" s="397">
        <f t="shared" ca="1" si="37"/>
        <v>46306</v>
      </c>
      <c r="C175" s="397" t="s">
        <v>290</v>
      </c>
      <c r="D175" t="s">
        <v>48</v>
      </c>
      <c r="E175" s="397">
        <v>46174</v>
      </c>
      <c r="F175" s="397"/>
      <c r="G175" s="397"/>
      <c r="H175" s="397"/>
      <c r="J175" s="398">
        <f t="shared" si="38"/>
        <v>0</v>
      </c>
      <c r="K175" s="398"/>
      <c r="L175" s="399">
        <f t="shared" si="39"/>
        <v>0</v>
      </c>
      <c r="M175" s="399"/>
      <c r="N175">
        <f t="shared" si="40"/>
        <v>0</v>
      </c>
      <c r="P175" s="399">
        <f t="shared" ca="1" si="41"/>
        <v>0</v>
      </c>
      <c r="Q175" s="399">
        <v>252.25</v>
      </c>
      <c r="R175" s="398">
        <v>96.5</v>
      </c>
      <c r="S175" s="398">
        <v>96.7136</v>
      </c>
      <c r="T175" s="399">
        <f t="shared" si="42"/>
        <v>243.42124999999999</v>
      </c>
      <c r="U175" s="399">
        <f t="shared" si="45"/>
        <v>243.96005600000001</v>
      </c>
      <c r="V175" s="399">
        <f t="shared" si="43"/>
        <v>243.96005600000001</v>
      </c>
      <c r="W175" s="399"/>
      <c r="X175" s="399">
        <v>0.49</v>
      </c>
      <c r="Y175" s="399">
        <v>0.05</v>
      </c>
      <c r="Z175" s="399">
        <f t="shared" si="44"/>
        <v>0.54</v>
      </c>
      <c r="AA175" s="400">
        <v>368358</v>
      </c>
      <c r="AB175" s="400" t="s">
        <v>22</v>
      </c>
      <c r="AC175" s="397">
        <v>46178</v>
      </c>
      <c r="AD175" s="400">
        <v>3686693</v>
      </c>
    </row>
    <row r="176" spans="2:30" x14ac:dyDescent="0.25">
      <c r="B176" s="397">
        <f t="shared" ca="1" si="37"/>
        <v>46306</v>
      </c>
      <c r="C176" s="397" t="s">
        <v>290</v>
      </c>
      <c r="D176" t="s">
        <v>48</v>
      </c>
      <c r="E176" s="397">
        <v>46174</v>
      </c>
      <c r="F176" s="397"/>
      <c r="G176" s="397"/>
      <c r="H176" s="397"/>
      <c r="J176" s="398">
        <f t="shared" si="38"/>
        <v>0</v>
      </c>
      <c r="K176" s="398"/>
      <c r="L176" s="399">
        <f t="shared" si="39"/>
        <v>0</v>
      </c>
      <c r="M176" s="399"/>
      <c r="N176">
        <f t="shared" si="40"/>
        <v>0</v>
      </c>
      <c r="P176" s="399">
        <f t="shared" ca="1" si="41"/>
        <v>0</v>
      </c>
      <c r="Q176" s="399">
        <v>410.79</v>
      </c>
      <c r="R176" s="398">
        <v>96.5</v>
      </c>
      <c r="S176" s="398">
        <v>96.711200000000005</v>
      </c>
      <c r="T176" s="399">
        <f t="shared" si="42"/>
        <v>396.41235</v>
      </c>
      <c r="U176" s="399">
        <f t="shared" si="45"/>
        <v>397.27993848000006</v>
      </c>
      <c r="V176" s="399">
        <f t="shared" si="43"/>
        <v>397.27993848000006</v>
      </c>
      <c r="W176" s="399"/>
      <c r="X176" s="399">
        <v>0.79</v>
      </c>
      <c r="Y176" s="399">
        <v>0.08</v>
      </c>
      <c r="Z176" s="399">
        <f t="shared" si="44"/>
        <v>0.87</v>
      </c>
      <c r="AA176" s="400">
        <v>368359</v>
      </c>
      <c r="AB176" s="400" t="s">
        <v>22</v>
      </c>
      <c r="AC176" s="397">
        <v>46178</v>
      </c>
      <c r="AD176" s="400">
        <v>3686693</v>
      </c>
    </row>
    <row r="177" spans="2:30" x14ac:dyDescent="0.25">
      <c r="B177" s="397">
        <f t="shared" ca="1" si="37"/>
        <v>46306</v>
      </c>
      <c r="C177" s="397" t="s">
        <v>290</v>
      </c>
      <c r="D177" t="s">
        <v>48</v>
      </c>
      <c r="E177" s="397">
        <v>46174</v>
      </c>
      <c r="F177" s="397"/>
      <c r="G177" s="397"/>
      <c r="H177" s="397"/>
      <c r="J177" s="398">
        <f t="shared" si="38"/>
        <v>0</v>
      </c>
      <c r="K177" s="398"/>
      <c r="L177" s="399">
        <f t="shared" si="39"/>
        <v>0</v>
      </c>
      <c r="M177" s="399"/>
      <c r="N177">
        <f t="shared" si="40"/>
        <v>0</v>
      </c>
      <c r="P177" s="399">
        <f t="shared" ca="1" si="41"/>
        <v>0</v>
      </c>
      <c r="Q177" s="399">
        <v>610.4</v>
      </c>
      <c r="R177" s="398">
        <v>96.5</v>
      </c>
      <c r="S177" s="398">
        <v>96.7136</v>
      </c>
      <c r="T177" s="399">
        <f t="shared" si="42"/>
        <v>589.03599999999994</v>
      </c>
      <c r="U177" s="399">
        <f t="shared" si="45"/>
        <v>590.33981439999991</v>
      </c>
      <c r="V177" s="399">
        <f t="shared" si="43"/>
        <v>590.33981439999991</v>
      </c>
      <c r="W177" s="399"/>
      <c r="X177" s="399">
        <v>1.18</v>
      </c>
      <c r="Y177" s="399">
        <v>0.12</v>
      </c>
      <c r="Z177" s="399">
        <f t="shared" si="44"/>
        <v>1.2999999999999998</v>
      </c>
      <c r="AA177" s="400">
        <v>368363</v>
      </c>
      <c r="AB177" s="400" t="s">
        <v>22</v>
      </c>
      <c r="AC177" s="397">
        <v>46178</v>
      </c>
      <c r="AD177" s="400">
        <v>3686693</v>
      </c>
    </row>
    <row r="178" spans="2:30" x14ac:dyDescent="0.25">
      <c r="B178" s="397">
        <f t="shared" ca="1" si="37"/>
        <v>46306</v>
      </c>
      <c r="C178" s="397" t="s">
        <v>290</v>
      </c>
      <c r="D178" t="s">
        <v>48</v>
      </c>
      <c r="E178" s="397">
        <v>46174</v>
      </c>
      <c r="F178" s="397"/>
      <c r="G178" s="397"/>
      <c r="H178" s="397"/>
      <c r="J178" s="398">
        <f t="shared" si="38"/>
        <v>0</v>
      </c>
      <c r="K178" s="398"/>
      <c r="L178" s="399">
        <f t="shared" si="39"/>
        <v>0</v>
      </c>
      <c r="M178" s="399"/>
      <c r="N178">
        <f t="shared" si="40"/>
        <v>0</v>
      </c>
      <c r="P178" s="399">
        <f t="shared" ca="1" si="41"/>
        <v>0</v>
      </c>
      <c r="Q178" s="399">
        <v>8193.67</v>
      </c>
      <c r="R178" s="398">
        <v>97.25</v>
      </c>
      <c r="S178" s="398">
        <v>97.463899999999995</v>
      </c>
      <c r="T178" s="399">
        <f t="shared" si="42"/>
        <v>7968.344075</v>
      </c>
      <c r="U178" s="399">
        <f t="shared" si="45"/>
        <v>7985.8703351300001</v>
      </c>
      <c r="V178" s="399">
        <f t="shared" si="43"/>
        <v>7985.8703351300001</v>
      </c>
      <c r="W178" s="399"/>
      <c r="X178" s="399">
        <v>15.94</v>
      </c>
      <c r="Y178" s="399">
        <v>1.59</v>
      </c>
      <c r="Z178" s="399">
        <f t="shared" si="44"/>
        <v>17.53</v>
      </c>
      <c r="AA178" s="400">
        <v>368364</v>
      </c>
      <c r="AB178" s="400" t="s">
        <v>22</v>
      </c>
      <c r="AC178" s="397">
        <v>46178</v>
      </c>
      <c r="AD178" s="400">
        <v>3686693</v>
      </c>
    </row>
    <row r="179" spans="2:30" x14ac:dyDescent="0.25">
      <c r="B179" s="397">
        <f t="shared" ca="1" si="37"/>
        <v>46306</v>
      </c>
      <c r="C179" s="397" t="s">
        <v>290</v>
      </c>
      <c r="D179" t="s">
        <v>48</v>
      </c>
      <c r="E179" s="397">
        <v>46174</v>
      </c>
      <c r="F179" s="397"/>
      <c r="G179" s="397"/>
      <c r="H179" s="397"/>
      <c r="J179" s="398">
        <f t="shared" si="38"/>
        <v>0</v>
      </c>
      <c r="K179" s="398"/>
      <c r="L179" s="399">
        <f t="shared" si="39"/>
        <v>0</v>
      </c>
      <c r="M179" s="399"/>
      <c r="N179">
        <f t="shared" si="40"/>
        <v>0</v>
      </c>
      <c r="P179" s="399">
        <f t="shared" ca="1" si="41"/>
        <v>0</v>
      </c>
      <c r="Q179" s="399">
        <v>429.17</v>
      </c>
      <c r="R179" s="398">
        <v>96.5</v>
      </c>
      <c r="S179" s="398">
        <v>96.712299999999999</v>
      </c>
      <c r="T179" s="399">
        <f t="shared" si="42"/>
        <v>414.14904999999999</v>
      </c>
      <c r="U179" s="399">
        <f t="shared" si="45"/>
        <v>415.06017790999999</v>
      </c>
      <c r="V179" s="399">
        <f t="shared" si="43"/>
        <v>415.06017790999999</v>
      </c>
      <c r="W179" s="399"/>
      <c r="X179" s="399">
        <v>0.83</v>
      </c>
      <c r="Y179" s="399">
        <v>0.08</v>
      </c>
      <c r="Z179" s="399">
        <f t="shared" si="44"/>
        <v>0.90999999999999992</v>
      </c>
      <c r="AA179" s="400">
        <v>368376</v>
      </c>
      <c r="AB179" s="400" t="s">
        <v>22</v>
      </c>
      <c r="AC179" s="397">
        <v>46178</v>
      </c>
      <c r="AD179" s="400">
        <v>3686693</v>
      </c>
    </row>
    <row r="180" spans="2:30" x14ac:dyDescent="0.25">
      <c r="B180" s="397">
        <f t="shared" ca="1" si="37"/>
        <v>46306</v>
      </c>
      <c r="C180" s="397" t="s">
        <v>290</v>
      </c>
      <c r="D180" t="s">
        <v>48</v>
      </c>
      <c r="E180" s="397">
        <v>46175</v>
      </c>
      <c r="F180" s="397"/>
      <c r="G180" s="397"/>
      <c r="H180" s="397"/>
      <c r="J180" s="398">
        <f t="shared" si="38"/>
        <v>0</v>
      </c>
      <c r="K180" s="398"/>
      <c r="L180" s="399">
        <f t="shared" si="39"/>
        <v>0</v>
      </c>
      <c r="M180" s="399"/>
      <c r="N180">
        <f t="shared" si="40"/>
        <v>0</v>
      </c>
      <c r="P180" s="399">
        <f t="shared" ca="1" si="41"/>
        <v>0</v>
      </c>
      <c r="Q180" s="399">
        <v>730.14</v>
      </c>
      <c r="R180" s="398">
        <v>96.75</v>
      </c>
      <c r="S180" s="398">
        <v>96.962199999999996</v>
      </c>
      <c r="T180" s="399">
        <f t="shared" si="42"/>
        <v>706.41044999999997</v>
      </c>
      <c r="U180" s="399">
        <f t="shared" si="45"/>
        <v>707.95980708000002</v>
      </c>
      <c r="V180" s="399">
        <f t="shared" si="43"/>
        <v>707.95980708000002</v>
      </c>
      <c r="W180" s="399"/>
      <c r="X180" s="399">
        <v>1.41</v>
      </c>
      <c r="Y180" s="399">
        <v>0.1400000000000001</v>
      </c>
      <c r="Z180" s="399">
        <f t="shared" si="44"/>
        <v>1.55</v>
      </c>
      <c r="AA180" s="400">
        <v>368421</v>
      </c>
      <c r="AB180" s="400" t="s">
        <v>22</v>
      </c>
      <c r="AC180" s="397">
        <v>46178</v>
      </c>
      <c r="AD180" s="400">
        <v>3686693</v>
      </c>
    </row>
    <row r="181" spans="2:30" x14ac:dyDescent="0.25">
      <c r="B181" s="397">
        <f t="shared" ca="1" si="37"/>
        <v>46306</v>
      </c>
      <c r="C181" s="397" t="s">
        <v>290</v>
      </c>
      <c r="D181" t="s">
        <v>48</v>
      </c>
      <c r="E181" s="397">
        <v>46175</v>
      </c>
      <c r="F181" s="397"/>
      <c r="G181" s="397"/>
      <c r="H181" s="397"/>
      <c r="J181" s="398">
        <f t="shared" si="38"/>
        <v>0</v>
      </c>
      <c r="K181" s="398"/>
      <c r="L181" s="399">
        <f t="shared" si="39"/>
        <v>0</v>
      </c>
      <c r="M181" s="399"/>
      <c r="N181">
        <f t="shared" si="40"/>
        <v>0</v>
      </c>
      <c r="P181" s="399">
        <f t="shared" ca="1" si="41"/>
        <v>0</v>
      </c>
      <c r="Q181" s="399">
        <v>223.6</v>
      </c>
      <c r="R181" s="398">
        <v>96</v>
      </c>
      <c r="S181" s="398">
        <v>96.212000000000003</v>
      </c>
      <c r="T181" s="399">
        <f t="shared" si="42"/>
        <v>214.65599999999998</v>
      </c>
      <c r="U181" s="399">
        <f t="shared" si="45"/>
        <v>215.130032</v>
      </c>
      <c r="V181" s="399">
        <f t="shared" si="43"/>
        <v>215.130032</v>
      </c>
      <c r="W181" s="399"/>
      <c r="X181" s="399">
        <v>0.43</v>
      </c>
      <c r="Y181" s="399">
        <v>3.999999999999998E-2</v>
      </c>
      <c r="Z181" s="399">
        <f t="shared" si="44"/>
        <v>0.47</v>
      </c>
      <c r="AA181" s="400">
        <v>368463</v>
      </c>
      <c r="AB181" s="400" t="s">
        <v>22</v>
      </c>
      <c r="AC181" s="397">
        <v>46178</v>
      </c>
      <c r="AD181" s="400">
        <v>3686693</v>
      </c>
    </row>
    <row r="182" spans="2:30" x14ac:dyDescent="0.25">
      <c r="B182" s="397">
        <f t="shared" ca="1" si="37"/>
        <v>46306</v>
      </c>
      <c r="C182" s="397" t="s">
        <v>290</v>
      </c>
      <c r="D182" t="s">
        <v>48</v>
      </c>
      <c r="E182" s="397">
        <v>46175</v>
      </c>
      <c r="F182" s="397"/>
      <c r="G182" s="397"/>
      <c r="H182" s="397"/>
      <c r="J182" s="398">
        <f t="shared" si="38"/>
        <v>0</v>
      </c>
      <c r="K182" s="398"/>
      <c r="L182" s="399">
        <f t="shared" si="39"/>
        <v>0</v>
      </c>
      <c r="M182" s="399"/>
      <c r="N182">
        <f t="shared" si="40"/>
        <v>0</v>
      </c>
      <c r="P182" s="399">
        <f t="shared" ca="1" si="41"/>
        <v>0</v>
      </c>
      <c r="Q182" s="399">
        <v>1312.52</v>
      </c>
      <c r="R182" s="398">
        <v>97.2</v>
      </c>
      <c r="S182" s="398">
        <v>97.414100000000005</v>
      </c>
      <c r="T182" s="399">
        <f t="shared" si="42"/>
        <v>1275.76944</v>
      </c>
      <c r="U182" s="399">
        <f t="shared" si="45"/>
        <v>1278.5795453200001</v>
      </c>
      <c r="V182" s="399">
        <f t="shared" si="43"/>
        <v>1278.5795453200001</v>
      </c>
      <c r="W182" s="399"/>
      <c r="X182" s="399">
        <v>2.5499999999999998</v>
      </c>
      <c r="Y182" s="399">
        <v>0.26000000000000018</v>
      </c>
      <c r="Z182" s="399">
        <f t="shared" si="44"/>
        <v>2.81</v>
      </c>
      <c r="AA182" s="400">
        <v>368480</v>
      </c>
      <c r="AB182" s="400" t="s">
        <v>22</v>
      </c>
      <c r="AC182" s="397">
        <v>46178</v>
      </c>
      <c r="AD182" s="400">
        <v>3686693</v>
      </c>
    </row>
    <row r="183" spans="2:30" x14ac:dyDescent="0.25">
      <c r="B183" s="397">
        <f t="shared" ca="1" si="37"/>
        <v>46306</v>
      </c>
      <c r="C183" s="397" t="s">
        <v>290</v>
      </c>
      <c r="D183" t="s">
        <v>48</v>
      </c>
      <c r="E183" s="397">
        <v>46175</v>
      </c>
      <c r="F183" s="397"/>
      <c r="G183" s="397"/>
      <c r="H183" s="397"/>
      <c r="J183" s="398">
        <f t="shared" si="38"/>
        <v>0</v>
      </c>
      <c r="K183" s="398"/>
      <c r="L183" s="399">
        <f t="shared" si="39"/>
        <v>0</v>
      </c>
      <c r="M183" s="399"/>
      <c r="N183">
        <f t="shared" si="40"/>
        <v>0</v>
      </c>
      <c r="P183" s="399">
        <f t="shared" ca="1" si="41"/>
        <v>0</v>
      </c>
      <c r="Q183" s="399">
        <v>339.91</v>
      </c>
      <c r="R183" s="398">
        <v>96</v>
      </c>
      <c r="S183" s="398">
        <v>96.210800000000006</v>
      </c>
      <c r="T183" s="399">
        <f t="shared" si="42"/>
        <v>326.31360000000001</v>
      </c>
      <c r="U183" s="399">
        <f t="shared" si="45"/>
        <v>327.03013028000004</v>
      </c>
      <c r="V183" s="399">
        <f t="shared" si="43"/>
        <v>327.03013028000004</v>
      </c>
      <c r="W183" s="399"/>
      <c r="X183" s="399">
        <v>0.65</v>
      </c>
      <c r="Y183" s="399">
        <v>6.9999999999999951E-2</v>
      </c>
      <c r="Z183" s="399">
        <f t="shared" si="44"/>
        <v>0.72</v>
      </c>
      <c r="AA183" s="400">
        <v>368483</v>
      </c>
      <c r="AB183" s="400" t="s">
        <v>22</v>
      </c>
      <c r="AC183" s="397">
        <v>46178</v>
      </c>
      <c r="AD183" s="400">
        <v>3686693</v>
      </c>
    </row>
    <row r="184" spans="2:30" x14ac:dyDescent="0.25">
      <c r="B184" s="397">
        <f t="shared" ca="1" si="37"/>
        <v>46306</v>
      </c>
      <c r="C184" s="397" t="s">
        <v>290</v>
      </c>
      <c r="D184" t="s">
        <v>48</v>
      </c>
      <c r="E184" s="397">
        <v>46175</v>
      </c>
      <c r="F184" s="397"/>
      <c r="G184" s="397"/>
      <c r="H184" s="397"/>
      <c r="J184" s="398">
        <f t="shared" si="38"/>
        <v>0</v>
      </c>
      <c r="K184" s="398"/>
      <c r="L184" s="399">
        <f t="shared" si="39"/>
        <v>0</v>
      </c>
      <c r="M184" s="399"/>
      <c r="N184">
        <f t="shared" si="40"/>
        <v>0</v>
      </c>
      <c r="P184" s="399">
        <f t="shared" ca="1" si="41"/>
        <v>0</v>
      </c>
      <c r="Q184" s="399">
        <v>968.22</v>
      </c>
      <c r="R184" s="398">
        <v>97</v>
      </c>
      <c r="S184" s="398">
        <v>97.213399999999993</v>
      </c>
      <c r="T184" s="399">
        <f t="shared" si="42"/>
        <v>939.17340000000002</v>
      </c>
      <c r="U184" s="399">
        <f t="shared" si="45"/>
        <v>941.23958147999986</v>
      </c>
      <c r="V184" s="399">
        <f t="shared" si="43"/>
        <v>941.23958147999986</v>
      </c>
      <c r="W184" s="399"/>
      <c r="X184" s="399">
        <v>1.88</v>
      </c>
      <c r="Y184" s="399">
        <v>0.18999999999999989</v>
      </c>
      <c r="Z184" s="399">
        <f t="shared" si="44"/>
        <v>2.0699999999999998</v>
      </c>
      <c r="AA184" s="400">
        <v>368493</v>
      </c>
      <c r="AB184" s="400" t="s">
        <v>22</v>
      </c>
      <c r="AC184" s="397">
        <v>46178</v>
      </c>
      <c r="AD184" s="400">
        <v>3686693</v>
      </c>
    </row>
    <row r="185" spans="2:30" x14ac:dyDescent="0.25">
      <c r="B185" s="397">
        <f t="shared" ca="1" si="37"/>
        <v>46306</v>
      </c>
      <c r="C185" s="397" t="s">
        <v>290</v>
      </c>
      <c r="D185" t="s">
        <v>48</v>
      </c>
      <c r="E185" s="397">
        <v>46175</v>
      </c>
      <c r="F185" s="397"/>
      <c r="G185" s="397"/>
      <c r="H185" s="397"/>
      <c r="J185" s="398">
        <f t="shared" si="38"/>
        <v>0</v>
      </c>
      <c r="K185" s="398"/>
      <c r="L185" s="399">
        <f t="shared" si="39"/>
        <v>0</v>
      </c>
      <c r="M185" s="399"/>
      <c r="N185">
        <f t="shared" si="40"/>
        <v>0</v>
      </c>
      <c r="P185" s="399">
        <f t="shared" ca="1" si="41"/>
        <v>0</v>
      </c>
      <c r="Q185" s="399">
        <v>154.68</v>
      </c>
      <c r="R185" s="398">
        <v>95</v>
      </c>
      <c r="S185" s="398">
        <v>95.209500000000006</v>
      </c>
      <c r="T185" s="399">
        <f t="shared" si="42"/>
        <v>146.946</v>
      </c>
      <c r="U185" s="399">
        <f t="shared" si="45"/>
        <v>147.27005460000001</v>
      </c>
      <c r="V185" s="399">
        <f t="shared" si="43"/>
        <v>147.27005460000001</v>
      </c>
      <c r="W185" s="399"/>
      <c r="X185" s="399">
        <v>0.28999999999999998</v>
      </c>
      <c r="Y185" s="399">
        <v>3.000000000000003E-2</v>
      </c>
      <c r="Z185" s="399">
        <f t="shared" si="44"/>
        <v>0.32</v>
      </c>
      <c r="AA185" s="400">
        <v>368496</v>
      </c>
      <c r="AB185" s="400" t="s">
        <v>22</v>
      </c>
      <c r="AC185" s="397">
        <v>46178</v>
      </c>
      <c r="AD185" s="400">
        <v>3686693</v>
      </c>
    </row>
    <row r="186" spans="2:30" x14ac:dyDescent="0.25">
      <c r="B186" s="397">
        <f t="shared" ca="1" si="37"/>
        <v>46306</v>
      </c>
      <c r="C186" s="397" t="s">
        <v>290</v>
      </c>
      <c r="D186" t="s">
        <v>48</v>
      </c>
      <c r="E186" s="397">
        <v>46175</v>
      </c>
      <c r="F186" s="397"/>
      <c r="G186" s="397"/>
      <c r="H186" s="397"/>
      <c r="J186" s="398">
        <f t="shared" si="38"/>
        <v>0</v>
      </c>
      <c r="K186" s="398"/>
      <c r="L186" s="399">
        <f t="shared" si="39"/>
        <v>0</v>
      </c>
      <c r="M186" s="399"/>
      <c r="N186">
        <f t="shared" si="40"/>
        <v>0</v>
      </c>
      <c r="P186" s="399">
        <f t="shared" ca="1" si="41"/>
        <v>0</v>
      </c>
      <c r="Q186" s="399">
        <v>1933.01</v>
      </c>
      <c r="R186" s="398">
        <v>97.2</v>
      </c>
      <c r="S186" s="398">
        <v>97.414400000000001</v>
      </c>
      <c r="T186" s="399">
        <f t="shared" si="42"/>
        <v>1878.8857200000002</v>
      </c>
      <c r="U186" s="399">
        <f t="shared" si="45"/>
        <v>1883.03009344</v>
      </c>
      <c r="V186" s="399">
        <f t="shared" si="43"/>
        <v>1883.03009344</v>
      </c>
      <c r="W186" s="399"/>
      <c r="X186" s="399">
        <v>3.76</v>
      </c>
      <c r="Y186" s="399">
        <v>0.37999999999999989</v>
      </c>
      <c r="Z186" s="399">
        <f t="shared" si="44"/>
        <v>4.1399999999999997</v>
      </c>
      <c r="AA186" s="400">
        <v>368497</v>
      </c>
      <c r="AB186" s="400" t="s">
        <v>22</v>
      </c>
      <c r="AC186" s="397">
        <v>46178</v>
      </c>
      <c r="AD186" s="400">
        <v>3686693</v>
      </c>
    </row>
    <row r="187" spans="2:30" x14ac:dyDescent="0.25">
      <c r="B187" s="397">
        <f t="shared" ca="1" si="37"/>
        <v>46306</v>
      </c>
      <c r="C187" s="397" t="s">
        <v>290</v>
      </c>
      <c r="D187" t="s">
        <v>48</v>
      </c>
      <c r="E187" s="397">
        <v>46175</v>
      </c>
      <c r="F187" s="397"/>
      <c r="G187" s="397"/>
      <c r="H187" s="397"/>
      <c r="J187" s="398">
        <f t="shared" si="38"/>
        <v>0</v>
      </c>
      <c r="K187" s="398"/>
      <c r="L187" s="399">
        <f t="shared" si="39"/>
        <v>0</v>
      </c>
      <c r="M187" s="399"/>
      <c r="N187">
        <f t="shared" si="40"/>
        <v>0</v>
      </c>
      <c r="P187" s="399">
        <f t="shared" ca="1" si="41"/>
        <v>0</v>
      </c>
      <c r="Q187" s="399">
        <v>339.43</v>
      </c>
      <c r="R187" s="398">
        <v>96</v>
      </c>
      <c r="S187" s="398">
        <v>96.190672599999999</v>
      </c>
      <c r="T187" s="399">
        <f t="shared" si="42"/>
        <v>325.8528</v>
      </c>
      <c r="U187" s="399">
        <f t="shared" si="45"/>
        <v>326.50000000618002</v>
      </c>
      <c r="V187" s="399">
        <f t="shared" si="43"/>
        <v>326.50000000618002</v>
      </c>
      <c r="W187" s="399"/>
      <c r="X187" s="399">
        <v>0.65</v>
      </c>
      <c r="Y187" s="399">
        <v>0</v>
      </c>
      <c r="Z187" s="399">
        <f t="shared" si="44"/>
        <v>0.65</v>
      </c>
      <c r="AA187" s="400" t="s">
        <v>334</v>
      </c>
      <c r="AB187" s="400" t="s">
        <v>22</v>
      </c>
      <c r="AC187" s="397">
        <v>46178</v>
      </c>
      <c r="AD187" s="400">
        <v>3686693</v>
      </c>
    </row>
    <row r="188" spans="2:30" x14ac:dyDescent="0.25">
      <c r="B188" s="397">
        <f t="shared" ca="1" si="37"/>
        <v>46306</v>
      </c>
      <c r="C188" s="397" t="s">
        <v>290</v>
      </c>
      <c r="D188" t="s">
        <v>48</v>
      </c>
      <c r="E188" s="397">
        <v>46175</v>
      </c>
      <c r="F188" s="397"/>
      <c r="G188" s="397"/>
      <c r="H188" s="397"/>
      <c r="J188" s="398">
        <f t="shared" si="38"/>
        <v>0</v>
      </c>
      <c r="K188" s="398"/>
      <c r="L188" s="399">
        <f t="shared" si="39"/>
        <v>0</v>
      </c>
      <c r="M188" s="399"/>
      <c r="N188">
        <f t="shared" si="40"/>
        <v>0</v>
      </c>
      <c r="P188" s="399">
        <f t="shared" ca="1" si="41"/>
        <v>0</v>
      </c>
      <c r="Q188" s="399">
        <v>3530.89</v>
      </c>
      <c r="R188" s="398">
        <v>97.2</v>
      </c>
      <c r="S188" s="398">
        <v>97.413966450000004</v>
      </c>
      <c r="T188" s="399">
        <f t="shared" si="42"/>
        <v>3432.0250799999999</v>
      </c>
      <c r="U188" s="399">
        <f t="shared" si="45"/>
        <v>3439.5799999864048</v>
      </c>
      <c r="V188" s="399">
        <f t="shared" si="43"/>
        <v>3439.5799999864048</v>
      </c>
      <c r="W188" s="399"/>
      <c r="X188" s="399">
        <v>6.86</v>
      </c>
      <c r="Y188" s="399">
        <v>0.6899999999999995</v>
      </c>
      <c r="Z188" s="399">
        <f t="shared" si="44"/>
        <v>7.55</v>
      </c>
      <c r="AA188" s="400" t="s">
        <v>335</v>
      </c>
      <c r="AB188" s="400" t="s">
        <v>22</v>
      </c>
      <c r="AC188" s="397">
        <v>46178</v>
      </c>
      <c r="AD188" s="400">
        <v>3686693</v>
      </c>
    </row>
    <row r="189" spans="2:30" x14ac:dyDescent="0.25">
      <c r="B189" s="397">
        <f t="shared" ca="1" si="37"/>
        <v>46306</v>
      </c>
      <c r="C189" s="397" t="s">
        <v>290</v>
      </c>
      <c r="D189" t="s">
        <v>48</v>
      </c>
      <c r="E189" s="397">
        <v>46175</v>
      </c>
      <c r="F189" s="397"/>
      <c r="G189" s="397"/>
      <c r="H189" s="397"/>
      <c r="J189" s="398">
        <f t="shared" si="38"/>
        <v>0</v>
      </c>
      <c r="K189" s="398"/>
      <c r="L189" s="399">
        <f t="shared" si="39"/>
        <v>0</v>
      </c>
      <c r="M189" s="399"/>
      <c r="N189">
        <f t="shared" si="40"/>
        <v>0</v>
      </c>
      <c r="P189" s="399">
        <f t="shared" ca="1" si="41"/>
        <v>0</v>
      </c>
      <c r="Q189" s="399">
        <v>668.11</v>
      </c>
      <c r="R189" s="398">
        <v>96.65</v>
      </c>
      <c r="S189" s="398">
        <v>96.862792060000004</v>
      </c>
      <c r="T189" s="399">
        <f t="shared" si="42"/>
        <v>645.72831500000007</v>
      </c>
      <c r="U189" s="399">
        <f t="shared" si="45"/>
        <v>647.15000003206603</v>
      </c>
      <c r="V189" s="399">
        <f t="shared" si="43"/>
        <v>647.15000003206603</v>
      </c>
      <c r="W189" s="399"/>
      <c r="X189" s="399">
        <v>1.29</v>
      </c>
      <c r="Y189" s="399">
        <v>0.12999999999999989</v>
      </c>
      <c r="Z189" s="399">
        <f t="shared" si="44"/>
        <v>1.42</v>
      </c>
      <c r="AA189" s="400" t="s">
        <v>336</v>
      </c>
      <c r="AB189" s="400" t="s">
        <v>22</v>
      </c>
      <c r="AC189" s="397">
        <v>46178</v>
      </c>
      <c r="AD189" s="400">
        <v>3686693</v>
      </c>
    </row>
    <row r="190" spans="2:30" x14ac:dyDescent="0.25">
      <c r="B190" s="397">
        <f t="shared" ca="1" si="37"/>
        <v>46306</v>
      </c>
      <c r="C190" s="397" t="s">
        <v>290</v>
      </c>
      <c r="D190" t="s">
        <v>48</v>
      </c>
      <c r="E190" s="397">
        <v>46176</v>
      </c>
      <c r="F190" s="397"/>
      <c r="G190" s="397"/>
      <c r="H190" s="397"/>
      <c r="J190" s="398">
        <f t="shared" si="38"/>
        <v>0</v>
      </c>
      <c r="K190" s="398"/>
      <c r="L190" s="399">
        <f t="shared" si="39"/>
        <v>0</v>
      </c>
      <c r="M190" s="399"/>
      <c r="N190">
        <f t="shared" si="40"/>
        <v>0</v>
      </c>
      <c r="P190" s="399">
        <f t="shared" ca="1" si="41"/>
        <v>0</v>
      </c>
      <c r="Q190" s="399">
        <v>292.55</v>
      </c>
      <c r="R190" s="398">
        <v>96</v>
      </c>
      <c r="S190" s="398">
        <v>96.212599999999995</v>
      </c>
      <c r="T190" s="399">
        <f t="shared" si="42"/>
        <v>280.84800000000001</v>
      </c>
      <c r="U190" s="399">
        <f t="shared" si="45"/>
        <v>281.46996130000002</v>
      </c>
      <c r="V190" s="399">
        <f t="shared" si="43"/>
        <v>281.46996130000002</v>
      </c>
      <c r="W190" s="399"/>
      <c r="X190" s="399">
        <v>0.56000000000000005</v>
      </c>
      <c r="Y190" s="399">
        <v>5.9999999999999942E-2</v>
      </c>
      <c r="Z190" s="399">
        <f t="shared" si="44"/>
        <v>0.62</v>
      </c>
      <c r="AA190" s="400">
        <v>368562</v>
      </c>
      <c r="AB190" s="400" t="s">
        <v>22</v>
      </c>
      <c r="AC190" s="397">
        <v>46178</v>
      </c>
      <c r="AD190" s="400">
        <v>3686693</v>
      </c>
    </row>
    <row r="191" spans="2:30" x14ac:dyDescent="0.25">
      <c r="B191" s="397">
        <f t="shared" ref="B191:B254" ca="1" si="46">TODAY()</f>
        <v>46306</v>
      </c>
      <c r="C191" s="397" t="s">
        <v>290</v>
      </c>
      <c r="D191" t="s">
        <v>48</v>
      </c>
      <c r="E191" s="397">
        <v>46176</v>
      </c>
      <c r="F191" s="397"/>
      <c r="G191" s="397"/>
      <c r="H191" s="397"/>
      <c r="J191" s="398">
        <f t="shared" ref="J191:J254" si="47">L191*12/U191*100</f>
        <v>0</v>
      </c>
      <c r="K191" s="398"/>
      <c r="L191" s="399">
        <f t="shared" ref="L191:L254" si="48">Q191*I191/100/12</f>
        <v>0</v>
      </c>
      <c r="M191" s="399"/>
      <c r="N191">
        <f t="shared" ref="N191:N254" si="49">IF(F191="", 0, IF(B191&gt;F191,INT((B191-F191)/30),0))</f>
        <v>0</v>
      </c>
      <c r="P191" s="399">
        <f t="shared" ref="P191:P254" ca="1" si="50">L191*N191+M191+IF(B191&gt;H191,O191,0)</f>
        <v>0</v>
      </c>
      <c r="Q191" s="399">
        <v>12733.71</v>
      </c>
      <c r="R191" s="398">
        <v>97.6</v>
      </c>
      <c r="S191" s="398">
        <v>97.717200000000005</v>
      </c>
      <c r="T191" s="399">
        <f t="shared" ref="T191:T254" si="51">Q191*R191/100</f>
        <v>12428.10096</v>
      </c>
      <c r="U191" s="399">
        <f t="shared" si="45"/>
        <v>12443.024868119999</v>
      </c>
      <c r="V191" s="399">
        <f t="shared" ref="V191:V254" si="52">U191+W191</f>
        <v>12443.024868119999</v>
      </c>
      <c r="W191" s="399"/>
      <c r="X191" s="399">
        <v>12.43</v>
      </c>
      <c r="Y191" s="399">
        <v>2.4900000000000002</v>
      </c>
      <c r="Z191" s="399">
        <f t="shared" ref="Z191:Z254" si="53">X191+Y191</f>
        <v>14.92</v>
      </c>
      <c r="AA191" s="400">
        <v>368585</v>
      </c>
      <c r="AB191" s="400" t="s">
        <v>22</v>
      </c>
      <c r="AC191" s="397">
        <v>46178</v>
      </c>
      <c r="AD191" s="400">
        <v>3686693</v>
      </c>
    </row>
    <row r="192" spans="2:30" x14ac:dyDescent="0.25">
      <c r="B192" s="397">
        <f t="shared" ca="1" si="46"/>
        <v>46306</v>
      </c>
      <c r="C192" s="397" t="s">
        <v>290</v>
      </c>
      <c r="D192" t="s">
        <v>48</v>
      </c>
      <c r="E192" s="397">
        <v>46176</v>
      </c>
      <c r="F192" s="397"/>
      <c r="G192" s="397"/>
      <c r="H192" s="397"/>
      <c r="J192" s="398">
        <f t="shared" si="47"/>
        <v>0</v>
      </c>
      <c r="K192" s="398"/>
      <c r="L192" s="399">
        <f t="shared" si="48"/>
        <v>0</v>
      </c>
      <c r="M192" s="399"/>
      <c r="N192">
        <f t="shared" si="49"/>
        <v>0</v>
      </c>
      <c r="P192" s="399">
        <f t="shared" ca="1" si="50"/>
        <v>0</v>
      </c>
      <c r="Q192" s="399">
        <v>517.79999999999995</v>
      </c>
      <c r="R192" s="398">
        <v>96.5</v>
      </c>
      <c r="S192" s="398">
        <v>96.712999999999994</v>
      </c>
      <c r="T192" s="399">
        <f t="shared" si="51"/>
        <v>499.67699999999996</v>
      </c>
      <c r="U192" s="399">
        <f t="shared" si="45"/>
        <v>500.77991399999991</v>
      </c>
      <c r="V192" s="399">
        <f t="shared" si="52"/>
        <v>500.77991399999991</v>
      </c>
      <c r="W192" s="399"/>
      <c r="X192" s="399">
        <v>1</v>
      </c>
      <c r="Y192" s="399">
        <v>0.1000000000000001</v>
      </c>
      <c r="Z192" s="399">
        <f t="shared" si="53"/>
        <v>1.1000000000000001</v>
      </c>
      <c r="AA192" s="400">
        <v>368602</v>
      </c>
      <c r="AB192" s="400" t="s">
        <v>22</v>
      </c>
      <c r="AC192" s="397">
        <v>46178</v>
      </c>
      <c r="AD192" s="400">
        <v>3686693</v>
      </c>
    </row>
    <row r="193" spans="2:35" x14ac:dyDescent="0.25">
      <c r="B193" s="397">
        <f t="shared" ca="1" si="46"/>
        <v>46306</v>
      </c>
      <c r="C193" s="397" t="s">
        <v>290</v>
      </c>
      <c r="D193" t="s">
        <v>48</v>
      </c>
      <c r="E193" s="397">
        <v>46176</v>
      </c>
      <c r="F193" s="397"/>
      <c r="G193" s="397"/>
      <c r="H193" s="397"/>
      <c r="J193" s="398">
        <f t="shared" si="47"/>
        <v>0</v>
      </c>
      <c r="K193" s="398"/>
      <c r="L193" s="399">
        <f t="shared" si="48"/>
        <v>0</v>
      </c>
      <c r="M193" s="399"/>
      <c r="N193">
        <f t="shared" si="49"/>
        <v>0</v>
      </c>
      <c r="P193" s="399">
        <f t="shared" ca="1" si="50"/>
        <v>0</v>
      </c>
      <c r="Q193" s="399">
        <v>3418.95</v>
      </c>
      <c r="R193" s="398">
        <v>97.55</v>
      </c>
      <c r="S193" s="398">
        <v>97.667400000000001</v>
      </c>
      <c r="T193" s="399">
        <f t="shared" si="51"/>
        <v>3335.1857249999994</v>
      </c>
      <c r="U193" s="399">
        <f t="shared" si="45"/>
        <v>3339.1995723</v>
      </c>
      <c r="V193" s="399">
        <f t="shared" si="52"/>
        <v>3339.1995723</v>
      </c>
      <c r="W193" s="399"/>
      <c r="X193" s="399">
        <v>3.34</v>
      </c>
      <c r="Y193" s="399">
        <v>0.66999999999999993</v>
      </c>
      <c r="Z193" s="399">
        <f t="shared" si="53"/>
        <v>4.01</v>
      </c>
      <c r="AA193" s="400">
        <v>368603</v>
      </c>
      <c r="AB193" s="400" t="s">
        <v>22</v>
      </c>
      <c r="AC193" s="397">
        <v>46178</v>
      </c>
      <c r="AD193" s="400">
        <v>3686693</v>
      </c>
      <c r="AG193">
        <v>3604.5</v>
      </c>
      <c r="AH193">
        <v>368604</v>
      </c>
      <c r="AI193" t="s">
        <v>337</v>
      </c>
    </row>
    <row r="194" spans="2:35" x14ac:dyDescent="0.25">
      <c r="B194" s="397">
        <f t="shared" ca="1" si="46"/>
        <v>46306</v>
      </c>
      <c r="C194" s="397" t="s">
        <v>290</v>
      </c>
      <c r="D194" t="s">
        <v>48</v>
      </c>
      <c r="E194" s="397">
        <v>46176</v>
      </c>
      <c r="F194" s="397"/>
      <c r="G194" s="397"/>
      <c r="H194" s="397"/>
      <c r="J194" s="398">
        <f t="shared" si="47"/>
        <v>0</v>
      </c>
      <c r="K194" s="398"/>
      <c r="L194" s="399">
        <f t="shared" si="48"/>
        <v>0</v>
      </c>
      <c r="M194" s="399"/>
      <c r="N194">
        <f t="shared" si="49"/>
        <v>0</v>
      </c>
      <c r="P194" s="399">
        <f t="shared" ca="1" si="50"/>
        <v>0</v>
      </c>
      <c r="Q194" s="399">
        <v>3604.5</v>
      </c>
      <c r="R194" s="398">
        <v>97.45</v>
      </c>
      <c r="S194" s="398">
        <v>97.566900000000004</v>
      </c>
      <c r="T194" s="399">
        <f t="shared" si="51"/>
        <v>3512.5852500000001</v>
      </c>
      <c r="U194" s="399">
        <f t="shared" si="45"/>
        <v>3516.7989105000001</v>
      </c>
      <c r="V194" s="399">
        <f t="shared" si="52"/>
        <v>3516.7989105000001</v>
      </c>
      <c r="W194" s="399"/>
      <c r="X194" s="399">
        <v>3.51</v>
      </c>
      <c r="Y194" s="399">
        <v>0.70000000000000018</v>
      </c>
      <c r="Z194" s="399">
        <f t="shared" si="53"/>
        <v>4.21</v>
      </c>
      <c r="AA194" s="400">
        <v>368604</v>
      </c>
      <c r="AB194" s="400" t="s">
        <v>22</v>
      </c>
      <c r="AC194" s="397">
        <v>46181</v>
      </c>
      <c r="AD194" s="400" t="s">
        <v>299</v>
      </c>
      <c r="AG194">
        <v>1301.5</v>
      </c>
      <c r="AH194" t="s">
        <v>338</v>
      </c>
    </row>
    <row r="195" spans="2:35" x14ac:dyDescent="0.25">
      <c r="B195" s="397">
        <f t="shared" ca="1" si="46"/>
        <v>46306</v>
      </c>
      <c r="C195" s="397" t="s">
        <v>290</v>
      </c>
      <c r="D195" t="s">
        <v>48</v>
      </c>
      <c r="E195" s="397">
        <v>46176</v>
      </c>
      <c r="F195" s="397"/>
      <c r="G195" s="397"/>
      <c r="H195" s="397"/>
      <c r="J195" s="398">
        <f t="shared" si="47"/>
        <v>0</v>
      </c>
      <c r="K195" s="398"/>
      <c r="L195" s="399">
        <f t="shared" si="48"/>
        <v>0</v>
      </c>
      <c r="M195" s="399"/>
      <c r="N195">
        <f t="shared" si="49"/>
        <v>0</v>
      </c>
      <c r="P195" s="399">
        <f t="shared" ca="1" si="50"/>
        <v>0</v>
      </c>
      <c r="Q195" s="399">
        <v>1489.6</v>
      </c>
      <c r="R195" s="398">
        <v>97.15</v>
      </c>
      <c r="S195" s="398">
        <v>97.363699999999994</v>
      </c>
      <c r="T195" s="399">
        <f t="shared" si="51"/>
        <v>1447.1464000000001</v>
      </c>
      <c r="U195" s="399">
        <f t="shared" si="45"/>
        <v>1450.3296751999997</v>
      </c>
      <c r="V195" s="399">
        <f t="shared" si="52"/>
        <v>1450.3296751999997</v>
      </c>
      <c r="W195" s="399"/>
      <c r="X195" s="399">
        <v>2.89</v>
      </c>
      <c r="Y195" s="399">
        <v>0.28999999999999998</v>
      </c>
      <c r="Z195" s="399">
        <f t="shared" si="53"/>
        <v>3.18</v>
      </c>
      <c r="AA195" s="400">
        <v>368605</v>
      </c>
      <c r="AB195" s="400" t="s">
        <v>22</v>
      </c>
      <c r="AC195" s="397">
        <v>46178</v>
      </c>
      <c r="AD195" s="400">
        <v>3686693</v>
      </c>
    </row>
    <row r="196" spans="2:35" x14ac:dyDescent="0.25">
      <c r="B196" s="397">
        <f t="shared" ca="1" si="46"/>
        <v>46306</v>
      </c>
      <c r="C196" s="397" t="s">
        <v>290</v>
      </c>
      <c r="D196" t="s">
        <v>48</v>
      </c>
      <c r="E196" s="397">
        <v>46176</v>
      </c>
      <c r="F196" s="397"/>
      <c r="G196" s="397"/>
      <c r="H196" s="397"/>
      <c r="J196" s="398">
        <f t="shared" si="47"/>
        <v>0</v>
      </c>
      <c r="K196" s="398"/>
      <c r="L196" s="399">
        <f t="shared" si="48"/>
        <v>0</v>
      </c>
      <c r="M196" s="399"/>
      <c r="N196">
        <f t="shared" si="49"/>
        <v>0</v>
      </c>
      <c r="P196" s="399">
        <f t="shared" ca="1" si="50"/>
        <v>0</v>
      </c>
      <c r="Q196" s="399">
        <v>1301.5</v>
      </c>
      <c r="R196" s="398">
        <v>97.15</v>
      </c>
      <c r="S196" s="398">
        <v>97.363810990000005</v>
      </c>
      <c r="T196" s="399">
        <f t="shared" si="51"/>
        <v>1264.40725</v>
      </c>
      <c r="U196" s="399">
        <f t="shared" si="45"/>
        <v>1267.1900000348501</v>
      </c>
      <c r="V196" s="399">
        <f t="shared" si="52"/>
        <v>1267.1900000348501</v>
      </c>
      <c r="W196" s="399"/>
      <c r="X196" s="399">
        <v>2.5299999999999998</v>
      </c>
      <c r="Y196" s="399">
        <v>0.25</v>
      </c>
      <c r="Z196" s="399">
        <f t="shared" si="53"/>
        <v>2.78</v>
      </c>
      <c r="AA196" s="400" t="s">
        <v>338</v>
      </c>
      <c r="AB196" s="400" t="s">
        <v>22</v>
      </c>
      <c r="AC196" s="397">
        <v>46181</v>
      </c>
      <c r="AD196" s="400" t="s">
        <v>299</v>
      </c>
    </row>
    <row r="197" spans="2:35" x14ac:dyDescent="0.25">
      <c r="B197" s="397">
        <f t="shared" ca="1" si="46"/>
        <v>46306</v>
      </c>
      <c r="C197" s="397" t="s">
        <v>290</v>
      </c>
      <c r="D197" t="s">
        <v>48</v>
      </c>
      <c r="E197" s="397">
        <v>46178</v>
      </c>
      <c r="F197" s="397"/>
      <c r="G197" s="397"/>
      <c r="H197" s="397"/>
      <c r="J197" s="398">
        <f t="shared" si="47"/>
        <v>0</v>
      </c>
      <c r="K197" s="398"/>
      <c r="L197" s="399">
        <f t="shared" si="48"/>
        <v>0</v>
      </c>
      <c r="M197" s="399"/>
      <c r="N197">
        <f t="shared" si="49"/>
        <v>0</v>
      </c>
      <c r="P197" s="399">
        <f t="shared" ca="1" si="50"/>
        <v>0</v>
      </c>
      <c r="Q197" s="399">
        <v>344.31</v>
      </c>
      <c r="R197" s="398">
        <v>96.5</v>
      </c>
      <c r="S197" s="398">
        <v>96.712299999999999</v>
      </c>
      <c r="T197" s="399">
        <f t="shared" si="51"/>
        <v>332.25915000000003</v>
      </c>
      <c r="U197" s="399">
        <f t="shared" si="45"/>
        <v>332.99012012999998</v>
      </c>
      <c r="V197" s="399">
        <f t="shared" si="52"/>
        <v>332.99012012999998</v>
      </c>
      <c r="W197" s="399"/>
      <c r="X197" s="399">
        <v>0.66</v>
      </c>
      <c r="Y197" s="399">
        <v>6.9999999999999951E-2</v>
      </c>
      <c r="Z197" s="399">
        <f t="shared" si="53"/>
        <v>0.73</v>
      </c>
      <c r="AA197" s="400">
        <v>368723</v>
      </c>
      <c r="AB197" s="400" t="s">
        <v>22</v>
      </c>
      <c r="AC197" s="397">
        <v>46181</v>
      </c>
      <c r="AD197" s="400" t="s">
        <v>299</v>
      </c>
    </row>
    <row r="198" spans="2:35" x14ac:dyDescent="0.25">
      <c r="B198" s="397">
        <f t="shared" ca="1" si="46"/>
        <v>46306</v>
      </c>
      <c r="C198" s="397" t="s">
        <v>290</v>
      </c>
      <c r="D198" t="s">
        <v>48</v>
      </c>
      <c r="E198" s="397">
        <v>46178</v>
      </c>
      <c r="F198" s="397"/>
      <c r="G198" s="397"/>
      <c r="H198" s="397"/>
      <c r="J198" s="398">
        <f t="shared" si="47"/>
        <v>0</v>
      </c>
      <c r="K198" s="398"/>
      <c r="L198" s="399">
        <f t="shared" si="48"/>
        <v>0</v>
      </c>
      <c r="M198" s="399"/>
      <c r="N198">
        <f t="shared" si="49"/>
        <v>0</v>
      </c>
      <c r="P198" s="399">
        <f t="shared" ca="1" si="50"/>
        <v>0</v>
      </c>
      <c r="Q198" s="399">
        <v>548.30999999999995</v>
      </c>
      <c r="R198" s="398">
        <v>96.5</v>
      </c>
      <c r="S198" s="398">
        <v>96.713499999999996</v>
      </c>
      <c r="T198" s="399">
        <f t="shared" si="51"/>
        <v>529.11914999999999</v>
      </c>
      <c r="U198" s="399">
        <f t="shared" ref="U198:U261" si="54">Q198*S198/100</f>
        <v>530.28979184999992</v>
      </c>
      <c r="V198" s="399">
        <f t="shared" si="52"/>
        <v>530.28979184999992</v>
      </c>
      <c r="W198" s="399"/>
      <c r="X198" s="399">
        <v>1.06</v>
      </c>
      <c r="Y198" s="399">
        <v>0.1099999999999999</v>
      </c>
      <c r="Z198" s="399">
        <f t="shared" si="53"/>
        <v>1.17</v>
      </c>
      <c r="AA198" s="400">
        <v>368726</v>
      </c>
      <c r="AB198" s="400" t="s">
        <v>22</v>
      </c>
      <c r="AC198" s="397">
        <v>46181</v>
      </c>
      <c r="AD198" s="400" t="s">
        <v>299</v>
      </c>
    </row>
    <row r="199" spans="2:35" x14ac:dyDescent="0.25">
      <c r="B199" s="397">
        <f t="shared" ca="1" si="46"/>
        <v>46306</v>
      </c>
      <c r="C199" s="397" t="s">
        <v>290</v>
      </c>
      <c r="D199" t="s">
        <v>48</v>
      </c>
      <c r="E199" s="397">
        <v>46178</v>
      </c>
      <c r="F199" s="397"/>
      <c r="G199" s="397"/>
      <c r="H199" s="397"/>
      <c r="J199" s="398">
        <f t="shared" si="47"/>
        <v>0</v>
      </c>
      <c r="K199" s="398"/>
      <c r="L199" s="399">
        <f t="shared" si="48"/>
        <v>0</v>
      </c>
      <c r="M199" s="399"/>
      <c r="N199">
        <f t="shared" si="49"/>
        <v>0</v>
      </c>
      <c r="P199" s="399">
        <f t="shared" ca="1" si="50"/>
        <v>0</v>
      </c>
      <c r="Q199" s="399">
        <v>2313.16</v>
      </c>
      <c r="R199" s="398">
        <v>97.25</v>
      </c>
      <c r="S199" s="398">
        <v>97.464100000000002</v>
      </c>
      <c r="T199" s="399">
        <f t="shared" si="51"/>
        <v>2249.5481</v>
      </c>
      <c r="U199" s="399">
        <f t="shared" si="54"/>
        <v>2254.50057556</v>
      </c>
      <c r="V199" s="399">
        <f t="shared" si="52"/>
        <v>2254.50057556</v>
      </c>
      <c r="W199" s="399"/>
      <c r="X199" s="399">
        <v>4.5</v>
      </c>
      <c r="Y199" s="399">
        <v>0.45000000000000018</v>
      </c>
      <c r="Z199" s="399">
        <f t="shared" si="53"/>
        <v>4.95</v>
      </c>
      <c r="AA199" s="400">
        <v>368739</v>
      </c>
      <c r="AB199" s="400" t="s">
        <v>22</v>
      </c>
      <c r="AC199" s="397">
        <v>46181</v>
      </c>
      <c r="AD199" s="400" t="s">
        <v>299</v>
      </c>
    </row>
    <row r="200" spans="2:35" x14ac:dyDescent="0.25">
      <c r="B200" s="397">
        <f t="shared" ca="1" si="46"/>
        <v>46306</v>
      </c>
      <c r="C200" s="397" t="s">
        <v>290</v>
      </c>
      <c r="D200" t="s">
        <v>48</v>
      </c>
      <c r="E200" s="397">
        <v>46178</v>
      </c>
      <c r="F200" s="397"/>
      <c r="G200" s="397"/>
      <c r="H200" s="397"/>
      <c r="J200" s="398">
        <f t="shared" si="47"/>
        <v>0</v>
      </c>
      <c r="K200" s="398"/>
      <c r="L200" s="399">
        <f t="shared" si="48"/>
        <v>0</v>
      </c>
      <c r="M200" s="399"/>
      <c r="N200">
        <f t="shared" si="49"/>
        <v>0</v>
      </c>
      <c r="P200" s="399">
        <f t="shared" ca="1" si="50"/>
        <v>0</v>
      </c>
      <c r="Q200" s="399">
        <v>3926.65</v>
      </c>
      <c r="R200" s="398">
        <v>97.3</v>
      </c>
      <c r="S200" s="398">
        <v>97.513900000000007</v>
      </c>
      <c r="T200" s="399">
        <f t="shared" si="51"/>
        <v>3820.6304499999997</v>
      </c>
      <c r="U200" s="399">
        <f t="shared" si="54"/>
        <v>3829.0295543500001</v>
      </c>
      <c r="V200" s="399">
        <f t="shared" si="52"/>
        <v>3829.0295543500001</v>
      </c>
      <c r="W200" s="399"/>
      <c r="X200" s="399">
        <v>7.64</v>
      </c>
      <c r="Y200" s="399">
        <v>0.76000000000000068</v>
      </c>
      <c r="Z200" s="399">
        <f t="shared" si="53"/>
        <v>8.4</v>
      </c>
      <c r="AA200" s="400">
        <v>368740</v>
      </c>
      <c r="AB200" s="400" t="s">
        <v>22</v>
      </c>
      <c r="AC200" s="397">
        <v>46181</v>
      </c>
      <c r="AD200" s="400" t="s">
        <v>299</v>
      </c>
    </row>
    <row r="201" spans="2:35" x14ac:dyDescent="0.25">
      <c r="B201" s="397">
        <f t="shared" ca="1" si="46"/>
        <v>46306</v>
      </c>
      <c r="C201" s="397" t="s">
        <v>290</v>
      </c>
      <c r="D201" t="s">
        <v>48</v>
      </c>
      <c r="E201" s="397">
        <v>46178</v>
      </c>
      <c r="F201" s="397"/>
      <c r="G201" s="397"/>
      <c r="H201" s="397"/>
      <c r="J201" s="398">
        <f t="shared" si="47"/>
        <v>0</v>
      </c>
      <c r="K201" s="398"/>
      <c r="L201" s="399">
        <f t="shared" si="48"/>
        <v>0</v>
      </c>
      <c r="M201" s="399"/>
      <c r="N201">
        <f t="shared" si="49"/>
        <v>0</v>
      </c>
      <c r="P201" s="399">
        <f t="shared" ca="1" si="50"/>
        <v>0</v>
      </c>
      <c r="Q201" s="399">
        <v>4463.9399999999996</v>
      </c>
      <c r="R201" s="398">
        <v>97.5</v>
      </c>
      <c r="S201" s="398">
        <v>97.616900000000001</v>
      </c>
      <c r="T201" s="399">
        <f t="shared" si="51"/>
        <v>4352.3414999999995</v>
      </c>
      <c r="U201" s="399">
        <f t="shared" si="54"/>
        <v>4357.5598458599998</v>
      </c>
      <c r="V201" s="399">
        <f t="shared" si="52"/>
        <v>4357.5598458599998</v>
      </c>
      <c r="W201" s="399"/>
      <c r="X201" s="399">
        <v>4.3499999999999996</v>
      </c>
      <c r="Y201" s="399">
        <v>0.87000000000000011</v>
      </c>
      <c r="Z201" s="399">
        <f t="shared" si="53"/>
        <v>5.22</v>
      </c>
      <c r="AA201" s="400">
        <v>368741</v>
      </c>
      <c r="AB201" s="400" t="s">
        <v>22</v>
      </c>
      <c r="AC201" s="397">
        <v>46181</v>
      </c>
      <c r="AD201" s="400" t="s">
        <v>299</v>
      </c>
    </row>
    <row r="202" spans="2:35" x14ac:dyDescent="0.25">
      <c r="B202" s="397">
        <f t="shared" ca="1" si="46"/>
        <v>46306</v>
      </c>
      <c r="C202" s="397" t="s">
        <v>290</v>
      </c>
      <c r="D202" t="s">
        <v>48</v>
      </c>
      <c r="E202" s="397">
        <v>46178</v>
      </c>
      <c r="F202" s="397"/>
      <c r="G202" s="397"/>
      <c r="H202" s="397"/>
      <c r="J202" s="398">
        <f t="shared" si="47"/>
        <v>0</v>
      </c>
      <c r="K202" s="398"/>
      <c r="L202" s="399">
        <f t="shared" si="48"/>
        <v>0</v>
      </c>
      <c r="M202" s="399"/>
      <c r="N202">
        <f t="shared" si="49"/>
        <v>0</v>
      </c>
      <c r="P202" s="399">
        <f t="shared" ca="1" si="50"/>
        <v>0</v>
      </c>
      <c r="Q202" s="399">
        <v>4862.1000000000004</v>
      </c>
      <c r="R202" s="398">
        <v>97.55</v>
      </c>
      <c r="S202" s="398">
        <v>97.667100000000005</v>
      </c>
      <c r="T202" s="399">
        <f t="shared" si="51"/>
        <v>4742.9785500000007</v>
      </c>
      <c r="U202" s="399">
        <f t="shared" si="54"/>
        <v>4748.672069100001</v>
      </c>
      <c r="V202" s="399">
        <f t="shared" si="52"/>
        <v>4748.672069100001</v>
      </c>
      <c r="W202" s="399"/>
      <c r="X202" s="399">
        <v>4.74</v>
      </c>
      <c r="Y202" s="399">
        <v>0.95000000000000018</v>
      </c>
      <c r="Z202" s="399">
        <f t="shared" si="53"/>
        <v>5.69</v>
      </c>
      <c r="AA202" s="400">
        <v>368744</v>
      </c>
      <c r="AB202" s="400" t="s">
        <v>22</v>
      </c>
      <c r="AC202" s="397">
        <v>46181</v>
      </c>
      <c r="AD202" s="400" t="s">
        <v>299</v>
      </c>
    </row>
    <row r="203" spans="2:35" x14ac:dyDescent="0.25">
      <c r="B203" s="397">
        <f t="shared" ca="1" si="46"/>
        <v>46306</v>
      </c>
      <c r="C203" s="397" t="s">
        <v>290</v>
      </c>
      <c r="D203" t="s">
        <v>48</v>
      </c>
      <c r="E203" s="397">
        <v>46178</v>
      </c>
      <c r="F203" s="397"/>
      <c r="G203" s="397"/>
      <c r="H203" s="397"/>
      <c r="J203" s="398">
        <f t="shared" si="47"/>
        <v>0</v>
      </c>
      <c r="K203" s="398"/>
      <c r="L203" s="399">
        <f t="shared" si="48"/>
        <v>0</v>
      </c>
      <c r="M203" s="399"/>
      <c r="N203">
        <f t="shared" si="49"/>
        <v>0</v>
      </c>
      <c r="P203" s="399">
        <f t="shared" ca="1" si="50"/>
        <v>0</v>
      </c>
      <c r="Q203" s="399">
        <v>4899.46</v>
      </c>
      <c r="R203" s="398">
        <v>97.4</v>
      </c>
      <c r="S203" s="398">
        <v>97.5167</v>
      </c>
      <c r="T203" s="399">
        <f t="shared" si="51"/>
        <v>4772.0740400000004</v>
      </c>
      <c r="U203" s="399">
        <f t="shared" si="54"/>
        <v>4777.7917098200005</v>
      </c>
      <c r="V203" s="399">
        <f t="shared" si="52"/>
        <v>4777.7917098200005</v>
      </c>
      <c r="W203" s="399"/>
      <c r="X203" s="399">
        <v>4.7699999999999996</v>
      </c>
      <c r="Y203" s="399">
        <v>0.95000000000000018</v>
      </c>
      <c r="Z203" s="399">
        <f t="shared" si="53"/>
        <v>5.72</v>
      </c>
      <c r="AA203" s="400">
        <v>368749</v>
      </c>
      <c r="AB203" s="400" t="s">
        <v>22</v>
      </c>
      <c r="AC203" s="397">
        <v>46181</v>
      </c>
      <c r="AD203" s="400" t="s">
        <v>299</v>
      </c>
    </row>
    <row r="204" spans="2:35" x14ac:dyDescent="0.25">
      <c r="B204" s="397">
        <f t="shared" ca="1" si="46"/>
        <v>46306</v>
      </c>
      <c r="C204" s="397" t="s">
        <v>290</v>
      </c>
      <c r="D204" t="s">
        <v>48</v>
      </c>
      <c r="E204" s="397">
        <v>46178</v>
      </c>
      <c r="F204" s="397"/>
      <c r="G204" s="397"/>
      <c r="H204" s="397"/>
      <c r="J204" s="398">
        <f t="shared" si="47"/>
        <v>0</v>
      </c>
      <c r="K204" s="398"/>
      <c r="L204" s="399">
        <f t="shared" si="48"/>
        <v>0</v>
      </c>
      <c r="M204" s="399"/>
      <c r="N204">
        <f t="shared" si="49"/>
        <v>0</v>
      </c>
      <c r="P204" s="399">
        <f t="shared" ca="1" si="50"/>
        <v>0</v>
      </c>
      <c r="Q204" s="399">
        <v>3600</v>
      </c>
      <c r="R204" s="398">
        <v>97.3</v>
      </c>
      <c r="S204" s="398">
        <v>97.416700000000006</v>
      </c>
      <c r="T204" s="399">
        <f t="shared" si="51"/>
        <v>3502.8</v>
      </c>
      <c r="U204" s="399">
        <f t="shared" si="54"/>
        <v>3507.0012000000002</v>
      </c>
      <c r="V204" s="399">
        <f t="shared" si="52"/>
        <v>3507.0012000000002</v>
      </c>
      <c r="W204" s="399"/>
      <c r="X204" s="399">
        <v>3.5</v>
      </c>
      <c r="Y204" s="399">
        <v>0.70000000000000018</v>
      </c>
      <c r="Z204" s="399">
        <f t="shared" si="53"/>
        <v>4.2</v>
      </c>
      <c r="AA204" s="400">
        <v>368756</v>
      </c>
      <c r="AB204" s="400" t="s">
        <v>22</v>
      </c>
      <c r="AC204" s="397">
        <v>46181</v>
      </c>
      <c r="AD204" s="400" t="s">
        <v>299</v>
      </c>
    </row>
    <row r="205" spans="2:35" x14ac:dyDescent="0.25">
      <c r="B205" s="397">
        <f t="shared" ca="1" si="46"/>
        <v>46306</v>
      </c>
      <c r="C205" s="397" t="s">
        <v>290</v>
      </c>
      <c r="D205" t="s">
        <v>48</v>
      </c>
      <c r="E205" s="397">
        <v>46178</v>
      </c>
      <c r="F205" s="397"/>
      <c r="G205" s="397"/>
      <c r="H205" s="397"/>
      <c r="J205" s="398">
        <f t="shared" si="47"/>
        <v>0</v>
      </c>
      <c r="K205" s="398"/>
      <c r="L205" s="399">
        <f t="shared" si="48"/>
        <v>0</v>
      </c>
      <c r="M205" s="399"/>
      <c r="N205">
        <f t="shared" si="49"/>
        <v>0</v>
      </c>
      <c r="P205" s="399">
        <f t="shared" ca="1" si="50"/>
        <v>0</v>
      </c>
      <c r="Q205" s="399">
        <v>1406.53</v>
      </c>
      <c r="R205" s="398">
        <v>97.25</v>
      </c>
      <c r="S205" s="398">
        <v>97.463999999999999</v>
      </c>
      <c r="T205" s="399">
        <f t="shared" si="51"/>
        <v>1367.8504250000001</v>
      </c>
      <c r="U205" s="399">
        <f t="shared" si="54"/>
        <v>1370.8603991999998</v>
      </c>
      <c r="V205" s="399">
        <f t="shared" si="52"/>
        <v>1370.8603991999998</v>
      </c>
      <c r="W205" s="399"/>
      <c r="X205" s="399">
        <v>2.74</v>
      </c>
      <c r="Y205" s="399">
        <v>0.26999999999999957</v>
      </c>
      <c r="Z205" s="399">
        <f t="shared" si="53"/>
        <v>3.01</v>
      </c>
      <c r="AA205" s="400">
        <v>368759</v>
      </c>
      <c r="AB205" s="400" t="s">
        <v>22</v>
      </c>
      <c r="AC205" s="397">
        <v>46181</v>
      </c>
      <c r="AD205" s="400" t="s">
        <v>299</v>
      </c>
    </row>
    <row r="206" spans="2:35" x14ac:dyDescent="0.25">
      <c r="B206" s="397">
        <f t="shared" ca="1" si="46"/>
        <v>46306</v>
      </c>
      <c r="C206" s="397" t="s">
        <v>290</v>
      </c>
      <c r="D206" t="s">
        <v>48</v>
      </c>
      <c r="E206" s="397">
        <v>46178</v>
      </c>
      <c r="F206" s="397"/>
      <c r="G206" s="397"/>
      <c r="H206" s="397"/>
      <c r="J206" s="398">
        <f t="shared" si="47"/>
        <v>0</v>
      </c>
      <c r="K206" s="398"/>
      <c r="L206" s="399">
        <f t="shared" si="48"/>
        <v>0</v>
      </c>
      <c r="M206" s="399"/>
      <c r="N206">
        <f t="shared" si="49"/>
        <v>0</v>
      </c>
      <c r="P206" s="399">
        <f t="shared" ca="1" si="50"/>
        <v>0</v>
      </c>
      <c r="Q206" s="399">
        <v>531.54999999999995</v>
      </c>
      <c r="R206" s="398">
        <v>96.5</v>
      </c>
      <c r="S206" s="398">
        <v>96.713399999999993</v>
      </c>
      <c r="T206" s="399">
        <f t="shared" si="51"/>
        <v>512.94574999999998</v>
      </c>
      <c r="U206" s="399">
        <f t="shared" si="54"/>
        <v>514.08007769999995</v>
      </c>
      <c r="V206" s="399">
        <f t="shared" si="52"/>
        <v>514.08007769999995</v>
      </c>
      <c r="W206" s="399"/>
      <c r="X206" s="399">
        <v>1.03</v>
      </c>
      <c r="Y206" s="399">
        <v>9.9999999999999867E-2</v>
      </c>
      <c r="Z206" s="399">
        <f t="shared" si="53"/>
        <v>1.1299999999999999</v>
      </c>
      <c r="AA206" s="400">
        <v>368760</v>
      </c>
      <c r="AB206" s="400" t="s">
        <v>22</v>
      </c>
      <c r="AC206" s="397">
        <v>46181</v>
      </c>
      <c r="AD206" s="400" t="s">
        <v>299</v>
      </c>
    </row>
    <row r="207" spans="2:35" x14ac:dyDescent="0.25">
      <c r="B207" s="397">
        <f t="shared" ca="1" si="46"/>
        <v>46306</v>
      </c>
      <c r="C207" s="397" t="s">
        <v>290</v>
      </c>
      <c r="D207" t="s">
        <v>48</v>
      </c>
      <c r="E207" s="397">
        <v>46178</v>
      </c>
      <c r="F207" s="397"/>
      <c r="G207" s="397"/>
      <c r="H207" s="397"/>
      <c r="J207" s="398">
        <f t="shared" si="47"/>
        <v>0</v>
      </c>
      <c r="K207" s="398"/>
      <c r="L207" s="399">
        <f t="shared" si="48"/>
        <v>0</v>
      </c>
      <c r="M207" s="399"/>
      <c r="N207">
        <f t="shared" si="49"/>
        <v>0</v>
      </c>
      <c r="P207" s="399">
        <f t="shared" ca="1" si="50"/>
        <v>0</v>
      </c>
      <c r="Q207" s="399">
        <v>954.84</v>
      </c>
      <c r="R207" s="398">
        <v>96.75</v>
      </c>
      <c r="S207" s="398">
        <v>96.962800000000001</v>
      </c>
      <c r="T207" s="399">
        <f t="shared" si="51"/>
        <v>923.80770000000007</v>
      </c>
      <c r="U207" s="399">
        <f t="shared" si="54"/>
        <v>925.83959952000009</v>
      </c>
      <c r="V207" s="399">
        <f t="shared" si="52"/>
        <v>925.83959952000009</v>
      </c>
      <c r="W207" s="399"/>
      <c r="X207" s="399">
        <v>1.85</v>
      </c>
      <c r="Y207" s="399">
        <v>0.17999999999999969</v>
      </c>
      <c r="Z207" s="399">
        <f t="shared" si="53"/>
        <v>2.0299999999999998</v>
      </c>
      <c r="AA207" s="400">
        <v>368765</v>
      </c>
      <c r="AB207" s="400" t="s">
        <v>22</v>
      </c>
      <c r="AC207" s="397">
        <v>46181</v>
      </c>
      <c r="AD207" s="400" t="s">
        <v>299</v>
      </c>
    </row>
    <row r="208" spans="2:35" x14ac:dyDescent="0.25">
      <c r="B208" s="397">
        <f t="shared" ca="1" si="46"/>
        <v>46306</v>
      </c>
      <c r="C208" s="397" t="s">
        <v>290</v>
      </c>
      <c r="D208" t="s">
        <v>48</v>
      </c>
      <c r="E208" s="397">
        <v>46178</v>
      </c>
      <c r="F208" s="397"/>
      <c r="G208" s="397"/>
      <c r="H208" s="397"/>
      <c r="J208" s="398">
        <f t="shared" si="47"/>
        <v>0</v>
      </c>
      <c r="K208" s="398"/>
      <c r="L208" s="399">
        <f t="shared" si="48"/>
        <v>0</v>
      </c>
      <c r="M208" s="399"/>
      <c r="N208">
        <f t="shared" si="49"/>
        <v>0</v>
      </c>
      <c r="P208" s="399">
        <f t="shared" ca="1" si="50"/>
        <v>0</v>
      </c>
      <c r="Q208" s="399">
        <v>608.51</v>
      </c>
      <c r="R208" s="398">
        <v>96.5</v>
      </c>
      <c r="S208" s="398">
        <v>96.711600000000004</v>
      </c>
      <c r="T208" s="399">
        <f t="shared" si="51"/>
        <v>587.21214999999995</v>
      </c>
      <c r="U208" s="399">
        <f t="shared" si="54"/>
        <v>588.49975716000006</v>
      </c>
      <c r="V208" s="399">
        <f t="shared" si="52"/>
        <v>588.49975716000006</v>
      </c>
      <c r="W208" s="399"/>
      <c r="X208" s="399">
        <v>1.17</v>
      </c>
      <c r="Y208" s="399">
        <v>0.12000000000000011</v>
      </c>
      <c r="Z208" s="399">
        <f t="shared" si="53"/>
        <v>1.29</v>
      </c>
      <c r="AA208" s="400">
        <v>368774</v>
      </c>
      <c r="AB208" s="400" t="s">
        <v>22</v>
      </c>
      <c r="AC208" s="397">
        <v>46181</v>
      </c>
      <c r="AD208" s="400" t="s">
        <v>299</v>
      </c>
    </row>
    <row r="209" spans="2:30" x14ac:dyDescent="0.25">
      <c r="B209" s="397">
        <f t="shared" ca="1" si="46"/>
        <v>46306</v>
      </c>
      <c r="C209" s="397" t="s">
        <v>290</v>
      </c>
      <c r="D209" t="s">
        <v>48</v>
      </c>
      <c r="E209" s="397">
        <v>46178</v>
      </c>
      <c r="F209" s="397"/>
      <c r="G209" s="397"/>
      <c r="H209" s="397"/>
      <c r="J209" s="398">
        <f t="shared" si="47"/>
        <v>0</v>
      </c>
      <c r="K209" s="398"/>
      <c r="L209" s="399">
        <f t="shared" si="48"/>
        <v>0</v>
      </c>
      <c r="M209" s="399"/>
      <c r="N209">
        <f t="shared" si="49"/>
        <v>0</v>
      </c>
      <c r="P209" s="399">
        <f t="shared" ca="1" si="50"/>
        <v>0</v>
      </c>
      <c r="Q209" s="399">
        <v>608.51</v>
      </c>
      <c r="R209" s="398">
        <v>96.5</v>
      </c>
      <c r="S209" s="398">
        <v>96.711600000000004</v>
      </c>
      <c r="T209" s="399">
        <f t="shared" si="51"/>
        <v>587.21214999999995</v>
      </c>
      <c r="U209" s="399">
        <f t="shared" si="54"/>
        <v>588.49975716000006</v>
      </c>
      <c r="V209" s="399">
        <f t="shared" si="52"/>
        <v>588.49975716000006</v>
      </c>
      <c r="W209" s="399"/>
      <c r="X209" s="399">
        <v>1.17</v>
      </c>
      <c r="Y209" s="399">
        <v>0.12000000000000011</v>
      </c>
      <c r="Z209" s="399">
        <f t="shared" si="53"/>
        <v>1.29</v>
      </c>
      <c r="AA209" s="400">
        <v>368727</v>
      </c>
      <c r="AB209" s="400" t="s">
        <v>22</v>
      </c>
      <c r="AC209" s="397">
        <v>46181</v>
      </c>
      <c r="AD209" s="400" t="s">
        <v>299</v>
      </c>
    </row>
    <row r="210" spans="2:30" x14ac:dyDescent="0.25">
      <c r="B210" s="397">
        <f t="shared" ca="1" si="46"/>
        <v>46306</v>
      </c>
      <c r="C210" s="397" t="s">
        <v>290</v>
      </c>
      <c r="D210" t="s">
        <v>48</v>
      </c>
      <c r="E210" s="397">
        <v>46178</v>
      </c>
      <c r="F210" s="397"/>
      <c r="G210" s="397"/>
      <c r="H210" s="397"/>
      <c r="J210" s="398">
        <f t="shared" si="47"/>
        <v>0</v>
      </c>
      <c r="K210" s="398"/>
      <c r="L210" s="399">
        <f t="shared" si="48"/>
        <v>0</v>
      </c>
      <c r="M210" s="399"/>
      <c r="N210">
        <f t="shared" si="49"/>
        <v>0</v>
      </c>
      <c r="P210" s="399">
        <f t="shared" ca="1" si="50"/>
        <v>0</v>
      </c>
      <c r="Q210" s="399">
        <v>770.98</v>
      </c>
      <c r="R210" s="398">
        <v>96.5</v>
      </c>
      <c r="S210" s="398">
        <v>96.713300000000004</v>
      </c>
      <c r="T210" s="399">
        <f t="shared" si="51"/>
        <v>743.99570000000006</v>
      </c>
      <c r="U210" s="399">
        <f t="shared" si="54"/>
        <v>745.64020033999998</v>
      </c>
      <c r="V210" s="399">
        <f t="shared" si="52"/>
        <v>745.64020033999998</v>
      </c>
      <c r="W210" s="399"/>
      <c r="X210" s="399">
        <v>1.49</v>
      </c>
      <c r="Y210" s="399">
        <v>0.14999999999999991</v>
      </c>
      <c r="Z210" s="399">
        <f t="shared" si="53"/>
        <v>1.64</v>
      </c>
      <c r="AA210" s="400">
        <v>368729</v>
      </c>
      <c r="AB210" s="400" t="s">
        <v>22</v>
      </c>
      <c r="AC210" s="397">
        <v>46181</v>
      </c>
      <c r="AD210" s="400" t="s">
        <v>299</v>
      </c>
    </row>
    <row r="211" spans="2:30" x14ac:dyDescent="0.25">
      <c r="B211" s="397">
        <f t="shared" ca="1" si="46"/>
        <v>46306</v>
      </c>
      <c r="C211" s="397" t="s">
        <v>290</v>
      </c>
      <c r="D211" t="s">
        <v>48</v>
      </c>
      <c r="E211" s="397">
        <v>46178</v>
      </c>
      <c r="F211" s="397"/>
      <c r="G211" s="397"/>
      <c r="H211" s="397"/>
      <c r="J211" s="398">
        <f t="shared" si="47"/>
        <v>0</v>
      </c>
      <c r="K211" s="398"/>
      <c r="L211" s="399">
        <f t="shared" si="48"/>
        <v>0</v>
      </c>
      <c r="M211" s="399"/>
      <c r="N211">
        <f t="shared" si="49"/>
        <v>0</v>
      </c>
      <c r="P211" s="399">
        <f t="shared" ca="1" si="50"/>
        <v>0</v>
      </c>
      <c r="Q211" s="399">
        <v>869.52</v>
      </c>
      <c r="R211" s="398">
        <v>96.75</v>
      </c>
      <c r="S211" s="398">
        <v>96.962699999999998</v>
      </c>
      <c r="T211" s="399">
        <f t="shared" si="51"/>
        <v>841.26059999999995</v>
      </c>
      <c r="U211" s="399">
        <f t="shared" si="54"/>
        <v>843.11006903999998</v>
      </c>
      <c r="V211" s="399">
        <f t="shared" si="52"/>
        <v>843.11006903999998</v>
      </c>
      <c r="W211" s="399"/>
      <c r="X211" s="399">
        <v>1.68</v>
      </c>
      <c r="Y211" s="399">
        <v>0.17000000000000021</v>
      </c>
      <c r="Z211" s="399">
        <f t="shared" si="53"/>
        <v>1.85</v>
      </c>
      <c r="AA211" s="400">
        <v>368730</v>
      </c>
      <c r="AB211" s="400" t="s">
        <v>22</v>
      </c>
      <c r="AC211" s="397">
        <v>46181</v>
      </c>
      <c r="AD211" s="400" t="s">
        <v>299</v>
      </c>
    </row>
    <row r="212" spans="2:30" x14ac:dyDescent="0.25">
      <c r="B212" s="397">
        <f t="shared" ca="1" si="46"/>
        <v>46306</v>
      </c>
      <c r="C212" s="397" t="s">
        <v>290</v>
      </c>
      <c r="D212" t="s">
        <v>48</v>
      </c>
      <c r="E212" s="397">
        <v>46178</v>
      </c>
      <c r="F212" s="397"/>
      <c r="G212" s="397"/>
      <c r="H212" s="397"/>
      <c r="J212" s="398">
        <f t="shared" si="47"/>
        <v>0</v>
      </c>
      <c r="K212" s="398"/>
      <c r="L212" s="399">
        <f t="shared" si="48"/>
        <v>0</v>
      </c>
      <c r="M212" s="399"/>
      <c r="N212">
        <f t="shared" si="49"/>
        <v>0</v>
      </c>
      <c r="P212" s="399">
        <f t="shared" ca="1" si="50"/>
        <v>0</v>
      </c>
      <c r="Q212" s="399">
        <v>1137.52</v>
      </c>
      <c r="R212" s="398">
        <v>97.25</v>
      </c>
      <c r="S212" s="398">
        <v>97.463800000000006</v>
      </c>
      <c r="T212" s="399">
        <f t="shared" si="51"/>
        <v>1106.2382</v>
      </c>
      <c r="U212" s="399">
        <f t="shared" si="54"/>
        <v>1108.67021776</v>
      </c>
      <c r="V212" s="399">
        <f t="shared" si="52"/>
        <v>1108.67021776</v>
      </c>
      <c r="W212" s="399"/>
      <c r="X212" s="399">
        <v>2.21</v>
      </c>
      <c r="Y212" s="399">
        <v>0.2200000000000002</v>
      </c>
      <c r="Z212" s="399">
        <f t="shared" si="53"/>
        <v>2.4300000000000002</v>
      </c>
      <c r="AA212" s="400">
        <v>368733</v>
      </c>
      <c r="AB212" s="400" t="s">
        <v>22</v>
      </c>
      <c r="AC212" s="397">
        <v>46181</v>
      </c>
      <c r="AD212" s="400" t="s">
        <v>299</v>
      </c>
    </row>
    <row r="213" spans="2:30" x14ac:dyDescent="0.25">
      <c r="B213" s="397">
        <f t="shared" ca="1" si="46"/>
        <v>46306</v>
      </c>
      <c r="C213" s="397" t="s">
        <v>290</v>
      </c>
      <c r="D213" t="s">
        <v>48</v>
      </c>
      <c r="E213" s="397">
        <v>46178</v>
      </c>
      <c r="F213" s="397"/>
      <c r="G213" s="397"/>
      <c r="H213" s="397"/>
      <c r="J213" s="398">
        <f t="shared" si="47"/>
        <v>0</v>
      </c>
      <c r="K213" s="398"/>
      <c r="L213" s="399">
        <f t="shared" si="48"/>
        <v>0</v>
      </c>
      <c r="M213" s="399"/>
      <c r="N213">
        <f t="shared" si="49"/>
        <v>0</v>
      </c>
      <c r="P213" s="399">
        <f t="shared" ca="1" si="50"/>
        <v>0</v>
      </c>
      <c r="Q213" s="399">
        <v>1589.14</v>
      </c>
      <c r="R213" s="398">
        <v>97.25</v>
      </c>
      <c r="S213" s="398">
        <v>97.463999999999999</v>
      </c>
      <c r="T213" s="399">
        <f t="shared" si="51"/>
        <v>1545.4386500000003</v>
      </c>
      <c r="U213" s="399">
        <f t="shared" si="54"/>
        <v>1548.8394096000002</v>
      </c>
      <c r="V213" s="399">
        <f t="shared" si="52"/>
        <v>1548.8394096000002</v>
      </c>
      <c r="W213" s="399"/>
      <c r="X213" s="399">
        <v>3.09</v>
      </c>
      <c r="Y213" s="399">
        <v>0.31000000000000011</v>
      </c>
      <c r="Z213" s="399">
        <f t="shared" si="53"/>
        <v>3.4</v>
      </c>
      <c r="AA213" s="400">
        <v>368735</v>
      </c>
      <c r="AB213" s="400" t="s">
        <v>22</v>
      </c>
      <c r="AC213" s="397">
        <v>46181</v>
      </c>
      <c r="AD213" s="400" t="s">
        <v>299</v>
      </c>
    </row>
    <row r="214" spans="2:30" x14ac:dyDescent="0.25">
      <c r="B214" s="397">
        <f t="shared" ca="1" si="46"/>
        <v>46306</v>
      </c>
      <c r="C214" s="397" t="s">
        <v>290</v>
      </c>
      <c r="D214" t="s">
        <v>48</v>
      </c>
      <c r="E214" s="397">
        <v>46178</v>
      </c>
      <c r="F214" s="397"/>
      <c r="G214" s="397"/>
      <c r="H214" s="397"/>
      <c r="J214" s="398">
        <f t="shared" si="47"/>
        <v>0</v>
      </c>
      <c r="K214" s="398"/>
      <c r="L214" s="399">
        <f t="shared" si="48"/>
        <v>0</v>
      </c>
      <c r="M214" s="399"/>
      <c r="N214">
        <f t="shared" si="49"/>
        <v>0</v>
      </c>
      <c r="P214" s="399">
        <f t="shared" ca="1" si="50"/>
        <v>0</v>
      </c>
      <c r="Q214" s="399">
        <v>1776.94</v>
      </c>
      <c r="R214" s="398">
        <v>97.45</v>
      </c>
      <c r="S214" s="398">
        <v>97.664500000000004</v>
      </c>
      <c r="T214" s="399">
        <f t="shared" si="51"/>
        <v>1731.6280300000001</v>
      </c>
      <c r="U214" s="399">
        <f t="shared" si="54"/>
        <v>1735.4395663</v>
      </c>
      <c r="V214" s="399">
        <f t="shared" si="52"/>
        <v>1735.4395663</v>
      </c>
      <c r="W214" s="399"/>
      <c r="X214" s="399">
        <v>3.46</v>
      </c>
      <c r="Y214" s="399">
        <v>0.35000000000000009</v>
      </c>
      <c r="Z214" s="399">
        <f t="shared" si="53"/>
        <v>3.81</v>
      </c>
      <c r="AA214" s="400">
        <v>368736</v>
      </c>
      <c r="AB214" s="400" t="s">
        <v>22</v>
      </c>
      <c r="AC214" s="397">
        <v>46181</v>
      </c>
      <c r="AD214" s="400" t="s">
        <v>299</v>
      </c>
    </row>
    <row r="215" spans="2:30" x14ac:dyDescent="0.25">
      <c r="B215" s="397">
        <f t="shared" ca="1" si="46"/>
        <v>46306</v>
      </c>
      <c r="C215" s="397" t="s">
        <v>290</v>
      </c>
      <c r="D215" t="s">
        <v>48</v>
      </c>
      <c r="E215" s="397">
        <v>46178</v>
      </c>
      <c r="F215" s="397"/>
      <c r="G215" s="397"/>
      <c r="H215" s="397"/>
      <c r="J215" s="398">
        <f t="shared" si="47"/>
        <v>0</v>
      </c>
      <c r="K215" s="398"/>
      <c r="L215" s="399">
        <f t="shared" si="48"/>
        <v>0</v>
      </c>
      <c r="M215" s="399"/>
      <c r="N215">
        <f t="shared" si="49"/>
        <v>0</v>
      </c>
      <c r="P215" s="399">
        <f t="shared" ca="1" si="50"/>
        <v>0</v>
      </c>
      <c r="Q215" s="399">
        <v>1721.86</v>
      </c>
      <c r="R215" s="398">
        <v>97.2</v>
      </c>
      <c r="S215" s="398">
        <v>97.413799999999995</v>
      </c>
      <c r="T215" s="399">
        <f t="shared" si="51"/>
        <v>1673.6479199999999</v>
      </c>
      <c r="U215" s="399">
        <f t="shared" si="54"/>
        <v>1677.3292566799998</v>
      </c>
      <c r="V215" s="399">
        <f t="shared" si="52"/>
        <v>1677.3292566799998</v>
      </c>
      <c r="W215" s="399"/>
      <c r="X215" s="399">
        <v>3.35</v>
      </c>
      <c r="Y215" s="399">
        <v>0.33000000000000013</v>
      </c>
      <c r="Z215" s="399">
        <f t="shared" si="53"/>
        <v>3.68</v>
      </c>
      <c r="AA215" s="400">
        <v>368737</v>
      </c>
      <c r="AB215" s="400" t="s">
        <v>22</v>
      </c>
      <c r="AC215" s="397">
        <v>46181</v>
      </c>
      <c r="AD215" s="400" t="s">
        <v>299</v>
      </c>
    </row>
    <row r="216" spans="2:30" x14ac:dyDescent="0.25">
      <c r="B216" s="397">
        <f t="shared" ca="1" si="46"/>
        <v>46306</v>
      </c>
      <c r="C216" s="397" t="s">
        <v>290</v>
      </c>
      <c r="D216" t="s">
        <v>48</v>
      </c>
      <c r="E216" s="397">
        <v>46178</v>
      </c>
      <c r="F216" s="397"/>
      <c r="G216" s="397"/>
      <c r="H216" s="397"/>
      <c r="J216" s="398">
        <f t="shared" si="47"/>
        <v>0</v>
      </c>
      <c r="K216" s="398"/>
      <c r="L216" s="399">
        <f t="shared" si="48"/>
        <v>0</v>
      </c>
      <c r="M216" s="399"/>
      <c r="N216">
        <f t="shared" si="49"/>
        <v>0</v>
      </c>
      <c r="P216" s="399">
        <f t="shared" ca="1" si="50"/>
        <v>0</v>
      </c>
      <c r="Q216" s="399">
        <v>2436.3000000000002</v>
      </c>
      <c r="R216" s="398">
        <v>97.25</v>
      </c>
      <c r="S216" s="398">
        <v>97.463800000000006</v>
      </c>
      <c r="T216" s="399">
        <f t="shared" si="51"/>
        <v>2369.3017500000001</v>
      </c>
      <c r="U216" s="399">
        <f t="shared" si="54"/>
        <v>2374.5105594000001</v>
      </c>
      <c r="V216" s="399">
        <f t="shared" si="52"/>
        <v>2374.5105594000001</v>
      </c>
      <c r="W216" s="399"/>
      <c r="X216" s="399">
        <v>4.74</v>
      </c>
      <c r="Y216" s="399">
        <v>0.46999999999999981</v>
      </c>
      <c r="Z216" s="399">
        <f t="shared" si="53"/>
        <v>5.21</v>
      </c>
      <c r="AA216" s="400">
        <v>368738</v>
      </c>
      <c r="AB216" s="400" t="s">
        <v>22</v>
      </c>
      <c r="AC216" s="397">
        <v>46181</v>
      </c>
      <c r="AD216" s="400" t="s">
        <v>299</v>
      </c>
    </row>
    <row r="217" spans="2:30" x14ac:dyDescent="0.25">
      <c r="B217" s="397">
        <f t="shared" ca="1" si="46"/>
        <v>46306</v>
      </c>
      <c r="C217" s="397" t="s">
        <v>290</v>
      </c>
      <c r="D217" t="s">
        <v>48</v>
      </c>
      <c r="E217" s="397">
        <v>46181</v>
      </c>
      <c r="F217" s="397"/>
      <c r="G217" s="397"/>
      <c r="H217" s="397"/>
      <c r="J217" s="398">
        <f t="shared" si="47"/>
        <v>0</v>
      </c>
      <c r="K217" s="398"/>
      <c r="L217" s="399">
        <f t="shared" si="48"/>
        <v>0</v>
      </c>
      <c r="M217" s="399"/>
      <c r="N217">
        <f t="shared" si="49"/>
        <v>0</v>
      </c>
      <c r="P217" s="399">
        <f t="shared" ca="1" si="50"/>
        <v>0</v>
      </c>
      <c r="Q217" s="399">
        <v>561.03</v>
      </c>
      <c r="R217" s="398">
        <v>97</v>
      </c>
      <c r="S217" s="398">
        <v>97.116</v>
      </c>
      <c r="T217" s="399">
        <f t="shared" si="51"/>
        <v>544.19909999999993</v>
      </c>
      <c r="U217" s="399">
        <f t="shared" si="54"/>
        <v>544.84989480000002</v>
      </c>
      <c r="V217" s="399">
        <f t="shared" si="52"/>
        <v>544.84989480000002</v>
      </c>
      <c r="W217" s="399"/>
      <c r="X217" s="399">
        <v>0.54</v>
      </c>
      <c r="Y217" s="399">
        <v>0.11</v>
      </c>
      <c r="Z217" s="399">
        <f t="shared" si="53"/>
        <v>0.65</v>
      </c>
      <c r="AA217" s="400">
        <v>368828</v>
      </c>
      <c r="AB217" s="400" t="s">
        <v>22</v>
      </c>
      <c r="AC217" s="397">
        <v>46188</v>
      </c>
      <c r="AD217" s="400">
        <v>3692061</v>
      </c>
    </row>
    <row r="218" spans="2:30" x14ac:dyDescent="0.25">
      <c r="B218" s="397">
        <f t="shared" ca="1" si="46"/>
        <v>46306</v>
      </c>
      <c r="C218" s="397" t="s">
        <v>290</v>
      </c>
      <c r="D218" t="s">
        <v>48</v>
      </c>
      <c r="E218" s="397">
        <v>46181</v>
      </c>
      <c r="F218" s="397"/>
      <c r="G218" s="397"/>
      <c r="H218" s="397"/>
      <c r="J218" s="398">
        <f t="shared" si="47"/>
        <v>0</v>
      </c>
      <c r="K218" s="398"/>
      <c r="L218" s="399">
        <f t="shared" si="48"/>
        <v>0</v>
      </c>
      <c r="M218" s="399"/>
      <c r="N218">
        <f t="shared" si="49"/>
        <v>0</v>
      </c>
      <c r="P218" s="399">
        <f t="shared" ca="1" si="50"/>
        <v>0</v>
      </c>
      <c r="Q218" s="399">
        <v>857.82</v>
      </c>
      <c r="R218" s="398">
        <v>97</v>
      </c>
      <c r="S218" s="398">
        <v>97.117099999999994</v>
      </c>
      <c r="T218" s="399">
        <f t="shared" si="51"/>
        <v>832.08540000000005</v>
      </c>
      <c r="U218" s="399">
        <f t="shared" si="54"/>
        <v>833.08990721999999</v>
      </c>
      <c r="V218" s="399">
        <f t="shared" si="52"/>
        <v>833.08990721999999</v>
      </c>
      <c r="W218" s="399"/>
      <c r="X218" s="399">
        <v>0.83</v>
      </c>
      <c r="Y218" s="399">
        <v>0.17</v>
      </c>
      <c r="Z218" s="399">
        <f t="shared" si="53"/>
        <v>1</v>
      </c>
      <c r="AA218" s="400">
        <v>368840</v>
      </c>
      <c r="AB218" s="400" t="s">
        <v>22</v>
      </c>
      <c r="AC218" s="397">
        <v>46188</v>
      </c>
      <c r="AD218" s="400">
        <v>3692061</v>
      </c>
    </row>
    <row r="219" spans="2:30" x14ac:dyDescent="0.25">
      <c r="B219" s="397">
        <f t="shared" ca="1" si="46"/>
        <v>46306</v>
      </c>
      <c r="C219" s="397" t="s">
        <v>290</v>
      </c>
      <c r="D219" t="s">
        <v>48</v>
      </c>
      <c r="E219" s="397">
        <v>46181</v>
      </c>
      <c r="F219" s="397"/>
      <c r="G219" s="397"/>
      <c r="H219" s="397"/>
      <c r="J219" s="398">
        <f t="shared" si="47"/>
        <v>0</v>
      </c>
      <c r="K219" s="398"/>
      <c r="L219" s="399">
        <f t="shared" si="48"/>
        <v>0</v>
      </c>
      <c r="M219" s="399"/>
      <c r="N219">
        <f t="shared" si="49"/>
        <v>0</v>
      </c>
      <c r="P219" s="399">
        <f t="shared" ca="1" si="50"/>
        <v>0</v>
      </c>
      <c r="Q219" s="399">
        <v>430.79</v>
      </c>
      <c r="R219" s="398">
        <v>97</v>
      </c>
      <c r="S219" s="398">
        <v>97.116900000000001</v>
      </c>
      <c r="T219" s="399">
        <f t="shared" si="51"/>
        <v>417.86630000000002</v>
      </c>
      <c r="U219" s="399">
        <f t="shared" si="54"/>
        <v>418.36989351000005</v>
      </c>
      <c r="V219" s="399">
        <f t="shared" si="52"/>
        <v>418.36989351000005</v>
      </c>
      <c r="W219" s="399"/>
      <c r="X219" s="399">
        <v>0.42</v>
      </c>
      <c r="Y219" s="399">
        <v>8.0000000000000016E-2</v>
      </c>
      <c r="Z219" s="399">
        <f t="shared" si="53"/>
        <v>0.5</v>
      </c>
      <c r="AA219" s="400">
        <v>368841</v>
      </c>
      <c r="AB219" s="400" t="s">
        <v>22</v>
      </c>
      <c r="AC219" s="397">
        <v>46188</v>
      </c>
      <c r="AD219" s="400">
        <v>3692061</v>
      </c>
    </row>
    <row r="220" spans="2:30" x14ac:dyDescent="0.25">
      <c r="B220" s="397">
        <f t="shared" ca="1" si="46"/>
        <v>46306</v>
      </c>
      <c r="C220" s="397" t="s">
        <v>290</v>
      </c>
      <c r="D220" t="s">
        <v>48</v>
      </c>
      <c r="E220" s="397">
        <v>46181</v>
      </c>
      <c r="F220" s="397"/>
      <c r="G220" s="397"/>
      <c r="H220" s="397"/>
      <c r="J220" s="398">
        <f t="shared" si="47"/>
        <v>0</v>
      </c>
      <c r="K220" s="398"/>
      <c r="L220" s="399">
        <f t="shared" si="48"/>
        <v>0</v>
      </c>
      <c r="M220" s="399"/>
      <c r="N220">
        <f t="shared" si="49"/>
        <v>0</v>
      </c>
      <c r="P220" s="399">
        <f t="shared" ca="1" si="50"/>
        <v>0</v>
      </c>
      <c r="Q220" s="399">
        <v>911.5</v>
      </c>
      <c r="R220" s="398">
        <v>97</v>
      </c>
      <c r="S220" s="398">
        <v>97.116799999999998</v>
      </c>
      <c r="T220" s="399">
        <f t="shared" si="51"/>
        <v>884.15499999999997</v>
      </c>
      <c r="U220" s="399">
        <f t="shared" si="54"/>
        <v>885.21963199999993</v>
      </c>
      <c r="V220" s="399">
        <f t="shared" si="52"/>
        <v>885.21963199999993</v>
      </c>
      <c r="W220" s="399"/>
      <c r="X220" s="399">
        <v>0.88</v>
      </c>
      <c r="Y220" s="399">
        <v>0.18</v>
      </c>
      <c r="Z220" s="399">
        <f t="shared" si="53"/>
        <v>1.06</v>
      </c>
      <c r="AA220" s="400">
        <v>368842</v>
      </c>
      <c r="AB220" s="400" t="s">
        <v>22</v>
      </c>
      <c r="AC220" s="397">
        <v>46188</v>
      </c>
      <c r="AD220" s="400">
        <v>3692061</v>
      </c>
    </row>
    <row r="221" spans="2:30" x14ac:dyDescent="0.25">
      <c r="B221" s="397">
        <f t="shared" ca="1" si="46"/>
        <v>46306</v>
      </c>
      <c r="C221" s="397" t="s">
        <v>290</v>
      </c>
      <c r="D221" t="s">
        <v>48</v>
      </c>
      <c r="E221" s="397">
        <v>46181</v>
      </c>
      <c r="F221" s="397"/>
      <c r="G221" s="397"/>
      <c r="H221" s="397"/>
      <c r="J221" s="398">
        <f t="shared" si="47"/>
        <v>0</v>
      </c>
      <c r="K221" s="398"/>
      <c r="L221" s="399">
        <f t="shared" si="48"/>
        <v>0</v>
      </c>
      <c r="M221" s="399"/>
      <c r="N221">
        <f t="shared" si="49"/>
        <v>0</v>
      </c>
      <c r="P221" s="399">
        <f t="shared" ca="1" si="50"/>
        <v>0</v>
      </c>
      <c r="Q221" s="399">
        <v>302.25</v>
      </c>
      <c r="R221" s="398">
        <v>97</v>
      </c>
      <c r="S221" s="398">
        <v>97.114999999999995</v>
      </c>
      <c r="T221" s="399">
        <f t="shared" si="51"/>
        <v>293.1825</v>
      </c>
      <c r="U221" s="399">
        <f t="shared" si="54"/>
        <v>293.53008749999998</v>
      </c>
      <c r="V221" s="399">
        <f t="shared" si="52"/>
        <v>293.53008749999998</v>
      </c>
      <c r="W221" s="399"/>
      <c r="X221" s="399">
        <v>0.28999999999999998</v>
      </c>
      <c r="Y221" s="399">
        <v>0.06</v>
      </c>
      <c r="Z221" s="399">
        <f t="shared" si="53"/>
        <v>0.35</v>
      </c>
      <c r="AA221" s="400">
        <v>368843</v>
      </c>
      <c r="AB221" s="400" t="s">
        <v>22</v>
      </c>
      <c r="AC221" s="397">
        <v>46188</v>
      </c>
      <c r="AD221" s="400">
        <v>3692061</v>
      </c>
    </row>
    <row r="222" spans="2:30" x14ac:dyDescent="0.25">
      <c r="B222" s="397">
        <f t="shared" ca="1" si="46"/>
        <v>46306</v>
      </c>
      <c r="C222" s="397" t="s">
        <v>290</v>
      </c>
      <c r="D222" t="s">
        <v>48</v>
      </c>
      <c r="E222" s="397">
        <v>46182</v>
      </c>
      <c r="F222" s="397"/>
      <c r="G222" s="397"/>
      <c r="H222" s="397"/>
      <c r="J222" s="398">
        <f t="shared" si="47"/>
        <v>0</v>
      </c>
      <c r="K222" s="398"/>
      <c r="L222" s="399">
        <f t="shared" si="48"/>
        <v>0</v>
      </c>
      <c r="M222" s="399"/>
      <c r="N222">
        <f t="shared" si="49"/>
        <v>0</v>
      </c>
      <c r="P222" s="399">
        <f t="shared" ca="1" si="50"/>
        <v>0</v>
      </c>
      <c r="Q222" s="399">
        <v>2447.63</v>
      </c>
      <c r="R222" s="398">
        <v>97.4</v>
      </c>
      <c r="S222" s="398">
        <v>97.516800000000003</v>
      </c>
      <c r="T222" s="399">
        <f t="shared" si="51"/>
        <v>2383.9916200000002</v>
      </c>
      <c r="U222" s="399">
        <f t="shared" si="54"/>
        <v>2386.85045184</v>
      </c>
      <c r="V222" s="399">
        <f t="shared" si="52"/>
        <v>2386.85045184</v>
      </c>
      <c r="W222" s="399"/>
      <c r="X222" s="399">
        <v>2.38</v>
      </c>
      <c r="Y222" s="399">
        <v>0.48</v>
      </c>
      <c r="Z222" s="399">
        <f t="shared" si="53"/>
        <v>2.86</v>
      </c>
      <c r="AA222" s="400">
        <v>368895</v>
      </c>
      <c r="AB222" s="400" t="s">
        <v>22</v>
      </c>
      <c r="AC222" s="397">
        <v>46188</v>
      </c>
      <c r="AD222" s="400">
        <v>3692061</v>
      </c>
    </row>
    <row r="223" spans="2:30" x14ac:dyDescent="0.25">
      <c r="B223" s="397">
        <f t="shared" ca="1" si="46"/>
        <v>46306</v>
      </c>
      <c r="C223" s="397" t="s">
        <v>290</v>
      </c>
      <c r="D223" t="s">
        <v>48</v>
      </c>
      <c r="E223" s="397">
        <v>46182</v>
      </c>
      <c r="F223" s="397"/>
      <c r="G223" s="397"/>
      <c r="H223" s="397"/>
      <c r="J223" s="398">
        <f t="shared" si="47"/>
        <v>0</v>
      </c>
      <c r="K223" s="398"/>
      <c r="L223" s="399">
        <f t="shared" si="48"/>
        <v>0</v>
      </c>
      <c r="M223" s="399"/>
      <c r="N223">
        <f t="shared" si="49"/>
        <v>0</v>
      </c>
      <c r="P223" s="399">
        <f t="shared" ca="1" si="50"/>
        <v>0</v>
      </c>
      <c r="Q223" s="399">
        <v>562.54</v>
      </c>
      <c r="R223" s="398">
        <v>97</v>
      </c>
      <c r="S223" s="398">
        <v>97.116600000000005</v>
      </c>
      <c r="T223" s="399">
        <f t="shared" si="51"/>
        <v>545.66379999999992</v>
      </c>
      <c r="U223" s="399">
        <f t="shared" si="54"/>
        <v>546.31972164000001</v>
      </c>
      <c r="V223" s="399">
        <f t="shared" si="52"/>
        <v>546.31972164000001</v>
      </c>
      <c r="W223" s="399"/>
      <c r="X223" s="399">
        <v>0.55000000000000004</v>
      </c>
      <c r="Y223" s="399">
        <v>0.11</v>
      </c>
      <c r="Z223" s="399">
        <f t="shared" si="53"/>
        <v>0.66</v>
      </c>
      <c r="AA223" s="400">
        <v>368900</v>
      </c>
      <c r="AB223" s="400" t="s">
        <v>22</v>
      </c>
      <c r="AC223" s="397">
        <v>46188</v>
      </c>
      <c r="AD223" s="400">
        <v>3692061</v>
      </c>
    </row>
    <row r="224" spans="2:30" x14ac:dyDescent="0.25">
      <c r="B224" s="397">
        <f t="shared" ca="1" si="46"/>
        <v>46306</v>
      </c>
      <c r="C224" s="397" t="s">
        <v>290</v>
      </c>
      <c r="D224" t="s">
        <v>48</v>
      </c>
      <c r="E224" s="397">
        <v>46182</v>
      </c>
      <c r="F224" s="397"/>
      <c r="G224" s="397"/>
      <c r="H224" s="397"/>
      <c r="J224" s="398">
        <f t="shared" si="47"/>
        <v>0</v>
      </c>
      <c r="K224" s="398"/>
      <c r="L224" s="399">
        <f t="shared" si="48"/>
        <v>0</v>
      </c>
      <c r="M224" s="399"/>
      <c r="N224">
        <f t="shared" si="49"/>
        <v>0</v>
      </c>
      <c r="P224" s="399">
        <f t="shared" ca="1" si="50"/>
        <v>0</v>
      </c>
      <c r="Q224" s="399">
        <v>171.37</v>
      </c>
      <c r="R224" s="398">
        <v>96</v>
      </c>
      <c r="S224" s="398">
        <v>96.113699999999994</v>
      </c>
      <c r="T224" s="399">
        <f t="shared" si="51"/>
        <v>164.51519999999999</v>
      </c>
      <c r="U224" s="399">
        <f t="shared" si="54"/>
        <v>164.71004768999998</v>
      </c>
      <c r="V224" s="399">
        <f t="shared" si="52"/>
        <v>164.71004768999998</v>
      </c>
      <c r="W224" s="399"/>
      <c r="X224" s="399">
        <v>0.16</v>
      </c>
      <c r="Y224" s="399">
        <v>0.03</v>
      </c>
      <c r="Z224" s="399">
        <f t="shared" si="53"/>
        <v>0.19</v>
      </c>
      <c r="AA224" s="400">
        <v>368901</v>
      </c>
      <c r="AB224" s="400" t="s">
        <v>22</v>
      </c>
      <c r="AC224" s="397">
        <v>46188</v>
      </c>
      <c r="AD224" s="400">
        <v>3692061</v>
      </c>
    </row>
    <row r="225" spans="2:30" x14ac:dyDescent="0.25">
      <c r="B225" s="397">
        <f t="shared" ca="1" si="46"/>
        <v>46306</v>
      </c>
      <c r="C225" s="397" t="s">
        <v>290</v>
      </c>
      <c r="D225" t="s">
        <v>48</v>
      </c>
      <c r="E225" s="397">
        <v>46182</v>
      </c>
      <c r="F225" s="397"/>
      <c r="G225" s="397"/>
      <c r="H225" s="397"/>
      <c r="J225" s="398">
        <f t="shared" si="47"/>
        <v>0</v>
      </c>
      <c r="K225" s="398"/>
      <c r="L225" s="399">
        <f t="shared" si="48"/>
        <v>0</v>
      </c>
      <c r="M225" s="399"/>
      <c r="N225">
        <f t="shared" si="49"/>
        <v>0</v>
      </c>
      <c r="P225" s="399">
        <f t="shared" ca="1" si="50"/>
        <v>0</v>
      </c>
      <c r="Q225" s="399">
        <v>2342.5</v>
      </c>
      <c r="R225" s="398">
        <v>97.1</v>
      </c>
      <c r="S225" s="398">
        <v>97.216200000000001</v>
      </c>
      <c r="T225" s="399">
        <f t="shared" si="51"/>
        <v>2274.5675000000001</v>
      </c>
      <c r="U225" s="399">
        <f t="shared" si="54"/>
        <v>2277.2894849999998</v>
      </c>
      <c r="V225" s="399">
        <f t="shared" si="52"/>
        <v>2277.2894849999998</v>
      </c>
      <c r="W225" s="399"/>
      <c r="X225" s="399">
        <v>2.27</v>
      </c>
      <c r="Y225" s="399">
        <v>0.45000000000000018</v>
      </c>
      <c r="Z225" s="399">
        <f t="shared" si="53"/>
        <v>2.72</v>
      </c>
      <c r="AA225" s="400">
        <v>368905</v>
      </c>
      <c r="AB225" s="400" t="s">
        <v>22</v>
      </c>
      <c r="AC225" s="397">
        <v>46188</v>
      </c>
      <c r="AD225" s="400">
        <v>3692061</v>
      </c>
    </row>
    <row r="226" spans="2:30" x14ac:dyDescent="0.25">
      <c r="B226" s="397">
        <f t="shared" ca="1" si="46"/>
        <v>46306</v>
      </c>
      <c r="C226" s="397" t="s">
        <v>290</v>
      </c>
      <c r="D226" t="s">
        <v>48</v>
      </c>
      <c r="E226" s="397">
        <v>46182</v>
      </c>
      <c r="F226" s="397"/>
      <c r="G226" s="397"/>
      <c r="H226" s="397"/>
      <c r="J226" s="398">
        <f t="shared" si="47"/>
        <v>0</v>
      </c>
      <c r="K226" s="398"/>
      <c r="L226" s="399">
        <f t="shared" si="48"/>
        <v>0</v>
      </c>
      <c r="M226" s="399"/>
      <c r="N226">
        <f t="shared" si="49"/>
        <v>0</v>
      </c>
      <c r="P226" s="399">
        <f t="shared" ca="1" si="50"/>
        <v>0</v>
      </c>
      <c r="Q226" s="399">
        <v>452.86</v>
      </c>
      <c r="R226" s="398">
        <v>96.5</v>
      </c>
      <c r="S226" s="398">
        <v>96.712000000000003</v>
      </c>
      <c r="T226" s="399">
        <f t="shared" si="51"/>
        <v>437.00989999999996</v>
      </c>
      <c r="U226" s="399">
        <f t="shared" si="54"/>
        <v>437.96996320000005</v>
      </c>
      <c r="V226" s="399">
        <f t="shared" si="52"/>
        <v>437.96996320000005</v>
      </c>
      <c r="W226" s="399"/>
      <c r="X226" s="399">
        <v>0.87</v>
      </c>
      <c r="Y226" s="399">
        <v>8.9999999999999969E-2</v>
      </c>
      <c r="Z226" s="399">
        <f t="shared" si="53"/>
        <v>0.96</v>
      </c>
      <c r="AA226" s="400">
        <v>368913</v>
      </c>
      <c r="AB226" s="400" t="s">
        <v>22</v>
      </c>
      <c r="AC226" s="397">
        <v>46188</v>
      </c>
      <c r="AD226" s="400">
        <v>3692061</v>
      </c>
    </row>
    <row r="227" spans="2:30" x14ac:dyDescent="0.25">
      <c r="B227" s="397">
        <f t="shared" ca="1" si="46"/>
        <v>46306</v>
      </c>
      <c r="C227" s="397" t="s">
        <v>290</v>
      </c>
      <c r="D227" t="s">
        <v>48</v>
      </c>
      <c r="E227" s="397">
        <v>46182</v>
      </c>
      <c r="F227" s="397"/>
      <c r="G227" s="397"/>
      <c r="H227" s="397"/>
      <c r="J227" s="398">
        <f t="shared" si="47"/>
        <v>0</v>
      </c>
      <c r="K227" s="398"/>
      <c r="L227" s="399">
        <f t="shared" si="48"/>
        <v>0</v>
      </c>
      <c r="M227" s="399"/>
      <c r="N227">
        <f t="shared" si="49"/>
        <v>0</v>
      </c>
      <c r="P227" s="399">
        <f t="shared" ca="1" si="50"/>
        <v>0</v>
      </c>
      <c r="Q227" s="399">
        <v>669.04</v>
      </c>
      <c r="R227" s="398">
        <v>97</v>
      </c>
      <c r="S227" s="398">
        <v>97.116799999999998</v>
      </c>
      <c r="T227" s="399">
        <f t="shared" si="51"/>
        <v>648.96879999999999</v>
      </c>
      <c r="U227" s="399">
        <f t="shared" si="54"/>
        <v>649.75023871999997</v>
      </c>
      <c r="V227" s="399">
        <f t="shared" si="52"/>
        <v>649.75023871999997</v>
      </c>
      <c r="W227" s="399"/>
      <c r="X227" s="399">
        <v>0.65</v>
      </c>
      <c r="Y227" s="399">
        <v>0.13</v>
      </c>
      <c r="Z227" s="399">
        <f t="shared" si="53"/>
        <v>0.78</v>
      </c>
      <c r="AA227" s="400">
        <v>368941</v>
      </c>
      <c r="AB227" s="400" t="s">
        <v>22</v>
      </c>
      <c r="AC227" s="397">
        <v>46188</v>
      </c>
      <c r="AD227" s="400">
        <v>3692061</v>
      </c>
    </row>
    <row r="228" spans="2:30" x14ac:dyDescent="0.25">
      <c r="B228" s="397">
        <f t="shared" ca="1" si="46"/>
        <v>46306</v>
      </c>
      <c r="C228" s="397" t="s">
        <v>290</v>
      </c>
      <c r="D228" t="s">
        <v>48</v>
      </c>
      <c r="E228" s="397">
        <v>46182</v>
      </c>
      <c r="F228" s="397"/>
      <c r="G228" s="397"/>
      <c r="H228" s="397"/>
      <c r="J228" s="398">
        <f t="shared" si="47"/>
        <v>0</v>
      </c>
      <c r="K228" s="398"/>
      <c r="L228" s="399">
        <f t="shared" si="48"/>
        <v>0</v>
      </c>
      <c r="M228" s="399"/>
      <c r="N228">
        <f t="shared" si="49"/>
        <v>0</v>
      </c>
      <c r="P228" s="399">
        <f t="shared" ca="1" si="50"/>
        <v>0</v>
      </c>
      <c r="Q228" s="399">
        <v>378.65</v>
      </c>
      <c r="R228" s="398">
        <v>96</v>
      </c>
      <c r="S228" s="398">
        <v>96.191733790000001</v>
      </c>
      <c r="T228" s="399">
        <f t="shared" si="51"/>
        <v>363.50399999999996</v>
      </c>
      <c r="U228" s="399">
        <f t="shared" si="54"/>
        <v>364.22999999583493</v>
      </c>
      <c r="V228" s="399">
        <f t="shared" si="52"/>
        <v>364.22999999583493</v>
      </c>
      <c r="W228" s="399"/>
      <c r="X228" s="399">
        <v>0.73</v>
      </c>
      <c r="Y228" s="399">
        <v>0</v>
      </c>
      <c r="Z228" s="399">
        <f t="shared" si="53"/>
        <v>0.73</v>
      </c>
      <c r="AA228" s="400" t="s">
        <v>339</v>
      </c>
      <c r="AB228" s="400" t="s">
        <v>22</v>
      </c>
      <c r="AC228" s="397">
        <v>46188</v>
      </c>
      <c r="AD228" s="400">
        <v>3692061</v>
      </c>
    </row>
    <row r="229" spans="2:30" x14ac:dyDescent="0.25">
      <c r="B229" s="397">
        <f t="shared" ca="1" si="46"/>
        <v>46306</v>
      </c>
      <c r="C229" s="397" t="s">
        <v>290</v>
      </c>
      <c r="D229" t="s">
        <v>48</v>
      </c>
      <c r="E229" s="397">
        <v>46182</v>
      </c>
      <c r="F229" s="397"/>
      <c r="G229" s="397"/>
      <c r="H229" s="397"/>
      <c r="J229" s="398">
        <f t="shared" si="47"/>
        <v>0</v>
      </c>
      <c r="K229" s="398"/>
      <c r="L229" s="399">
        <f t="shared" si="48"/>
        <v>0</v>
      </c>
      <c r="M229" s="399"/>
      <c r="N229">
        <f t="shared" si="49"/>
        <v>0</v>
      </c>
      <c r="P229" s="399">
        <f t="shared" ca="1" si="50"/>
        <v>0</v>
      </c>
      <c r="Q229" s="399">
        <v>385.22</v>
      </c>
      <c r="R229" s="398">
        <v>97</v>
      </c>
      <c r="S229" s="398">
        <v>97.193811330000003</v>
      </c>
      <c r="T229" s="399">
        <f t="shared" si="51"/>
        <v>373.66340000000002</v>
      </c>
      <c r="U229" s="399">
        <f t="shared" si="54"/>
        <v>374.41000000542607</v>
      </c>
      <c r="V229" s="399">
        <f t="shared" si="52"/>
        <v>374.41000000542607</v>
      </c>
      <c r="W229" s="399"/>
      <c r="X229" s="399">
        <v>0.75</v>
      </c>
      <c r="Y229" s="399">
        <v>0</v>
      </c>
      <c r="Z229" s="399">
        <f t="shared" si="53"/>
        <v>0.75</v>
      </c>
      <c r="AA229" s="400" t="s">
        <v>340</v>
      </c>
      <c r="AB229" s="400" t="s">
        <v>22</v>
      </c>
      <c r="AC229" s="397">
        <v>46188</v>
      </c>
      <c r="AD229" s="400">
        <v>3692061</v>
      </c>
    </row>
    <row r="230" spans="2:30" x14ac:dyDescent="0.25">
      <c r="B230" s="397">
        <f t="shared" ca="1" si="46"/>
        <v>46306</v>
      </c>
      <c r="C230" s="397" t="s">
        <v>290</v>
      </c>
      <c r="D230" t="s">
        <v>48</v>
      </c>
      <c r="E230" s="397">
        <v>46182</v>
      </c>
      <c r="F230" s="397"/>
      <c r="G230" s="397"/>
      <c r="H230" s="397"/>
      <c r="J230" s="398">
        <f t="shared" si="47"/>
        <v>0</v>
      </c>
      <c r="K230" s="398"/>
      <c r="L230" s="399">
        <f t="shared" si="48"/>
        <v>0</v>
      </c>
      <c r="M230" s="399"/>
      <c r="N230">
        <f t="shared" si="49"/>
        <v>0</v>
      </c>
      <c r="P230" s="399">
        <f t="shared" ca="1" si="50"/>
        <v>0</v>
      </c>
      <c r="Q230" s="399">
        <v>870.32</v>
      </c>
      <c r="R230" s="398">
        <v>97</v>
      </c>
      <c r="S230" s="398">
        <v>97.116003309999996</v>
      </c>
      <c r="T230" s="399">
        <f t="shared" si="51"/>
        <v>844.21040000000005</v>
      </c>
      <c r="U230" s="399">
        <f t="shared" si="54"/>
        <v>845.22000000759203</v>
      </c>
      <c r="V230" s="399">
        <f t="shared" si="52"/>
        <v>845.22000000759203</v>
      </c>
      <c r="W230" s="399"/>
      <c r="X230" s="399">
        <v>0.84</v>
      </c>
      <c r="Y230" s="399">
        <v>0.17</v>
      </c>
      <c r="Z230" s="399">
        <f t="shared" si="53"/>
        <v>1.01</v>
      </c>
      <c r="AA230" s="400" t="s">
        <v>341</v>
      </c>
      <c r="AB230" s="400" t="s">
        <v>22</v>
      </c>
      <c r="AC230" s="397">
        <v>46188</v>
      </c>
      <c r="AD230" s="400">
        <v>3692061</v>
      </c>
    </row>
    <row r="231" spans="2:30" x14ac:dyDescent="0.25">
      <c r="B231" s="397">
        <f t="shared" ca="1" si="46"/>
        <v>46306</v>
      </c>
      <c r="C231" s="397" t="s">
        <v>290</v>
      </c>
      <c r="D231" t="s">
        <v>48</v>
      </c>
      <c r="E231" s="397">
        <v>46183</v>
      </c>
      <c r="F231" s="397"/>
      <c r="G231" s="397"/>
      <c r="H231" s="397"/>
      <c r="J231" s="398">
        <f t="shared" si="47"/>
        <v>0</v>
      </c>
      <c r="K231" s="398"/>
      <c r="L231" s="399">
        <f t="shared" si="48"/>
        <v>0</v>
      </c>
      <c r="M231" s="399"/>
      <c r="N231">
        <f t="shared" si="49"/>
        <v>0</v>
      </c>
      <c r="P231" s="399">
        <f t="shared" ca="1" si="50"/>
        <v>0</v>
      </c>
      <c r="Q231" s="399">
        <v>6087.97</v>
      </c>
      <c r="R231" s="398">
        <v>97.4</v>
      </c>
      <c r="S231" s="398">
        <v>97.516900000000007</v>
      </c>
      <c r="T231" s="399">
        <f t="shared" si="51"/>
        <v>5929.6827800000001</v>
      </c>
      <c r="U231" s="399">
        <f t="shared" si="54"/>
        <v>5936.7996169300004</v>
      </c>
      <c r="V231" s="399">
        <f t="shared" si="52"/>
        <v>5936.7996169300004</v>
      </c>
      <c r="W231" s="399"/>
      <c r="X231" s="399">
        <v>5.93</v>
      </c>
      <c r="Y231" s="399">
        <v>1.19</v>
      </c>
      <c r="Z231" s="399">
        <f t="shared" si="53"/>
        <v>7.1199999999999992</v>
      </c>
      <c r="AA231" s="400">
        <v>369009</v>
      </c>
      <c r="AB231" s="400" t="s">
        <v>22</v>
      </c>
      <c r="AC231" s="397">
        <v>46188</v>
      </c>
      <c r="AD231" s="400">
        <v>3692061</v>
      </c>
    </row>
    <row r="232" spans="2:30" x14ac:dyDescent="0.25">
      <c r="B232" s="397">
        <f t="shared" ca="1" si="46"/>
        <v>46306</v>
      </c>
      <c r="C232" s="397" t="s">
        <v>290</v>
      </c>
      <c r="D232" t="s">
        <v>48</v>
      </c>
      <c r="E232" s="397">
        <v>46183</v>
      </c>
      <c r="F232" s="397"/>
      <c r="G232" s="397"/>
      <c r="H232" s="397"/>
      <c r="J232" s="398">
        <f t="shared" si="47"/>
        <v>0</v>
      </c>
      <c r="K232" s="398"/>
      <c r="L232" s="399">
        <f t="shared" si="48"/>
        <v>0</v>
      </c>
      <c r="M232" s="399"/>
      <c r="N232">
        <f t="shared" si="49"/>
        <v>0</v>
      </c>
      <c r="P232" s="399">
        <f t="shared" ca="1" si="50"/>
        <v>0</v>
      </c>
      <c r="Q232" s="399">
        <v>1556.95</v>
      </c>
      <c r="R232" s="398">
        <v>97.4</v>
      </c>
      <c r="S232" s="398">
        <v>97.516900000000007</v>
      </c>
      <c r="T232" s="399">
        <f t="shared" si="51"/>
        <v>1516.4693000000002</v>
      </c>
      <c r="U232" s="399">
        <f t="shared" si="54"/>
        <v>1518.28937455</v>
      </c>
      <c r="V232" s="399">
        <f t="shared" si="52"/>
        <v>1518.28937455</v>
      </c>
      <c r="W232" s="399"/>
      <c r="X232" s="399">
        <v>1.52</v>
      </c>
      <c r="Y232" s="399">
        <v>0.3</v>
      </c>
      <c r="Z232" s="399">
        <f t="shared" si="53"/>
        <v>1.82</v>
      </c>
      <c r="AA232" s="400">
        <v>369013</v>
      </c>
      <c r="AB232" s="400" t="s">
        <v>22</v>
      </c>
      <c r="AC232" s="397">
        <v>46188</v>
      </c>
      <c r="AD232" s="400">
        <v>3692061</v>
      </c>
    </row>
    <row r="233" spans="2:30" x14ac:dyDescent="0.25">
      <c r="B233" s="397">
        <f t="shared" ca="1" si="46"/>
        <v>46306</v>
      </c>
      <c r="C233" s="397" t="s">
        <v>290</v>
      </c>
      <c r="D233" t="s">
        <v>48</v>
      </c>
      <c r="E233" s="397">
        <v>46183</v>
      </c>
      <c r="F233" s="397"/>
      <c r="G233" s="397"/>
      <c r="H233" s="397"/>
      <c r="J233" s="398">
        <f t="shared" si="47"/>
        <v>0</v>
      </c>
      <c r="K233" s="398"/>
      <c r="L233" s="399">
        <f t="shared" si="48"/>
        <v>0</v>
      </c>
      <c r="M233" s="399"/>
      <c r="N233">
        <f t="shared" si="49"/>
        <v>0</v>
      </c>
      <c r="P233" s="399">
        <f t="shared" ca="1" si="50"/>
        <v>0</v>
      </c>
      <c r="Q233" s="399">
        <v>4190</v>
      </c>
      <c r="R233" s="398">
        <v>97.4</v>
      </c>
      <c r="S233" s="398">
        <v>97.516945109999995</v>
      </c>
      <c r="T233" s="399">
        <f t="shared" si="51"/>
        <v>4081.06</v>
      </c>
      <c r="U233" s="399">
        <f t="shared" si="54"/>
        <v>4085.9600001089998</v>
      </c>
      <c r="V233" s="399">
        <f t="shared" si="52"/>
        <v>4085.9600001089998</v>
      </c>
      <c r="W233" s="399"/>
      <c r="X233" s="399">
        <v>4.08</v>
      </c>
      <c r="Y233" s="399">
        <v>0.82000000000000028</v>
      </c>
      <c r="Z233" s="399">
        <f t="shared" si="53"/>
        <v>4.9000000000000004</v>
      </c>
      <c r="AA233" s="400">
        <v>15706</v>
      </c>
      <c r="AB233" s="400" t="s">
        <v>22</v>
      </c>
      <c r="AC233" s="397">
        <v>46188</v>
      </c>
      <c r="AD233" s="400">
        <v>3692061</v>
      </c>
    </row>
    <row r="234" spans="2:30" x14ac:dyDescent="0.25">
      <c r="B234" s="397">
        <f t="shared" ca="1" si="46"/>
        <v>46306</v>
      </c>
      <c r="C234" s="397" t="s">
        <v>290</v>
      </c>
      <c r="D234" t="s">
        <v>48</v>
      </c>
      <c r="E234" s="397">
        <v>46183</v>
      </c>
      <c r="F234" s="397"/>
      <c r="G234" s="397"/>
      <c r="H234" s="397"/>
      <c r="J234" s="398">
        <f t="shared" si="47"/>
        <v>0</v>
      </c>
      <c r="K234" s="398"/>
      <c r="L234" s="399">
        <f t="shared" si="48"/>
        <v>0</v>
      </c>
      <c r="M234" s="399"/>
      <c r="N234">
        <f t="shared" si="49"/>
        <v>0</v>
      </c>
      <c r="P234" s="399">
        <f t="shared" ca="1" si="50"/>
        <v>0</v>
      </c>
      <c r="Q234" s="399">
        <v>637.88</v>
      </c>
      <c r="R234" s="398">
        <v>96</v>
      </c>
      <c r="S234" s="398">
        <v>96.209318370000005</v>
      </c>
      <c r="T234" s="399">
        <f t="shared" si="51"/>
        <v>612.36479999999995</v>
      </c>
      <c r="U234" s="399">
        <f t="shared" si="54"/>
        <v>613.70000001855601</v>
      </c>
      <c r="V234" s="399">
        <f t="shared" si="52"/>
        <v>613.70000001855601</v>
      </c>
      <c r="W234" s="399"/>
      <c r="X234" s="399">
        <v>1.22</v>
      </c>
      <c r="Y234" s="399">
        <v>0.12000000000000011</v>
      </c>
      <c r="Z234" s="399">
        <f t="shared" si="53"/>
        <v>1.34</v>
      </c>
      <c r="AA234" s="400">
        <v>15707</v>
      </c>
      <c r="AB234" s="400" t="s">
        <v>22</v>
      </c>
      <c r="AC234" s="397">
        <v>46188</v>
      </c>
      <c r="AD234" s="400">
        <v>3692061</v>
      </c>
    </row>
    <row r="235" spans="2:30" x14ac:dyDescent="0.25">
      <c r="B235" s="397">
        <f t="shared" ca="1" si="46"/>
        <v>46306</v>
      </c>
      <c r="C235" s="397" t="s">
        <v>290</v>
      </c>
      <c r="D235" t="s">
        <v>48</v>
      </c>
      <c r="E235" s="397">
        <v>46183</v>
      </c>
      <c r="F235" s="397"/>
      <c r="G235" s="397"/>
      <c r="H235" s="397"/>
      <c r="J235" s="398">
        <f t="shared" si="47"/>
        <v>0</v>
      </c>
      <c r="K235" s="398"/>
      <c r="L235" s="399">
        <f t="shared" si="48"/>
        <v>0</v>
      </c>
      <c r="M235" s="399"/>
      <c r="N235">
        <f t="shared" si="49"/>
        <v>0</v>
      </c>
      <c r="P235" s="399">
        <f t="shared" ca="1" si="50"/>
        <v>0</v>
      </c>
      <c r="Q235" s="399">
        <v>1010.55</v>
      </c>
      <c r="R235" s="398">
        <v>97.1</v>
      </c>
      <c r="S235" s="398">
        <v>97.216367320000003</v>
      </c>
      <c r="T235" s="399">
        <f t="shared" si="51"/>
        <v>981.24404999999979</v>
      </c>
      <c r="U235" s="399">
        <f t="shared" si="54"/>
        <v>982.41999995226001</v>
      </c>
      <c r="V235" s="399">
        <f t="shared" si="52"/>
        <v>982.41999995226001</v>
      </c>
      <c r="W235" s="399"/>
      <c r="X235" s="399">
        <v>0.98</v>
      </c>
      <c r="Y235" s="399">
        <v>0.2</v>
      </c>
      <c r="Z235" s="399">
        <f t="shared" si="53"/>
        <v>1.18</v>
      </c>
      <c r="AA235" s="400">
        <v>15767</v>
      </c>
      <c r="AB235" s="400" t="s">
        <v>22</v>
      </c>
      <c r="AC235" s="397">
        <v>46188</v>
      </c>
      <c r="AD235" s="400">
        <v>3692061</v>
      </c>
    </row>
    <row r="236" spans="2:30" x14ac:dyDescent="0.25">
      <c r="B236" s="397">
        <f t="shared" ca="1" si="46"/>
        <v>46306</v>
      </c>
      <c r="C236" s="397" t="s">
        <v>290</v>
      </c>
      <c r="D236" t="s">
        <v>48</v>
      </c>
      <c r="E236" s="397">
        <v>46183</v>
      </c>
      <c r="F236" s="397"/>
      <c r="G236" s="397"/>
      <c r="H236" s="397"/>
      <c r="J236" s="398">
        <f t="shared" si="47"/>
        <v>0</v>
      </c>
      <c r="K236" s="398"/>
      <c r="L236" s="399">
        <f t="shared" si="48"/>
        <v>0</v>
      </c>
      <c r="M236" s="399"/>
      <c r="N236">
        <f t="shared" si="49"/>
        <v>0</v>
      </c>
      <c r="P236" s="399">
        <f t="shared" ca="1" si="50"/>
        <v>0</v>
      </c>
      <c r="Q236" s="399">
        <v>784.16</v>
      </c>
      <c r="R236" s="398">
        <v>96.55</v>
      </c>
      <c r="S236" s="398">
        <v>96.666496629999997</v>
      </c>
      <c r="T236" s="399">
        <f t="shared" si="51"/>
        <v>757.10648000000003</v>
      </c>
      <c r="U236" s="399">
        <f t="shared" si="54"/>
        <v>758.01999997380801</v>
      </c>
      <c r="V236" s="399">
        <f t="shared" si="52"/>
        <v>758.01999997380801</v>
      </c>
      <c r="W236" s="399"/>
      <c r="X236" s="399">
        <v>0.76</v>
      </c>
      <c r="Y236" s="399">
        <v>0.15</v>
      </c>
      <c r="Z236" s="399">
        <f t="shared" si="53"/>
        <v>0.91</v>
      </c>
      <c r="AA236" s="400">
        <v>15769</v>
      </c>
      <c r="AB236" s="400" t="s">
        <v>22</v>
      </c>
      <c r="AC236" s="397">
        <v>46188</v>
      </c>
      <c r="AD236" s="400">
        <v>3692061</v>
      </c>
    </row>
    <row r="237" spans="2:30" x14ac:dyDescent="0.25">
      <c r="B237" s="397">
        <f t="shared" ca="1" si="46"/>
        <v>46306</v>
      </c>
      <c r="C237" s="397" t="s">
        <v>290</v>
      </c>
      <c r="D237" t="s">
        <v>48</v>
      </c>
      <c r="E237" s="397">
        <v>46183</v>
      </c>
      <c r="F237" s="397"/>
      <c r="G237" s="397"/>
      <c r="H237" s="397"/>
      <c r="J237" s="398">
        <f t="shared" si="47"/>
        <v>0</v>
      </c>
      <c r="K237" s="398"/>
      <c r="L237" s="399">
        <f t="shared" si="48"/>
        <v>0</v>
      </c>
      <c r="M237" s="399"/>
      <c r="N237">
        <f t="shared" si="49"/>
        <v>0</v>
      </c>
      <c r="P237" s="399">
        <f t="shared" ca="1" si="50"/>
        <v>0</v>
      </c>
      <c r="Q237" s="399">
        <v>300</v>
      </c>
      <c r="R237" s="398">
        <v>95.15</v>
      </c>
      <c r="S237" s="398">
        <v>95.34</v>
      </c>
      <c r="T237" s="399">
        <f t="shared" si="51"/>
        <v>285.45</v>
      </c>
      <c r="U237" s="399">
        <f t="shared" si="54"/>
        <v>286.02</v>
      </c>
      <c r="V237" s="399">
        <f t="shared" si="52"/>
        <v>286.02</v>
      </c>
      <c r="W237" s="399"/>
      <c r="X237" s="399">
        <v>0.56999999999999995</v>
      </c>
      <c r="Y237" s="399">
        <v>0</v>
      </c>
      <c r="Z237" s="399">
        <f t="shared" si="53"/>
        <v>0.56999999999999995</v>
      </c>
      <c r="AA237" s="400">
        <v>15770</v>
      </c>
      <c r="AB237" s="400" t="s">
        <v>22</v>
      </c>
      <c r="AC237" s="397">
        <v>46188</v>
      </c>
      <c r="AD237" s="400">
        <v>3692061</v>
      </c>
    </row>
    <row r="238" spans="2:30" x14ac:dyDescent="0.25">
      <c r="B238" s="397">
        <f t="shared" ca="1" si="46"/>
        <v>46306</v>
      </c>
      <c r="C238" s="397" t="s">
        <v>290</v>
      </c>
      <c r="D238" t="s">
        <v>48</v>
      </c>
      <c r="E238" s="397">
        <v>46184</v>
      </c>
      <c r="F238" s="397"/>
      <c r="G238" s="397"/>
      <c r="H238" s="397"/>
      <c r="J238" s="398">
        <f t="shared" si="47"/>
        <v>0</v>
      </c>
      <c r="K238" s="398"/>
      <c r="L238" s="399">
        <f t="shared" si="48"/>
        <v>0</v>
      </c>
      <c r="M238" s="399"/>
      <c r="N238">
        <f t="shared" si="49"/>
        <v>0</v>
      </c>
      <c r="P238" s="399">
        <f t="shared" ca="1" si="50"/>
        <v>0</v>
      </c>
      <c r="Q238" s="399">
        <v>1441.15</v>
      </c>
      <c r="R238" s="398">
        <v>97.4</v>
      </c>
      <c r="S238" s="398">
        <v>97.516599999999997</v>
      </c>
      <c r="T238" s="399">
        <f t="shared" si="51"/>
        <v>1403.6801</v>
      </c>
      <c r="U238" s="399">
        <f t="shared" si="54"/>
        <v>1405.3604808999999</v>
      </c>
      <c r="V238" s="399">
        <f t="shared" si="52"/>
        <v>1405.3604808999999</v>
      </c>
      <c r="W238" s="399"/>
      <c r="X238" s="399">
        <v>1.4</v>
      </c>
      <c r="Y238" s="399">
        <v>0.28000000000000003</v>
      </c>
      <c r="Z238" s="399">
        <f t="shared" si="53"/>
        <v>1.68</v>
      </c>
      <c r="AA238" s="400">
        <v>369081</v>
      </c>
      <c r="AB238" s="400" t="s">
        <v>22</v>
      </c>
      <c r="AC238" s="397">
        <v>46188</v>
      </c>
      <c r="AD238" s="400">
        <v>3692061</v>
      </c>
    </row>
    <row r="239" spans="2:30" x14ac:dyDescent="0.25">
      <c r="B239" s="397">
        <f t="shared" ca="1" si="46"/>
        <v>46306</v>
      </c>
      <c r="C239" s="397" t="s">
        <v>290</v>
      </c>
      <c r="D239" t="s">
        <v>48</v>
      </c>
      <c r="E239" s="397">
        <v>46184</v>
      </c>
      <c r="F239" s="397"/>
      <c r="G239" s="397"/>
      <c r="H239" s="397"/>
      <c r="J239" s="398">
        <f t="shared" si="47"/>
        <v>0</v>
      </c>
      <c r="K239" s="398"/>
      <c r="L239" s="399">
        <f t="shared" si="48"/>
        <v>0</v>
      </c>
      <c r="M239" s="399"/>
      <c r="N239">
        <f t="shared" si="49"/>
        <v>0</v>
      </c>
      <c r="P239" s="399">
        <f t="shared" ca="1" si="50"/>
        <v>0</v>
      </c>
      <c r="Q239" s="399">
        <v>281.73</v>
      </c>
      <c r="R239" s="398">
        <v>96</v>
      </c>
      <c r="S239" s="398">
        <v>96.209100000000007</v>
      </c>
      <c r="T239" s="399">
        <f t="shared" si="51"/>
        <v>270.46080000000001</v>
      </c>
      <c r="U239" s="399">
        <f t="shared" si="54"/>
        <v>271.04989743000004</v>
      </c>
      <c r="V239" s="399">
        <f t="shared" si="52"/>
        <v>271.04989743000004</v>
      </c>
      <c r="W239" s="399"/>
      <c r="X239" s="399">
        <v>0.54</v>
      </c>
      <c r="Y239" s="399">
        <v>4.9999999999999933E-2</v>
      </c>
      <c r="Z239" s="399">
        <f t="shared" si="53"/>
        <v>0.59</v>
      </c>
      <c r="AA239" s="400">
        <v>369040</v>
      </c>
      <c r="AB239" s="400" t="s">
        <v>22</v>
      </c>
      <c r="AC239" s="397">
        <v>46188</v>
      </c>
      <c r="AD239" s="400">
        <v>3692061</v>
      </c>
    </row>
    <row r="240" spans="2:30" x14ac:dyDescent="0.25">
      <c r="B240" s="397">
        <f t="shared" ca="1" si="46"/>
        <v>46306</v>
      </c>
      <c r="C240" s="397" t="s">
        <v>290</v>
      </c>
      <c r="D240" t="s">
        <v>48</v>
      </c>
      <c r="E240" s="397">
        <v>46184</v>
      </c>
      <c r="F240" s="397"/>
      <c r="G240" s="397"/>
      <c r="H240" s="397"/>
      <c r="J240" s="398">
        <f t="shared" si="47"/>
        <v>0</v>
      </c>
      <c r="K240" s="398"/>
      <c r="L240" s="399">
        <f t="shared" si="48"/>
        <v>0</v>
      </c>
      <c r="M240" s="399"/>
      <c r="N240">
        <f t="shared" si="49"/>
        <v>0</v>
      </c>
      <c r="P240" s="399">
        <f t="shared" ca="1" si="50"/>
        <v>0</v>
      </c>
      <c r="Q240" s="399">
        <v>758.8</v>
      </c>
      <c r="R240" s="398">
        <v>97</v>
      </c>
      <c r="S240" s="398">
        <v>97.117800000000003</v>
      </c>
      <c r="T240" s="399">
        <f t="shared" si="51"/>
        <v>736.03599999999994</v>
      </c>
      <c r="U240" s="399">
        <f t="shared" si="54"/>
        <v>736.92986640000004</v>
      </c>
      <c r="V240" s="399">
        <f t="shared" si="52"/>
        <v>736.92986640000004</v>
      </c>
      <c r="W240" s="399"/>
      <c r="X240" s="399">
        <v>0.74</v>
      </c>
      <c r="Y240" s="399">
        <v>0.15</v>
      </c>
      <c r="Z240" s="399">
        <f t="shared" si="53"/>
        <v>0.89</v>
      </c>
      <c r="AA240" s="400">
        <v>369063</v>
      </c>
      <c r="AB240" s="400" t="s">
        <v>22</v>
      </c>
      <c r="AC240" s="397">
        <v>46188</v>
      </c>
      <c r="AD240" s="400">
        <v>3692061</v>
      </c>
    </row>
    <row r="241" spans="2:30" x14ac:dyDescent="0.25">
      <c r="B241" s="397">
        <f t="shared" ca="1" si="46"/>
        <v>46306</v>
      </c>
      <c r="C241" s="397" t="s">
        <v>290</v>
      </c>
      <c r="D241" t="s">
        <v>48</v>
      </c>
      <c r="E241" s="397">
        <v>46184</v>
      </c>
      <c r="F241" s="397"/>
      <c r="G241" s="397"/>
      <c r="H241" s="397"/>
      <c r="J241" s="398">
        <f t="shared" si="47"/>
        <v>0</v>
      </c>
      <c r="K241" s="398"/>
      <c r="L241" s="399">
        <f t="shared" si="48"/>
        <v>0</v>
      </c>
      <c r="M241" s="399"/>
      <c r="N241">
        <f t="shared" si="49"/>
        <v>0</v>
      </c>
      <c r="P241" s="399">
        <f t="shared" ca="1" si="50"/>
        <v>0</v>
      </c>
      <c r="Q241" s="399">
        <v>550.36</v>
      </c>
      <c r="R241" s="398">
        <v>97</v>
      </c>
      <c r="S241" s="398">
        <v>97.116399999999999</v>
      </c>
      <c r="T241" s="399">
        <f t="shared" si="51"/>
        <v>533.8492</v>
      </c>
      <c r="U241" s="399">
        <f t="shared" si="54"/>
        <v>534.48981904000004</v>
      </c>
      <c r="V241" s="399">
        <f t="shared" si="52"/>
        <v>534.48981904000004</v>
      </c>
      <c r="W241" s="399"/>
      <c r="X241" s="399">
        <v>0.53</v>
      </c>
      <c r="Y241" s="399">
        <v>0.11</v>
      </c>
      <c r="Z241" s="399">
        <f t="shared" si="53"/>
        <v>0.64</v>
      </c>
      <c r="AA241" s="400">
        <v>369072</v>
      </c>
      <c r="AB241" s="400" t="s">
        <v>22</v>
      </c>
      <c r="AC241" s="397">
        <v>46188</v>
      </c>
      <c r="AD241" s="400">
        <v>3692061</v>
      </c>
    </row>
    <row r="242" spans="2:30" x14ac:dyDescent="0.25">
      <c r="B242" s="397">
        <f t="shared" ca="1" si="46"/>
        <v>46306</v>
      </c>
      <c r="C242" s="397" t="s">
        <v>290</v>
      </c>
      <c r="D242" t="s">
        <v>48</v>
      </c>
      <c r="E242" s="397">
        <v>46184</v>
      </c>
      <c r="F242" s="397"/>
      <c r="G242" s="397"/>
      <c r="H242" s="397"/>
      <c r="J242" s="398">
        <f t="shared" si="47"/>
        <v>0</v>
      </c>
      <c r="K242" s="398"/>
      <c r="L242" s="399">
        <f t="shared" si="48"/>
        <v>0</v>
      </c>
      <c r="M242" s="399"/>
      <c r="N242">
        <f t="shared" si="49"/>
        <v>0</v>
      </c>
      <c r="P242" s="399">
        <f t="shared" ca="1" si="50"/>
        <v>0</v>
      </c>
      <c r="Q242" s="399">
        <v>797.02</v>
      </c>
      <c r="R242" s="398">
        <v>97</v>
      </c>
      <c r="S242" s="398">
        <v>97.115499999999997</v>
      </c>
      <c r="T242" s="399">
        <f t="shared" si="51"/>
        <v>773.10940000000005</v>
      </c>
      <c r="U242" s="399">
        <f t="shared" si="54"/>
        <v>774.02995809999993</v>
      </c>
      <c r="V242" s="399">
        <f t="shared" si="52"/>
        <v>774.02995809999993</v>
      </c>
      <c r="W242" s="399"/>
      <c r="X242" s="399">
        <v>0.77</v>
      </c>
      <c r="Y242" s="399">
        <v>0.15</v>
      </c>
      <c r="Z242" s="399">
        <f t="shared" si="53"/>
        <v>0.92</v>
      </c>
      <c r="AA242" s="400">
        <v>369073</v>
      </c>
      <c r="AB242" s="400" t="s">
        <v>22</v>
      </c>
      <c r="AC242" s="397">
        <v>46188</v>
      </c>
      <c r="AD242" s="400">
        <v>3692061</v>
      </c>
    </row>
    <row r="243" spans="2:30" x14ac:dyDescent="0.25">
      <c r="B243" s="397">
        <f t="shared" ca="1" si="46"/>
        <v>46306</v>
      </c>
      <c r="C243" s="397" t="s">
        <v>290</v>
      </c>
      <c r="D243" t="s">
        <v>48</v>
      </c>
      <c r="E243" s="397">
        <v>46184</v>
      </c>
      <c r="F243" s="397"/>
      <c r="G243" s="397"/>
      <c r="H243" s="397"/>
      <c r="J243" s="398">
        <f t="shared" si="47"/>
        <v>0</v>
      </c>
      <c r="K243" s="398"/>
      <c r="L243" s="399">
        <f t="shared" si="48"/>
        <v>0</v>
      </c>
      <c r="M243" s="399"/>
      <c r="N243">
        <f t="shared" si="49"/>
        <v>0</v>
      </c>
      <c r="P243" s="399">
        <f t="shared" ca="1" si="50"/>
        <v>0</v>
      </c>
      <c r="Q243" s="399">
        <v>2843.65</v>
      </c>
      <c r="R243" s="398">
        <v>97.3</v>
      </c>
      <c r="S243" s="398">
        <v>97.416700370000001</v>
      </c>
      <c r="T243" s="399">
        <f t="shared" si="51"/>
        <v>2766.8714500000001</v>
      </c>
      <c r="U243" s="399">
        <f t="shared" si="54"/>
        <v>2770.190000071505</v>
      </c>
      <c r="V243" s="399">
        <f t="shared" si="52"/>
        <v>2770.190000071505</v>
      </c>
      <c r="W243" s="399"/>
      <c r="X243" s="399">
        <v>2.77</v>
      </c>
      <c r="Y243" s="399">
        <v>0.54999999999999982</v>
      </c>
      <c r="Z243" s="399">
        <f t="shared" si="53"/>
        <v>3.32</v>
      </c>
      <c r="AA243" s="400">
        <v>15791</v>
      </c>
      <c r="AB243" s="400" t="s">
        <v>22</v>
      </c>
      <c r="AC243" s="397">
        <v>46188</v>
      </c>
      <c r="AD243" s="400">
        <v>3692061</v>
      </c>
    </row>
    <row r="244" spans="2:30" x14ac:dyDescent="0.25">
      <c r="B244" s="397">
        <f t="shared" ca="1" si="46"/>
        <v>46306</v>
      </c>
      <c r="C244" s="397" t="s">
        <v>290</v>
      </c>
      <c r="D244" t="s">
        <v>48</v>
      </c>
      <c r="E244" s="397">
        <v>46184</v>
      </c>
      <c r="F244" s="397"/>
      <c r="G244" s="397"/>
      <c r="H244" s="397"/>
      <c r="J244" s="398">
        <f t="shared" si="47"/>
        <v>0</v>
      </c>
      <c r="K244" s="398"/>
      <c r="L244" s="399">
        <f t="shared" si="48"/>
        <v>0</v>
      </c>
      <c r="M244" s="399"/>
      <c r="N244">
        <f t="shared" si="49"/>
        <v>0</v>
      </c>
      <c r="P244" s="399">
        <f t="shared" ca="1" si="50"/>
        <v>0</v>
      </c>
      <c r="Q244" s="399">
        <v>744.27</v>
      </c>
      <c r="R244" s="398">
        <v>96.55</v>
      </c>
      <c r="S244" s="398">
        <v>96.761927799999995</v>
      </c>
      <c r="T244" s="399">
        <f t="shared" si="51"/>
        <v>718.59268499999996</v>
      </c>
      <c r="U244" s="399">
        <f t="shared" si="54"/>
        <v>720.17000003705994</v>
      </c>
      <c r="V244" s="399">
        <f t="shared" si="52"/>
        <v>720.17000003705994</v>
      </c>
      <c r="W244" s="399"/>
      <c r="X244" s="399">
        <v>1.44</v>
      </c>
      <c r="Y244" s="399">
        <v>0.1400000000000001</v>
      </c>
      <c r="Z244" s="399">
        <f t="shared" si="53"/>
        <v>1.58</v>
      </c>
      <c r="AA244" s="400">
        <v>15822</v>
      </c>
      <c r="AB244" s="400" t="s">
        <v>22</v>
      </c>
      <c r="AC244" s="397">
        <v>46188</v>
      </c>
      <c r="AD244" s="400">
        <v>3692061</v>
      </c>
    </row>
    <row r="245" spans="2:30" x14ac:dyDescent="0.25">
      <c r="B245" s="397">
        <f t="shared" ca="1" si="46"/>
        <v>46306</v>
      </c>
      <c r="C245" s="397" t="s">
        <v>290</v>
      </c>
      <c r="D245" t="s">
        <v>48</v>
      </c>
      <c r="E245" s="397">
        <v>46184</v>
      </c>
      <c r="F245" s="397"/>
      <c r="G245" s="397"/>
      <c r="H245" s="397"/>
      <c r="J245" s="398">
        <f t="shared" si="47"/>
        <v>0</v>
      </c>
      <c r="K245" s="398"/>
      <c r="L245" s="399">
        <f t="shared" si="48"/>
        <v>0</v>
      </c>
      <c r="M245" s="399"/>
      <c r="N245">
        <f t="shared" si="49"/>
        <v>0</v>
      </c>
      <c r="P245" s="399">
        <f t="shared" ca="1" si="50"/>
        <v>0</v>
      </c>
      <c r="Q245" s="399">
        <v>978.68</v>
      </c>
      <c r="R245" s="398">
        <v>97</v>
      </c>
      <c r="S245" s="398">
        <v>97.21359382</v>
      </c>
      <c r="T245" s="399">
        <f t="shared" si="51"/>
        <v>949.31959999999992</v>
      </c>
      <c r="U245" s="399">
        <f t="shared" si="54"/>
        <v>951.40999999757594</v>
      </c>
      <c r="V245" s="399">
        <f t="shared" si="52"/>
        <v>951.40999999757594</v>
      </c>
      <c r="W245" s="399"/>
      <c r="X245" s="399">
        <v>1.9</v>
      </c>
      <c r="Y245" s="399">
        <v>0.18999999999999989</v>
      </c>
      <c r="Z245" s="399">
        <f t="shared" si="53"/>
        <v>2.09</v>
      </c>
      <c r="AA245" s="400">
        <v>15856</v>
      </c>
      <c r="AB245" s="400" t="s">
        <v>22</v>
      </c>
      <c r="AC245" s="397">
        <v>46188</v>
      </c>
      <c r="AD245" s="400">
        <v>3692061</v>
      </c>
    </row>
    <row r="246" spans="2:30" x14ac:dyDescent="0.25">
      <c r="B246" s="397">
        <f t="shared" ca="1" si="46"/>
        <v>46306</v>
      </c>
      <c r="C246" s="397" t="s">
        <v>290</v>
      </c>
      <c r="D246" t="s">
        <v>48</v>
      </c>
      <c r="E246" s="397">
        <v>46184</v>
      </c>
      <c r="F246" s="397"/>
      <c r="G246" s="397"/>
      <c r="H246" s="397"/>
      <c r="J246" s="398">
        <f t="shared" si="47"/>
        <v>0</v>
      </c>
      <c r="K246" s="398"/>
      <c r="L246" s="399">
        <f t="shared" si="48"/>
        <v>0</v>
      </c>
      <c r="M246" s="399"/>
      <c r="N246">
        <f t="shared" si="49"/>
        <v>0</v>
      </c>
      <c r="P246" s="399">
        <f t="shared" ca="1" si="50"/>
        <v>0</v>
      </c>
      <c r="Q246" s="399">
        <v>1623.8</v>
      </c>
      <c r="R246" s="398">
        <v>97.35</v>
      </c>
      <c r="S246" s="398">
        <v>97.467052589999994</v>
      </c>
      <c r="T246" s="399">
        <f t="shared" si="51"/>
        <v>1580.7692999999999</v>
      </c>
      <c r="U246" s="399">
        <f t="shared" si="54"/>
        <v>1582.6699999564198</v>
      </c>
      <c r="V246" s="399">
        <f t="shared" si="52"/>
        <v>1582.6699999564198</v>
      </c>
      <c r="W246" s="399"/>
      <c r="X246" s="399">
        <v>1.58</v>
      </c>
      <c r="Y246" s="399">
        <v>0.31999999999999978</v>
      </c>
      <c r="Z246" s="399">
        <f t="shared" si="53"/>
        <v>1.9</v>
      </c>
      <c r="AA246" s="400">
        <v>15907</v>
      </c>
      <c r="AB246" s="400" t="s">
        <v>22</v>
      </c>
      <c r="AC246" s="397">
        <v>46188</v>
      </c>
      <c r="AD246" s="400">
        <v>3692061</v>
      </c>
    </row>
    <row r="247" spans="2:30" x14ac:dyDescent="0.25">
      <c r="B247" s="397">
        <f t="shared" ca="1" si="46"/>
        <v>46306</v>
      </c>
      <c r="C247" s="397" t="s">
        <v>290</v>
      </c>
      <c r="D247" t="s">
        <v>48</v>
      </c>
      <c r="E247" s="397">
        <v>46186</v>
      </c>
      <c r="F247" s="397"/>
      <c r="G247" s="397"/>
      <c r="H247" s="397"/>
      <c r="J247" s="398">
        <f t="shared" si="47"/>
        <v>0</v>
      </c>
      <c r="K247" s="398"/>
      <c r="L247" s="399">
        <f t="shared" si="48"/>
        <v>0</v>
      </c>
      <c r="M247" s="399"/>
      <c r="N247">
        <f t="shared" si="49"/>
        <v>0</v>
      </c>
      <c r="P247" s="399">
        <f t="shared" ca="1" si="50"/>
        <v>0</v>
      </c>
      <c r="Q247" s="399">
        <v>1302.67</v>
      </c>
      <c r="R247" s="398">
        <v>97.3</v>
      </c>
      <c r="S247" s="398">
        <v>97.416799999999995</v>
      </c>
      <c r="T247" s="399">
        <f t="shared" si="51"/>
        <v>1267.49791</v>
      </c>
      <c r="U247" s="399">
        <f t="shared" si="54"/>
        <v>1269.0194285600001</v>
      </c>
      <c r="V247" s="399">
        <f t="shared" si="52"/>
        <v>1269.0194285600001</v>
      </c>
      <c r="W247" s="399"/>
      <c r="X247" s="399">
        <v>1.27</v>
      </c>
      <c r="Y247" s="399">
        <v>0.25</v>
      </c>
      <c r="Z247" s="399">
        <f t="shared" si="53"/>
        <v>1.52</v>
      </c>
      <c r="AA247" s="400">
        <v>369114</v>
      </c>
      <c r="AB247" s="400" t="s">
        <v>22</v>
      </c>
      <c r="AC247" s="397">
        <v>46188</v>
      </c>
      <c r="AD247" s="400">
        <v>3692061</v>
      </c>
    </row>
    <row r="248" spans="2:30" x14ac:dyDescent="0.25">
      <c r="B248" s="397">
        <f t="shared" ca="1" si="46"/>
        <v>46306</v>
      </c>
      <c r="C248" s="397" t="s">
        <v>290</v>
      </c>
      <c r="D248" t="s">
        <v>48</v>
      </c>
      <c r="E248" s="397">
        <v>46186</v>
      </c>
      <c r="F248" s="397"/>
      <c r="G248" s="397"/>
      <c r="H248" s="397"/>
      <c r="J248" s="398">
        <f t="shared" si="47"/>
        <v>0</v>
      </c>
      <c r="K248" s="398"/>
      <c r="L248" s="399">
        <f t="shared" si="48"/>
        <v>0</v>
      </c>
      <c r="M248" s="399"/>
      <c r="N248">
        <f t="shared" si="49"/>
        <v>0</v>
      </c>
      <c r="P248" s="399">
        <f t="shared" ca="1" si="50"/>
        <v>0</v>
      </c>
      <c r="Q248" s="399">
        <v>433.79</v>
      </c>
      <c r="R248" s="398">
        <v>96.7</v>
      </c>
      <c r="S248" s="398">
        <v>96.814099999999996</v>
      </c>
      <c r="T248" s="399">
        <f t="shared" si="51"/>
        <v>419.47493000000003</v>
      </c>
      <c r="U248" s="399">
        <f t="shared" si="54"/>
        <v>419.96988439</v>
      </c>
      <c r="V248" s="399">
        <f t="shared" si="52"/>
        <v>419.96988439</v>
      </c>
      <c r="W248" s="399"/>
      <c r="X248" s="399">
        <v>0.42</v>
      </c>
      <c r="Y248" s="399">
        <v>8.0000000000000016E-2</v>
      </c>
      <c r="Z248" s="399">
        <f t="shared" si="53"/>
        <v>0.5</v>
      </c>
      <c r="AA248" s="400">
        <v>369166</v>
      </c>
      <c r="AB248" s="400" t="s">
        <v>22</v>
      </c>
      <c r="AC248" s="397">
        <v>46188</v>
      </c>
      <c r="AD248" s="400">
        <v>3692061</v>
      </c>
    </row>
    <row r="249" spans="2:30" x14ac:dyDescent="0.25">
      <c r="B249" s="397">
        <f t="shared" ca="1" si="46"/>
        <v>46306</v>
      </c>
      <c r="C249" s="397" t="s">
        <v>290</v>
      </c>
      <c r="D249" t="s">
        <v>48</v>
      </c>
      <c r="E249" s="397">
        <v>46186</v>
      </c>
      <c r="F249" s="397"/>
      <c r="G249" s="397"/>
      <c r="H249" s="397"/>
      <c r="J249" s="398">
        <f t="shared" si="47"/>
        <v>0</v>
      </c>
      <c r="K249" s="398"/>
      <c r="L249" s="399">
        <f t="shared" si="48"/>
        <v>0</v>
      </c>
      <c r="M249" s="399"/>
      <c r="N249">
        <f t="shared" si="49"/>
        <v>0</v>
      </c>
      <c r="P249" s="399">
        <f t="shared" ca="1" si="50"/>
        <v>0</v>
      </c>
      <c r="Q249" s="399">
        <v>2587.36</v>
      </c>
      <c r="R249" s="398">
        <v>97.55</v>
      </c>
      <c r="S249" s="398">
        <v>97.666700000000006</v>
      </c>
      <c r="T249" s="399">
        <f t="shared" si="51"/>
        <v>2523.9696800000002</v>
      </c>
      <c r="U249" s="399">
        <f t="shared" si="54"/>
        <v>2526.9891291200001</v>
      </c>
      <c r="V249" s="399">
        <f t="shared" si="52"/>
        <v>2526.9891291200001</v>
      </c>
      <c r="W249" s="399"/>
      <c r="X249" s="399">
        <v>2.52</v>
      </c>
      <c r="Y249" s="399">
        <v>0.5</v>
      </c>
      <c r="Z249" s="399">
        <f t="shared" si="53"/>
        <v>3.02</v>
      </c>
      <c r="AA249" s="400">
        <v>369167</v>
      </c>
      <c r="AB249" s="400" t="s">
        <v>22</v>
      </c>
      <c r="AC249" s="397">
        <v>46188</v>
      </c>
      <c r="AD249" s="400">
        <v>3692061</v>
      </c>
    </row>
    <row r="250" spans="2:30" x14ac:dyDescent="0.25">
      <c r="B250" s="397">
        <f t="shared" ca="1" si="46"/>
        <v>46306</v>
      </c>
      <c r="C250" s="397" t="s">
        <v>290</v>
      </c>
      <c r="D250" t="s">
        <v>48</v>
      </c>
      <c r="E250" s="397">
        <v>46186</v>
      </c>
      <c r="F250" s="397"/>
      <c r="G250" s="397"/>
      <c r="H250" s="397"/>
      <c r="J250" s="398">
        <f t="shared" si="47"/>
        <v>0</v>
      </c>
      <c r="K250" s="398"/>
      <c r="L250" s="399">
        <f t="shared" si="48"/>
        <v>0</v>
      </c>
      <c r="M250" s="399"/>
      <c r="N250">
        <f t="shared" si="49"/>
        <v>0</v>
      </c>
      <c r="P250" s="399">
        <f t="shared" ca="1" si="50"/>
        <v>0</v>
      </c>
      <c r="Q250" s="399">
        <v>2711.74</v>
      </c>
      <c r="R250" s="398">
        <v>97.4</v>
      </c>
      <c r="S250" s="398">
        <v>97.5167</v>
      </c>
      <c r="T250" s="399">
        <f t="shared" si="51"/>
        <v>2641.2347599999998</v>
      </c>
      <c r="U250" s="399">
        <f t="shared" si="54"/>
        <v>2644.3993605799997</v>
      </c>
      <c r="V250" s="399">
        <f t="shared" si="52"/>
        <v>2644.3993605799997</v>
      </c>
      <c r="W250" s="399"/>
      <c r="X250" s="399">
        <v>2.64</v>
      </c>
      <c r="Y250" s="399">
        <v>0.5299999999999998</v>
      </c>
      <c r="Z250" s="399">
        <f t="shared" si="53"/>
        <v>3.17</v>
      </c>
      <c r="AA250" s="400">
        <v>369169</v>
      </c>
      <c r="AB250" s="400" t="s">
        <v>22</v>
      </c>
      <c r="AC250" s="397">
        <v>46188</v>
      </c>
      <c r="AD250" s="400">
        <v>3692061</v>
      </c>
    </row>
    <row r="251" spans="2:30" x14ac:dyDescent="0.25">
      <c r="B251" s="397">
        <f t="shared" ca="1" si="46"/>
        <v>46306</v>
      </c>
      <c r="C251" s="397" t="s">
        <v>290</v>
      </c>
      <c r="D251" t="s">
        <v>48</v>
      </c>
      <c r="E251" s="397">
        <v>46186</v>
      </c>
      <c r="F251" s="397"/>
      <c r="G251" s="397"/>
      <c r="H251" s="397"/>
      <c r="J251" s="398">
        <f t="shared" si="47"/>
        <v>0</v>
      </c>
      <c r="K251" s="398"/>
      <c r="L251" s="399">
        <f t="shared" si="48"/>
        <v>0</v>
      </c>
      <c r="M251" s="399"/>
      <c r="N251">
        <f t="shared" si="49"/>
        <v>0</v>
      </c>
      <c r="P251" s="399">
        <f t="shared" ca="1" si="50"/>
        <v>0</v>
      </c>
      <c r="Q251" s="399">
        <v>462.95</v>
      </c>
      <c r="R251" s="398">
        <v>96.5</v>
      </c>
      <c r="S251" s="398">
        <v>96.6173</v>
      </c>
      <c r="T251" s="399">
        <f t="shared" si="51"/>
        <v>446.74674999999996</v>
      </c>
      <c r="U251" s="399">
        <f t="shared" si="54"/>
        <v>447.28979034999998</v>
      </c>
      <c r="V251" s="399">
        <f t="shared" si="52"/>
        <v>447.28979034999998</v>
      </c>
      <c r="W251" s="399"/>
      <c r="X251" s="399">
        <v>0.45</v>
      </c>
      <c r="Y251" s="399">
        <v>9.0000000000000024E-2</v>
      </c>
      <c r="Z251" s="399">
        <f t="shared" si="53"/>
        <v>0.54</v>
      </c>
      <c r="AA251" s="400">
        <v>369179</v>
      </c>
      <c r="AB251" s="400" t="s">
        <v>22</v>
      </c>
      <c r="AC251" s="397">
        <v>46188</v>
      </c>
      <c r="AD251" s="400">
        <v>3692061</v>
      </c>
    </row>
    <row r="252" spans="2:30" x14ac:dyDescent="0.25">
      <c r="B252" s="397">
        <f t="shared" ca="1" si="46"/>
        <v>46306</v>
      </c>
      <c r="C252" s="397" t="s">
        <v>290</v>
      </c>
      <c r="D252" t="s">
        <v>48</v>
      </c>
      <c r="E252" s="397">
        <v>46186</v>
      </c>
      <c r="F252" s="397"/>
      <c r="G252" s="397"/>
      <c r="H252" s="397"/>
      <c r="J252" s="398">
        <f t="shared" si="47"/>
        <v>0</v>
      </c>
      <c r="K252" s="398"/>
      <c r="L252" s="399">
        <f t="shared" si="48"/>
        <v>0</v>
      </c>
      <c r="M252" s="399"/>
      <c r="N252">
        <f t="shared" si="49"/>
        <v>0</v>
      </c>
      <c r="P252" s="399">
        <f t="shared" ca="1" si="50"/>
        <v>0</v>
      </c>
      <c r="Q252" s="399">
        <v>1846.69</v>
      </c>
      <c r="R252" s="398">
        <v>97.3</v>
      </c>
      <c r="S252" s="398">
        <v>97.417000150000007</v>
      </c>
      <c r="T252" s="399">
        <f t="shared" si="51"/>
        <v>1796.8293700000002</v>
      </c>
      <c r="U252" s="399">
        <f t="shared" si="54"/>
        <v>1798.9900000700352</v>
      </c>
      <c r="V252" s="399">
        <f t="shared" si="52"/>
        <v>1798.9900000700352</v>
      </c>
      <c r="W252" s="399"/>
      <c r="X252" s="399">
        <v>1.8</v>
      </c>
      <c r="Y252" s="399">
        <v>0.3600000000000001</v>
      </c>
      <c r="Z252" s="399">
        <f t="shared" si="53"/>
        <v>2.16</v>
      </c>
      <c r="AA252" s="400">
        <v>15941</v>
      </c>
      <c r="AB252" s="400" t="s">
        <v>22</v>
      </c>
      <c r="AC252" s="397">
        <v>46188</v>
      </c>
      <c r="AD252" s="400">
        <v>3692061</v>
      </c>
    </row>
    <row r="253" spans="2:30" x14ac:dyDescent="0.25">
      <c r="B253" s="397">
        <f t="shared" ca="1" si="46"/>
        <v>46306</v>
      </c>
      <c r="C253" s="397" t="s">
        <v>290</v>
      </c>
      <c r="D253" t="s">
        <v>48</v>
      </c>
      <c r="E253" s="397">
        <v>46186</v>
      </c>
      <c r="F253" s="397"/>
      <c r="G253" s="397"/>
      <c r="H253" s="397"/>
      <c r="J253" s="398">
        <f t="shared" si="47"/>
        <v>0</v>
      </c>
      <c r="K253" s="398"/>
      <c r="L253" s="399">
        <f t="shared" si="48"/>
        <v>0</v>
      </c>
      <c r="M253" s="399"/>
      <c r="N253">
        <f t="shared" si="49"/>
        <v>0</v>
      </c>
      <c r="P253" s="399">
        <f t="shared" ca="1" si="50"/>
        <v>0</v>
      </c>
      <c r="Q253" s="399">
        <v>1043.83</v>
      </c>
      <c r="R253" s="398">
        <v>97.3</v>
      </c>
      <c r="S253" s="398">
        <v>97.417203950000001</v>
      </c>
      <c r="T253" s="399">
        <f t="shared" si="51"/>
        <v>1015.6465899999998</v>
      </c>
      <c r="U253" s="399">
        <f t="shared" si="54"/>
        <v>1016.869999991285</v>
      </c>
      <c r="V253" s="399">
        <f t="shared" si="52"/>
        <v>1016.869999991285</v>
      </c>
      <c r="W253" s="399"/>
      <c r="X253" s="399">
        <v>1.02</v>
      </c>
      <c r="Y253" s="399">
        <v>0.2</v>
      </c>
      <c r="Z253" s="399">
        <f t="shared" si="53"/>
        <v>1.22</v>
      </c>
      <c r="AA253" s="400">
        <v>15942</v>
      </c>
      <c r="AB253" s="400" t="s">
        <v>22</v>
      </c>
      <c r="AC253" s="397">
        <v>46188</v>
      </c>
      <c r="AD253" s="400">
        <v>3692061</v>
      </c>
    </row>
    <row r="254" spans="2:30" x14ac:dyDescent="0.25">
      <c r="B254" s="397">
        <f t="shared" ca="1" si="46"/>
        <v>46306</v>
      </c>
      <c r="C254" s="397" t="s">
        <v>290</v>
      </c>
      <c r="D254" t="s">
        <v>48</v>
      </c>
      <c r="E254" s="397">
        <v>46186</v>
      </c>
      <c r="F254" s="397"/>
      <c r="G254" s="397"/>
      <c r="H254" s="397"/>
      <c r="J254" s="398">
        <f t="shared" si="47"/>
        <v>0</v>
      </c>
      <c r="K254" s="398"/>
      <c r="L254" s="399">
        <f t="shared" si="48"/>
        <v>0</v>
      </c>
      <c r="M254" s="399"/>
      <c r="N254">
        <f t="shared" si="49"/>
        <v>0</v>
      </c>
      <c r="P254" s="399">
        <f t="shared" ca="1" si="50"/>
        <v>0</v>
      </c>
      <c r="Q254" s="399">
        <v>1539.98</v>
      </c>
      <c r="R254" s="398">
        <v>97.35</v>
      </c>
      <c r="S254" s="398">
        <v>97.466850219999998</v>
      </c>
      <c r="T254" s="399">
        <f t="shared" si="51"/>
        <v>1499.1705299999999</v>
      </c>
      <c r="U254" s="399">
        <f t="shared" si="54"/>
        <v>1500.970000017956</v>
      </c>
      <c r="V254" s="399">
        <f t="shared" si="52"/>
        <v>1500.970000017956</v>
      </c>
      <c r="W254" s="399"/>
      <c r="X254" s="399">
        <v>1.5</v>
      </c>
      <c r="Y254" s="399">
        <v>0.3</v>
      </c>
      <c r="Z254" s="399">
        <f t="shared" si="53"/>
        <v>1.8</v>
      </c>
      <c r="AA254" s="400">
        <v>15981</v>
      </c>
      <c r="AB254" s="400" t="s">
        <v>22</v>
      </c>
      <c r="AC254" s="397">
        <v>46188</v>
      </c>
      <c r="AD254" s="400">
        <v>3692061</v>
      </c>
    </row>
    <row r="255" spans="2:30" x14ac:dyDescent="0.25">
      <c r="B255" s="397">
        <f t="shared" ref="B255:B318" ca="1" si="55">TODAY()</f>
        <v>46306</v>
      </c>
      <c r="C255" s="397" t="s">
        <v>290</v>
      </c>
      <c r="D255" t="s">
        <v>48</v>
      </c>
      <c r="E255" s="397">
        <v>46188</v>
      </c>
      <c r="F255" s="397"/>
      <c r="G255" s="397"/>
      <c r="H255" s="397"/>
      <c r="J255" s="398">
        <f t="shared" ref="J255:J318" si="56">L255*12/U255*100</f>
        <v>0</v>
      </c>
      <c r="K255" s="398"/>
      <c r="L255" s="399">
        <f t="shared" ref="L255:L318" si="57">Q255*I255/100/12</f>
        <v>0</v>
      </c>
      <c r="M255" s="399"/>
      <c r="N255">
        <f t="shared" ref="N255:N318" si="58">IF(F255="", 0, IF(B255&gt;F255,INT((B255-F255)/30),0))</f>
        <v>0</v>
      </c>
      <c r="P255" s="399">
        <f t="shared" ref="P255:P318" ca="1" si="59">L255*N255+M255+IF(B255&gt;H255,O255,0)</f>
        <v>0</v>
      </c>
      <c r="Q255" s="399">
        <v>490.24</v>
      </c>
      <c r="R255" s="398">
        <v>97</v>
      </c>
      <c r="S255" s="398">
        <v>97.117699999999999</v>
      </c>
      <c r="T255" s="399">
        <f t="shared" ref="T255:T318" si="60">Q255*R255/100</f>
        <v>475.53280000000001</v>
      </c>
      <c r="U255" s="399">
        <f t="shared" si="54"/>
        <v>476.10981248000002</v>
      </c>
      <c r="V255" s="399">
        <f t="shared" ref="V255:V318" si="61">U255+W255</f>
        <v>476.10981248000002</v>
      </c>
      <c r="W255" s="399"/>
      <c r="X255" s="399">
        <v>0.48</v>
      </c>
      <c r="Y255" s="399">
        <v>9.9999999999999978E-2</v>
      </c>
      <c r="Z255" s="399">
        <f t="shared" ref="Z255:Z318" si="62">X255+Y255</f>
        <v>0.57999999999999996</v>
      </c>
      <c r="AA255" s="400">
        <v>369222</v>
      </c>
      <c r="AB255" s="400" t="s">
        <v>22</v>
      </c>
      <c r="AC255" s="397">
        <v>46192</v>
      </c>
      <c r="AD255" s="400">
        <v>3695169</v>
      </c>
    </row>
    <row r="256" spans="2:30" x14ac:dyDescent="0.25">
      <c r="B256" s="397">
        <f t="shared" ca="1" si="55"/>
        <v>46306</v>
      </c>
      <c r="C256" s="397" t="s">
        <v>290</v>
      </c>
      <c r="D256" t="s">
        <v>48</v>
      </c>
      <c r="E256" s="397">
        <v>46188</v>
      </c>
      <c r="F256" s="397"/>
      <c r="G256" s="397"/>
      <c r="H256" s="397"/>
      <c r="J256" s="398">
        <f t="shared" si="56"/>
        <v>0</v>
      </c>
      <c r="K256" s="398"/>
      <c r="L256" s="399">
        <f t="shared" si="57"/>
        <v>0</v>
      </c>
      <c r="M256" s="399"/>
      <c r="N256">
        <f t="shared" si="58"/>
        <v>0</v>
      </c>
      <c r="P256" s="399">
        <f t="shared" ca="1" si="59"/>
        <v>0</v>
      </c>
      <c r="Q256" s="399">
        <v>767.14</v>
      </c>
      <c r="R256" s="398">
        <v>97</v>
      </c>
      <c r="S256" s="398">
        <v>97.116600000000005</v>
      </c>
      <c r="T256" s="399">
        <f t="shared" si="60"/>
        <v>744.12580000000003</v>
      </c>
      <c r="U256" s="399">
        <f t="shared" si="54"/>
        <v>745.02028524000013</v>
      </c>
      <c r="V256" s="399">
        <f t="shared" si="61"/>
        <v>745.02028524000013</v>
      </c>
      <c r="W256" s="399"/>
      <c r="X256" s="399">
        <v>0.74</v>
      </c>
      <c r="Y256" s="399">
        <v>0.15</v>
      </c>
      <c r="Z256" s="399">
        <f t="shared" si="62"/>
        <v>0.89</v>
      </c>
      <c r="AA256" s="400">
        <v>369250</v>
      </c>
      <c r="AB256" s="400" t="s">
        <v>22</v>
      </c>
      <c r="AC256" s="397">
        <v>46192</v>
      </c>
      <c r="AD256" s="400">
        <v>3695169</v>
      </c>
    </row>
    <row r="257" spans="2:30" x14ac:dyDescent="0.25">
      <c r="B257" s="397">
        <f t="shared" ca="1" si="55"/>
        <v>46306</v>
      </c>
      <c r="C257" s="397" t="s">
        <v>290</v>
      </c>
      <c r="D257" t="s">
        <v>48</v>
      </c>
      <c r="E257" s="397">
        <v>46189</v>
      </c>
      <c r="F257" s="397"/>
      <c r="G257" s="397"/>
      <c r="H257" s="397"/>
      <c r="J257" s="398">
        <f t="shared" si="56"/>
        <v>0</v>
      </c>
      <c r="K257" s="398"/>
      <c r="L257" s="399">
        <f t="shared" si="57"/>
        <v>0</v>
      </c>
      <c r="M257" s="399"/>
      <c r="N257">
        <f t="shared" si="58"/>
        <v>0</v>
      </c>
      <c r="P257" s="399">
        <f t="shared" ca="1" si="59"/>
        <v>0</v>
      </c>
      <c r="Q257" s="399">
        <v>967.63</v>
      </c>
      <c r="R257" s="398">
        <v>97.25</v>
      </c>
      <c r="S257" s="398">
        <v>97.415300000000002</v>
      </c>
      <c r="T257" s="399">
        <f t="shared" si="60"/>
        <v>941.02017499999999</v>
      </c>
      <c r="U257" s="399">
        <f t="shared" si="54"/>
        <v>942.6196673899999</v>
      </c>
      <c r="V257" s="399">
        <f t="shared" si="61"/>
        <v>942.6196673899999</v>
      </c>
      <c r="W257" s="399"/>
      <c r="X257" s="399">
        <v>1.41</v>
      </c>
      <c r="Y257" s="399">
        <v>0.1900000000000002</v>
      </c>
      <c r="Z257" s="399">
        <f t="shared" si="62"/>
        <v>1.6</v>
      </c>
      <c r="AA257" s="400">
        <v>369317</v>
      </c>
      <c r="AB257" s="400" t="s">
        <v>22</v>
      </c>
      <c r="AC257" s="397">
        <v>46192</v>
      </c>
      <c r="AD257" s="400">
        <v>3695169</v>
      </c>
    </row>
    <row r="258" spans="2:30" x14ac:dyDescent="0.25">
      <c r="B258" s="397">
        <f t="shared" ca="1" si="55"/>
        <v>46306</v>
      </c>
      <c r="C258" s="397" t="s">
        <v>290</v>
      </c>
      <c r="D258" t="s">
        <v>48</v>
      </c>
      <c r="E258" s="397">
        <v>46189</v>
      </c>
      <c r="F258" s="397"/>
      <c r="G258" s="397"/>
      <c r="H258" s="397"/>
      <c r="J258" s="398">
        <f t="shared" si="56"/>
        <v>0</v>
      </c>
      <c r="K258" s="398"/>
      <c r="L258" s="399">
        <f t="shared" si="57"/>
        <v>0</v>
      </c>
      <c r="M258" s="399"/>
      <c r="N258">
        <f t="shared" si="58"/>
        <v>0</v>
      </c>
      <c r="P258" s="399">
        <f t="shared" ca="1" si="59"/>
        <v>0</v>
      </c>
      <c r="Q258" s="399">
        <v>615.6</v>
      </c>
      <c r="R258" s="398">
        <v>96</v>
      </c>
      <c r="S258" s="398">
        <v>96.211799999999997</v>
      </c>
      <c r="T258" s="399">
        <f t="shared" si="60"/>
        <v>590.97600000000011</v>
      </c>
      <c r="U258" s="399">
        <f t="shared" si="54"/>
        <v>592.27984079999999</v>
      </c>
      <c r="V258" s="399">
        <f t="shared" si="61"/>
        <v>592.27984079999999</v>
      </c>
      <c r="W258" s="399"/>
      <c r="X258" s="399">
        <v>1.18</v>
      </c>
      <c r="Y258" s="399">
        <v>0.12000000000000011</v>
      </c>
      <c r="Z258" s="399">
        <f t="shared" si="62"/>
        <v>1.3</v>
      </c>
      <c r="AA258" s="400">
        <v>369258</v>
      </c>
      <c r="AB258" s="400" t="s">
        <v>22</v>
      </c>
      <c r="AC258" s="397">
        <v>46192</v>
      </c>
      <c r="AD258" s="400">
        <v>3695169</v>
      </c>
    </row>
    <row r="259" spans="2:30" x14ac:dyDescent="0.25">
      <c r="B259" s="397">
        <f t="shared" ca="1" si="55"/>
        <v>46306</v>
      </c>
      <c r="C259" s="397" t="s">
        <v>290</v>
      </c>
      <c r="D259" t="s">
        <v>48</v>
      </c>
      <c r="E259" s="397">
        <v>46189</v>
      </c>
      <c r="F259" s="397"/>
      <c r="G259" s="397"/>
      <c r="H259" s="397"/>
      <c r="J259" s="398">
        <f t="shared" si="56"/>
        <v>0</v>
      </c>
      <c r="K259" s="398"/>
      <c r="L259" s="399">
        <f t="shared" si="57"/>
        <v>0</v>
      </c>
      <c r="M259" s="399"/>
      <c r="N259">
        <f t="shared" si="58"/>
        <v>0</v>
      </c>
      <c r="P259" s="399">
        <f t="shared" ca="1" si="59"/>
        <v>0</v>
      </c>
      <c r="Q259" s="399">
        <v>276.60000000000002</v>
      </c>
      <c r="R259" s="398">
        <v>97</v>
      </c>
      <c r="S259" s="398">
        <v>97.212599999999995</v>
      </c>
      <c r="T259" s="399">
        <f t="shared" si="60"/>
        <v>268.30200000000002</v>
      </c>
      <c r="U259" s="399">
        <f t="shared" si="54"/>
        <v>268.89005159999999</v>
      </c>
      <c r="V259" s="399">
        <f t="shared" si="61"/>
        <v>268.89005159999999</v>
      </c>
      <c r="W259" s="399"/>
      <c r="X259" s="399">
        <v>0.54</v>
      </c>
      <c r="Y259" s="399">
        <v>4.9999999999999933E-2</v>
      </c>
      <c r="Z259" s="399">
        <f t="shared" si="62"/>
        <v>0.59</v>
      </c>
      <c r="AA259" s="400">
        <v>369277</v>
      </c>
      <c r="AB259" s="400" t="s">
        <v>22</v>
      </c>
      <c r="AC259" s="397">
        <v>46192</v>
      </c>
      <c r="AD259" s="400">
        <v>3695169</v>
      </c>
    </row>
    <row r="260" spans="2:30" x14ac:dyDescent="0.25">
      <c r="B260" s="397">
        <f t="shared" ca="1" si="55"/>
        <v>46306</v>
      </c>
      <c r="C260" s="397" t="s">
        <v>290</v>
      </c>
      <c r="D260" t="s">
        <v>48</v>
      </c>
      <c r="E260" s="397">
        <v>46189</v>
      </c>
      <c r="F260" s="397"/>
      <c r="G260" s="397"/>
      <c r="H260" s="397"/>
      <c r="J260" s="398">
        <f t="shared" si="56"/>
        <v>0</v>
      </c>
      <c r="K260" s="398"/>
      <c r="L260" s="399">
        <f t="shared" si="57"/>
        <v>0</v>
      </c>
      <c r="M260" s="399"/>
      <c r="N260">
        <f t="shared" si="58"/>
        <v>0</v>
      </c>
      <c r="P260" s="399">
        <f t="shared" ca="1" si="59"/>
        <v>0</v>
      </c>
      <c r="Q260" s="399">
        <v>495.32</v>
      </c>
      <c r="R260" s="398">
        <v>97</v>
      </c>
      <c r="S260" s="398">
        <v>97.165499999999994</v>
      </c>
      <c r="T260" s="399">
        <f t="shared" si="60"/>
        <v>480.46039999999999</v>
      </c>
      <c r="U260" s="399">
        <f t="shared" si="54"/>
        <v>481.28015459999995</v>
      </c>
      <c r="V260" s="399">
        <f t="shared" si="61"/>
        <v>481.28015459999995</v>
      </c>
      <c r="W260" s="399"/>
      <c r="X260" s="399">
        <v>0.72</v>
      </c>
      <c r="Y260" s="399">
        <v>9.9999999999999978E-2</v>
      </c>
      <c r="Z260" s="399">
        <f t="shared" si="62"/>
        <v>0.82</v>
      </c>
      <c r="AA260" s="400">
        <v>369282</v>
      </c>
      <c r="AB260" s="400" t="s">
        <v>22</v>
      </c>
      <c r="AC260" s="397">
        <v>46192</v>
      </c>
      <c r="AD260" s="400">
        <v>3695169</v>
      </c>
    </row>
    <row r="261" spans="2:30" x14ac:dyDescent="0.25">
      <c r="B261" s="397">
        <f t="shared" ca="1" si="55"/>
        <v>46306</v>
      </c>
      <c r="C261" s="397" t="s">
        <v>290</v>
      </c>
      <c r="D261" t="s">
        <v>48</v>
      </c>
      <c r="E261" s="397">
        <v>46189</v>
      </c>
      <c r="F261" s="397"/>
      <c r="G261" s="397"/>
      <c r="H261" s="397"/>
      <c r="J261" s="398">
        <f t="shared" si="56"/>
        <v>0</v>
      </c>
      <c r="K261" s="398"/>
      <c r="L261" s="399">
        <f t="shared" si="57"/>
        <v>0</v>
      </c>
      <c r="M261" s="399"/>
      <c r="N261">
        <f t="shared" si="58"/>
        <v>0</v>
      </c>
      <c r="P261" s="399">
        <f t="shared" ca="1" si="59"/>
        <v>0</v>
      </c>
      <c r="Q261" s="399">
        <v>293.14999999999998</v>
      </c>
      <c r="R261" s="398">
        <v>97</v>
      </c>
      <c r="S261" s="398">
        <v>97.216399999999993</v>
      </c>
      <c r="T261" s="399">
        <f t="shared" si="60"/>
        <v>284.35550000000001</v>
      </c>
      <c r="U261" s="399">
        <f t="shared" si="54"/>
        <v>284.98987659999995</v>
      </c>
      <c r="V261" s="399">
        <f t="shared" si="61"/>
        <v>284.98987659999995</v>
      </c>
      <c r="W261" s="399"/>
      <c r="X261" s="399">
        <v>0.56999999999999995</v>
      </c>
      <c r="Y261" s="399">
        <v>6.0000000000000053E-2</v>
      </c>
      <c r="Z261" s="399">
        <f t="shared" si="62"/>
        <v>0.63</v>
      </c>
      <c r="AA261" s="400">
        <v>369283</v>
      </c>
      <c r="AB261" s="400" t="s">
        <v>22</v>
      </c>
      <c r="AC261" s="397">
        <v>46192</v>
      </c>
      <c r="AD261" s="400">
        <v>3695169</v>
      </c>
    </row>
    <row r="262" spans="2:30" x14ac:dyDescent="0.25">
      <c r="B262" s="397">
        <f t="shared" ca="1" si="55"/>
        <v>46306</v>
      </c>
      <c r="C262" s="397" t="s">
        <v>290</v>
      </c>
      <c r="D262" t="s">
        <v>48</v>
      </c>
      <c r="E262" s="397">
        <v>46189</v>
      </c>
      <c r="F262" s="397"/>
      <c r="G262" s="397"/>
      <c r="H262" s="397"/>
      <c r="J262" s="398">
        <f t="shared" si="56"/>
        <v>0</v>
      </c>
      <c r="K262" s="398"/>
      <c r="L262" s="399">
        <f t="shared" si="57"/>
        <v>0</v>
      </c>
      <c r="M262" s="399"/>
      <c r="N262">
        <f t="shared" si="58"/>
        <v>0</v>
      </c>
      <c r="P262" s="399">
        <f t="shared" ca="1" si="59"/>
        <v>0</v>
      </c>
      <c r="Q262" s="399">
        <v>1906.26</v>
      </c>
      <c r="R262" s="398">
        <v>97.3</v>
      </c>
      <c r="S262" s="398">
        <v>97.416399999999996</v>
      </c>
      <c r="T262" s="399">
        <f t="shared" si="60"/>
        <v>1854.79098</v>
      </c>
      <c r="U262" s="399">
        <f t="shared" ref="U262:U325" si="63">Q262*S262/100</f>
        <v>1857.0098666399999</v>
      </c>
      <c r="V262" s="399">
        <f t="shared" si="61"/>
        <v>1857.0098666399999</v>
      </c>
      <c r="W262" s="399"/>
      <c r="X262" s="399">
        <v>1.85</v>
      </c>
      <c r="Y262" s="399">
        <v>0.37000000000000011</v>
      </c>
      <c r="Z262" s="399">
        <f t="shared" si="62"/>
        <v>2.2200000000000002</v>
      </c>
      <c r="AA262" s="400">
        <v>369285</v>
      </c>
      <c r="AB262" s="400" t="s">
        <v>22</v>
      </c>
      <c r="AC262" s="397">
        <v>46192</v>
      </c>
      <c r="AD262" s="400">
        <v>3695169</v>
      </c>
    </row>
    <row r="263" spans="2:30" x14ac:dyDescent="0.25">
      <c r="B263" s="397">
        <f t="shared" ca="1" si="55"/>
        <v>46306</v>
      </c>
      <c r="C263" s="397" t="s">
        <v>290</v>
      </c>
      <c r="D263" t="s">
        <v>48</v>
      </c>
      <c r="E263" s="397">
        <v>46189</v>
      </c>
      <c r="F263" s="397"/>
      <c r="G263" s="397"/>
      <c r="H263" s="397"/>
      <c r="J263" s="398">
        <f t="shared" si="56"/>
        <v>0</v>
      </c>
      <c r="K263" s="398"/>
      <c r="L263" s="399">
        <f t="shared" si="57"/>
        <v>0</v>
      </c>
      <c r="M263" s="399"/>
      <c r="N263">
        <f t="shared" si="58"/>
        <v>0</v>
      </c>
      <c r="P263" s="399">
        <f t="shared" ca="1" si="59"/>
        <v>0</v>
      </c>
      <c r="Q263" s="399">
        <v>4414.0600000000004</v>
      </c>
      <c r="R263" s="398">
        <v>97.5</v>
      </c>
      <c r="S263" s="398">
        <v>97.616900000000001</v>
      </c>
      <c r="T263" s="399">
        <f t="shared" si="60"/>
        <v>4303.7085000000006</v>
      </c>
      <c r="U263" s="399">
        <f t="shared" si="63"/>
        <v>4308.8685361400003</v>
      </c>
      <c r="V263" s="399">
        <f t="shared" si="61"/>
        <v>4308.8685361400003</v>
      </c>
      <c r="W263" s="399"/>
      <c r="X263" s="399">
        <v>4.3</v>
      </c>
      <c r="Y263" s="399">
        <v>0.86000000000000032</v>
      </c>
      <c r="Z263" s="399">
        <f t="shared" si="62"/>
        <v>5.16</v>
      </c>
      <c r="AA263" s="400">
        <v>369288</v>
      </c>
      <c r="AB263" s="400" t="s">
        <v>22</v>
      </c>
      <c r="AC263" s="397">
        <v>46192</v>
      </c>
      <c r="AD263" s="400">
        <v>3695169</v>
      </c>
    </row>
    <row r="264" spans="2:30" x14ac:dyDescent="0.25">
      <c r="B264" s="397">
        <f t="shared" ca="1" si="55"/>
        <v>46306</v>
      </c>
      <c r="C264" s="397" t="s">
        <v>290</v>
      </c>
      <c r="D264" t="s">
        <v>48</v>
      </c>
      <c r="E264" s="397">
        <v>46189</v>
      </c>
      <c r="F264" s="397"/>
      <c r="G264" s="397"/>
      <c r="H264" s="397"/>
      <c r="J264" s="398">
        <f t="shared" si="56"/>
        <v>0</v>
      </c>
      <c r="K264" s="398"/>
      <c r="L264" s="399">
        <f t="shared" si="57"/>
        <v>0</v>
      </c>
      <c r="M264" s="399"/>
      <c r="N264">
        <f t="shared" si="58"/>
        <v>0</v>
      </c>
      <c r="P264" s="399">
        <f t="shared" ca="1" si="59"/>
        <v>0</v>
      </c>
      <c r="Q264" s="399">
        <v>313.58999999999997</v>
      </c>
      <c r="R264" s="398">
        <v>97</v>
      </c>
      <c r="S264" s="398">
        <v>97.165099999999995</v>
      </c>
      <c r="T264" s="399">
        <f t="shared" si="60"/>
        <v>304.18229999999994</v>
      </c>
      <c r="U264" s="399">
        <f t="shared" si="63"/>
        <v>304.70003708999997</v>
      </c>
      <c r="V264" s="399">
        <f t="shared" si="61"/>
        <v>304.70003708999997</v>
      </c>
      <c r="W264" s="399"/>
      <c r="X264" s="399">
        <v>0.46</v>
      </c>
      <c r="Y264" s="399">
        <v>0.06</v>
      </c>
      <c r="Z264" s="399">
        <f t="shared" si="62"/>
        <v>0.52</v>
      </c>
      <c r="AA264" s="400">
        <v>369303</v>
      </c>
      <c r="AB264" s="400" t="s">
        <v>22</v>
      </c>
      <c r="AC264" s="397">
        <v>46192</v>
      </c>
      <c r="AD264" s="400">
        <v>3695169</v>
      </c>
    </row>
    <row r="265" spans="2:30" x14ac:dyDescent="0.25">
      <c r="B265" s="397">
        <f t="shared" ca="1" si="55"/>
        <v>46306</v>
      </c>
      <c r="C265" s="397" t="s">
        <v>290</v>
      </c>
      <c r="D265" t="s">
        <v>48</v>
      </c>
      <c r="E265" s="397">
        <v>46189</v>
      </c>
      <c r="F265" s="397"/>
      <c r="G265" s="397"/>
      <c r="H265" s="397"/>
      <c r="J265" s="398">
        <f t="shared" si="56"/>
        <v>0</v>
      </c>
      <c r="K265" s="398"/>
      <c r="L265" s="399">
        <f t="shared" si="57"/>
        <v>0</v>
      </c>
      <c r="M265" s="399"/>
      <c r="N265">
        <f t="shared" si="58"/>
        <v>0</v>
      </c>
      <c r="P265" s="399">
        <f t="shared" ca="1" si="59"/>
        <v>0</v>
      </c>
      <c r="Q265" s="399">
        <v>1034.7</v>
      </c>
      <c r="R265" s="398">
        <v>97.5</v>
      </c>
      <c r="S265" s="398">
        <v>97.567400000000006</v>
      </c>
      <c r="T265" s="399">
        <f t="shared" si="60"/>
        <v>1008.8325</v>
      </c>
      <c r="U265" s="399">
        <f t="shared" si="63"/>
        <v>1009.5298878000001</v>
      </c>
      <c r="V265" s="399">
        <f t="shared" si="61"/>
        <v>1009.5298878000001</v>
      </c>
      <c r="W265" s="399"/>
      <c r="X265" s="399">
        <v>0.5</v>
      </c>
      <c r="Y265" s="399">
        <v>0.2</v>
      </c>
      <c r="Z265" s="399">
        <f t="shared" si="62"/>
        <v>0.7</v>
      </c>
      <c r="AA265" s="400">
        <v>369304</v>
      </c>
      <c r="AB265" s="400" t="s">
        <v>22</v>
      </c>
      <c r="AC265" s="397">
        <v>46192</v>
      </c>
      <c r="AD265" s="400">
        <v>3695169</v>
      </c>
    </row>
    <row r="266" spans="2:30" x14ac:dyDescent="0.25">
      <c r="B266" s="397">
        <f t="shared" ca="1" si="55"/>
        <v>46306</v>
      </c>
      <c r="C266" s="397" t="s">
        <v>290</v>
      </c>
      <c r="D266" t="s">
        <v>48</v>
      </c>
      <c r="E266" s="397">
        <v>46189</v>
      </c>
      <c r="F266" s="397"/>
      <c r="G266" s="397"/>
      <c r="H266" s="397"/>
      <c r="J266" s="398">
        <f t="shared" si="56"/>
        <v>0</v>
      </c>
      <c r="K266" s="398"/>
      <c r="L266" s="399">
        <f t="shared" si="57"/>
        <v>0</v>
      </c>
      <c r="M266" s="399"/>
      <c r="N266">
        <f t="shared" si="58"/>
        <v>0</v>
      </c>
      <c r="P266" s="399">
        <f t="shared" ca="1" si="59"/>
        <v>0</v>
      </c>
      <c r="Q266" s="399">
        <v>571.48</v>
      </c>
      <c r="R266" s="398">
        <v>97</v>
      </c>
      <c r="S266" s="398">
        <v>97.116259540000001</v>
      </c>
      <c r="T266" s="399">
        <f t="shared" si="60"/>
        <v>554.3356</v>
      </c>
      <c r="U266" s="399">
        <f t="shared" si="63"/>
        <v>555.00000001919204</v>
      </c>
      <c r="V266" s="399">
        <f t="shared" si="61"/>
        <v>555.00000001919204</v>
      </c>
      <c r="W266" s="399"/>
      <c r="X266" s="399">
        <v>0.55000000000000004</v>
      </c>
      <c r="Y266" s="399">
        <v>0.11</v>
      </c>
      <c r="Z266" s="399">
        <f t="shared" si="62"/>
        <v>0.66</v>
      </c>
      <c r="AA266" s="400">
        <v>16207</v>
      </c>
      <c r="AB266" s="400" t="s">
        <v>22</v>
      </c>
      <c r="AC266" s="397">
        <v>46192</v>
      </c>
      <c r="AD266" s="400">
        <v>3695169</v>
      </c>
    </row>
    <row r="267" spans="2:30" x14ac:dyDescent="0.25">
      <c r="B267" s="397">
        <f t="shared" ca="1" si="55"/>
        <v>46306</v>
      </c>
      <c r="C267" s="397" t="s">
        <v>290</v>
      </c>
      <c r="D267" t="s">
        <v>48</v>
      </c>
      <c r="E267" s="397">
        <v>46189</v>
      </c>
      <c r="F267" s="397"/>
      <c r="G267" s="397"/>
      <c r="H267" s="397"/>
      <c r="J267" s="398">
        <f t="shared" si="56"/>
        <v>0</v>
      </c>
      <c r="K267" s="398"/>
      <c r="L267" s="399">
        <f t="shared" si="57"/>
        <v>0</v>
      </c>
      <c r="M267" s="399"/>
      <c r="N267">
        <f t="shared" si="58"/>
        <v>0</v>
      </c>
      <c r="P267" s="399">
        <f t="shared" ca="1" si="59"/>
        <v>0</v>
      </c>
      <c r="Q267" s="399">
        <v>600.97</v>
      </c>
      <c r="R267" s="398">
        <v>96.5</v>
      </c>
      <c r="S267" s="398">
        <v>96.665390950000003</v>
      </c>
      <c r="T267" s="399">
        <f t="shared" si="60"/>
        <v>579.93605000000002</v>
      </c>
      <c r="U267" s="399">
        <f t="shared" si="63"/>
        <v>580.92999999221502</v>
      </c>
      <c r="V267" s="399">
        <f t="shared" si="61"/>
        <v>580.92999999221502</v>
      </c>
      <c r="W267" s="399"/>
      <c r="X267" s="399">
        <v>0.87</v>
      </c>
      <c r="Y267" s="399">
        <v>0.12</v>
      </c>
      <c r="Z267" s="399">
        <f t="shared" si="62"/>
        <v>0.99</v>
      </c>
      <c r="AA267" s="400">
        <v>16223</v>
      </c>
      <c r="AB267" s="400" t="s">
        <v>22</v>
      </c>
      <c r="AC267" s="397">
        <v>46192</v>
      </c>
      <c r="AD267" s="400">
        <v>3695169</v>
      </c>
    </row>
    <row r="268" spans="2:30" x14ac:dyDescent="0.25">
      <c r="B268" s="397">
        <f t="shared" ca="1" si="55"/>
        <v>46306</v>
      </c>
      <c r="C268" s="397" t="s">
        <v>290</v>
      </c>
      <c r="D268" t="s">
        <v>48</v>
      </c>
      <c r="E268" s="397">
        <v>46190</v>
      </c>
      <c r="F268" s="397"/>
      <c r="G268" s="397"/>
      <c r="H268" s="397"/>
      <c r="J268" s="398">
        <f t="shared" si="56"/>
        <v>0</v>
      </c>
      <c r="K268" s="398"/>
      <c r="L268" s="399">
        <f t="shared" si="57"/>
        <v>0</v>
      </c>
      <c r="M268" s="399"/>
      <c r="N268">
        <f t="shared" si="58"/>
        <v>0</v>
      </c>
      <c r="P268" s="399">
        <f t="shared" ca="1" si="59"/>
        <v>0</v>
      </c>
      <c r="Q268" s="399">
        <v>1476.11</v>
      </c>
      <c r="R268" s="398">
        <v>97.2</v>
      </c>
      <c r="S268" s="398">
        <v>97.316599999999994</v>
      </c>
      <c r="T268" s="399">
        <f t="shared" si="60"/>
        <v>1434.77892</v>
      </c>
      <c r="U268" s="399">
        <f t="shared" si="63"/>
        <v>1436.5000642599998</v>
      </c>
      <c r="V268" s="399">
        <f t="shared" si="61"/>
        <v>1436.5000642599998</v>
      </c>
      <c r="W268" s="399"/>
      <c r="X268" s="399">
        <v>1.43</v>
      </c>
      <c r="Y268" s="399">
        <v>0.28999999999999998</v>
      </c>
      <c r="Z268" s="399">
        <f t="shared" si="62"/>
        <v>1.72</v>
      </c>
      <c r="AA268" s="400">
        <v>369391</v>
      </c>
      <c r="AB268" s="400" t="s">
        <v>22</v>
      </c>
      <c r="AC268" s="397">
        <v>46192</v>
      </c>
      <c r="AD268" s="400">
        <v>3695169</v>
      </c>
    </row>
    <row r="269" spans="2:30" x14ac:dyDescent="0.25">
      <c r="B269" s="397">
        <f t="shared" ca="1" si="55"/>
        <v>46306</v>
      </c>
      <c r="C269" s="397" t="s">
        <v>290</v>
      </c>
      <c r="D269" t="s">
        <v>48</v>
      </c>
      <c r="E269" s="397">
        <v>46190</v>
      </c>
      <c r="F269" s="397"/>
      <c r="G269" s="397"/>
      <c r="H269" s="397"/>
      <c r="J269" s="398">
        <f t="shared" si="56"/>
        <v>0</v>
      </c>
      <c r="K269" s="398"/>
      <c r="L269" s="399">
        <f t="shared" si="57"/>
        <v>0</v>
      </c>
      <c r="M269" s="399"/>
      <c r="N269">
        <f t="shared" si="58"/>
        <v>0</v>
      </c>
      <c r="P269" s="399">
        <f t="shared" ca="1" si="59"/>
        <v>0</v>
      </c>
      <c r="Q269" s="399">
        <v>748.4</v>
      </c>
      <c r="R269" s="398">
        <v>97</v>
      </c>
      <c r="S269" s="398">
        <v>97.165999999999997</v>
      </c>
      <c r="T269" s="399">
        <f t="shared" si="60"/>
        <v>725.94799999999998</v>
      </c>
      <c r="U269" s="399">
        <f t="shared" si="63"/>
        <v>727.19034399999987</v>
      </c>
      <c r="V269" s="399">
        <f t="shared" si="61"/>
        <v>727.19034399999987</v>
      </c>
      <c r="W269" s="399"/>
      <c r="X269" s="399">
        <v>1.0900000000000001</v>
      </c>
      <c r="Y269" s="399">
        <v>0.14999999999999991</v>
      </c>
      <c r="Z269" s="399">
        <f t="shared" si="62"/>
        <v>1.24</v>
      </c>
      <c r="AA269" s="400">
        <v>369398</v>
      </c>
      <c r="AB269" s="400" t="s">
        <v>22</v>
      </c>
      <c r="AC269" s="397">
        <v>46192</v>
      </c>
      <c r="AD269" s="400">
        <v>3695169</v>
      </c>
    </row>
    <row r="270" spans="2:30" x14ac:dyDescent="0.25">
      <c r="B270" s="397">
        <f t="shared" ca="1" si="55"/>
        <v>46306</v>
      </c>
      <c r="C270" s="397" t="s">
        <v>290</v>
      </c>
      <c r="D270" t="s">
        <v>47</v>
      </c>
      <c r="E270" s="397">
        <v>46190</v>
      </c>
      <c r="F270" s="397"/>
      <c r="G270" s="397"/>
      <c r="H270" s="397"/>
      <c r="J270" s="398">
        <f t="shared" si="56"/>
        <v>0</v>
      </c>
      <c r="K270" s="398"/>
      <c r="L270" s="399">
        <f t="shared" si="57"/>
        <v>0</v>
      </c>
      <c r="M270" s="399"/>
      <c r="N270">
        <f t="shared" si="58"/>
        <v>0</v>
      </c>
      <c r="P270" s="399">
        <f t="shared" ca="1" si="59"/>
        <v>0</v>
      </c>
      <c r="Q270" s="399">
        <v>3830.92</v>
      </c>
      <c r="R270" s="398">
        <v>97.5</v>
      </c>
      <c r="S270" s="398">
        <v>97.6173</v>
      </c>
      <c r="T270" s="399">
        <f t="shared" si="60"/>
        <v>3735.1469999999999</v>
      </c>
      <c r="U270" s="399">
        <f t="shared" si="63"/>
        <v>3739.64066916</v>
      </c>
      <c r="V270" s="399">
        <f t="shared" si="61"/>
        <v>3739.64066916</v>
      </c>
      <c r="W270" s="399"/>
      <c r="X270" s="399">
        <v>3.74</v>
      </c>
      <c r="Y270" s="399">
        <v>0.75</v>
      </c>
      <c r="Z270" s="399">
        <f t="shared" si="62"/>
        <v>4.49</v>
      </c>
      <c r="AA270" s="400">
        <v>369373</v>
      </c>
      <c r="AB270" s="400" t="s">
        <v>22</v>
      </c>
      <c r="AC270" s="397">
        <v>46192</v>
      </c>
      <c r="AD270" s="400">
        <v>3695169</v>
      </c>
    </row>
    <row r="271" spans="2:30" x14ac:dyDescent="0.25">
      <c r="B271" s="397">
        <f t="shared" ca="1" si="55"/>
        <v>46306</v>
      </c>
      <c r="C271" s="397" t="s">
        <v>290</v>
      </c>
      <c r="D271" t="s">
        <v>47</v>
      </c>
      <c r="E271" s="397">
        <v>46190</v>
      </c>
      <c r="F271" s="397"/>
      <c r="G271" s="397"/>
      <c r="H271" s="397"/>
      <c r="J271" s="398">
        <f t="shared" si="56"/>
        <v>0</v>
      </c>
      <c r="K271" s="398"/>
      <c r="L271" s="399">
        <f t="shared" si="57"/>
        <v>0</v>
      </c>
      <c r="M271" s="399"/>
      <c r="N271">
        <f t="shared" si="58"/>
        <v>0</v>
      </c>
      <c r="P271" s="399">
        <f t="shared" ca="1" si="59"/>
        <v>0</v>
      </c>
      <c r="Q271" s="399">
        <v>1225.93</v>
      </c>
      <c r="R271" s="398">
        <v>97.5</v>
      </c>
      <c r="S271" s="398">
        <v>97.6173</v>
      </c>
      <c r="T271" s="399">
        <f t="shared" si="60"/>
        <v>1195.2817500000001</v>
      </c>
      <c r="U271" s="399">
        <f t="shared" si="63"/>
        <v>1196.7197658900002</v>
      </c>
      <c r="V271" s="399">
        <f t="shared" si="61"/>
        <v>1196.7197658900002</v>
      </c>
      <c r="W271" s="399"/>
      <c r="X271" s="399">
        <v>1.2</v>
      </c>
      <c r="Y271" s="399">
        <v>0.24</v>
      </c>
      <c r="Z271" s="399">
        <f t="shared" si="62"/>
        <v>1.44</v>
      </c>
      <c r="AA271" s="400">
        <v>369403</v>
      </c>
      <c r="AB271" s="400" t="s">
        <v>22</v>
      </c>
      <c r="AC271" s="397">
        <v>46192</v>
      </c>
      <c r="AD271" s="400">
        <v>3695169</v>
      </c>
    </row>
    <row r="272" spans="2:30" x14ac:dyDescent="0.25">
      <c r="B272" s="397">
        <f t="shared" ca="1" si="55"/>
        <v>46306</v>
      </c>
      <c r="C272" s="397" t="s">
        <v>290</v>
      </c>
      <c r="D272" t="s">
        <v>47</v>
      </c>
      <c r="E272" s="397">
        <v>46190</v>
      </c>
      <c r="F272" s="397"/>
      <c r="G272" s="397"/>
      <c r="H272" s="397"/>
      <c r="J272" s="398">
        <f t="shared" si="56"/>
        <v>0</v>
      </c>
      <c r="K272" s="398"/>
      <c r="L272" s="399">
        <f t="shared" si="57"/>
        <v>0</v>
      </c>
      <c r="M272" s="399"/>
      <c r="N272">
        <f t="shared" si="58"/>
        <v>0</v>
      </c>
      <c r="P272" s="399">
        <f t="shared" ca="1" si="59"/>
        <v>0</v>
      </c>
      <c r="Q272" s="399">
        <v>1773.82</v>
      </c>
      <c r="R272" s="398">
        <v>97.3</v>
      </c>
      <c r="S272" s="398">
        <v>97.417400000000001</v>
      </c>
      <c r="T272" s="399">
        <f t="shared" si="60"/>
        <v>1725.9268599999998</v>
      </c>
      <c r="U272" s="399">
        <f t="shared" si="63"/>
        <v>1728.0093246799997</v>
      </c>
      <c r="V272" s="399">
        <f t="shared" si="61"/>
        <v>1728.0093246799997</v>
      </c>
      <c r="W272" s="399"/>
      <c r="X272" s="399">
        <v>1.73</v>
      </c>
      <c r="Y272" s="399">
        <v>0.35000000000000009</v>
      </c>
      <c r="Z272" s="399">
        <f t="shared" si="62"/>
        <v>2.08</v>
      </c>
      <c r="AA272" s="400">
        <v>369404</v>
      </c>
      <c r="AB272" s="400" t="s">
        <v>22</v>
      </c>
      <c r="AC272" s="397">
        <v>46192</v>
      </c>
      <c r="AD272" s="400">
        <v>3695169</v>
      </c>
    </row>
    <row r="273" spans="2:30" x14ac:dyDescent="0.25">
      <c r="B273" s="397">
        <f t="shared" ca="1" si="55"/>
        <v>46306</v>
      </c>
      <c r="C273" s="397" t="s">
        <v>290</v>
      </c>
      <c r="D273" t="s">
        <v>47</v>
      </c>
      <c r="E273" s="397">
        <v>46190</v>
      </c>
      <c r="F273" s="397"/>
      <c r="G273" s="397"/>
      <c r="H273" s="397"/>
      <c r="J273" s="398">
        <f t="shared" si="56"/>
        <v>0</v>
      </c>
      <c r="K273" s="398"/>
      <c r="L273" s="399">
        <f t="shared" si="57"/>
        <v>0</v>
      </c>
      <c r="M273" s="399"/>
      <c r="N273">
        <f t="shared" si="58"/>
        <v>0</v>
      </c>
      <c r="P273" s="399">
        <f t="shared" ca="1" si="59"/>
        <v>0</v>
      </c>
      <c r="Q273" s="399">
        <v>1042.56</v>
      </c>
      <c r="R273" s="398">
        <v>97.2</v>
      </c>
      <c r="S273" s="398">
        <v>97.316199999999995</v>
      </c>
      <c r="T273" s="399">
        <f t="shared" si="60"/>
        <v>1013.3683199999999</v>
      </c>
      <c r="U273" s="399">
        <f t="shared" si="63"/>
        <v>1014.5797747199998</v>
      </c>
      <c r="V273" s="399">
        <f t="shared" si="61"/>
        <v>1014.5797747199998</v>
      </c>
      <c r="W273" s="399"/>
      <c r="X273" s="399">
        <v>1.01</v>
      </c>
      <c r="Y273" s="399">
        <v>0.2</v>
      </c>
      <c r="Z273" s="399">
        <f t="shared" si="62"/>
        <v>1.21</v>
      </c>
      <c r="AA273" s="400">
        <v>369405</v>
      </c>
      <c r="AB273" s="400" t="s">
        <v>22</v>
      </c>
      <c r="AC273" s="397">
        <v>46192</v>
      </c>
      <c r="AD273" s="400">
        <v>3695169</v>
      </c>
    </row>
    <row r="274" spans="2:30" x14ac:dyDescent="0.25">
      <c r="B274" s="397">
        <f t="shared" ca="1" si="55"/>
        <v>46306</v>
      </c>
      <c r="C274" s="397" t="s">
        <v>290</v>
      </c>
      <c r="D274" t="s">
        <v>47</v>
      </c>
      <c r="E274" s="397">
        <v>46190</v>
      </c>
      <c r="F274" s="397"/>
      <c r="G274" s="397"/>
      <c r="H274" s="397"/>
      <c r="J274" s="398">
        <f t="shared" si="56"/>
        <v>0</v>
      </c>
      <c r="K274" s="398"/>
      <c r="L274" s="399">
        <f t="shared" si="57"/>
        <v>0</v>
      </c>
      <c r="M274" s="399"/>
      <c r="N274">
        <f t="shared" si="58"/>
        <v>0</v>
      </c>
      <c r="P274" s="399">
        <f t="shared" ca="1" si="59"/>
        <v>0</v>
      </c>
      <c r="Q274" s="399">
        <v>180.73</v>
      </c>
      <c r="R274" s="398">
        <v>96</v>
      </c>
      <c r="S274" s="398">
        <v>96.303899999999999</v>
      </c>
      <c r="T274" s="399">
        <f t="shared" si="60"/>
        <v>173.50079999999997</v>
      </c>
      <c r="U274" s="399">
        <f t="shared" si="63"/>
        <v>174.05003847</v>
      </c>
      <c r="V274" s="399">
        <f t="shared" si="61"/>
        <v>174.05003847</v>
      </c>
      <c r="W274" s="399"/>
      <c r="X274" s="399">
        <v>0.52</v>
      </c>
      <c r="Y274" s="399">
        <v>3.000000000000003E-2</v>
      </c>
      <c r="Z274" s="399">
        <f t="shared" si="62"/>
        <v>0.55000000000000004</v>
      </c>
      <c r="AA274" s="400">
        <v>369406</v>
      </c>
      <c r="AB274" s="400" t="s">
        <v>22</v>
      </c>
      <c r="AC274" s="397">
        <v>46192</v>
      </c>
      <c r="AD274" s="400">
        <v>3695169</v>
      </c>
    </row>
    <row r="275" spans="2:30" x14ac:dyDescent="0.25">
      <c r="B275" s="397">
        <f t="shared" ca="1" si="55"/>
        <v>46306</v>
      </c>
      <c r="C275" s="397" t="s">
        <v>290</v>
      </c>
      <c r="D275" t="s">
        <v>47</v>
      </c>
      <c r="E275" s="397">
        <v>46190</v>
      </c>
      <c r="F275" s="397"/>
      <c r="G275" s="397"/>
      <c r="H275" s="397"/>
      <c r="J275" s="398">
        <f t="shared" si="56"/>
        <v>0</v>
      </c>
      <c r="K275" s="398"/>
      <c r="L275" s="399">
        <f t="shared" si="57"/>
        <v>0</v>
      </c>
      <c r="M275" s="399"/>
      <c r="N275">
        <f t="shared" si="58"/>
        <v>0</v>
      </c>
      <c r="P275" s="399">
        <f t="shared" ca="1" si="59"/>
        <v>0</v>
      </c>
      <c r="Q275" s="399">
        <v>1644.39</v>
      </c>
      <c r="R275" s="398">
        <v>97.2</v>
      </c>
      <c r="S275" s="398">
        <v>97.316900000000004</v>
      </c>
      <c r="T275" s="399">
        <f t="shared" si="60"/>
        <v>1598.3470800000002</v>
      </c>
      <c r="U275" s="399">
        <f t="shared" si="63"/>
        <v>1600.26937191</v>
      </c>
      <c r="V275" s="399">
        <f t="shared" si="61"/>
        <v>1600.26937191</v>
      </c>
      <c r="W275" s="399"/>
      <c r="X275" s="399">
        <v>1.6</v>
      </c>
      <c r="Y275" s="399">
        <v>0.31999999999999978</v>
      </c>
      <c r="Z275" s="399">
        <f t="shared" si="62"/>
        <v>1.92</v>
      </c>
      <c r="AA275" s="400">
        <v>369412</v>
      </c>
      <c r="AB275" s="400" t="s">
        <v>22</v>
      </c>
      <c r="AC275" s="397">
        <v>46192</v>
      </c>
      <c r="AD275" s="400">
        <v>3695169</v>
      </c>
    </row>
    <row r="276" spans="2:30" x14ac:dyDescent="0.25">
      <c r="B276" s="397">
        <f t="shared" ca="1" si="55"/>
        <v>46306</v>
      </c>
      <c r="C276" s="397" t="s">
        <v>290</v>
      </c>
      <c r="D276" t="s">
        <v>47</v>
      </c>
      <c r="E276" s="397">
        <v>46190</v>
      </c>
      <c r="F276" s="397"/>
      <c r="G276" s="397"/>
      <c r="H276" s="397"/>
      <c r="J276" s="398">
        <f t="shared" si="56"/>
        <v>0</v>
      </c>
      <c r="K276" s="398"/>
      <c r="L276" s="399">
        <f t="shared" si="57"/>
        <v>0</v>
      </c>
      <c r="M276" s="399"/>
      <c r="N276">
        <f t="shared" si="58"/>
        <v>0</v>
      </c>
      <c r="P276" s="399">
        <f t="shared" ca="1" si="59"/>
        <v>0</v>
      </c>
      <c r="Q276" s="399">
        <v>1601.58</v>
      </c>
      <c r="R276" s="398">
        <v>97.2</v>
      </c>
      <c r="S276" s="398">
        <v>97.316999999999993</v>
      </c>
      <c r="T276" s="399">
        <f t="shared" si="60"/>
        <v>1556.73576</v>
      </c>
      <c r="U276" s="399">
        <f t="shared" si="63"/>
        <v>1558.6096086</v>
      </c>
      <c r="V276" s="399">
        <f t="shared" si="61"/>
        <v>1558.6096086</v>
      </c>
      <c r="W276" s="399"/>
      <c r="X276" s="399">
        <v>1.56</v>
      </c>
      <c r="Y276" s="399">
        <v>0.31000000000000011</v>
      </c>
      <c r="Z276" s="399">
        <f t="shared" si="62"/>
        <v>1.87</v>
      </c>
      <c r="AA276" s="400">
        <v>369414</v>
      </c>
      <c r="AB276" s="400" t="s">
        <v>22</v>
      </c>
      <c r="AC276" s="397">
        <v>46192</v>
      </c>
      <c r="AD276" s="400">
        <v>3695169</v>
      </c>
    </row>
    <row r="277" spans="2:30" x14ac:dyDescent="0.25">
      <c r="B277" s="397">
        <f t="shared" ca="1" si="55"/>
        <v>46306</v>
      </c>
      <c r="C277" s="397" t="s">
        <v>290</v>
      </c>
      <c r="D277" t="s">
        <v>47</v>
      </c>
      <c r="E277" s="397">
        <v>46191</v>
      </c>
      <c r="F277" s="397"/>
      <c r="G277" s="397"/>
      <c r="H277" s="397"/>
      <c r="J277" s="398">
        <f t="shared" si="56"/>
        <v>0</v>
      </c>
      <c r="K277" s="398"/>
      <c r="L277" s="399">
        <f t="shared" si="57"/>
        <v>0</v>
      </c>
      <c r="M277" s="399"/>
      <c r="N277">
        <f t="shared" si="58"/>
        <v>0</v>
      </c>
      <c r="P277" s="399">
        <f t="shared" ca="1" si="59"/>
        <v>0</v>
      </c>
      <c r="Q277" s="399">
        <v>416.18</v>
      </c>
      <c r="R277" s="398">
        <v>97</v>
      </c>
      <c r="S277" s="398">
        <v>97.164699999999996</v>
      </c>
      <c r="T277" s="399">
        <f t="shared" si="60"/>
        <v>403.69459999999998</v>
      </c>
      <c r="U277" s="399">
        <f t="shared" si="63"/>
        <v>404.38004845999995</v>
      </c>
      <c r="V277" s="399">
        <f t="shared" si="61"/>
        <v>404.38004845999995</v>
      </c>
      <c r="W277" s="399"/>
      <c r="X277" s="399">
        <v>0.61</v>
      </c>
      <c r="Y277" s="399">
        <v>7.999999999999996E-2</v>
      </c>
      <c r="Z277" s="399">
        <f t="shared" si="62"/>
        <v>0.69</v>
      </c>
      <c r="AA277" s="400">
        <v>369429</v>
      </c>
      <c r="AB277" s="400" t="s">
        <v>22</v>
      </c>
      <c r="AC277" s="397">
        <v>46192</v>
      </c>
      <c r="AD277" s="400">
        <v>3695169</v>
      </c>
    </row>
    <row r="278" spans="2:30" x14ac:dyDescent="0.25">
      <c r="B278" s="397">
        <f t="shared" ca="1" si="55"/>
        <v>46306</v>
      </c>
      <c r="C278" s="397" t="s">
        <v>290</v>
      </c>
      <c r="D278" t="s">
        <v>47</v>
      </c>
      <c r="E278" s="397">
        <v>46191</v>
      </c>
      <c r="F278" s="397"/>
      <c r="G278" s="397"/>
      <c r="H278" s="397"/>
      <c r="J278" s="398">
        <f t="shared" si="56"/>
        <v>0</v>
      </c>
      <c r="K278" s="398"/>
      <c r="L278" s="399">
        <f t="shared" si="57"/>
        <v>0</v>
      </c>
      <c r="M278" s="399"/>
      <c r="N278">
        <f t="shared" si="58"/>
        <v>0</v>
      </c>
      <c r="P278" s="399">
        <f t="shared" ca="1" si="59"/>
        <v>0</v>
      </c>
      <c r="Q278" s="399">
        <v>610.59</v>
      </c>
      <c r="R278" s="398">
        <v>97</v>
      </c>
      <c r="S278" s="398">
        <v>97.165000000000006</v>
      </c>
      <c r="T278" s="399">
        <f t="shared" si="60"/>
        <v>592.27230000000009</v>
      </c>
      <c r="U278" s="399">
        <f t="shared" si="63"/>
        <v>593.27977350000003</v>
      </c>
      <c r="V278" s="399">
        <f t="shared" si="61"/>
        <v>593.27977350000003</v>
      </c>
      <c r="W278" s="399"/>
      <c r="X278" s="399">
        <v>0.89</v>
      </c>
      <c r="Y278" s="399">
        <v>0.12</v>
      </c>
      <c r="Z278" s="399">
        <f t="shared" si="62"/>
        <v>1.01</v>
      </c>
      <c r="AA278" s="400">
        <v>369430</v>
      </c>
      <c r="AB278" s="400" t="s">
        <v>22</v>
      </c>
      <c r="AC278" s="397">
        <v>46192</v>
      </c>
      <c r="AD278" s="400">
        <v>3695169</v>
      </c>
    </row>
    <row r="279" spans="2:30" x14ac:dyDescent="0.25">
      <c r="B279" s="397">
        <f t="shared" ca="1" si="55"/>
        <v>46306</v>
      </c>
      <c r="C279" s="397" t="s">
        <v>290</v>
      </c>
      <c r="D279" t="s">
        <v>47</v>
      </c>
      <c r="E279" s="397">
        <v>46191</v>
      </c>
      <c r="F279" s="397"/>
      <c r="G279" s="397"/>
      <c r="H279" s="397"/>
      <c r="J279" s="398">
        <f t="shared" si="56"/>
        <v>0</v>
      </c>
      <c r="K279" s="398"/>
      <c r="L279" s="399">
        <f t="shared" si="57"/>
        <v>0</v>
      </c>
      <c r="M279" s="399"/>
      <c r="N279">
        <f t="shared" si="58"/>
        <v>0</v>
      </c>
      <c r="P279" s="399">
        <f t="shared" ca="1" si="59"/>
        <v>0</v>
      </c>
      <c r="Q279" s="399">
        <v>328.76</v>
      </c>
      <c r="R279" s="398">
        <v>96.5</v>
      </c>
      <c r="S279" s="398">
        <v>96.708799999999997</v>
      </c>
      <c r="T279" s="399">
        <f t="shared" si="60"/>
        <v>317.2534</v>
      </c>
      <c r="U279" s="399">
        <f t="shared" si="63"/>
        <v>317.93985087999999</v>
      </c>
      <c r="V279" s="399">
        <f t="shared" si="61"/>
        <v>317.93985087999999</v>
      </c>
      <c r="W279" s="399"/>
      <c r="X279" s="399">
        <v>0.63</v>
      </c>
      <c r="Y279" s="399">
        <v>5.9999999999999942E-2</v>
      </c>
      <c r="Z279" s="399">
        <f t="shared" si="62"/>
        <v>0.69</v>
      </c>
      <c r="AA279" s="400">
        <v>369431</v>
      </c>
      <c r="AB279" s="400" t="s">
        <v>22</v>
      </c>
      <c r="AC279" s="397">
        <v>46192</v>
      </c>
      <c r="AD279" s="400">
        <v>3695169</v>
      </c>
    </row>
    <row r="280" spans="2:30" x14ac:dyDescent="0.25">
      <c r="B280" s="397">
        <f t="shared" ca="1" si="55"/>
        <v>46306</v>
      </c>
      <c r="C280" s="397" t="s">
        <v>290</v>
      </c>
      <c r="D280" t="s">
        <v>47</v>
      </c>
      <c r="E280" s="397">
        <v>46191</v>
      </c>
      <c r="F280" s="397"/>
      <c r="G280" s="397"/>
      <c r="H280" s="397"/>
      <c r="J280" s="398">
        <f t="shared" si="56"/>
        <v>0</v>
      </c>
      <c r="K280" s="398"/>
      <c r="L280" s="399">
        <f t="shared" si="57"/>
        <v>0</v>
      </c>
      <c r="M280" s="399"/>
      <c r="N280">
        <f t="shared" si="58"/>
        <v>0</v>
      </c>
      <c r="P280" s="399">
        <f t="shared" ca="1" si="59"/>
        <v>0</v>
      </c>
      <c r="Q280" s="399">
        <v>240.7</v>
      </c>
      <c r="R280" s="398">
        <v>96.5</v>
      </c>
      <c r="S280" s="398">
        <v>96.713800000000006</v>
      </c>
      <c r="T280" s="399">
        <f t="shared" si="60"/>
        <v>232.27549999999999</v>
      </c>
      <c r="U280" s="399">
        <f t="shared" si="63"/>
        <v>232.7901166</v>
      </c>
      <c r="V280" s="399">
        <f t="shared" si="61"/>
        <v>232.7901166</v>
      </c>
      <c r="W280" s="399"/>
      <c r="X280" s="399">
        <v>0.46</v>
      </c>
      <c r="Y280" s="399">
        <v>4.9999999999999989E-2</v>
      </c>
      <c r="Z280" s="399">
        <f t="shared" si="62"/>
        <v>0.51</v>
      </c>
      <c r="AA280" s="400">
        <v>369432</v>
      </c>
      <c r="AB280" s="400" t="s">
        <v>22</v>
      </c>
      <c r="AC280" s="397">
        <v>46192</v>
      </c>
      <c r="AD280" s="400">
        <v>3695169</v>
      </c>
    </row>
    <row r="281" spans="2:30" x14ac:dyDescent="0.25">
      <c r="B281" s="397">
        <f t="shared" ca="1" si="55"/>
        <v>46306</v>
      </c>
      <c r="C281" s="397" t="s">
        <v>290</v>
      </c>
      <c r="D281" t="s">
        <v>47</v>
      </c>
      <c r="E281" s="397">
        <v>46195</v>
      </c>
      <c r="F281" s="397"/>
      <c r="G281" s="397"/>
      <c r="H281" s="397"/>
      <c r="J281" s="398">
        <f t="shared" si="56"/>
        <v>0</v>
      </c>
      <c r="K281" s="398"/>
      <c r="L281" s="399">
        <f t="shared" si="57"/>
        <v>0</v>
      </c>
      <c r="M281" s="399"/>
      <c r="N281">
        <f t="shared" si="58"/>
        <v>0</v>
      </c>
      <c r="P281" s="399">
        <f t="shared" ca="1" si="59"/>
        <v>0</v>
      </c>
      <c r="Q281" s="399">
        <v>365.27</v>
      </c>
      <c r="R281" s="398">
        <v>96.2</v>
      </c>
      <c r="S281" s="398">
        <v>96.410899999999998</v>
      </c>
      <c r="T281" s="399">
        <f t="shared" si="60"/>
        <v>351.38974000000002</v>
      </c>
      <c r="U281" s="399">
        <f t="shared" si="63"/>
        <v>352.16009442999996</v>
      </c>
      <c r="V281" s="399">
        <f t="shared" si="61"/>
        <v>352.16009442999996</v>
      </c>
      <c r="W281" s="399"/>
      <c r="X281" s="399">
        <v>0.7</v>
      </c>
      <c r="Y281" s="399">
        <v>7.0000000000000062E-2</v>
      </c>
      <c r="Z281" s="399">
        <f t="shared" si="62"/>
        <v>0.77</v>
      </c>
      <c r="AA281" s="400">
        <v>369605</v>
      </c>
      <c r="AB281" s="400" t="s">
        <v>22</v>
      </c>
      <c r="AC281" s="397">
        <v>46204</v>
      </c>
      <c r="AD281" s="400" t="s">
        <v>342</v>
      </c>
    </row>
    <row r="282" spans="2:30" x14ac:dyDescent="0.25">
      <c r="B282" s="397">
        <f t="shared" ca="1" si="55"/>
        <v>46306</v>
      </c>
      <c r="C282" s="397" t="s">
        <v>290</v>
      </c>
      <c r="D282" t="s">
        <v>47</v>
      </c>
      <c r="E282" s="397">
        <v>46195</v>
      </c>
      <c r="F282" s="397"/>
      <c r="G282" s="397"/>
      <c r="H282" s="397"/>
      <c r="J282" s="398">
        <f t="shared" si="56"/>
        <v>0</v>
      </c>
      <c r="K282" s="398"/>
      <c r="L282" s="399">
        <f t="shared" si="57"/>
        <v>0</v>
      </c>
      <c r="M282" s="399"/>
      <c r="N282">
        <f t="shared" si="58"/>
        <v>0</v>
      </c>
      <c r="P282" s="399">
        <f t="shared" ca="1" si="59"/>
        <v>0</v>
      </c>
      <c r="Q282" s="399">
        <v>892.03</v>
      </c>
      <c r="R282" s="398">
        <v>97.1</v>
      </c>
      <c r="S282" s="398">
        <v>97.216499999999996</v>
      </c>
      <c r="T282" s="399">
        <f t="shared" si="60"/>
        <v>866.16112999999996</v>
      </c>
      <c r="U282" s="399">
        <f t="shared" si="63"/>
        <v>867.20034495000004</v>
      </c>
      <c r="V282" s="399">
        <f t="shared" si="61"/>
        <v>867.20034495000004</v>
      </c>
      <c r="W282" s="399"/>
      <c r="X282" s="399">
        <v>0.87</v>
      </c>
      <c r="Y282" s="399">
        <v>0.17</v>
      </c>
      <c r="Z282" s="399">
        <f t="shared" si="62"/>
        <v>1.04</v>
      </c>
      <c r="AA282" s="400">
        <v>369579</v>
      </c>
      <c r="AB282" s="400" t="s">
        <v>22</v>
      </c>
      <c r="AC282" s="397">
        <v>46204</v>
      </c>
      <c r="AD282" s="400" t="s">
        <v>342</v>
      </c>
    </row>
    <row r="283" spans="2:30" x14ac:dyDescent="0.25">
      <c r="B283" s="397">
        <f t="shared" ca="1" si="55"/>
        <v>46306</v>
      </c>
      <c r="C283" s="397" t="s">
        <v>290</v>
      </c>
      <c r="D283" t="s">
        <v>47</v>
      </c>
      <c r="E283" s="397">
        <v>46195</v>
      </c>
      <c r="F283" s="397"/>
      <c r="G283" s="397"/>
      <c r="H283" s="397"/>
      <c r="J283" s="398">
        <f t="shared" si="56"/>
        <v>0</v>
      </c>
      <c r="K283" s="398"/>
      <c r="L283" s="399">
        <f t="shared" si="57"/>
        <v>0</v>
      </c>
      <c r="M283" s="399"/>
      <c r="N283">
        <f t="shared" si="58"/>
        <v>0</v>
      </c>
      <c r="P283" s="399">
        <f t="shared" ca="1" si="59"/>
        <v>0</v>
      </c>
      <c r="Q283" s="399">
        <v>1237.3699999999999</v>
      </c>
      <c r="R283" s="398">
        <v>97.25</v>
      </c>
      <c r="S283" s="398">
        <v>97.366200000000006</v>
      </c>
      <c r="T283" s="399">
        <f t="shared" si="60"/>
        <v>1203.3423249999998</v>
      </c>
      <c r="U283" s="399">
        <f t="shared" si="63"/>
        <v>1204.7801489399999</v>
      </c>
      <c r="V283" s="399">
        <f t="shared" si="61"/>
        <v>1204.7801489399999</v>
      </c>
      <c r="W283" s="399"/>
      <c r="X283" s="399">
        <v>1.2</v>
      </c>
      <c r="Y283" s="399">
        <v>0.24</v>
      </c>
      <c r="Z283" s="399">
        <f t="shared" si="62"/>
        <v>1.44</v>
      </c>
      <c r="AA283" s="400">
        <v>369582</v>
      </c>
      <c r="AB283" s="400" t="s">
        <v>22</v>
      </c>
      <c r="AC283" s="397">
        <v>46204</v>
      </c>
      <c r="AD283" s="400" t="s">
        <v>342</v>
      </c>
    </row>
    <row r="284" spans="2:30" x14ac:dyDescent="0.25">
      <c r="B284" s="397">
        <f t="shared" ca="1" si="55"/>
        <v>46306</v>
      </c>
      <c r="C284" s="397" t="s">
        <v>290</v>
      </c>
      <c r="D284" t="s">
        <v>47</v>
      </c>
      <c r="E284" s="397">
        <v>46195</v>
      </c>
      <c r="F284" s="397"/>
      <c r="G284" s="397"/>
      <c r="H284" s="397"/>
      <c r="J284" s="398">
        <f t="shared" si="56"/>
        <v>0</v>
      </c>
      <c r="K284" s="398"/>
      <c r="L284" s="399">
        <f t="shared" si="57"/>
        <v>0</v>
      </c>
      <c r="M284" s="399"/>
      <c r="N284">
        <f t="shared" si="58"/>
        <v>0</v>
      </c>
      <c r="P284" s="399">
        <f t="shared" ca="1" si="59"/>
        <v>0</v>
      </c>
      <c r="Q284" s="399">
        <v>957.99</v>
      </c>
      <c r="R284" s="398">
        <v>97.1</v>
      </c>
      <c r="S284" s="398">
        <v>97.130499999999998</v>
      </c>
      <c r="T284" s="399">
        <f t="shared" si="60"/>
        <v>930.20829000000003</v>
      </c>
      <c r="U284" s="399">
        <f t="shared" si="63"/>
        <v>930.50047695000001</v>
      </c>
      <c r="V284" s="399">
        <f t="shared" si="61"/>
        <v>930.50047695000001</v>
      </c>
      <c r="W284" s="399"/>
      <c r="X284" s="399">
        <v>0.1</v>
      </c>
      <c r="Y284" s="399">
        <v>0.19</v>
      </c>
      <c r="Z284" s="399">
        <f t="shared" si="62"/>
        <v>0.29000000000000004</v>
      </c>
      <c r="AA284" s="400">
        <v>369585</v>
      </c>
      <c r="AB284" s="400" t="s">
        <v>22</v>
      </c>
      <c r="AC284" s="397">
        <v>46204</v>
      </c>
      <c r="AD284" s="400" t="s">
        <v>342</v>
      </c>
    </row>
    <row r="285" spans="2:30" x14ac:dyDescent="0.25">
      <c r="B285" s="397">
        <f t="shared" ca="1" si="55"/>
        <v>46306</v>
      </c>
      <c r="C285" s="397" t="s">
        <v>290</v>
      </c>
      <c r="D285" t="s">
        <v>47</v>
      </c>
      <c r="E285" s="397">
        <v>46195</v>
      </c>
      <c r="F285" s="397"/>
      <c r="G285" s="397"/>
      <c r="H285" s="397"/>
      <c r="J285" s="398">
        <f t="shared" si="56"/>
        <v>0</v>
      </c>
      <c r="K285" s="398"/>
      <c r="L285" s="399">
        <f t="shared" si="57"/>
        <v>0</v>
      </c>
      <c r="M285" s="399"/>
      <c r="N285">
        <f t="shared" si="58"/>
        <v>0</v>
      </c>
      <c r="P285" s="399">
        <f t="shared" ca="1" si="59"/>
        <v>0</v>
      </c>
      <c r="Q285" s="399">
        <v>2151.06</v>
      </c>
      <c r="R285" s="398">
        <v>97.4</v>
      </c>
      <c r="S285" s="398">
        <v>97.516999999999996</v>
      </c>
      <c r="T285" s="399">
        <f t="shared" si="60"/>
        <v>2095.1324399999999</v>
      </c>
      <c r="U285" s="399">
        <f t="shared" si="63"/>
        <v>2097.6491802</v>
      </c>
      <c r="V285" s="399">
        <f t="shared" si="61"/>
        <v>2097.6491802</v>
      </c>
      <c r="W285" s="399"/>
      <c r="X285" s="399">
        <v>2.1</v>
      </c>
      <c r="Y285" s="399">
        <v>0.41999999999999987</v>
      </c>
      <c r="Z285" s="399">
        <f t="shared" si="62"/>
        <v>2.52</v>
      </c>
      <c r="AA285" s="400">
        <v>369593</v>
      </c>
      <c r="AB285" s="400" t="s">
        <v>22</v>
      </c>
      <c r="AC285" s="397">
        <v>46204</v>
      </c>
      <c r="AD285" s="400" t="s">
        <v>342</v>
      </c>
    </row>
    <row r="286" spans="2:30" x14ac:dyDescent="0.25">
      <c r="B286" s="397">
        <f t="shared" ca="1" si="55"/>
        <v>46306</v>
      </c>
      <c r="C286" s="397" t="s">
        <v>290</v>
      </c>
      <c r="D286" t="s">
        <v>47</v>
      </c>
      <c r="E286" s="397">
        <v>46195</v>
      </c>
      <c r="F286" s="397"/>
      <c r="G286" s="397"/>
      <c r="H286" s="397"/>
      <c r="J286" s="398">
        <f t="shared" si="56"/>
        <v>0</v>
      </c>
      <c r="K286" s="398"/>
      <c r="L286" s="399">
        <f t="shared" si="57"/>
        <v>0</v>
      </c>
      <c r="M286" s="399"/>
      <c r="N286">
        <f t="shared" si="58"/>
        <v>0</v>
      </c>
      <c r="P286" s="399">
        <f t="shared" ca="1" si="59"/>
        <v>0</v>
      </c>
      <c r="Q286" s="399">
        <v>336.95</v>
      </c>
      <c r="R286" s="398">
        <v>96.2</v>
      </c>
      <c r="S286" s="398">
        <v>96.411900000000003</v>
      </c>
      <c r="T286" s="399">
        <f t="shared" si="60"/>
        <v>324.14589999999998</v>
      </c>
      <c r="U286" s="399">
        <f t="shared" si="63"/>
        <v>324.85989704999997</v>
      </c>
      <c r="V286" s="399">
        <f t="shared" si="61"/>
        <v>324.85989704999997</v>
      </c>
      <c r="W286" s="399"/>
      <c r="X286" s="399">
        <v>0.65</v>
      </c>
      <c r="Y286" s="399">
        <v>5.9999999999999942E-2</v>
      </c>
      <c r="Z286" s="399">
        <f t="shared" si="62"/>
        <v>0.71</v>
      </c>
      <c r="AA286" s="400">
        <v>369603</v>
      </c>
      <c r="AB286" s="400" t="s">
        <v>22</v>
      </c>
      <c r="AC286" s="397">
        <v>46204</v>
      </c>
      <c r="AD286" s="400" t="s">
        <v>342</v>
      </c>
    </row>
    <row r="287" spans="2:30" x14ac:dyDescent="0.25">
      <c r="B287" s="397">
        <f t="shared" ca="1" si="55"/>
        <v>46306</v>
      </c>
      <c r="C287" s="397" t="s">
        <v>290</v>
      </c>
      <c r="D287" t="s">
        <v>47</v>
      </c>
      <c r="E287" s="397">
        <v>46196</v>
      </c>
      <c r="F287" s="397"/>
      <c r="G287" s="397"/>
      <c r="H287" s="397"/>
      <c r="J287" s="398">
        <f t="shared" si="56"/>
        <v>0</v>
      </c>
      <c r="K287" s="398"/>
      <c r="L287" s="399">
        <f t="shared" si="57"/>
        <v>0</v>
      </c>
      <c r="M287" s="399"/>
      <c r="N287">
        <f t="shared" si="58"/>
        <v>0</v>
      </c>
      <c r="P287" s="399">
        <f t="shared" ca="1" si="59"/>
        <v>0</v>
      </c>
      <c r="Q287" s="399">
        <v>900.02</v>
      </c>
      <c r="R287" s="398">
        <v>97.1</v>
      </c>
      <c r="S287" s="398">
        <v>97.215599999999995</v>
      </c>
      <c r="T287" s="399">
        <f t="shared" si="60"/>
        <v>873.91941999999995</v>
      </c>
      <c r="U287" s="399">
        <f t="shared" si="63"/>
        <v>874.95984311999996</v>
      </c>
      <c r="V287" s="399">
        <f t="shared" si="61"/>
        <v>874.95984311999996</v>
      </c>
      <c r="W287" s="399"/>
      <c r="X287" s="399">
        <v>0.87</v>
      </c>
      <c r="Y287" s="399">
        <v>0.17</v>
      </c>
      <c r="Z287" s="399">
        <f t="shared" si="62"/>
        <v>1.04</v>
      </c>
      <c r="AA287" s="400">
        <v>369647</v>
      </c>
      <c r="AB287" s="400" t="s">
        <v>22</v>
      </c>
      <c r="AC287" s="397">
        <v>46204</v>
      </c>
      <c r="AD287" s="400" t="s">
        <v>342</v>
      </c>
    </row>
    <row r="288" spans="2:30" x14ac:dyDescent="0.25">
      <c r="B288" s="397">
        <f t="shared" ca="1" si="55"/>
        <v>46306</v>
      </c>
      <c r="C288" s="397" t="s">
        <v>290</v>
      </c>
      <c r="D288" t="s">
        <v>47</v>
      </c>
      <c r="E288" s="397">
        <v>46196</v>
      </c>
      <c r="F288" s="397"/>
      <c r="G288" s="397"/>
      <c r="H288" s="397"/>
      <c r="J288" s="398">
        <f t="shared" si="56"/>
        <v>0</v>
      </c>
      <c r="K288" s="398"/>
      <c r="L288" s="399">
        <f t="shared" si="57"/>
        <v>0</v>
      </c>
      <c r="M288" s="399"/>
      <c r="N288">
        <f t="shared" si="58"/>
        <v>0</v>
      </c>
      <c r="P288" s="399">
        <f t="shared" ca="1" si="59"/>
        <v>0</v>
      </c>
      <c r="Q288" s="399">
        <v>401.32</v>
      </c>
      <c r="R288" s="398">
        <v>96.1</v>
      </c>
      <c r="S288" s="398">
        <v>96.217500000000001</v>
      </c>
      <c r="T288" s="399">
        <f t="shared" si="60"/>
        <v>385.66852</v>
      </c>
      <c r="U288" s="399">
        <f t="shared" si="63"/>
        <v>386.14007100000003</v>
      </c>
      <c r="V288" s="399">
        <f t="shared" si="61"/>
        <v>386.14007100000003</v>
      </c>
      <c r="W288" s="399"/>
      <c r="X288" s="399">
        <v>0.39</v>
      </c>
      <c r="Y288" s="399">
        <v>7.999999999999996E-2</v>
      </c>
      <c r="Z288" s="399">
        <f t="shared" si="62"/>
        <v>0.47</v>
      </c>
      <c r="AA288" s="400">
        <v>369616</v>
      </c>
      <c r="AB288" s="400" t="s">
        <v>22</v>
      </c>
      <c r="AC288" s="397">
        <v>46204</v>
      </c>
      <c r="AD288" s="400" t="s">
        <v>342</v>
      </c>
    </row>
    <row r="289" spans="2:32" x14ac:dyDescent="0.25">
      <c r="B289" s="397">
        <f t="shared" ca="1" si="55"/>
        <v>46306</v>
      </c>
      <c r="C289" s="397" t="s">
        <v>290</v>
      </c>
      <c r="D289" t="s">
        <v>47</v>
      </c>
      <c r="E289" s="397">
        <v>46196</v>
      </c>
      <c r="F289" s="397"/>
      <c r="G289" s="397"/>
      <c r="H289" s="397"/>
      <c r="J289" s="398">
        <f t="shared" si="56"/>
        <v>0</v>
      </c>
      <c r="K289" s="398"/>
      <c r="L289" s="399">
        <f t="shared" si="57"/>
        <v>0</v>
      </c>
      <c r="M289" s="399"/>
      <c r="N289">
        <f t="shared" si="58"/>
        <v>0</v>
      </c>
      <c r="P289" s="399">
        <f t="shared" ca="1" si="59"/>
        <v>0</v>
      </c>
      <c r="Q289" s="399">
        <v>4491.21</v>
      </c>
      <c r="R289" s="398">
        <v>97.62</v>
      </c>
      <c r="S289" s="398">
        <v>97.737099999999998</v>
      </c>
      <c r="T289" s="399">
        <f t="shared" si="60"/>
        <v>4384.3192020000006</v>
      </c>
      <c r="U289" s="399">
        <f t="shared" si="63"/>
        <v>4389.5784089099998</v>
      </c>
      <c r="V289" s="399">
        <f t="shared" si="61"/>
        <v>4389.5784089099998</v>
      </c>
      <c r="W289" s="399"/>
      <c r="X289" s="399">
        <v>4.38</v>
      </c>
      <c r="Y289" s="399">
        <v>0.87999999999999989</v>
      </c>
      <c r="Z289" s="399">
        <f t="shared" si="62"/>
        <v>5.26</v>
      </c>
      <c r="AA289" s="400">
        <v>369623</v>
      </c>
      <c r="AB289" s="400" t="s">
        <v>22</v>
      </c>
      <c r="AC289" s="397">
        <v>46204</v>
      </c>
      <c r="AD289" s="400" t="s">
        <v>342</v>
      </c>
    </row>
    <row r="290" spans="2:32" x14ac:dyDescent="0.25">
      <c r="B290" s="397">
        <f t="shared" ca="1" si="55"/>
        <v>46306</v>
      </c>
      <c r="C290" s="397" t="s">
        <v>290</v>
      </c>
      <c r="D290" t="s">
        <v>47</v>
      </c>
      <c r="E290" s="397">
        <v>46197</v>
      </c>
      <c r="F290" s="397"/>
      <c r="G290" s="397"/>
      <c r="H290" s="397"/>
      <c r="J290" s="398">
        <f t="shared" si="56"/>
        <v>0</v>
      </c>
      <c r="K290" s="398"/>
      <c r="L290" s="399">
        <f t="shared" si="57"/>
        <v>0</v>
      </c>
      <c r="M290" s="399"/>
      <c r="N290">
        <f t="shared" si="58"/>
        <v>0</v>
      </c>
      <c r="P290" s="399">
        <f t="shared" ca="1" si="59"/>
        <v>0</v>
      </c>
      <c r="Q290" s="399">
        <v>1560.9</v>
      </c>
      <c r="R290" s="398">
        <v>97.65</v>
      </c>
      <c r="S290" s="398">
        <v>97.7667</v>
      </c>
      <c r="T290" s="399">
        <f t="shared" si="60"/>
        <v>1524.2188500000002</v>
      </c>
      <c r="U290" s="399">
        <f t="shared" si="63"/>
        <v>1526.0404203000001</v>
      </c>
      <c r="V290" s="399">
        <f t="shared" si="61"/>
        <v>1526.0404203000001</v>
      </c>
      <c r="W290" s="399"/>
      <c r="X290" s="399">
        <v>1.52</v>
      </c>
      <c r="Y290" s="399">
        <v>0.3</v>
      </c>
      <c r="Z290" s="399">
        <f t="shared" si="62"/>
        <v>1.82</v>
      </c>
      <c r="AA290" s="400">
        <v>369665</v>
      </c>
      <c r="AB290" s="400" t="s">
        <v>22</v>
      </c>
      <c r="AC290" s="397">
        <v>46204</v>
      </c>
      <c r="AD290" s="400" t="s">
        <v>342</v>
      </c>
    </row>
    <row r="291" spans="2:32" x14ac:dyDescent="0.25">
      <c r="B291" s="397">
        <f t="shared" ca="1" si="55"/>
        <v>46306</v>
      </c>
      <c r="C291" s="397" t="s">
        <v>290</v>
      </c>
      <c r="D291" t="s">
        <v>47</v>
      </c>
      <c r="E291" s="397">
        <v>46197</v>
      </c>
      <c r="F291" s="397"/>
      <c r="G291" s="397"/>
      <c r="H291" s="397"/>
      <c r="J291" s="398">
        <f t="shared" si="56"/>
        <v>0</v>
      </c>
      <c r="K291" s="398"/>
      <c r="L291" s="399">
        <f t="shared" si="57"/>
        <v>0</v>
      </c>
      <c r="M291" s="399"/>
      <c r="N291">
        <f t="shared" si="58"/>
        <v>0</v>
      </c>
      <c r="P291" s="399">
        <f t="shared" ca="1" si="59"/>
        <v>0</v>
      </c>
      <c r="Q291" s="399">
        <v>1291.3800000000001</v>
      </c>
      <c r="R291" s="398">
        <v>97.65</v>
      </c>
      <c r="S291" s="398">
        <v>97.747399999999999</v>
      </c>
      <c r="T291" s="399">
        <f t="shared" si="60"/>
        <v>1261.0325700000001</v>
      </c>
      <c r="U291" s="399">
        <f t="shared" si="63"/>
        <v>1262.29037412</v>
      </c>
      <c r="V291" s="399">
        <f t="shared" si="61"/>
        <v>1262.29037412</v>
      </c>
      <c r="W291" s="399"/>
      <c r="X291" s="399">
        <v>1.01</v>
      </c>
      <c r="Y291" s="399">
        <v>0.25</v>
      </c>
      <c r="Z291" s="399">
        <f t="shared" si="62"/>
        <v>1.26</v>
      </c>
      <c r="AA291" s="400">
        <v>369699</v>
      </c>
      <c r="AB291" s="400" t="s">
        <v>22</v>
      </c>
      <c r="AC291" s="397">
        <v>46204</v>
      </c>
      <c r="AD291" s="400" t="s">
        <v>342</v>
      </c>
    </row>
    <row r="292" spans="2:32" x14ac:dyDescent="0.25">
      <c r="B292" s="397">
        <f t="shared" ca="1" si="55"/>
        <v>46306</v>
      </c>
      <c r="C292" s="397" t="s">
        <v>290</v>
      </c>
      <c r="D292" t="s">
        <v>47</v>
      </c>
      <c r="E292" s="397">
        <v>46197</v>
      </c>
      <c r="F292" s="397"/>
      <c r="G292" s="397"/>
      <c r="H292" s="397"/>
      <c r="J292" s="398">
        <f t="shared" si="56"/>
        <v>0</v>
      </c>
      <c r="K292" s="398"/>
      <c r="L292" s="399">
        <f t="shared" si="57"/>
        <v>0</v>
      </c>
      <c r="M292" s="399"/>
      <c r="N292">
        <f t="shared" si="58"/>
        <v>0</v>
      </c>
      <c r="P292" s="399">
        <f t="shared" ca="1" si="59"/>
        <v>0</v>
      </c>
      <c r="Q292" s="399">
        <v>1581.94</v>
      </c>
      <c r="R292" s="398">
        <v>97.4</v>
      </c>
      <c r="S292" s="398">
        <v>97.497399999999999</v>
      </c>
      <c r="T292" s="399">
        <f t="shared" si="60"/>
        <v>1540.8095600000001</v>
      </c>
      <c r="U292" s="399">
        <f t="shared" si="63"/>
        <v>1542.35036956</v>
      </c>
      <c r="V292" s="399">
        <f t="shared" si="61"/>
        <v>1542.35036956</v>
      </c>
      <c r="W292" s="399"/>
      <c r="X292" s="399">
        <v>1.23</v>
      </c>
      <c r="Y292" s="399">
        <v>0.31000000000000011</v>
      </c>
      <c r="Z292" s="399">
        <f t="shared" si="62"/>
        <v>1.54</v>
      </c>
      <c r="AA292" s="400">
        <v>369713</v>
      </c>
      <c r="AB292" s="400" t="s">
        <v>22</v>
      </c>
      <c r="AC292" s="397">
        <v>46204</v>
      </c>
      <c r="AD292" s="400" t="s">
        <v>342</v>
      </c>
    </row>
    <row r="293" spans="2:32" x14ac:dyDescent="0.25">
      <c r="B293" s="397">
        <f t="shared" ca="1" si="55"/>
        <v>46306</v>
      </c>
      <c r="C293" s="397" t="s">
        <v>290</v>
      </c>
      <c r="D293" t="s">
        <v>47</v>
      </c>
      <c r="E293" s="397">
        <v>46197</v>
      </c>
      <c r="F293" s="397"/>
      <c r="G293" s="397"/>
      <c r="H293" s="397"/>
      <c r="J293" s="398">
        <f t="shared" si="56"/>
        <v>0</v>
      </c>
      <c r="K293" s="398"/>
      <c r="L293" s="399">
        <f t="shared" si="57"/>
        <v>0</v>
      </c>
      <c r="M293" s="399"/>
      <c r="N293">
        <f t="shared" si="58"/>
        <v>0</v>
      </c>
      <c r="P293" s="399">
        <f t="shared" ca="1" si="59"/>
        <v>0</v>
      </c>
      <c r="Q293" s="399">
        <v>335.34</v>
      </c>
      <c r="R293" s="398">
        <v>96.45</v>
      </c>
      <c r="S293" s="398">
        <v>96.6631</v>
      </c>
      <c r="T293" s="399">
        <f t="shared" si="60"/>
        <v>323.43543</v>
      </c>
      <c r="U293" s="399">
        <f t="shared" si="63"/>
        <v>324.15003953999997</v>
      </c>
      <c r="V293" s="399">
        <f t="shared" si="61"/>
        <v>324.15003953999997</v>
      </c>
      <c r="W293" s="399"/>
      <c r="X293" s="399">
        <v>0.65</v>
      </c>
      <c r="Y293" s="399">
        <v>5.9999999999999942E-2</v>
      </c>
      <c r="Z293" s="399">
        <f t="shared" si="62"/>
        <v>0.71</v>
      </c>
      <c r="AA293" s="400">
        <v>369730</v>
      </c>
      <c r="AB293" s="400" t="s">
        <v>22</v>
      </c>
      <c r="AC293" s="397">
        <v>46204</v>
      </c>
      <c r="AD293" s="400" t="s">
        <v>342</v>
      </c>
    </row>
    <row r="294" spans="2:32" x14ac:dyDescent="0.25">
      <c r="B294" s="397">
        <f t="shared" ca="1" si="55"/>
        <v>46306</v>
      </c>
      <c r="C294" s="397" t="s">
        <v>290</v>
      </c>
      <c r="D294" t="s">
        <v>47</v>
      </c>
      <c r="E294" s="397">
        <v>46197</v>
      </c>
      <c r="F294" s="397"/>
      <c r="G294" s="397"/>
      <c r="H294" s="397"/>
      <c r="J294" s="398">
        <f t="shared" si="56"/>
        <v>0</v>
      </c>
      <c r="K294" s="398"/>
      <c r="L294" s="399">
        <f t="shared" si="57"/>
        <v>0</v>
      </c>
      <c r="M294" s="399"/>
      <c r="N294">
        <f t="shared" si="58"/>
        <v>0</v>
      </c>
      <c r="P294" s="399">
        <f t="shared" ca="1" si="59"/>
        <v>0</v>
      </c>
      <c r="Q294" s="399">
        <v>1721.96</v>
      </c>
      <c r="R294" s="398">
        <v>97.45</v>
      </c>
      <c r="S294" s="398">
        <v>97.528400000000005</v>
      </c>
      <c r="T294" s="399">
        <f t="shared" si="60"/>
        <v>1678.0500200000001</v>
      </c>
      <c r="U294" s="399">
        <f t="shared" si="63"/>
        <v>1679.4000366400003</v>
      </c>
      <c r="V294" s="399">
        <f t="shared" si="61"/>
        <v>1679.4000366400003</v>
      </c>
      <c r="W294" s="399"/>
      <c r="X294" s="399">
        <v>1.01</v>
      </c>
      <c r="Y294" s="399">
        <v>0.34000000000000008</v>
      </c>
      <c r="Z294" s="399">
        <f t="shared" si="62"/>
        <v>1.35</v>
      </c>
      <c r="AA294" s="400">
        <v>369739</v>
      </c>
      <c r="AB294" s="400" t="s">
        <v>22</v>
      </c>
      <c r="AC294" s="397">
        <v>46204</v>
      </c>
      <c r="AD294" s="400" t="s">
        <v>342</v>
      </c>
    </row>
    <row r="295" spans="2:32" x14ac:dyDescent="0.25">
      <c r="B295" s="397">
        <f t="shared" ca="1" si="55"/>
        <v>46306</v>
      </c>
      <c r="C295" s="397" t="s">
        <v>290</v>
      </c>
      <c r="D295" t="s">
        <v>47</v>
      </c>
      <c r="E295" s="397">
        <v>46198</v>
      </c>
      <c r="F295" s="397"/>
      <c r="G295" s="397"/>
      <c r="H295" s="397"/>
      <c r="J295" s="398">
        <f t="shared" si="56"/>
        <v>0</v>
      </c>
      <c r="K295" s="398"/>
      <c r="L295" s="399">
        <f t="shared" si="57"/>
        <v>0</v>
      </c>
      <c r="M295" s="399"/>
      <c r="N295">
        <f t="shared" si="58"/>
        <v>0</v>
      </c>
      <c r="P295" s="399">
        <f t="shared" ca="1" si="59"/>
        <v>0</v>
      </c>
      <c r="Q295" s="399">
        <v>5307.68</v>
      </c>
      <c r="R295" s="398">
        <v>97.45</v>
      </c>
      <c r="S295" s="398">
        <v>97.547300000000007</v>
      </c>
      <c r="T295" s="399">
        <f t="shared" si="60"/>
        <v>5172.3341600000003</v>
      </c>
      <c r="U295" s="399">
        <f t="shared" si="63"/>
        <v>5177.498532640001</v>
      </c>
      <c r="V295" s="399">
        <f t="shared" si="61"/>
        <v>5177.498532640001</v>
      </c>
      <c r="W295" s="399"/>
      <c r="X295" s="399">
        <v>4.1399999999999997</v>
      </c>
      <c r="Y295" s="399">
        <v>1.03</v>
      </c>
      <c r="Z295" s="399">
        <f t="shared" si="62"/>
        <v>5.17</v>
      </c>
      <c r="AA295" s="400">
        <v>369813</v>
      </c>
      <c r="AB295" s="400" t="s">
        <v>22</v>
      </c>
      <c r="AC295" s="397">
        <v>46204</v>
      </c>
      <c r="AD295" s="400" t="s">
        <v>342</v>
      </c>
    </row>
    <row r="296" spans="2:32" x14ac:dyDescent="0.25">
      <c r="B296" s="397">
        <f t="shared" ca="1" si="55"/>
        <v>46306</v>
      </c>
      <c r="C296" s="397" t="s">
        <v>290</v>
      </c>
      <c r="D296" t="s">
        <v>47</v>
      </c>
      <c r="E296" s="397">
        <v>46198</v>
      </c>
      <c r="F296" s="397"/>
      <c r="G296" s="397"/>
      <c r="H296" s="397"/>
      <c r="J296" s="398">
        <f t="shared" si="56"/>
        <v>0</v>
      </c>
      <c r="K296" s="398"/>
      <c r="L296" s="399">
        <f t="shared" si="57"/>
        <v>0</v>
      </c>
      <c r="M296" s="399"/>
      <c r="N296">
        <f t="shared" si="58"/>
        <v>0</v>
      </c>
      <c r="P296" s="399">
        <f t="shared" ca="1" si="59"/>
        <v>0</v>
      </c>
      <c r="Q296" s="399">
        <v>4933.7700000000004</v>
      </c>
      <c r="R296" s="398">
        <v>97.75</v>
      </c>
      <c r="S296" s="398">
        <v>97.845500000000001</v>
      </c>
      <c r="T296" s="399">
        <f t="shared" si="60"/>
        <v>4822.7601750000003</v>
      </c>
      <c r="U296" s="399">
        <f t="shared" si="63"/>
        <v>4827.4719253500007</v>
      </c>
      <c r="V296" s="399">
        <f t="shared" si="61"/>
        <v>4827.4719253500007</v>
      </c>
      <c r="W296" s="399"/>
      <c r="X296" s="399">
        <v>4</v>
      </c>
      <c r="Y296" s="399">
        <v>0.96</v>
      </c>
      <c r="Z296" s="399">
        <f t="shared" si="62"/>
        <v>4.96</v>
      </c>
      <c r="AA296" s="400">
        <v>369818</v>
      </c>
      <c r="AB296" s="400" t="s">
        <v>22</v>
      </c>
      <c r="AC296" s="397">
        <v>46204</v>
      </c>
      <c r="AD296" s="400" t="s">
        <v>342</v>
      </c>
    </row>
    <row r="297" spans="2:32" x14ac:dyDescent="0.25">
      <c r="B297" s="397">
        <f t="shared" ca="1" si="55"/>
        <v>46306</v>
      </c>
      <c r="C297" s="397" t="s">
        <v>290</v>
      </c>
      <c r="D297" t="s">
        <v>47</v>
      </c>
      <c r="E297" s="397">
        <v>46198</v>
      </c>
      <c r="F297" s="397"/>
      <c r="G297" s="397"/>
      <c r="H297" s="397"/>
      <c r="J297" s="398">
        <f t="shared" si="56"/>
        <v>0</v>
      </c>
      <c r="K297" s="398"/>
      <c r="L297" s="399">
        <f t="shared" si="57"/>
        <v>0</v>
      </c>
      <c r="M297" s="399"/>
      <c r="N297">
        <f t="shared" si="58"/>
        <v>0</v>
      </c>
      <c r="P297" s="399">
        <f t="shared" ca="1" si="59"/>
        <v>0</v>
      </c>
      <c r="Q297" s="399">
        <v>4722.1499999999996</v>
      </c>
      <c r="R297" s="398">
        <v>97.513499999999993</v>
      </c>
      <c r="S297" s="398">
        <v>97.612300000000005</v>
      </c>
      <c r="T297" s="399">
        <f t="shared" si="60"/>
        <v>4604.7337402499988</v>
      </c>
      <c r="U297" s="399">
        <f t="shared" si="63"/>
        <v>4609.3992244499996</v>
      </c>
      <c r="V297" s="399">
        <f t="shared" si="61"/>
        <v>4609.3992244499996</v>
      </c>
      <c r="W297" s="399"/>
      <c r="X297" s="399">
        <v>4</v>
      </c>
      <c r="Y297" s="399">
        <v>0.91999999999999993</v>
      </c>
      <c r="Z297" s="399">
        <f t="shared" si="62"/>
        <v>4.92</v>
      </c>
      <c r="AA297" s="400">
        <v>369819</v>
      </c>
      <c r="AB297" s="400" t="s">
        <v>22</v>
      </c>
      <c r="AC297" s="397">
        <v>46204</v>
      </c>
      <c r="AD297" s="400" t="s">
        <v>342</v>
      </c>
    </row>
    <row r="298" spans="2:32" x14ac:dyDescent="0.25">
      <c r="B298" s="397">
        <f t="shared" ca="1" si="55"/>
        <v>46306</v>
      </c>
      <c r="C298" s="397" t="s">
        <v>290</v>
      </c>
      <c r="D298" t="s">
        <v>47</v>
      </c>
      <c r="E298" s="397">
        <v>46199</v>
      </c>
      <c r="F298" s="397"/>
      <c r="G298" s="397"/>
      <c r="H298" s="397"/>
      <c r="J298" s="398">
        <f t="shared" si="56"/>
        <v>0</v>
      </c>
      <c r="K298" s="398"/>
      <c r="L298" s="399">
        <f t="shared" si="57"/>
        <v>0</v>
      </c>
      <c r="M298" s="399"/>
      <c r="N298">
        <f t="shared" si="58"/>
        <v>0</v>
      </c>
      <c r="P298" s="399">
        <f t="shared" ca="1" si="59"/>
        <v>0</v>
      </c>
      <c r="Q298" s="399">
        <v>5518.48</v>
      </c>
      <c r="R298" s="398">
        <v>97.8</v>
      </c>
      <c r="S298" s="398">
        <v>97.891999999999996</v>
      </c>
      <c r="T298" s="399">
        <f t="shared" si="60"/>
        <v>5397.0734399999992</v>
      </c>
      <c r="U298" s="399">
        <f t="shared" si="63"/>
        <v>5402.1504415999989</v>
      </c>
      <c r="V298" s="399">
        <f t="shared" si="61"/>
        <v>5402.1504415999989</v>
      </c>
      <c r="W298" s="399"/>
      <c r="X298" s="399">
        <v>4</v>
      </c>
      <c r="Y298" s="399">
        <v>1.08</v>
      </c>
      <c r="Z298" s="399">
        <f t="shared" si="62"/>
        <v>5.08</v>
      </c>
      <c r="AA298" s="400">
        <v>369876</v>
      </c>
      <c r="AB298" s="400" t="s">
        <v>22</v>
      </c>
      <c r="AC298" s="397">
        <v>46204</v>
      </c>
      <c r="AD298" s="400" t="s">
        <v>342</v>
      </c>
    </row>
    <row r="299" spans="2:32" x14ac:dyDescent="0.25">
      <c r="B299" s="397">
        <f t="shared" ca="1" si="55"/>
        <v>46306</v>
      </c>
      <c r="C299" s="397" t="s">
        <v>290</v>
      </c>
      <c r="D299" t="s">
        <v>47</v>
      </c>
      <c r="E299" s="397">
        <v>46202</v>
      </c>
      <c r="F299" s="397"/>
      <c r="G299" s="397"/>
      <c r="H299" s="397"/>
      <c r="J299" s="398">
        <f t="shared" si="56"/>
        <v>0</v>
      </c>
      <c r="K299" s="398"/>
      <c r="L299" s="399">
        <f t="shared" si="57"/>
        <v>0</v>
      </c>
      <c r="M299" s="399"/>
      <c r="N299">
        <f t="shared" si="58"/>
        <v>0</v>
      </c>
      <c r="P299" s="399">
        <f t="shared" ca="1" si="59"/>
        <v>0</v>
      </c>
      <c r="Q299" s="399">
        <v>6497.12</v>
      </c>
      <c r="R299" s="398">
        <v>97.9</v>
      </c>
      <c r="S299" s="398">
        <v>97.981099999999998</v>
      </c>
      <c r="T299" s="399">
        <f t="shared" si="60"/>
        <v>6360.6804800000009</v>
      </c>
      <c r="U299" s="399">
        <f t="shared" si="63"/>
        <v>6365.9496443199996</v>
      </c>
      <c r="V299" s="399">
        <f t="shared" si="61"/>
        <v>6365.9496443199996</v>
      </c>
      <c r="W299" s="399"/>
      <c r="X299" s="399">
        <v>4</v>
      </c>
      <c r="Y299" s="399">
        <v>1.27</v>
      </c>
      <c r="Z299" s="399">
        <f t="shared" si="62"/>
        <v>5.27</v>
      </c>
      <c r="AA299" s="400">
        <v>369936</v>
      </c>
      <c r="AB299" s="400" t="s">
        <v>22</v>
      </c>
      <c r="AC299" s="397">
        <v>46204</v>
      </c>
      <c r="AD299" s="400" t="s">
        <v>342</v>
      </c>
    </row>
    <row r="300" spans="2:32" x14ac:dyDescent="0.25">
      <c r="B300" s="397">
        <f t="shared" ca="1" si="55"/>
        <v>46306</v>
      </c>
      <c r="C300" s="397" t="s">
        <v>123</v>
      </c>
      <c r="D300" t="s">
        <v>47</v>
      </c>
      <c r="E300" s="397">
        <v>46204</v>
      </c>
      <c r="F300" s="397"/>
      <c r="G300" s="397"/>
      <c r="H300" s="328">
        <v>46493</v>
      </c>
      <c r="J300" s="398">
        <f t="shared" si="56"/>
        <v>0</v>
      </c>
      <c r="K300" s="398"/>
      <c r="L300" s="399">
        <f t="shared" si="57"/>
        <v>0</v>
      </c>
      <c r="M300" s="399"/>
      <c r="N300">
        <f t="shared" si="58"/>
        <v>0</v>
      </c>
      <c r="O300" s="325">
        <v>196.98</v>
      </c>
      <c r="P300" s="399">
        <f t="shared" ca="1" si="59"/>
        <v>0</v>
      </c>
      <c r="Q300" s="399">
        <v>3300</v>
      </c>
      <c r="R300" s="398">
        <v>93.788467929999996</v>
      </c>
      <c r="S300" s="398">
        <v>94.030900000000003</v>
      </c>
      <c r="T300" s="399">
        <f t="shared" si="60"/>
        <v>3095.0194416899994</v>
      </c>
      <c r="U300" s="399">
        <f t="shared" si="63"/>
        <v>3103.0197000000003</v>
      </c>
      <c r="V300" s="399">
        <f t="shared" si="61"/>
        <v>3103.0197000000003</v>
      </c>
      <c r="W300" s="399"/>
      <c r="X300" s="399">
        <v>4</v>
      </c>
      <c r="Y300" s="399">
        <v>4</v>
      </c>
      <c r="Z300" s="399">
        <f t="shared" si="62"/>
        <v>8</v>
      </c>
      <c r="AA300" s="400">
        <v>370100</v>
      </c>
      <c r="AB300" s="400" t="s">
        <v>241</v>
      </c>
      <c r="AC300" s="397"/>
      <c r="AD300" s="400"/>
    </row>
    <row r="301" spans="2:32" x14ac:dyDescent="0.25">
      <c r="B301" s="397">
        <f t="shared" ca="1" si="55"/>
        <v>46306</v>
      </c>
      <c r="C301" s="397" t="s">
        <v>290</v>
      </c>
      <c r="D301" t="s">
        <v>47</v>
      </c>
      <c r="E301" s="397">
        <v>46205</v>
      </c>
      <c r="F301" s="397"/>
      <c r="G301" s="397"/>
      <c r="H301" s="397"/>
      <c r="J301" s="398">
        <f t="shared" si="56"/>
        <v>0</v>
      </c>
      <c r="K301" s="398"/>
      <c r="L301" s="399">
        <f t="shared" si="57"/>
        <v>0</v>
      </c>
      <c r="M301" s="399"/>
      <c r="N301">
        <f t="shared" si="58"/>
        <v>0</v>
      </c>
      <c r="O301" s="399"/>
      <c r="P301" s="399">
        <f t="shared" ca="1" si="59"/>
        <v>0</v>
      </c>
      <c r="Q301" s="399">
        <v>6307.25</v>
      </c>
      <c r="R301" s="398">
        <v>97.9</v>
      </c>
      <c r="S301" s="398">
        <v>97.983000000000004</v>
      </c>
      <c r="T301" s="399">
        <f t="shared" si="60"/>
        <v>6174.7977500000006</v>
      </c>
      <c r="U301" s="399">
        <f t="shared" si="63"/>
        <v>6180.0327675000008</v>
      </c>
      <c r="V301" s="399">
        <f t="shared" si="61"/>
        <v>6180.0327675000008</v>
      </c>
      <c r="W301" s="399"/>
      <c r="X301" s="399">
        <v>4</v>
      </c>
      <c r="Y301" s="399">
        <v>1.23</v>
      </c>
      <c r="Z301" s="399">
        <f t="shared" si="62"/>
        <v>5.23</v>
      </c>
      <c r="AA301" s="400">
        <v>370188</v>
      </c>
      <c r="AB301" s="400" t="s">
        <v>22</v>
      </c>
      <c r="AC301" s="397">
        <v>46214</v>
      </c>
      <c r="AD301" s="400">
        <v>3706812</v>
      </c>
    </row>
    <row r="302" spans="2:32" x14ac:dyDescent="0.25">
      <c r="B302" s="397">
        <f t="shared" ca="1" si="55"/>
        <v>46306</v>
      </c>
      <c r="C302" s="397" t="s">
        <v>290</v>
      </c>
      <c r="D302" t="s">
        <v>47</v>
      </c>
      <c r="E302" s="397">
        <v>46209</v>
      </c>
      <c r="F302" s="397"/>
      <c r="G302" s="397"/>
      <c r="H302" s="397"/>
      <c r="J302" s="398">
        <f t="shared" si="56"/>
        <v>0</v>
      </c>
      <c r="K302" s="398"/>
      <c r="L302" s="399">
        <f t="shared" si="57"/>
        <v>0</v>
      </c>
      <c r="M302" s="399"/>
      <c r="N302">
        <f t="shared" si="58"/>
        <v>0</v>
      </c>
      <c r="O302" s="399"/>
      <c r="P302" s="399">
        <f t="shared" ca="1" si="59"/>
        <v>0</v>
      </c>
      <c r="Q302" s="399">
        <v>415.46</v>
      </c>
      <c r="R302" s="398">
        <v>97</v>
      </c>
      <c r="S302" s="398">
        <v>97.263300000000001</v>
      </c>
      <c r="T302" s="399">
        <f t="shared" si="60"/>
        <v>402.99619999999993</v>
      </c>
      <c r="U302" s="399">
        <f t="shared" si="63"/>
        <v>404.09010618000002</v>
      </c>
      <c r="V302" s="399">
        <f t="shared" si="61"/>
        <v>404.09010618000002</v>
      </c>
      <c r="W302" s="399"/>
      <c r="X302" s="399">
        <v>1.01</v>
      </c>
      <c r="Y302" s="399">
        <v>8.0000000000000071E-2</v>
      </c>
      <c r="Z302" s="399">
        <f t="shared" si="62"/>
        <v>1.0900000000000001</v>
      </c>
      <c r="AA302" s="400">
        <v>370300</v>
      </c>
      <c r="AB302" s="400" t="s">
        <v>22</v>
      </c>
      <c r="AC302" s="397">
        <v>46215</v>
      </c>
      <c r="AD302" s="400">
        <v>3706812</v>
      </c>
    </row>
    <row r="303" spans="2:32" x14ac:dyDescent="0.25">
      <c r="B303" s="397">
        <f t="shared" ca="1" si="55"/>
        <v>46306</v>
      </c>
      <c r="C303" s="397" t="s">
        <v>290</v>
      </c>
      <c r="D303" t="s">
        <v>47</v>
      </c>
      <c r="E303" s="397">
        <v>46209</v>
      </c>
      <c r="F303" s="397"/>
      <c r="G303" s="397"/>
      <c r="H303" s="397"/>
      <c r="J303" s="398">
        <f t="shared" si="56"/>
        <v>0</v>
      </c>
      <c r="K303" s="398"/>
      <c r="L303" s="399">
        <f t="shared" si="57"/>
        <v>0</v>
      </c>
      <c r="M303" s="399"/>
      <c r="N303">
        <f t="shared" si="58"/>
        <v>0</v>
      </c>
      <c r="O303" s="399"/>
      <c r="P303" s="399">
        <f t="shared" ca="1" si="59"/>
        <v>0</v>
      </c>
      <c r="Q303" s="399">
        <v>389.01</v>
      </c>
      <c r="R303" s="398">
        <v>97</v>
      </c>
      <c r="S303" s="398">
        <v>97.282799999999995</v>
      </c>
      <c r="T303" s="399">
        <f t="shared" si="60"/>
        <v>377.33969999999999</v>
      </c>
      <c r="U303" s="399">
        <f t="shared" si="63"/>
        <v>378.43982027999999</v>
      </c>
      <c r="V303" s="399">
        <f t="shared" si="61"/>
        <v>378.43982027999999</v>
      </c>
      <c r="W303" s="399"/>
      <c r="X303" s="399">
        <v>1.02</v>
      </c>
      <c r="Y303" s="399">
        <v>8.0000000000000071E-2</v>
      </c>
      <c r="Z303" s="399">
        <f t="shared" si="62"/>
        <v>1.1000000000000001</v>
      </c>
      <c r="AA303" s="400">
        <v>370301</v>
      </c>
      <c r="AB303" s="400" t="s">
        <v>22</v>
      </c>
      <c r="AC303" s="397">
        <v>46216</v>
      </c>
      <c r="AD303" s="400">
        <v>3706812</v>
      </c>
    </row>
    <row r="304" spans="2:32" x14ac:dyDescent="0.25">
      <c r="B304" s="397">
        <f t="shared" ca="1" si="55"/>
        <v>46306</v>
      </c>
      <c r="C304" s="397" t="s">
        <v>290</v>
      </c>
      <c r="D304" t="s">
        <v>47</v>
      </c>
      <c r="E304" s="397">
        <v>46210</v>
      </c>
      <c r="F304" s="397"/>
      <c r="G304" s="397"/>
      <c r="H304" s="397"/>
      <c r="J304" s="398">
        <f t="shared" si="56"/>
        <v>0</v>
      </c>
      <c r="K304" s="398"/>
      <c r="L304" s="399">
        <f t="shared" si="57"/>
        <v>0</v>
      </c>
      <c r="M304" s="399"/>
      <c r="N304">
        <f t="shared" si="58"/>
        <v>0</v>
      </c>
      <c r="O304" s="399"/>
      <c r="P304" s="399">
        <f t="shared" ca="1" si="59"/>
        <v>0</v>
      </c>
      <c r="Q304" s="399">
        <v>147.44999999999999</v>
      </c>
      <c r="R304" s="398">
        <v>96.5</v>
      </c>
      <c r="S304" s="398">
        <v>97.199100000000001</v>
      </c>
      <c r="T304" s="399">
        <f t="shared" si="60"/>
        <v>142.28924999999998</v>
      </c>
      <c r="U304" s="399">
        <f t="shared" si="63"/>
        <v>143.32007295</v>
      </c>
      <c r="V304" s="399">
        <f t="shared" si="61"/>
        <v>143.32007295</v>
      </c>
      <c r="W304" s="399"/>
      <c r="X304" s="399">
        <v>1</v>
      </c>
      <c r="Y304" s="399">
        <v>3.000000000000003E-2</v>
      </c>
      <c r="Z304" s="399">
        <f t="shared" si="62"/>
        <v>1.03</v>
      </c>
      <c r="AA304" s="400">
        <v>370400</v>
      </c>
      <c r="AB304" s="400" t="s">
        <v>22</v>
      </c>
      <c r="AC304" s="397">
        <v>46217</v>
      </c>
      <c r="AD304" s="400">
        <v>3706812</v>
      </c>
      <c r="AF304" s="325">
        <f>SUM(V309:V317)</f>
        <v>9270.419510170901</v>
      </c>
    </row>
    <row r="305" spans="2:32" x14ac:dyDescent="0.25">
      <c r="B305" s="397">
        <f t="shared" ca="1" si="55"/>
        <v>46306</v>
      </c>
      <c r="C305" s="397" t="s">
        <v>290</v>
      </c>
      <c r="D305" t="s">
        <v>47</v>
      </c>
      <c r="E305" s="397">
        <v>46210</v>
      </c>
      <c r="F305" s="397"/>
      <c r="G305" s="397"/>
      <c r="H305" s="397"/>
      <c r="J305" s="398">
        <f t="shared" si="56"/>
        <v>0</v>
      </c>
      <c r="K305" s="398"/>
      <c r="L305" s="399">
        <f t="shared" si="57"/>
        <v>0</v>
      </c>
      <c r="M305" s="399"/>
      <c r="N305">
        <f t="shared" si="58"/>
        <v>0</v>
      </c>
      <c r="O305" s="399"/>
      <c r="P305" s="399">
        <f t="shared" ca="1" si="59"/>
        <v>0</v>
      </c>
      <c r="Q305" s="399">
        <v>406.97</v>
      </c>
      <c r="R305" s="398">
        <v>97</v>
      </c>
      <c r="S305" s="398">
        <v>97.267600000000002</v>
      </c>
      <c r="T305" s="399">
        <f t="shared" si="60"/>
        <v>394.76090000000005</v>
      </c>
      <c r="U305" s="399">
        <f t="shared" si="63"/>
        <v>395.84995172000004</v>
      </c>
      <c r="V305" s="399">
        <f t="shared" si="61"/>
        <v>395.84995172000004</v>
      </c>
      <c r="W305" s="399"/>
      <c r="X305" s="399">
        <v>1.01</v>
      </c>
      <c r="Y305" s="399">
        <v>8.0000000000000071E-2</v>
      </c>
      <c r="Z305" s="399">
        <f t="shared" si="62"/>
        <v>1.0900000000000001</v>
      </c>
      <c r="AA305" s="400">
        <v>370398</v>
      </c>
      <c r="AB305" s="400" t="s">
        <v>22</v>
      </c>
      <c r="AC305" s="397">
        <v>46218</v>
      </c>
      <c r="AD305" s="400">
        <v>3706812</v>
      </c>
      <c r="AF305">
        <v>9318.42</v>
      </c>
    </row>
    <row r="306" spans="2:32" x14ac:dyDescent="0.25">
      <c r="B306" s="397">
        <f t="shared" ca="1" si="55"/>
        <v>46306</v>
      </c>
      <c r="C306" s="397" t="s">
        <v>290</v>
      </c>
      <c r="D306" t="s">
        <v>47</v>
      </c>
      <c r="E306" s="397">
        <v>46211</v>
      </c>
      <c r="F306" s="397"/>
      <c r="G306" s="397"/>
      <c r="H306" s="397"/>
      <c r="J306" s="398">
        <f t="shared" si="56"/>
        <v>0</v>
      </c>
      <c r="K306" s="398"/>
      <c r="L306" s="399">
        <f t="shared" si="57"/>
        <v>0</v>
      </c>
      <c r="M306" s="399"/>
      <c r="N306">
        <f t="shared" si="58"/>
        <v>0</v>
      </c>
      <c r="O306" s="399"/>
      <c r="P306" s="399">
        <f t="shared" ca="1" si="59"/>
        <v>0</v>
      </c>
      <c r="Q306" s="399">
        <v>205.13</v>
      </c>
      <c r="R306" s="398">
        <v>97.1</v>
      </c>
      <c r="S306" s="398">
        <v>97.3626</v>
      </c>
      <c r="T306" s="399">
        <f t="shared" si="60"/>
        <v>199.18123</v>
      </c>
      <c r="U306" s="399">
        <f t="shared" si="63"/>
        <v>199.71990138000001</v>
      </c>
      <c r="V306" s="399">
        <f t="shared" si="61"/>
        <v>199.71990138000001</v>
      </c>
      <c r="W306" s="399"/>
      <c r="X306" s="399">
        <v>0.5</v>
      </c>
      <c r="Y306" s="399">
        <v>4.0000000000000042E-2</v>
      </c>
      <c r="Z306" s="399">
        <f t="shared" si="62"/>
        <v>0.54</v>
      </c>
      <c r="AA306" s="400">
        <v>370482</v>
      </c>
      <c r="AB306" s="400" t="s">
        <v>22</v>
      </c>
      <c r="AC306" s="397">
        <v>46219</v>
      </c>
      <c r="AD306" s="400">
        <v>3706812</v>
      </c>
      <c r="AF306" s="325">
        <f>AF305-AF304</f>
        <v>48.000489829099024</v>
      </c>
    </row>
    <row r="307" spans="2:32" x14ac:dyDescent="0.25">
      <c r="B307" s="397">
        <f t="shared" ca="1" si="55"/>
        <v>46306</v>
      </c>
      <c r="C307" s="397" t="s">
        <v>290</v>
      </c>
      <c r="D307" t="s">
        <v>47</v>
      </c>
      <c r="E307" s="397">
        <v>46212</v>
      </c>
      <c r="F307" s="397"/>
      <c r="G307" s="397"/>
      <c r="H307" s="397"/>
      <c r="J307" s="398">
        <f t="shared" si="56"/>
        <v>0</v>
      </c>
      <c r="K307" s="398"/>
      <c r="L307" s="399">
        <f t="shared" si="57"/>
        <v>0</v>
      </c>
      <c r="M307" s="399"/>
      <c r="N307">
        <f t="shared" si="58"/>
        <v>0</v>
      </c>
      <c r="O307" s="399"/>
      <c r="P307" s="399">
        <f t="shared" ca="1" si="59"/>
        <v>0</v>
      </c>
      <c r="Q307" s="399">
        <v>523.1</v>
      </c>
      <c r="R307" s="398">
        <v>97.5</v>
      </c>
      <c r="S307" s="398">
        <v>97.616100000000003</v>
      </c>
      <c r="T307" s="399">
        <f t="shared" si="60"/>
        <v>510.02249999999998</v>
      </c>
      <c r="U307" s="399">
        <f t="shared" si="63"/>
        <v>510.62981910000002</v>
      </c>
      <c r="V307" s="399">
        <f t="shared" si="61"/>
        <v>510.62981910000002</v>
      </c>
      <c r="W307" s="399"/>
      <c r="X307" s="399">
        <v>0.51</v>
      </c>
      <c r="Y307" s="399">
        <v>9.9999999999999978E-2</v>
      </c>
      <c r="Z307" s="399">
        <f t="shared" si="62"/>
        <v>0.61</v>
      </c>
      <c r="AA307" s="400">
        <v>370564</v>
      </c>
      <c r="AB307" s="400" t="s">
        <v>22</v>
      </c>
      <c r="AC307" s="397">
        <v>46220</v>
      </c>
      <c r="AD307" s="400">
        <v>3706812</v>
      </c>
    </row>
    <row r="308" spans="2:32" x14ac:dyDescent="0.25">
      <c r="B308" s="397">
        <f t="shared" ca="1" si="55"/>
        <v>46306</v>
      </c>
      <c r="C308" s="397" t="s">
        <v>290</v>
      </c>
      <c r="D308" t="s">
        <v>47</v>
      </c>
      <c r="E308" s="397">
        <v>46212</v>
      </c>
      <c r="F308" s="397"/>
      <c r="G308" s="397"/>
      <c r="H308" s="397"/>
      <c r="J308" s="398">
        <f t="shared" si="56"/>
        <v>0</v>
      </c>
      <c r="K308" s="398"/>
      <c r="L308" s="399">
        <f t="shared" si="57"/>
        <v>0</v>
      </c>
      <c r="M308" s="399"/>
      <c r="N308">
        <f t="shared" si="58"/>
        <v>0</v>
      </c>
      <c r="O308" s="399"/>
      <c r="P308" s="399">
        <f t="shared" ca="1" si="59"/>
        <v>0</v>
      </c>
      <c r="Q308" s="399">
        <v>679.29</v>
      </c>
      <c r="R308" s="398">
        <v>97.5</v>
      </c>
      <c r="S308" s="398">
        <v>97.616600000000005</v>
      </c>
      <c r="T308" s="399">
        <f t="shared" si="60"/>
        <v>662.30774999999994</v>
      </c>
      <c r="U308" s="399">
        <f t="shared" si="63"/>
        <v>663.09980213999995</v>
      </c>
      <c r="V308" s="399">
        <f t="shared" si="61"/>
        <v>663.09980213999995</v>
      </c>
      <c r="W308" s="399"/>
      <c r="X308" s="399">
        <v>0.66</v>
      </c>
      <c r="Y308" s="399">
        <v>0.13</v>
      </c>
      <c r="Z308" s="399">
        <f t="shared" si="62"/>
        <v>0.79</v>
      </c>
      <c r="AA308" s="400">
        <v>370567</v>
      </c>
      <c r="AB308" s="400" t="s">
        <v>22</v>
      </c>
      <c r="AC308" s="397">
        <v>46221</v>
      </c>
      <c r="AD308" s="400">
        <v>3706812</v>
      </c>
    </row>
    <row r="309" spans="2:32" x14ac:dyDescent="0.25">
      <c r="B309" s="397">
        <f t="shared" ca="1" si="55"/>
        <v>46306</v>
      </c>
      <c r="C309" s="397" t="s">
        <v>290</v>
      </c>
      <c r="D309" t="s">
        <v>47</v>
      </c>
      <c r="E309" s="397">
        <v>46213</v>
      </c>
      <c r="F309" s="397"/>
      <c r="G309" s="397"/>
      <c r="H309" s="397"/>
      <c r="J309" s="398">
        <f t="shared" si="56"/>
        <v>0</v>
      </c>
      <c r="K309" s="398"/>
      <c r="L309" s="399">
        <f t="shared" si="57"/>
        <v>0</v>
      </c>
      <c r="M309" s="399"/>
      <c r="N309">
        <f t="shared" si="58"/>
        <v>0</v>
      </c>
      <c r="O309" s="399"/>
      <c r="P309" s="399">
        <f t="shared" ca="1" si="59"/>
        <v>0</v>
      </c>
      <c r="Q309" s="399">
        <v>1415.23</v>
      </c>
      <c r="R309" s="398">
        <v>97.15</v>
      </c>
      <c r="S309" s="398">
        <v>97.266168750000006</v>
      </c>
      <c r="T309" s="399">
        <f t="shared" si="60"/>
        <v>1374.895945</v>
      </c>
      <c r="U309" s="399">
        <f t="shared" si="63"/>
        <v>1376.5400000006252</v>
      </c>
      <c r="V309" s="399">
        <f t="shared" si="61"/>
        <v>1376.5400000006252</v>
      </c>
      <c r="W309" s="399"/>
      <c r="X309" s="399">
        <v>1.37</v>
      </c>
      <c r="Y309" s="399">
        <v>0.2699999999999998</v>
      </c>
      <c r="Z309" s="399">
        <f t="shared" si="62"/>
        <v>1.64</v>
      </c>
      <c r="AA309" s="400">
        <v>18522</v>
      </c>
      <c r="AB309" s="400" t="s">
        <v>22</v>
      </c>
      <c r="AC309" s="397">
        <v>46223</v>
      </c>
      <c r="AD309" s="400">
        <v>3712421</v>
      </c>
    </row>
    <row r="310" spans="2:32" x14ac:dyDescent="0.25">
      <c r="B310" s="397">
        <f t="shared" ca="1" si="55"/>
        <v>46306</v>
      </c>
      <c r="C310" s="397" t="s">
        <v>290</v>
      </c>
      <c r="D310" t="s">
        <v>47</v>
      </c>
      <c r="E310" s="397">
        <v>46216</v>
      </c>
      <c r="F310" s="397"/>
      <c r="G310" s="397"/>
      <c r="H310" s="397"/>
      <c r="J310" s="398">
        <f t="shared" si="56"/>
        <v>0</v>
      </c>
      <c r="K310" s="398"/>
      <c r="L310" s="399">
        <f t="shared" si="57"/>
        <v>0</v>
      </c>
      <c r="M310" s="399"/>
      <c r="N310">
        <f t="shared" si="58"/>
        <v>0</v>
      </c>
      <c r="O310" s="399"/>
      <c r="P310" s="399">
        <f t="shared" ca="1" si="59"/>
        <v>0</v>
      </c>
      <c r="Q310" s="399">
        <v>2503.35</v>
      </c>
      <c r="R310" s="398">
        <v>97.55</v>
      </c>
      <c r="S310" s="398">
        <v>97.667100000000005</v>
      </c>
      <c r="T310" s="399">
        <f t="shared" si="60"/>
        <v>2442.0179249999997</v>
      </c>
      <c r="U310" s="399">
        <f t="shared" si="63"/>
        <v>2444.9493478499999</v>
      </c>
      <c r="V310" s="399">
        <f t="shared" si="61"/>
        <v>2444.9493478499999</v>
      </c>
      <c r="W310" s="399"/>
      <c r="X310" s="399">
        <v>2.44</v>
      </c>
      <c r="Y310" s="399">
        <v>0.49000000000000021</v>
      </c>
      <c r="Z310" s="399">
        <f t="shared" si="62"/>
        <v>2.93</v>
      </c>
      <c r="AA310" s="400">
        <v>370740</v>
      </c>
      <c r="AB310" s="400" t="s">
        <v>22</v>
      </c>
      <c r="AC310" s="397">
        <v>46223</v>
      </c>
      <c r="AD310" s="400">
        <v>3712421</v>
      </c>
    </row>
    <row r="311" spans="2:32" x14ac:dyDescent="0.25">
      <c r="B311" s="397">
        <f t="shared" ca="1" si="55"/>
        <v>46306</v>
      </c>
      <c r="C311" s="397" t="s">
        <v>290</v>
      </c>
      <c r="D311" t="s">
        <v>47</v>
      </c>
      <c r="E311" s="397">
        <v>46216</v>
      </c>
      <c r="F311" s="397"/>
      <c r="G311" s="397"/>
      <c r="H311" s="397"/>
      <c r="J311" s="398">
        <f t="shared" si="56"/>
        <v>0</v>
      </c>
      <c r="K311" s="398"/>
      <c r="L311" s="399">
        <f t="shared" si="57"/>
        <v>0</v>
      </c>
      <c r="M311" s="399"/>
      <c r="N311">
        <f t="shared" si="58"/>
        <v>0</v>
      </c>
      <c r="O311" s="399"/>
      <c r="P311" s="399">
        <f t="shared" ca="1" si="59"/>
        <v>0</v>
      </c>
      <c r="Q311" s="399">
        <v>1679.29</v>
      </c>
      <c r="R311" s="398">
        <v>97.55</v>
      </c>
      <c r="S311" s="398">
        <v>97.667500000000004</v>
      </c>
      <c r="T311" s="399">
        <f t="shared" si="60"/>
        <v>1638.147395</v>
      </c>
      <c r="U311" s="399">
        <f t="shared" si="63"/>
        <v>1640.1205607500001</v>
      </c>
      <c r="V311" s="399">
        <f t="shared" si="61"/>
        <v>1640.1205607500001</v>
      </c>
      <c r="W311" s="399"/>
      <c r="X311" s="399">
        <v>1.64</v>
      </c>
      <c r="Y311" s="399">
        <v>0.33000000000000013</v>
      </c>
      <c r="Z311" s="399">
        <f t="shared" si="62"/>
        <v>1.97</v>
      </c>
      <c r="AA311" s="400">
        <v>370758</v>
      </c>
      <c r="AB311" s="400" t="s">
        <v>22</v>
      </c>
      <c r="AC311" s="397">
        <v>46223</v>
      </c>
      <c r="AD311" s="400">
        <v>3712421</v>
      </c>
    </row>
    <row r="312" spans="2:32" x14ac:dyDescent="0.25">
      <c r="B312" s="397">
        <f t="shared" ca="1" si="55"/>
        <v>46306</v>
      </c>
      <c r="C312" s="397" t="s">
        <v>290</v>
      </c>
      <c r="D312" t="s">
        <v>47</v>
      </c>
      <c r="E312" s="397">
        <v>46217</v>
      </c>
      <c r="F312" s="397"/>
      <c r="G312" s="397"/>
      <c r="H312" s="397"/>
      <c r="J312" s="398">
        <f t="shared" si="56"/>
        <v>0</v>
      </c>
      <c r="K312" s="398"/>
      <c r="L312" s="399">
        <f t="shared" si="57"/>
        <v>0</v>
      </c>
      <c r="M312" s="399"/>
      <c r="N312">
        <f t="shared" si="58"/>
        <v>0</v>
      </c>
      <c r="O312" s="399"/>
      <c r="P312" s="399">
        <f t="shared" ca="1" si="59"/>
        <v>0</v>
      </c>
      <c r="Q312" s="399">
        <v>330.29</v>
      </c>
      <c r="R312" s="398">
        <v>96.5</v>
      </c>
      <c r="S312" s="398">
        <v>96.820999999999998</v>
      </c>
      <c r="T312" s="399">
        <f t="shared" si="60"/>
        <v>318.72985</v>
      </c>
      <c r="U312" s="399">
        <f t="shared" si="63"/>
        <v>319.79008090000002</v>
      </c>
      <c r="V312" s="399">
        <f t="shared" si="61"/>
        <v>319.79008090000002</v>
      </c>
      <c r="W312" s="399"/>
      <c r="X312" s="399">
        <v>1</v>
      </c>
      <c r="Y312" s="399">
        <v>6.0000000000000053E-2</v>
      </c>
      <c r="Z312" s="399">
        <f t="shared" si="62"/>
        <v>1.06</v>
      </c>
      <c r="AA312" s="400">
        <v>370846</v>
      </c>
      <c r="AB312" s="400" t="s">
        <v>22</v>
      </c>
      <c r="AC312" s="397">
        <v>46223</v>
      </c>
      <c r="AD312" s="400">
        <v>3712421</v>
      </c>
      <c r="AF312">
        <f>20*140</f>
        <v>2800</v>
      </c>
    </row>
    <row r="313" spans="2:32" x14ac:dyDescent="0.25">
      <c r="B313" s="397">
        <f t="shared" ca="1" si="55"/>
        <v>46306</v>
      </c>
      <c r="C313" s="397" t="s">
        <v>290</v>
      </c>
      <c r="D313" t="s">
        <v>47</v>
      </c>
      <c r="E313" s="397">
        <v>46218</v>
      </c>
      <c r="F313" s="397"/>
      <c r="G313" s="397"/>
      <c r="H313" s="397"/>
      <c r="J313" s="398">
        <f t="shared" si="56"/>
        <v>0</v>
      </c>
      <c r="K313" s="398"/>
      <c r="L313" s="399">
        <f t="shared" si="57"/>
        <v>0</v>
      </c>
      <c r="M313" s="399"/>
      <c r="N313">
        <f t="shared" si="58"/>
        <v>0</v>
      </c>
      <c r="O313" s="399"/>
      <c r="P313" s="399">
        <f t="shared" ca="1" si="59"/>
        <v>0</v>
      </c>
      <c r="Q313" s="399">
        <v>572.35</v>
      </c>
      <c r="R313" s="398">
        <v>97.4</v>
      </c>
      <c r="S313" s="398">
        <v>97.594099999999997</v>
      </c>
      <c r="T313" s="399">
        <f t="shared" si="60"/>
        <v>557.46890000000008</v>
      </c>
      <c r="U313" s="399">
        <f t="shared" si="63"/>
        <v>558.57983135000006</v>
      </c>
      <c r="V313" s="399">
        <f t="shared" si="61"/>
        <v>558.57983135000006</v>
      </c>
      <c r="W313" s="399"/>
      <c r="X313" s="399">
        <v>1</v>
      </c>
      <c r="Y313" s="399">
        <v>0.1100000000000001</v>
      </c>
      <c r="Z313" s="399">
        <f t="shared" si="62"/>
        <v>1.1100000000000001</v>
      </c>
      <c r="AA313" s="400">
        <v>370988</v>
      </c>
      <c r="AB313" s="400" t="s">
        <v>22</v>
      </c>
      <c r="AC313" s="397">
        <v>46223</v>
      </c>
      <c r="AD313" s="400">
        <v>3712421</v>
      </c>
    </row>
    <row r="314" spans="2:32" x14ac:dyDescent="0.25">
      <c r="B314" s="397">
        <f t="shared" ca="1" si="55"/>
        <v>46306</v>
      </c>
      <c r="C314" s="397" t="s">
        <v>290</v>
      </c>
      <c r="D314" t="s">
        <v>47</v>
      </c>
      <c r="E314" s="397">
        <v>46219</v>
      </c>
      <c r="F314" s="397"/>
      <c r="G314" s="397"/>
      <c r="H314" s="397"/>
      <c r="J314" s="398">
        <f t="shared" si="56"/>
        <v>0</v>
      </c>
      <c r="K314" s="398"/>
      <c r="L314" s="399">
        <f t="shared" si="57"/>
        <v>0</v>
      </c>
      <c r="M314" s="399"/>
      <c r="N314">
        <f t="shared" si="58"/>
        <v>0</v>
      </c>
      <c r="O314" s="399"/>
      <c r="P314" s="399">
        <f t="shared" ca="1" si="59"/>
        <v>0</v>
      </c>
      <c r="Q314" s="399">
        <v>1557.46</v>
      </c>
      <c r="R314" s="398">
        <v>97.5</v>
      </c>
      <c r="S314" s="398">
        <v>97.616600000000005</v>
      </c>
      <c r="T314" s="399">
        <f t="shared" si="60"/>
        <v>1518.5235</v>
      </c>
      <c r="U314" s="399">
        <f t="shared" si="63"/>
        <v>1520.3394983600001</v>
      </c>
      <c r="V314" s="399">
        <f t="shared" si="61"/>
        <v>1520.3394983600001</v>
      </c>
      <c r="W314" s="399"/>
      <c r="X314" s="399">
        <v>1.52</v>
      </c>
      <c r="Y314" s="399">
        <v>0.3</v>
      </c>
      <c r="Z314" s="399">
        <f t="shared" si="62"/>
        <v>1.82</v>
      </c>
      <c r="AA314" s="400">
        <v>371074</v>
      </c>
      <c r="AB314" s="400" t="s">
        <v>22</v>
      </c>
      <c r="AC314" s="397">
        <v>46223</v>
      </c>
      <c r="AD314" s="400">
        <v>3712421</v>
      </c>
    </row>
    <row r="315" spans="2:32" x14ac:dyDescent="0.25">
      <c r="B315" s="397">
        <f t="shared" ca="1" si="55"/>
        <v>46306</v>
      </c>
      <c r="C315" s="397" t="s">
        <v>290</v>
      </c>
      <c r="D315" t="s">
        <v>47</v>
      </c>
      <c r="E315" s="397">
        <v>46219</v>
      </c>
      <c r="F315" s="397"/>
      <c r="G315" s="397"/>
      <c r="H315" s="397"/>
      <c r="J315" s="398">
        <f t="shared" si="56"/>
        <v>0</v>
      </c>
      <c r="K315" s="398"/>
      <c r="L315" s="399">
        <f t="shared" si="57"/>
        <v>0</v>
      </c>
      <c r="M315" s="399"/>
      <c r="N315">
        <f t="shared" si="58"/>
        <v>0</v>
      </c>
      <c r="O315" s="399"/>
      <c r="P315" s="399">
        <f t="shared" ca="1" si="59"/>
        <v>0</v>
      </c>
      <c r="Q315" s="399">
        <v>667.56</v>
      </c>
      <c r="R315" s="398">
        <v>96</v>
      </c>
      <c r="S315" s="398">
        <v>96.211600000000004</v>
      </c>
      <c r="T315" s="399">
        <f t="shared" si="60"/>
        <v>640.85759999999993</v>
      </c>
      <c r="U315" s="399">
        <f t="shared" si="63"/>
        <v>642.27015695999989</v>
      </c>
      <c r="V315" s="399">
        <f t="shared" si="61"/>
        <v>642.27015695999989</v>
      </c>
      <c r="W315" s="399"/>
      <c r="X315" s="399">
        <v>1.28</v>
      </c>
      <c r="Y315" s="399">
        <v>0.12999999999999989</v>
      </c>
      <c r="Z315" s="399">
        <f t="shared" si="62"/>
        <v>1.41</v>
      </c>
      <c r="AA315" s="400">
        <v>371051</v>
      </c>
      <c r="AB315" s="400" t="s">
        <v>22</v>
      </c>
      <c r="AC315" s="397">
        <v>46223</v>
      </c>
      <c r="AD315" s="400">
        <v>3712421</v>
      </c>
    </row>
    <row r="316" spans="2:32" x14ac:dyDescent="0.25">
      <c r="B316" s="397">
        <f t="shared" ca="1" si="55"/>
        <v>46306</v>
      </c>
      <c r="C316" s="397" t="s">
        <v>290</v>
      </c>
      <c r="D316" t="s">
        <v>47</v>
      </c>
      <c r="E316" s="397">
        <v>46219</v>
      </c>
      <c r="F316" s="397"/>
      <c r="G316" s="397"/>
      <c r="H316" s="397"/>
      <c r="J316" s="398">
        <f t="shared" si="56"/>
        <v>0</v>
      </c>
      <c r="K316" s="398"/>
      <c r="L316" s="399">
        <f t="shared" si="57"/>
        <v>0</v>
      </c>
      <c r="M316" s="399"/>
      <c r="N316">
        <f t="shared" si="58"/>
        <v>0</v>
      </c>
      <c r="O316" s="399"/>
      <c r="P316" s="399">
        <f t="shared" ca="1" si="59"/>
        <v>0</v>
      </c>
      <c r="Q316" s="399">
        <v>422.63</v>
      </c>
      <c r="R316" s="398">
        <v>97</v>
      </c>
      <c r="S316" s="398">
        <v>97.212699999999998</v>
      </c>
      <c r="T316" s="399">
        <f t="shared" si="60"/>
        <v>409.9511</v>
      </c>
      <c r="U316" s="399">
        <f t="shared" si="63"/>
        <v>410.85003401</v>
      </c>
      <c r="V316" s="399">
        <f t="shared" si="61"/>
        <v>410.85003401</v>
      </c>
      <c r="W316" s="399"/>
      <c r="X316" s="399">
        <v>0.82</v>
      </c>
      <c r="Y316" s="399">
        <v>8.0000000000000071E-2</v>
      </c>
      <c r="Z316" s="399">
        <f t="shared" si="62"/>
        <v>0.9</v>
      </c>
      <c r="AA316" s="400">
        <v>371071</v>
      </c>
      <c r="AB316" s="400" t="s">
        <v>22</v>
      </c>
      <c r="AC316" s="397">
        <v>46223</v>
      </c>
      <c r="AD316" s="400">
        <v>3712421</v>
      </c>
    </row>
    <row r="317" spans="2:32" x14ac:dyDescent="0.25">
      <c r="B317" s="397">
        <f t="shared" ca="1" si="55"/>
        <v>46306</v>
      </c>
      <c r="C317" s="397" t="s">
        <v>290</v>
      </c>
      <c r="D317" t="s">
        <v>47</v>
      </c>
      <c r="E317" s="397">
        <v>46219</v>
      </c>
      <c r="F317" s="397"/>
      <c r="G317" s="397"/>
      <c r="H317" s="397"/>
      <c r="J317" s="398">
        <f t="shared" si="56"/>
        <v>0</v>
      </c>
      <c r="K317" s="398"/>
      <c r="L317" s="399">
        <f t="shared" si="57"/>
        <v>0</v>
      </c>
      <c r="M317" s="399"/>
      <c r="N317">
        <f t="shared" si="58"/>
        <v>0</v>
      </c>
      <c r="O317" s="399"/>
      <c r="P317" s="399">
        <f t="shared" ca="1" si="59"/>
        <v>0</v>
      </c>
      <c r="Q317" s="399">
        <v>366.99</v>
      </c>
      <c r="R317" s="398">
        <v>97</v>
      </c>
      <c r="S317" s="398">
        <v>97.272405239999998</v>
      </c>
      <c r="T317" s="399">
        <f t="shared" si="60"/>
        <v>355.9803</v>
      </c>
      <c r="U317" s="399">
        <f t="shared" si="63"/>
        <v>356.97999999027599</v>
      </c>
      <c r="V317" s="399">
        <f t="shared" si="61"/>
        <v>356.97999999027599</v>
      </c>
      <c r="W317" s="399"/>
      <c r="X317" s="399">
        <v>1</v>
      </c>
      <c r="Y317" s="399">
        <v>0</v>
      </c>
      <c r="Z317" s="399">
        <f t="shared" si="62"/>
        <v>1</v>
      </c>
      <c r="AA317" s="400">
        <v>19140</v>
      </c>
      <c r="AB317" s="400" t="s">
        <v>22</v>
      </c>
      <c r="AC317" s="397">
        <v>46223</v>
      </c>
      <c r="AD317" s="400">
        <v>3712421</v>
      </c>
    </row>
    <row r="318" spans="2:32" x14ac:dyDescent="0.25">
      <c r="B318" s="397">
        <f t="shared" ca="1" si="55"/>
        <v>46306</v>
      </c>
      <c r="C318" s="397" t="s">
        <v>290</v>
      </c>
      <c r="D318" t="s">
        <v>47</v>
      </c>
      <c r="E318" s="397">
        <v>46223</v>
      </c>
      <c r="F318" s="397"/>
      <c r="G318" s="397"/>
      <c r="H318" s="397"/>
      <c r="J318" s="398">
        <f t="shared" si="56"/>
        <v>0</v>
      </c>
      <c r="K318" s="398"/>
      <c r="L318" s="399">
        <f t="shared" si="57"/>
        <v>0</v>
      </c>
      <c r="M318" s="399"/>
      <c r="N318">
        <f t="shared" si="58"/>
        <v>0</v>
      </c>
      <c r="O318" s="399"/>
      <c r="P318" s="399">
        <f t="shared" ca="1" si="59"/>
        <v>0</v>
      </c>
      <c r="Q318" s="399">
        <v>778.84</v>
      </c>
      <c r="R318" s="398">
        <v>97</v>
      </c>
      <c r="S318" s="398">
        <v>97.147000000000006</v>
      </c>
      <c r="T318" s="399">
        <f t="shared" si="60"/>
        <v>755.47479999999996</v>
      </c>
      <c r="U318" s="399">
        <f t="shared" si="63"/>
        <v>756.61969480000016</v>
      </c>
      <c r="V318" s="399">
        <f t="shared" si="61"/>
        <v>756.61969480000016</v>
      </c>
      <c r="W318" s="399"/>
      <c r="X318" s="399">
        <v>1</v>
      </c>
      <c r="Y318" s="399">
        <v>0.14999999999999991</v>
      </c>
      <c r="Z318" s="399">
        <f t="shared" si="62"/>
        <v>1.1499999999999999</v>
      </c>
      <c r="AA318" s="400">
        <v>371260</v>
      </c>
      <c r="AB318" s="400" t="s">
        <v>22</v>
      </c>
      <c r="AC318" s="397">
        <v>46226</v>
      </c>
      <c r="AD318" s="400" t="s">
        <v>306</v>
      </c>
    </row>
    <row r="319" spans="2:32" x14ac:dyDescent="0.25">
      <c r="B319" s="397">
        <f t="shared" ref="B319:B377" ca="1" si="64">TODAY()</f>
        <v>46306</v>
      </c>
      <c r="C319" s="397" t="s">
        <v>290</v>
      </c>
      <c r="D319" t="s">
        <v>47</v>
      </c>
      <c r="E319" s="397">
        <v>46223</v>
      </c>
      <c r="F319" s="397"/>
      <c r="G319" s="397"/>
      <c r="H319" s="397"/>
      <c r="J319" s="398">
        <f t="shared" ref="J319:J377" si="65">L319*12/U319*100</f>
        <v>0</v>
      </c>
      <c r="K319" s="398"/>
      <c r="L319" s="399">
        <f t="shared" ref="L319:L377" si="66">Q319*I319/100/12</f>
        <v>0</v>
      </c>
      <c r="M319" s="399"/>
      <c r="N319">
        <f t="shared" ref="N319:N377" si="67">IF(F319="", 0, IF(B319&gt;F319,INT((B319-F319)/30),0))</f>
        <v>0</v>
      </c>
      <c r="O319" s="399"/>
      <c r="P319" s="399">
        <f t="shared" ref="P319:P377" ca="1" si="68">L319*N319+M319+IF(B319&gt;H319,O319,0)</f>
        <v>0</v>
      </c>
      <c r="Q319" s="399">
        <v>1180</v>
      </c>
      <c r="R319" s="398">
        <v>97.2</v>
      </c>
      <c r="S319" s="398">
        <v>97.304199999999994</v>
      </c>
      <c r="T319" s="399">
        <f t="shared" ref="T319:T377" si="69">Q319*R319/100</f>
        <v>1146.96</v>
      </c>
      <c r="U319" s="399">
        <f t="shared" si="63"/>
        <v>1148.1895599999998</v>
      </c>
      <c r="V319" s="399">
        <f t="shared" ref="V319:V377" si="70">U319+W319</f>
        <v>1148.1895599999998</v>
      </c>
      <c r="W319" s="399"/>
      <c r="X319" s="399">
        <v>1</v>
      </c>
      <c r="Y319" s="399">
        <v>0.23</v>
      </c>
      <c r="Z319" s="399">
        <f t="shared" ref="Z319:Z377" si="71">X319+Y319</f>
        <v>1.23</v>
      </c>
      <c r="AA319" s="400">
        <v>371272</v>
      </c>
      <c r="AB319" s="400" t="s">
        <v>22</v>
      </c>
      <c r="AC319" s="397">
        <v>46226</v>
      </c>
      <c r="AD319" s="400" t="s">
        <v>306</v>
      </c>
    </row>
    <row r="320" spans="2:32" x14ac:dyDescent="0.25">
      <c r="B320" s="397">
        <f t="shared" ca="1" si="64"/>
        <v>46306</v>
      </c>
      <c r="C320" s="397" t="s">
        <v>290</v>
      </c>
      <c r="D320" t="s">
        <v>47</v>
      </c>
      <c r="E320" s="397">
        <v>46223</v>
      </c>
      <c r="F320" s="397"/>
      <c r="G320" s="397"/>
      <c r="H320" s="397"/>
      <c r="J320" s="398">
        <f t="shared" si="65"/>
        <v>0</v>
      </c>
      <c r="K320" s="398"/>
      <c r="L320" s="399">
        <f t="shared" si="66"/>
        <v>0</v>
      </c>
      <c r="M320" s="399"/>
      <c r="N320">
        <f t="shared" si="67"/>
        <v>0</v>
      </c>
      <c r="O320" s="399"/>
      <c r="P320" s="399">
        <f t="shared" ca="1" si="68"/>
        <v>0</v>
      </c>
      <c r="Q320" s="399">
        <v>1284.5</v>
      </c>
      <c r="R320" s="398">
        <v>97.45</v>
      </c>
      <c r="S320" s="398">
        <v>97.567099999999996</v>
      </c>
      <c r="T320" s="399">
        <f t="shared" si="69"/>
        <v>1251.7452500000002</v>
      </c>
      <c r="U320" s="399">
        <f t="shared" si="63"/>
        <v>1253.2493995</v>
      </c>
      <c r="V320" s="399">
        <f t="shared" si="70"/>
        <v>1253.2493995</v>
      </c>
      <c r="W320" s="399"/>
      <c r="X320" s="399">
        <v>1.25</v>
      </c>
      <c r="Y320" s="399">
        <v>0.25</v>
      </c>
      <c r="Z320" s="399">
        <f t="shared" si="71"/>
        <v>1.5</v>
      </c>
      <c r="AA320" s="400">
        <v>371288</v>
      </c>
      <c r="AB320" s="400" t="s">
        <v>22</v>
      </c>
      <c r="AC320" s="397">
        <v>46226</v>
      </c>
      <c r="AD320" s="400" t="s">
        <v>306</v>
      </c>
    </row>
    <row r="321" spans="2:30" x14ac:dyDescent="0.25">
      <c r="B321" s="397">
        <f t="shared" ca="1" si="64"/>
        <v>46306</v>
      </c>
      <c r="C321" s="397" t="s">
        <v>290</v>
      </c>
      <c r="D321" t="s">
        <v>47</v>
      </c>
      <c r="E321" s="397">
        <v>46224</v>
      </c>
      <c r="F321" s="397"/>
      <c r="G321" s="397"/>
      <c r="H321" s="397"/>
      <c r="J321" s="398">
        <f t="shared" si="65"/>
        <v>0</v>
      </c>
      <c r="K321" s="398"/>
      <c r="L321" s="399">
        <f t="shared" si="66"/>
        <v>0</v>
      </c>
      <c r="M321" s="399"/>
      <c r="N321">
        <f t="shared" si="67"/>
        <v>0</v>
      </c>
      <c r="O321" s="399"/>
      <c r="P321" s="399">
        <f t="shared" ca="1" si="68"/>
        <v>0</v>
      </c>
      <c r="Q321" s="399">
        <v>108.12</v>
      </c>
      <c r="R321" s="398">
        <v>97</v>
      </c>
      <c r="S321" s="398">
        <v>97.308499999999995</v>
      </c>
      <c r="T321" s="399">
        <f t="shared" si="69"/>
        <v>104.87640000000002</v>
      </c>
      <c r="U321" s="399">
        <f t="shared" si="63"/>
        <v>105.20995020000001</v>
      </c>
      <c r="V321" s="399">
        <f t="shared" si="70"/>
        <v>105.20995020000001</v>
      </c>
      <c r="W321" s="399"/>
      <c r="X321" s="399">
        <v>0.31</v>
      </c>
      <c r="Y321" s="399">
        <v>2.0000000000000021E-2</v>
      </c>
      <c r="Z321" s="399">
        <f t="shared" si="71"/>
        <v>0.33</v>
      </c>
      <c r="AA321" s="400">
        <v>371396</v>
      </c>
      <c r="AB321" s="400" t="s">
        <v>22</v>
      </c>
      <c r="AC321" s="397">
        <v>46226</v>
      </c>
      <c r="AD321" s="400" t="s">
        <v>306</v>
      </c>
    </row>
    <row r="322" spans="2:30" x14ac:dyDescent="0.25">
      <c r="B322" s="397">
        <f t="shared" ca="1" si="64"/>
        <v>46306</v>
      </c>
      <c r="C322" s="397" t="s">
        <v>290</v>
      </c>
      <c r="D322" t="s">
        <v>47</v>
      </c>
      <c r="E322" s="397">
        <v>46224</v>
      </c>
      <c r="F322" s="397"/>
      <c r="G322" s="397"/>
      <c r="H322" s="397"/>
      <c r="J322" s="398">
        <f t="shared" si="65"/>
        <v>0</v>
      </c>
      <c r="K322" s="398"/>
      <c r="L322" s="399">
        <f t="shared" si="66"/>
        <v>0</v>
      </c>
      <c r="M322" s="399"/>
      <c r="N322">
        <f t="shared" si="67"/>
        <v>0</v>
      </c>
      <c r="O322" s="399"/>
      <c r="P322" s="399">
        <f t="shared" ca="1" si="68"/>
        <v>0</v>
      </c>
      <c r="Q322" s="399">
        <v>860.8</v>
      </c>
      <c r="R322" s="398">
        <v>97.3</v>
      </c>
      <c r="S322" s="398">
        <v>97.417500000000004</v>
      </c>
      <c r="T322" s="399">
        <f t="shared" si="69"/>
        <v>837.55840000000001</v>
      </c>
      <c r="U322" s="399">
        <f t="shared" si="63"/>
        <v>838.56984</v>
      </c>
      <c r="V322" s="399">
        <f t="shared" si="70"/>
        <v>838.56984</v>
      </c>
      <c r="W322" s="399"/>
      <c r="X322" s="399">
        <v>0.84</v>
      </c>
      <c r="Y322" s="399">
        <v>0.17</v>
      </c>
      <c r="Z322" s="399">
        <f t="shared" si="71"/>
        <v>1.01</v>
      </c>
      <c r="AA322" s="400">
        <v>371399</v>
      </c>
      <c r="AB322" s="400" t="s">
        <v>22</v>
      </c>
      <c r="AC322" s="397">
        <v>46226</v>
      </c>
      <c r="AD322" s="400" t="s">
        <v>306</v>
      </c>
    </row>
    <row r="323" spans="2:30" x14ac:dyDescent="0.25">
      <c r="B323" s="397">
        <f t="shared" ca="1" si="64"/>
        <v>46306</v>
      </c>
      <c r="C323" s="397" t="s">
        <v>290</v>
      </c>
      <c r="D323" t="s">
        <v>47</v>
      </c>
      <c r="E323" s="397">
        <v>46224</v>
      </c>
      <c r="F323" s="397"/>
      <c r="G323" s="397"/>
      <c r="H323" s="397"/>
      <c r="J323" s="398">
        <f t="shared" si="65"/>
        <v>0</v>
      </c>
      <c r="K323" s="398"/>
      <c r="L323" s="399">
        <f t="shared" si="66"/>
        <v>0</v>
      </c>
      <c r="M323" s="399"/>
      <c r="N323">
        <f t="shared" si="67"/>
        <v>0</v>
      </c>
      <c r="O323" s="399"/>
      <c r="P323" s="399">
        <f t="shared" ca="1" si="68"/>
        <v>0</v>
      </c>
      <c r="Q323" s="399">
        <v>664.26</v>
      </c>
      <c r="R323" s="398">
        <v>96.45</v>
      </c>
      <c r="S323" s="398">
        <v>96.566103630000001</v>
      </c>
      <c r="T323" s="399">
        <f t="shared" si="69"/>
        <v>640.67876999999999</v>
      </c>
      <c r="U323" s="399">
        <f t="shared" si="63"/>
        <v>641.44999997263801</v>
      </c>
      <c r="V323" s="399">
        <f t="shared" si="70"/>
        <v>641.44999997263801</v>
      </c>
      <c r="W323" s="399"/>
      <c r="X323" s="399">
        <v>0.64</v>
      </c>
      <c r="Y323" s="399">
        <v>0.13</v>
      </c>
      <c r="Z323" s="399">
        <f t="shared" si="71"/>
        <v>0.77</v>
      </c>
      <c r="AA323" s="400" t="s">
        <v>343</v>
      </c>
      <c r="AB323" s="400" t="s">
        <v>22</v>
      </c>
      <c r="AC323" s="397">
        <v>46226</v>
      </c>
      <c r="AD323" s="400" t="s">
        <v>306</v>
      </c>
    </row>
    <row r="324" spans="2:30" x14ac:dyDescent="0.25">
      <c r="B324" s="397">
        <f t="shared" ca="1" si="64"/>
        <v>46306</v>
      </c>
      <c r="C324" s="397" t="s">
        <v>290</v>
      </c>
      <c r="D324" t="s">
        <v>47</v>
      </c>
      <c r="E324" s="397">
        <v>46225</v>
      </c>
      <c r="F324" s="397"/>
      <c r="G324" s="397"/>
      <c r="H324" s="397"/>
      <c r="J324" s="398">
        <f t="shared" si="65"/>
        <v>0</v>
      </c>
      <c r="K324" s="398"/>
      <c r="L324" s="399">
        <f t="shared" si="66"/>
        <v>0</v>
      </c>
      <c r="M324" s="399"/>
      <c r="N324">
        <f t="shared" si="67"/>
        <v>0</v>
      </c>
      <c r="O324" s="399"/>
      <c r="P324" s="399">
        <f t="shared" ca="1" si="68"/>
        <v>0</v>
      </c>
      <c r="Q324" s="399">
        <v>822.03</v>
      </c>
      <c r="R324" s="398">
        <v>97.55</v>
      </c>
      <c r="S324" s="398">
        <v>97.666799999999995</v>
      </c>
      <c r="T324" s="399">
        <f t="shared" si="69"/>
        <v>801.89026499999989</v>
      </c>
      <c r="U324" s="399">
        <f t="shared" si="63"/>
        <v>802.85039603999985</v>
      </c>
      <c r="V324" s="399">
        <f t="shared" si="70"/>
        <v>802.85039603999985</v>
      </c>
      <c r="W324" s="399"/>
      <c r="X324" s="399">
        <v>0.8</v>
      </c>
      <c r="Y324" s="399">
        <v>0.15999999999999989</v>
      </c>
      <c r="Z324" s="399">
        <f t="shared" si="71"/>
        <v>0.96</v>
      </c>
      <c r="AA324" s="400">
        <v>371497</v>
      </c>
      <c r="AB324" s="400" t="s">
        <v>22</v>
      </c>
      <c r="AC324" s="397">
        <v>46226</v>
      </c>
      <c r="AD324" s="400" t="s">
        <v>306</v>
      </c>
    </row>
    <row r="325" spans="2:30" x14ac:dyDescent="0.25">
      <c r="B325" s="397">
        <f t="shared" ca="1" si="64"/>
        <v>46306</v>
      </c>
      <c r="C325" s="397" t="s">
        <v>290</v>
      </c>
      <c r="D325" t="s">
        <v>47</v>
      </c>
      <c r="E325" s="397">
        <v>46225</v>
      </c>
      <c r="F325" s="397"/>
      <c r="G325" s="397"/>
      <c r="H325" s="397"/>
      <c r="J325" s="398">
        <f t="shared" si="65"/>
        <v>0</v>
      </c>
      <c r="K325" s="398"/>
      <c r="L325" s="399">
        <f t="shared" si="66"/>
        <v>0</v>
      </c>
      <c r="M325" s="399"/>
      <c r="N325">
        <f t="shared" si="67"/>
        <v>0</v>
      </c>
      <c r="O325" s="399"/>
      <c r="P325" s="399">
        <f t="shared" ca="1" si="68"/>
        <v>0</v>
      </c>
      <c r="Q325" s="399">
        <v>642.48</v>
      </c>
      <c r="R325" s="398">
        <v>97.4</v>
      </c>
      <c r="S325" s="398">
        <v>97.519000000000005</v>
      </c>
      <c r="T325" s="399">
        <f t="shared" si="69"/>
        <v>625.77552000000003</v>
      </c>
      <c r="U325" s="399">
        <f t="shared" si="63"/>
        <v>626.54007120000006</v>
      </c>
      <c r="V325" s="399">
        <f t="shared" si="70"/>
        <v>626.54007120000006</v>
      </c>
      <c r="W325" s="399"/>
      <c r="X325" s="399">
        <v>0.63</v>
      </c>
      <c r="Y325" s="399">
        <v>0.13</v>
      </c>
      <c r="Z325" s="399">
        <f t="shared" si="71"/>
        <v>0.76</v>
      </c>
      <c r="AA325" s="400">
        <v>371494</v>
      </c>
      <c r="AB325" s="400" t="s">
        <v>22</v>
      </c>
      <c r="AC325" s="397">
        <v>46226</v>
      </c>
      <c r="AD325" s="400" t="s">
        <v>306</v>
      </c>
    </row>
    <row r="326" spans="2:30" x14ac:dyDescent="0.25">
      <c r="B326" s="397">
        <f t="shared" ca="1" si="64"/>
        <v>46306</v>
      </c>
      <c r="C326" s="397" t="s">
        <v>290</v>
      </c>
      <c r="D326" t="s">
        <v>47</v>
      </c>
      <c r="E326" s="397">
        <v>46225</v>
      </c>
      <c r="F326" s="397"/>
      <c r="G326" s="397"/>
      <c r="H326" s="397"/>
      <c r="J326" s="398">
        <f t="shared" si="65"/>
        <v>0</v>
      </c>
      <c r="K326" s="398"/>
      <c r="L326" s="399">
        <f t="shared" si="66"/>
        <v>0</v>
      </c>
      <c r="M326" s="399"/>
      <c r="N326">
        <f t="shared" si="67"/>
        <v>0</v>
      </c>
      <c r="O326" s="399"/>
      <c r="P326" s="399">
        <f t="shared" ca="1" si="68"/>
        <v>0</v>
      </c>
      <c r="Q326" s="399">
        <v>507.78</v>
      </c>
      <c r="R326" s="398">
        <v>97.3</v>
      </c>
      <c r="S326" s="398">
        <v>97.416200000000003</v>
      </c>
      <c r="T326" s="399">
        <f t="shared" si="69"/>
        <v>494.06993999999997</v>
      </c>
      <c r="U326" s="399">
        <f t="shared" ref="U326:U377" si="72">Q326*S326/100</f>
        <v>494.65998035999996</v>
      </c>
      <c r="V326" s="399">
        <f t="shared" si="70"/>
        <v>494.65998035999996</v>
      </c>
      <c r="W326" s="399"/>
      <c r="X326" s="399">
        <v>0.49</v>
      </c>
      <c r="Y326" s="399">
        <v>9.9999999999999978E-2</v>
      </c>
      <c r="Z326" s="399">
        <f t="shared" si="71"/>
        <v>0.59</v>
      </c>
      <c r="AA326" s="400">
        <v>371495</v>
      </c>
      <c r="AB326" s="400" t="s">
        <v>22</v>
      </c>
      <c r="AC326" s="397">
        <v>46226</v>
      </c>
      <c r="AD326" s="400" t="s">
        <v>306</v>
      </c>
    </row>
    <row r="327" spans="2:30" x14ac:dyDescent="0.25">
      <c r="B327" s="397">
        <f t="shared" ca="1" si="64"/>
        <v>46306</v>
      </c>
      <c r="C327" s="397" t="s">
        <v>290</v>
      </c>
      <c r="D327" t="s">
        <v>47</v>
      </c>
      <c r="E327" s="397">
        <v>46225</v>
      </c>
      <c r="F327" s="397"/>
      <c r="G327" s="397"/>
      <c r="H327" s="397"/>
      <c r="J327" s="398">
        <f t="shared" si="65"/>
        <v>0</v>
      </c>
      <c r="K327" s="398"/>
      <c r="L327" s="399">
        <f t="shared" si="66"/>
        <v>0</v>
      </c>
      <c r="M327" s="399"/>
      <c r="N327">
        <f t="shared" si="67"/>
        <v>0</v>
      </c>
      <c r="O327" s="399"/>
      <c r="P327" s="399">
        <f t="shared" ca="1" si="68"/>
        <v>0</v>
      </c>
      <c r="Q327" s="399">
        <v>392.55</v>
      </c>
      <c r="R327" s="398">
        <v>97.3</v>
      </c>
      <c r="S327" s="398">
        <v>97.416899999999998</v>
      </c>
      <c r="T327" s="399">
        <f t="shared" si="69"/>
        <v>381.95114999999998</v>
      </c>
      <c r="U327" s="399">
        <f t="shared" si="72"/>
        <v>382.41004095000005</v>
      </c>
      <c r="V327" s="399">
        <f t="shared" si="70"/>
        <v>382.41004095000005</v>
      </c>
      <c r="W327" s="399"/>
      <c r="X327" s="399">
        <v>0.38</v>
      </c>
      <c r="Y327" s="399">
        <v>8.0000000000000016E-2</v>
      </c>
      <c r="Z327" s="399">
        <f t="shared" si="71"/>
        <v>0.46</v>
      </c>
      <c r="AA327" s="400">
        <v>371496</v>
      </c>
      <c r="AB327" s="400" t="s">
        <v>22</v>
      </c>
      <c r="AC327" s="397">
        <v>46226</v>
      </c>
      <c r="AD327" s="400" t="s">
        <v>306</v>
      </c>
    </row>
    <row r="328" spans="2:30" x14ac:dyDescent="0.25">
      <c r="B328" s="397">
        <f t="shared" ca="1" si="64"/>
        <v>46306</v>
      </c>
      <c r="C328" s="397" t="s">
        <v>290</v>
      </c>
      <c r="D328" t="s">
        <v>47</v>
      </c>
      <c r="E328" s="397">
        <v>46226</v>
      </c>
      <c r="F328" s="397"/>
      <c r="G328" s="397"/>
      <c r="H328" s="397"/>
      <c r="J328" s="398">
        <f t="shared" si="65"/>
        <v>0</v>
      </c>
      <c r="K328" s="398"/>
      <c r="L328" s="399">
        <f t="shared" si="66"/>
        <v>0</v>
      </c>
      <c r="M328" s="399"/>
      <c r="N328">
        <f t="shared" si="67"/>
        <v>0</v>
      </c>
      <c r="O328" s="399"/>
      <c r="P328" s="399">
        <f t="shared" ca="1" si="68"/>
        <v>0</v>
      </c>
      <c r="Q328" s="399">
        <v>653.77</v>
      </c>
      <c r="R328" s="398">
        <v>96.75</v>
      </c>
      <c r="S328" s="398">
        <v>96.865899999999996</v>
      </c>
      <c r="T328" s="399">
        <f t="shared" si="69"/>
        <v>632.52247499999999</v>
      </c>
      <c r="U328" s="399">
        <f t="shared" si="72"/>
        <v>633.28019442999994</v>
      </c>
      <c r="V328" s="399">
        <f t="shared" si="70"/>
        <v>633.28019442999994</v>
      </c>
      <c r="W328" s="399"/>
      <c r="X328" s="399">
        <v>0.63</v>
      </c>
      <c r="Y328" s="399">
        <v>0.13</v>
      </c>
      <c r="Z328" s="399">
        <f t="shared" si="71"/>
        <v>0.76</v>
      </c>
      <c r="AA328" s="400">
        <v>371615</v>
      </c>
      <c r="AB328" s="400" t="s">
        <v>22</v>
      </c>
      <c r="AC328" s="397">
        <v>46232</v>
      </c>
      <c r="AD328" s="400" t="s">
        <v>308</v>
      </c>
    </row>
    <row r="329" spans="2:30" x14ac:dyDescent="0.25">
      <c r="B329" s="397">
        <f t="shared" ca="1" si="64"/>
        <v>46306</v>
      </c>
      <c r="C329" s="397" t="s">
        <v>290</v>
      </c>
      <c r="D329" t="s">
        <v>47</v>
      </c>
      <c r="E329" s="397">
        <v>46226</v>
      </c>
      <c r="F329" s="397"/>
      <c r="G329" s="397"/>
      <c r="H329" s="397"/>
      <c r="J329" s="398">
        <f t="shared" si="65"/>
        <v>0</v>
      </c>
      <c r="K329" s="398"/>
      <c r="L329" s="399">
        <f t="shared" si="66"/>
        <v>0</v>
      </c>
      <c r="M329" s="399"/>
      <c r="N329">
        <f t="shared" si="67"/>
        <v>0</v>
      </c>
      <c r="O329" s="399"/>
      <c r="P329" s="399">
        <f t="shared" ca="1" si="68"/>
        <v>0</v>
      </c>
      <c r="Q329" s="399">
        <v>362</v>
      </c>
      <c r="R329" s="398">
        <v>97.4</v>
      </c>
      <c r="S329" s="398">
        <v>97.616</v>
      </c>
      <c r="T329" s="399">
        <f t="shared" si="69"/>
        <v>352.58800000000002</v>
      </c>
      <c r="U329" s="399">
        <f t="shared" si="72"/>
        <v>353.36991999999998</v>
      </c>
      <c r="V329" s="399">
        <f t="shared" si="70"/>
        <v>353.36991999999998</v>
      </c>
      <c r="W329" s="399"/>
      <c r="X329" s="399">
        <v>0.71</v>
      </c>
      <c r="Y329" s="399">
        <v>7.0000000000000062E-2</v>
      </c>
      <c r="Z329" s="399">
        <f t="shared" si="71"/>
        <v>0.78</v>
      </c>
      <c r="AA329" s="400">
        <v>371616</v>
      </c>
      <c r="AB329" s="400" t="s">
        <v>22</v>
      </c>
      <c r="AC329" s="397">
        <v>46232</v>
      </c>
      <c r="AD329" s="400" t="s">
        <v>308</v>
      </c>
    </row>
    <row r="330" spans="2:30" x14ac:dyDescent="0.25">
      <c r="B330" s="397">
        <f t="shared" ca="1" si="64"/>
        <v>46306</v>
      </c>
      <c r="C330" s="397" t="s">
        <v>290</v>
      </c>
      <c r="D330" t="s">
        <v>47</v>
      </c>
      <c r="E330" s="397">
        <v>46227</v>
      </c>
      <c r="F330" s="397"/>
      <c r="G330" s="397"/>
      <c r="H330" s="397"/>
      <c r="J330" s="398">
        <f t="shared" si="65"/>
        <v>0</v>
      </c>
      <c r="K330" s="398"/>
      <c r="L330" s="399">
        <f t="shared" si="66"/>
        <v>0</v>
      </c>
      <c r="M330" s="399"/>
      <c r="N330">
        <f t="shared" si="67"/>
        <v>0</v>
      </c>
      <c r="O330" s="399"/>
      <c r="P330" s="399">
        <f t="shared" ca="1" si="68"/>
        <v>0</v>
      </c>
      <c r="Q330" s="399">
        <v>3662.75</v>
      </c>
      <c r="R330" s="398">
        <v>97.5</v>
      </c>
      <c r="S330" s="398">
        <v>97.628600000000006</v>
      </c>
      <c r="T330" s="399">
        <f t="shared" si="69"/>
        <v>3571.1812500000001</v>
      </c>
      <c r="U330" s="399">
        <f t="shared" si="72"/>
        <v>3575.8915465000005</v>
      </c>
      <c r="V330" s="399">
        <f t="shared" si="70"/>
        <v>3575.8915465000005</v>
      </c>
      <c r="W330" s="399"/>
      <c r="X330" s="399">
        <v>4</v>
      </c>
      <c r="Y330" s="399">
        <v>0.71</v>
      </c>
      <c r="Z330" s="399">
        <f t="shared" si="71"/>
        <v>4.71</v>
      </c>
      <c r="AA330" s="400">
        <v>371649</v>
      </c>
      <c r="AB330" s="400" t="s">
        <v>22</v>
      </c>
      <c r="AC330" s="397">
        <v>46232</v>
      </c>
      <c r="AD330" s="400" t="s">
        <v>308</v>
      </c>
    </row>
    <row r="331" spans="2:30" x14ac:dyDescent="0.25">
      <c r="B331" s="397">
        <f t="shared" ca="1" si="64"/>
        <v>46306</v>
      </c>
      <c r="C331" s="397" t="s">
        <v>290</v>
      </c>
      <c r="D331" t="s">
        <v>47</v>
      </c>
      <c r="E331" s="397">
        <v>46230</v>
      </c>
      <c r="F331" s="397"/>
      <c r="G331" s="397"/>
      <c r="H331" s="397"/>
      <c r="J331" s="398">
        <f t="shared" si="65"/>
        <v>0</v>
      </c>
      <c r="K331" s="398"/>
      <c r="L331" s="399">
        <f t="shared" si="66"/>
        <v>0</v>
      </c>
      <c r="M331" s="399"/>
      <c r="N331">
        <f t="shared" si="67"/>
        <v>0</v>
      </c>
      <c r="O331" s="399"/>
      <c r="P331" s="399">
        <f t="shared" ca="1" si="68"/>
        <v>0</v>
      </c>
      <c r="Q331" s="399">
        <v>134.59</v>
      </c>
      <c r="R331" s="398">
        <v>97</v>
      </c>
      <c r="S331" s="398">
        <v>97.763599999999997</v>
      </c>
      <c r="T331" s="399">
        <f t="shared" si="69"/>
        <v>130.5523</v>
      </c>
      <c r="U331" s="399">
        <f t="shared" si="72"/>
        <v>131.58002924000002</v>
      </c>
      <c r="V331" s="399">
        <f t="shared" si="70"/>
        <v>131.58002924000002</v>
      </c>
      <c r="W331" s="399"/>
      <c r="X331" s="399">
        <v>1</v>
      </c>
      <c r="Y331" s="399">
        <v>3.000000000000003E-2</v>
      </c>
      <c r="Z331" s="399">
        <f t="shared" si="71"/>
        <v>1.03</v>
      </c>
      <c r="AA331" s="400">
        <v>371677</v>
      </c>
      <c r="AB331" s="400" t="s">
        <v>22</v>
      </c>
      <c r="AC331" s="397">
        <v>46232</v>
      </c>
      <c r="AD331" s="400" t="s">
        <v>308</v>
      </c>
    </row>
    <row r="332" spans="2:30" x14ac:dyDescent="0.25">
      <c r="B332" s="397">
        <f t="shared" ca="1" si="64"/>
        <v>46306</v>
      </c>
      <c r="C332" s="397" t="s">
        <v>290</v>
      </c>
      <c r="D332" t="s">
        <v>47</v>
      </c>
      <c r="E332" s="397">
        <v>46230</v>
      </c>
      <c r="F332" s="397"/>
      <c r="G332" s="397"/>
      <c r="H332" s="397"/>
      <c r="J332" s="398">
        <f t="shared" si="65"/>
        <v>0</v>
      </c>
      <c r="K332" s="398"/>
      <c r="L332" s="399">
        <f t="shared" si="66"/>
        <v>0</v>
      </c>
      <c r="M332" s="399"/>
      <c r="N332">
        <f t="shared" si="67"/>
        <v>0</v>
      </c>
      <c r="O332" s="399"/>
      <c r="P332" s="399">
        <f t="shared" ca="1" si="68"/>
        <v>0</v>
      </c>
      <c r="Q332" s="399">
        <v>670.3</v>
      </c>
      <c r="R332" s="398">
        <v>97.4</v>
      </c>
      <c r="S332" s="398">
        <v>97.568299999999994</v>
      </c>
      <c r="T332" s="399">
        <f t="shared" si="69"/>
        <v>652.87220000000002</v>
      </c>
      <c r="U332" s="399">
        <f t="shared" si="72"/>
        <v>654.00031489999992</v>
      </c>
      <c r="V332" s="399">
        <f t="shared" si="70"/>
        <v>654.00031489999992</v>
      </c>
      <c r="W332" s="399"/>
      <c r="X332" s="399">
        <v>1</v>
      </c>
      <c r="Y332" s="399">
        <v>0.12999999999999989</v>
      </c>
      <c r="Z332" s="399">
        <f t="shared" si="71"/>
        <v>1.1299999999999999</v>
      </c>
      <c r="AA332" s="400">
        <v>371680</v>
      </c>
      <c r="AB332" s="400" t="s">
        <v>22</v>
      </c>
      <c r="AC332" s="397">
        <v>46232</v>
      </c>
      <c r="AD332" s="400" t="s">
        <v>308</v>
      </c>
    </row>
    <row r="333" spans="2:30" x14ac:dyDescent="0.25">
      <c r="B333" s="397">
        <f t="shared" ca="1" si="64"/>
        <v>46306</v>
      </c>
      <c r="C333" s="397" t="s">
        <v>290</v>
      </c>
      <c r="D333" t="s">
        <v>47</v>
      </c>
      <c r="E333" s="397">
        <v>46230</v>
      </c>
      <c r="F333" s="397"/>
      <c r="G333" s="397"/>
      <c r="H333" s="397"/>
      <c r="J333" s="398">
        <f t="shared" si="65"/>
        <v>0</v>
      </c>
      <c r="K333" s="398"/>
      <c r="L333" s="399">
        <f t="shared" si="66"/>
        <v>0</v>
      </c>
      <c r="M333" s="399"/>
      <c r="N333">
        <f t="shared" si="67"/>
        <v>0</v>
      </c>
      <c r="O333" s="399"/>
      <c r="P333" s="399">
        <f t="shared" ca="1" si="68"/>
        <v>0</v>
      </c>
      <c r="Q333" s="399">
        <v>2096.91</v>
      </c>
      <c r="R333" s="398">
        <v>97.9</v>
      </c>
      <c r="S333" s="398">
        <v>98.017099999999999</v>
      </c>
      <c r="T333" s="399">
        <f t="shared" si="69"/>
        <v>2052.8748900000001</v>
      </c>
      <c r="U333" s="399">
        <f t="shared" si="72"/>
        <v>2055.3303716099999</v>
      </c>
      <c r="V333" s="399">
        <f t="shared" si="70"/>
        <v>2055.3303716099999</v>
      </c>
      <c r="W333" s="399"/>
      <c r="X333" s="399">
        <v>2.0499999999999998</v>
      </c>
      <c r="Y333" s="399">
        <v>0.41000000000000009</v>
      </c>
      <c r="Z333" s="399">
        <f t="shared" si="71"/>
        <v>2.46</v>
      </c>
      <c r="AA333" s="400">
        <v>371718</v>
      </c>
      <c r="AB333" s="400" t="s">
        <v>22</v>
      </c>
      <c r="AC333" s="397">
        <v>46232</v>
      </c>
      <c r="AD333" s="400" t="s">
        <v>308</v>
      </c>
    </row>
    <row r="334" spans="2:30" x14ac:dyDescent="0.25">
      <c r="B334" s="397">
        <f t="shared" ca="1" si="64"/>
        <v>46306</v>
      </c>
      <c r="C334" s="397" t="s">
        <v>290</v>
      </c>
      <c r="D334" t="s">
        <v>47</v>
      </c>
      <c r="E334" s="397">
        <v>46230</v>
      </c>
      <c r="F334" s="397"/>
      <c r="G334" s="397"/>
      <c r="H334" s="397"/>
      <c r="J334" s="398">
        <f t="shared" si="65"/>
        <v>0</v>
      </c>
      <c r="K334" s="398"/>
      <c r="L334" s="399">
        <f t="shared" si="66"/>
        <v>0</v>
      </c>
      <c r="M334" s="399"/>
      <c r="N334">
        <f t="shared" si="67"/>
        <v>0</v>
      </c>
      <c r="O334" s="399"/>
      <c r="P334" s="399">
        <f t="shared" ca="1" si="68"/>
        <v>0</v>
      </c>
      <c r="Q334" s="399">
        <v>445.86</v>
      </c>
      <c r="R334" s="398">
        <v>97.2</v>
      </c>
      <c r="S334" s="398">
        <v>97.445400000000006</v>
      </c>
      <c r="T334" s="399">
        <f t="shared" si="69"/>
        <v>433.37592000000006</v>
      </c>
      <c r="U334" s="399">
        <f t="shared" si="72"/>
        <v>434.47006044</v>
      </c>
      <c r="V334" s="399">
        <f t="shared" si="70"/>
        <v>434.47006044</v>
      </c>
      <c r="W334" s="399"/>
      <c r="X334" s="399">
        <v>1</v>
      </c>
      <c r="Y334" s="399">
        <v>9.000000000000008E-2</v>
      </c>
      <c r="Z334" s="399">
        <f t="shared" si="71"/>
        <v>1.0900000000000001</v>
      </c>
      <c r="AA334" s="400">
        <v>371720</v>
      </c>
      <c r="AB334" s="400" t="s">
        <v>22</v>
      </c>
      <c r="AC334" s="397">
        <v>46232</v>
      </c>
      <c r="AD334" s="400" t="s">
        <v>308</v>
      </c>
    </row>
    <row r="335" spans="2:30" x14ac:dyDescent="0.25">
      <c r="B335" s="397">
        <f t="shared" ca="1" si="64"/>
        <v>46306</v>
      </c>
      <c r="C335" s="397" t="s">
        <v>290</v>
      </c>
      <c r="D335" t="s">
        <v>47</v>
      </c>
      <c r="E335" s="397">
        <v>46232</v>
      </c>
      <c r="F335" s="397"/>
      <c r="G335" s="397"/>
      <c r="H335" s="397"/>
      <c r="J335" s="398">
        <f t="shared" si="65"/>
        <v>0</v>
      </c>
      <c r="K335" s="398"/>
      <c r="L335" s="399">
        <f t="shared" si="66"/>
        <v>0</v>
      </c>
      <c r="M335" s="399"/>
      <c r="N335">
        <f t="shared" si="67"/>
        <v>0</v>
      </c>
      <c r="O335" s="399"/>
      <c r="P335" s="399">
        <f t="shared" ca="1" si="68"/>
        <v>0</v>
      </c>
      <c r="Q335" s="399">
        <v>752.66</v>
      </c>
      <c r="R335" s="398">
        <v>97</v>
      </c>
      <c r="S335" s="398">
        <v>97.213881430000001</v>
      </c>
      <c r="T335" s="399">
        <f t="shared" si="69"/>
        <v>730.08019999999999</v>
      </c>
      <c r="U335" s="399">
        <f t="shared" si="72"/>
        <v>731.68999997103788</v>
      </c>
      <c r="V335" s="399">
        <f t="shared" si="70"/>
        <v>731.68999997103788</v>
      </c>
      <c r="W335" s="399"/>
      <c r="X335" s="399">
        <v>1.46</v>
      </c>
      <c r="Y335" s="399">
        <v>0.15</v>
      </c>
      <c r="Z335" s="399">
        <f t="shared" si="71"/>
        <v>1.6099999999999999</v>
      </c>
      <c r="AA335" s="400">
        <v>20485</v>
      </c>
      <c r="AB335" s="400" t="s">
        <v>22</v>
      </c>
      <c r="AC335" s="397">
        <v>46246</v>
      </c>
      <c r="AD335" s="400">
        <v>3726763</v>
      </c>
    </row>
    <row r="336" spans="2:30" x14ac:dyDescent="0.25">
      <c r="B336" s="328">
        <f t="shared" ca="1" si="64"/>
        <v>46306</v>
      </c>
      <c r="C336" s="328" t="s">
        <v>123</v>
      </c>
      <c r="D336" t="s">
        <v>47</v>
      </c>
      <c r="E336" s="328">
        <v>46139</v>
      </c>
      <c r="F336" s="328"/>
      <c r="G336" s="328">
        <v>46136</v>
      </c>
      <c r="H336" s="328">
        <v>46486</v>
      </c>
      <c r="J336" s="3">
        <f t="shared" si="65"/>
        <v>0</v>
      </c>
      <c r="K336" s="3"/>
      <c r="L336" s="325">
        <f t="shared" si="66"/>
        <v>0</v>
      </c>
      <c r="M336" s="325">
        <v>0</v>
      </c>
      <c r="N336">
        <f t="shared" si="67"/>
        <v>0</v>
      </c>
      <c r="O336" s="325">
        <f>3334.40372-(3334.40372*30000/42535)</f>
        <v>982.64372000000003</v>
      </c>
      <c r="P336" s="325">
        <f t="shared" ca="1" si="68"/>
        <v>0</v>
      </c>
      <c r="Q336" s="325">
        <f>42535-30000</f>
        <v>12535</v>
      </c>
      <c r="R336" s="3">
        <v>92.017483319999997</v>
      </c>
      <c r="S336" s="3">
        <v>92.160799999999995</v>
      </c>
      <c r="T336" s="325">
        <f t="shared" si="69"/>
        <v>11534.391534161998</v>
      </c>
      <c r="U336" s="325">
        <f t="shared" si="72"/>
        <v>11552.35628</v>
      </c>
      <c r="V336" s="325">
        <f t="shared" si="70"/>
        <v>11552.35628</v>
      </c>
      <c r="W336" s="325">
        <v>0</v>
      </c>
      <c r="X336" s="325">
        <f>37.7257093333333-26.61</f>
        <v>11.115709333333299</v>
      </c>
      <c r="Y336" s="325">
        <f>23.2326566993333-16.39</f>
        <v>6.8426566993333005</v>
      </c>
      <c r="Z336" s="325">
        <f t="shared" si="71"/>
        <v>17.9583660326666</v>
      </c>
      <c r="AA336" s="185">
        <v>366433</v>
      </c>
      <c r="AB336" s="185" t="s">
        <v>241</v>
      </c>
      <c r="AC336" s="328"/>
      <c r="AD336" s="185"/>
    </row>
    <row r="337" spans="2:30" x14ac:dyDescent="0.25">
      <c r="B337" s="397">
        <f t="shared" ca="1" si="64"/>
        <v>46306</v>
      </c>
      <c r="C337" s="397" t="s">
        <v>290</v>
      </c>
      <c r="D337" t="s">
        <v>47</v>
      </c>
      <c r="E337" s="397">
        <v>46238</v>
      </c>
      <c r="F337" s="397"/>
      <c r="G337" s="397"/>
      <c r="H337" s="397"/>
      <c r="J337" s="398">
        <f t="shared" si="65"/>
        <v>0</v>
      </c>
      <c r="K337" s="398"/>
      <c r="L337" s="399">
        <f t="shared" si="66"/>
        <v>0</v>
      </c>
      <c r="M337" s="399"/>
      <c r="N337">
        <f t="shared" si="67"/>
        <v>0</v>
      </c>
      <c r="O337" s="399"/>
      <c r="P337" s="399">
        <f t="shared" ca="1" si="68"/>
        <v>0</v>
      </c>
      <c r="Q337" s="399">
        <v>498.1</v>
      </c>
      <c r="R337" s="398">
        <v>97</v>
      </c>
      <c r="S337" s="398">
        <v>97.221400000000003</v>
      </c>
      <c r="T337" s="399">
        <f t="shared" si="69"/>
        <v>483.15700000000004</v>
      </c>
      <c r="U337" s="399">
        <f t="shared" si="72"/>
        <v>484.25979340000004</v>
      </c>
      <c r="V337" s="399">
        <f t="shared" si="70"/>
        <v>484.25979340000004</v>
      </c>
      <c r="W337" s="399"/>
      <c r="X337" s="399">
        <v>1</v>
      </c>
      <c r="Y337" s="399">
        <v>0.1000000000000001</v>
      </c>
      <c r="Z337" s="399">
        <f t="shared" si="71"/>
        <v>1.1000000000000001</v>
      </c>
      <c r="AA337" s="400">
        <v>372240</v>
      </c>
      <c r="AB337" s="400" t="s">
        <v>22</v>
      </c>
      <c r="AC337" s="397">
        <v>46246</v>
      </c>
      <c r="AD337" s="400">
        <v>3726763</v>
      </c>
    </row>
    <row r="338" spans="2:30" x14ac:dyDescent="0.25">
      <c r="B338" s="397">
        <f t="shared" ca="1" si="64"/>
        <v>46306</v>
      </c>
      <c r="C338" s="397" t="s">
        <v>290</v>
      </c>
      <c r="D338" t="s">
        <v>47</v>
      </c>
      <c r="E338" s="397">
        <v>46239</v>
      </c>
      <c r="F338" s="397"/>
      <c r="G338" s="397"/>
      <c r="H338" s="397"/>
      <c r="J338" s="398">
        <f t="shared" si="65"/>
        <v>0</v>
      </c>
      <c r="K338" s="398"/>
      <c r="L338" s="399">
        <f t="shared" si="66"/>
        <v>0</v>
      </c>
      <c r="M338" s="399"/>
      <c r="N338">
        <f t="shared" si="67"/>
        <v>0</v>
      </c>
      <c r="O338" s="399"/>
      <c r="P338" s="399">
        <f t="shared" ca="1" si="68"/>
        <v>0</v>
      </c>
      <c r="Q338" s="399">
        <v>536.94000000000005</v>
      </c>
      <c r="R338" s="398">
        <v>97.2</v>
      </c>
      <c r="S338" s="398">
        <v>97.405699999999996</v>
      </c>
      <c r="T338" s="399">
        <f t="shared" si="69"/>
        <v>521.90568000000007</v>
      </c>
      <c r="U338" s="399">
        <f t="shared" si="72"/>
        <v>523.01016558000003</v>
      </c>
      <c r="V338" s="399">
        <f t="shared" si="70"/>
        <v>523.01016558000003</v>
      </c>
      <c r="W338" s="399"/>
      <c r="X338" s="399">
        <v>1</v>
      </c>
      <c r="Y338" s="399">
        <v>0.1000000000000001</v>
      </c>
      <c r="Z338" s="399">
        <f t="shared" si="71"/>
        <v>1.1000000000000001</v>
      </c>
      <c r="AA338" s="400">
        <v>372348</v>
      </c>
      <c r="AB338" s="400" t="s">
        <v>22</v>
      </c>
      <c r="AC338" s="397">
        <v>46246</v>
      </c>
      <c r="AD338" s="400">
        <v>3726763</v>
      </c>
    </row>
    <row r="339" spans="2:30" x14ac:dyDescent="0.25">
      <c r="B339" s="397">
        <f t="shared" ca="1" si="64"/>
        <v>46306</v>
      </c>
      <c r="C339" s="397" t="s">
        <v>290</v>
      </c>
      <c r="D339" t="s">
        <v>47</v>
      </c>
      <c r="E339" s="397">
        <v>46240</v>
      </c>
      <c r="F339" s="397"/>
      <c r="G339" s="397"/>
      <c r="H339" s="397"/>
      <c r="J339" s="398">
        <f t="shared" si="65"/>
        <v>0</v>
      </c>
      <c r="K339" s="398"/>
      <c r="L339" s="399">
        <f t="shared" si="66"/>
        <v>0</v>
      </c>
      <c r="M339" s="399"/>
      <c r="N339">
        <f t="shared" si="67"/>
        <v>0</v>
      </c>
      <c r="O339" s="399"/>
      <c r="P339" s="399">
        <f t="shared" ca="1" si="68"/>
        <v>0</v>
      </c>
      <c r="Q339" s="399">
        <v>575.17999999999995</v>
      </c>
      <c r="R339" s="398">
        <v>97.2</v>
      </c>
      <c r="S339" s="398">
        <v>97.392099999999999</v>
      </c>
      <c r="T339" s="399">
        <f t="shared" si="69"/>
        <v>559.07496000000003</v>
      </c>
      <c r="U339" s="399">
        <f t="shared" si="72"/>
        <v>560.17988077999996</v>
      </c>
      <c r="V339" s="399">
        <f t="shared" si="70"/>
        <v>560.17988077999996</v>
      </c>
      <c r="W339" s="399"/>
      <c r="X339" s="399">
        <v>1</v>
      </c>
      <c r="Y339" s="399">
        <v>0.1100000000000001</v>
      </c>
      <c r="Z339" s="399">
        <f t="shared" si="71"/>
        <v>1.1100000000000001</v>
      </c>
      <c r="AA339" s="400">
        <v>372438</v>
      </c>
      <c r="AB339" s="400" t="s">
        <v>22</v>
      </c>
      <c r="AC339" s="397">
        <v>46246</v>
      </c>
      <c r="AD339" s="400">
        <v>3726763</v>
      </c>
    </row>
    <row r="340" spans="2:30" x14ac:dyDescent="0.25">
      <c r="B340" s="397">
        <f t="shared" ca="1" si="64"/>
        <v>46306</v>
      </c>
      <c r="C340" s="397" t="s">
        <v>290</v>
      </c>
      <c r="D340" t="s">
        <v>47</v>
      </c>
      <c r="E340" s="397">
        <v>46240</v>
      </c>
      <c r="F340" s="397"/>
      <c r="G340" s="397"/>
      <c r="H340" s="397"/>
      <c r="J340" s="398">
        <f t="shared" si="65"/>
        <v>0</v>
      </c>
      <c r="K340" s="398"/>
      <c r="L340" s="399">
        <f t="shared" si="66"/>
        <v>0</v>
      </c>
      <c r="M340" s="399"/>
      <c r="N340">
        <f t="shared" si="67"/>
        <v>0</v>
      </c>
      <c r="O340" s="399"/>
      <c r="P340" s="399">
        <f t="shared" ca="1" si="68"/>
        <v>0</v>
      </c>
      <c r="Q340" s="399">
        <v>506.77</v>
      </c>
      <c r="R340" s="398">
        <v>97.2</v>
      </c>
      <c r="S340" s="398">
        <v>97.397241350000002</v>
      </c>
      <c r="T340" s="399">
        <f t="shared" si="69"/>
        <v>492.58044000000001</v>
      </c>
      <c r="U340" s="399">
        <f t="shared" si="72"/>
        <v>493.57999998939499</v>
      </c>
      <c r="V340" s="399">
        <f t="shared" si="70"/>
        <v>493.57999998939499</v>
      </c>
      <c r="W340" s="399"/>
      <c r="X340" s="399">
        <v>1</v>
      </c>
      <c r="Y340" s="399"/>
      <c r="Z340" s="399">
        <f t="shared" si="71"/>
        <v>1</v>
      </c>
      <c r="AA340" s="400">
        <v>21278</v>
      </c>
      <c r="AB340" s="400" t="s">
        <v>22</v>
      </c>
      <c r="AC340" s="397">
        <v>46246</v>
      </c>
      <c r="AD340" s="400">
        <v>3726763</v>
      </c>
    </row>
    <row r="341" spans="2:30" x14ac:dyDescent="0.25">
      <c r="B341" s="397">
        <f t="shared" ca="1" si="64"/>
        <v>46306</v>
      </c>
      <c r="C341" s="397" t="s">
        <v>290</v>
      </c>
      <c r="D341" t="s">
        <v>47</v>
      </c>
      <c r="E341" s="397">
        <v>46241</v>
      </c>
      <c r="F341" s="397"/>
      <c r="G341" s="397"/>
      <c r="H341" s="397"/>
      <c r="J341" s="398">
        <f t="shared" si="65"/>
        <v>0</v>
      </c>
      <c r="K341" s="398"/>
      <c r="L341" s="399">
        <f t="shared" si="66"/>
        <v>0</v>
      </c>
      <c r="M341" s="399"/>
      <c r="N341">
        <f t="shared" si="67"/>
        <v>0</v>
      </c>
      <c r="O341" s="399"/>
      <c r="P341" s="399">
        <f t="shared" ca="1" si="68"/>
        <v>0</v>
      </c>
      <c r="Q341" s="399">
        <v>1619.23</v>
      </c>
      <c r="R341" s="398">
        <v>97.5</v>
      </c>
      <c r="S341" s="398">
        <v>97.715000000000003</v>
      </c>
      <c r="T341" s="399">
        <f t="shared" si="69"/>
        <v>1578.7492499999998</v>
      </c>
      <c r="U341" s="399">
        <f t="shared" si="72"/>
        <v>1582.2305945000001</v>
      </c>
      <c r="V341" s="399">
        <f t="shared" si="70"/>
        <v>1582.2305945000001</v>
      </c>
      <c r="W341" s="399"/>
      <c r="X341" s="399">
        <v>3.16</v>
      </c>
      <c r="Y341" s="399">
        <v>0.31999999999999978</v>
      </c>
      <c r="Z341" s="399">
        <f t="shared" si="71"/>
        <v>3.48</v>
      </c>
      <c r="AA341" s="400">
        <v>372512</v>
      </c>
      <c r="AB341" s="400" t="s">
        <v>22</v>
      </c>
      <c r="AC341" s="397">
        <v>46246</v>
      </c>
      <c r="AD341" s="400">
        <v>3726763</v>
      </c>
    </row>
    <row r="342" spans="2:30" x14ac:dyDescent="0.25">
      <c r="B342" s="397">
        <f t="shared" ca="1" si="64"/>
        <v>46306</v>
      </c>
      <c r="C342" s="397" t="s">
        <v>290</v>
      </c>
      <c r="D342" t="s">
        <v>47</v>
      </c>
      <c r="E342" s="397">
        <v>46241</v>
      </c>
      <c r="F342" s="397"/>
      <c r="G342" s="397"/>
      <c r="H342" s="397"/>
      <c r="J342" s="398">
        <f t="shared" si="65"/>
        <v>0</v>
      </c>
      <c r="K342" s="398"/>
      <c r="L342" s="399">
        <f t="shared" si="66"/>
        <v>0</v>
      </c>
      <c r="M342" s="399"/>
      <c r="N342">
        <f t="shared" si="67"/>
        <v>0</v>
      </c>
      <c r="O342" s="399"/>
      <c r="P342" s="399">
        <f t="shared" ca="1" si="68"/>
        <v>0</v>
      </c>
      <c r="Q342" s="399">
        <v>2277.27</v>
      </c>
      <c r="R342" s="398">
        <v>97.6</v>
      </c>
      <c r="S342" s="398">
        <v>97.814899999999994</v>
      </c>
      <c r="T342" s="399">
        <f t="shared" si="69"/>
        <v>2222.6155199999998</v>
      </c>
      <c r="U342" s="399">
        <f t="shared" si="72"/>
        <v>2227.5093732299997</v>
      </c>
      <c r="V342" s="399">
        <f t="shared" si="70"/>
        <v>2227.5093732299997</v>
      </c>
      <c r="W342" s="399"/>
      <c r="X342" s="399">
        <v>4.45</v>
      </c>
      <c r="Y342" s="399">
        <v>0.4399999999999995</v>
      </c>
      <c r="Z342" s="399">
        <f t="shared" si="71"/>
        <v>4.8899999999999997</v>
      </c>
      <c r="AA342" s="400">
        <v>372513</v>
      </c>
      <c r="AB342" s="400" t="s">
        <v>22</v>
      </c>
      <c r="AC342" s="397">
        <v>46246</v>
      </c>
      <c r="AD342" s="400">
        <v>3726763</v>
      </c>
    </row>
    <row r="343" spans="2:30" x14ac:dyDescent="0.25">
      <c r="B343" s="397">
        <f t="shared" ca="1" si="64"/>
        <v>46306</v>
      </c>
      <c r="C343" s="397" t="s">
        <v>290</v>
      </c>
      <c r="D343" t="s">
        <v>47</v>
      </c>
      <c r="E343" s="397">
        <v>46245</v>
      </c>
      <c r="F343" s="397"/>
      <c r="G343" s="397"/>
      <c r="H343" s="397"/>
      <c r="J343" s="398">
        <f t="shared" si="65"/>
        <v>0</v>
      </c>
      <c r="K343" s="398"/>
      <c r="L343" s="399">
        <f t="shared" si="66"/>
        <v>0</v>
      </c>
      <c r="M343" s="399"/>
      <c r="N343">
        <f t="shared" si="67"/>
        <v>0</v>
      </c>
      <c r="O343" s="399"/>
      <c r="P343" s="399">
        <f t="shared" ca="1" si="68"/>
        <v>0</v>
      </c>
      <c r="Q343" s="399">
        <v>1623.51</v>
      </c>
      <c r="R343" s="398">
        <v>97.5</v>
      </c>
      <c r="S343" s="398">
        <v>97.714799999999997</v>
      </c>
      <c r="T343" s="399">
        <f t="shared" si="69"/>
        <v>1582.9222500000001</v>
      </c>
      <c r="U343" s="399">
        <f t="shared" si="72"/>
        <v>1586.4095494799999</v>
      </c>
      <c r="V343" s="399">
        <f t="shared" si="70"/>
        <v>1586.4095494799999</v>
      </c>
      <c r="W343" s="399"/>
      <c r="X343" s="399">
        <v>3.17</v>
      </c>
      <c r="Y343" s="399">
        <v>0.32000000000000028</v>
      </c>
      <c r="Z343" s="399">
        <f t="shared" si="71"/>
        <v>3.49</v>
      </c>
      <c r="AA343" s="400">
        <v>372581</v>
      </c>
      <c r="AB343" s="400" t="s">
        <v>22</v>
      </c>
      <c r="AC343" s="397">
        <v>46246</v>
      </c>
      <c r="AD343" s="400">
        <v>3726763</v>
      </c>
    </row>
    <row r="344" spans="2:30" x14ac:dyDescent="0.25">
      <c r="B344" s="397">
        <f t="shared" ca="1" si="64"/>
        <v>46306</v>
      </c>
      <c r="C344" s="397" t="s">
        <v>290</v>
      </c>
      <c r="D344" t="s">
        <v>47</v>
      </c>
      <c r="E344" s="397">
        <v>46246</v>
      </c>
      <c r="F344" s="397"/>
      <c r="G344" s="397"/>
      <c r="H344" s="397"/>
      <c r="J344" s="398">
        <f t="shared" si="65"/>
        <v>0</v>
      </c>
      <c r="K344" s="398"/>
      <c r="L344" s="399">
        <f t="shared" si="66"/>
        <v>0</v>
      </c>
      <c r="M344" s="399"/>
      <c r="N344">
        <f t="shared" si="67"/>
        <v>0</v>
      </c>
      <c r="O344" s="399"/>
      <c r="P344" s="399">
        <f t="shared" ca="1" si="68"/>
        <v>0</v>
      </c>
      <c r="Q344" s="399">
        <v>977.38</v>
      </c>
      <c r="R344" s="398">
        <v>98</v>
      </c>
      <c r="S344" s="398">
        <v>98.117400000000004</v>
      </c>
      <c r="T344" s="399">
        <f t="shared" si="69"/>
        <v>957.83240000000001</v>
      </c>
      <c r="U344" s="399">
        <f t="shared" si="72"/>
        <v>958.97984412000005</v>
      </c>
      <c r="V344" s="399">
        <f t="shared" si="70"/>
        <v>958.97984412000005</v>
      </c>
      <c r="W344" s="399"/>
      <c r="X344" s="399">
        <v>0.96</v>
      </c>
      <c r="Y344" s="399">
        <v>0.18999999999999989</v>
      </c>
      <c r="Z344" s="399">
        <f t="shared" si="71"/>
        <v>1.1499999999999999</v>
      </c>
      <c r="AA344" s="400">
        <v>372707</v>
      </c>
      <c r="AB344" s="400" t="s">
        <v>22</v>
      </c>
      <c r="AC344" s="397">
        <v>46252</v>
      </c>
      <c r="AD344" s="400">
        <v>3730342</v>
      </c>
    </row>
    <row r="345" spans="2:30" x14ac:dyDescent="0.25">
      <c r="B345" s="397">
        <f t="shared" ca="1" si="64"/>
        <v>46306</v>
      </c>
      <c r="C345" s="397" t="s">
        <v>290</v>
      </c>
      <c r="D345" t="s">
        <v>47</v>
      </c>
      <c r="E345" s="397">
        <v>46246</v>
      </c>
      <c r="F345" s="397"/>
      <c r="G345" s="397"/>
      <c r="H345" s="397"/>
      <c r="J345" s="398">
        <f t="shared" si="65"/>
        <v>0</v>
      </c>
      <c r="K345" s="398"/>
      <c r="L345" s="399">
        <f t="shared" si="66"/>
        <v>0</v>
      </c>
      <c r="M345" s="399"/>
      <c r="N345">
        <f t="shared" si="67"/>
        <v>0</v>
      </c>
      <c r="O345" s="399"/>
      <c r="P345" s="399">
        <f t="shared" ca="1" si="68"/>
        <v>0</v>
      </c>
      <c r="Q345" s="399">
        <v>815.42</v>
      </c>
      <c r="R345" s="398">
        <v>97.5</v>
      </c>
      <c r="S345" s="398">
        <v>97.617199999999997</v>
      </c>
      <c r="T345" s="399">
        <f t="shared" si="69"/>
        <v>795.03449999999998</v>
      </c>
      <c r="U345" s="399">
        <f t="shared" si="72"/>
        <v>795.99017223999999</v>
      </c>
      <c r="V345" s="399">
        <f t="shared" si="70"/>
        <v>795.99017223999999</v>
      </c>
      <c r="W345" s="399"/>
      <c r="X345" s="399">
        <v>0.8</v>
      </c>
      <c r="Y345" s="399">
        <v>0.15999999999999989</v>
      </c>
      <c r="Z345" s="399">
        <f t="shared" si="71"/>
        <v>0.96</v>
      </c>
      <c r="AA345" s="400">
        <v>372739</v>
      </c>
      <c r="AB345" s="400" t="s">
        <v>22</v>
      </c>
      <c r="AC345" s="397">
        <v>46252</v>
      </c>
      <c r="AD345" s="400">
        <v>3730342</v>
      </c>
    </row>
    <row r="346" spans="2:30" x14ac:dyDescent="0.25">
      <c r="B346" s="397">
        <f t="shared" ca="1" si="64"/>
        <v>46306</v>
      </c>
      <c r="C346" s="397" t="s">
        <v>290</v>
      </c>
      <c r="D346" t="s">
        <v>47</v>
      </c>
      <c r="E346" s="397">
        <v>46247</v>
      </c>
      <c r="F346" s="397"/>
      <c r="G346" s="397"/>
      <c r="H346" s="397"/>
      <c r="J346" s="398">
        <f t="shared" si="65"/>
        <v>0</v>
      </c>
      <c r="K346" s="398"/>
      <c r="L346" s="399">
        <f t="shared" si="66"/>
        <v>0</v>
      </c>
      <c r="M346" s="399"/>
      <c r="N346">
        <f t="shared" si="67"/>
        <v>0</v>
      </c>
      <c r="O346" s="399"/>
      <c r="P346" s="399">
        <f t="shared" ca="1" si="68"/>
        <v>0</v>
      </c>
      <c r="Q346" s="399">
        <v>1782.06</v>
      </c>
      <c r="R346" s="398">
        <v>97.6</v>
      </c>
      <c r="S346" s="398">
        <v>97.814899999999994</v>
      </c>
      <c r="T346" s="399">
        <f t="shared" si="69"/>
        <v>1739.2905599999999</v>
      </c>
      <c r="U346" s="399">
        <f t="shared" si="72"/>
        <v>1743.1202069399997</v>
      </c>
      <c r="V346" s="399">
        <f t="shared" si="70"/>
        <v>1743.1202069399997</v>
      </c>
      <c r="W346" s="399"/>
      <c r="X346" s="399">
        <v>3.48</v>
      </c>
      <c r="Y346" s="399">
        <v>0.35000000000000009</v>
      </c>
      <c r="Z346" s="399">
        <f t="shared" si="71"/>
        <v>3.83</v>
      </c>
      <c r="AA346" s="400">
        <v>372785</v>
      </c>
      <c r="AB346" s="400" t="s">
        <v>22</v>
      </c>
      <c r="AC346" s="397">
        <v>46252</v>
      </c>
      <c r="AD346" s="400">
        <v>3730342</v>
      </c>
    </row>
    <row r="347" spans="2:30" x14ac:dyDescent="0.25">
      <c r="B347" s="397">
        <f t="shared" ca="1" si="64"/>
        <v>46306</v>
      </c>
      <c r="C347" s="397" t="s">
        <v>290</v>
      </c>
      <c r="D347" t="s">
        <v>47</v>
      </c>
      <c r="E347" s="397">
        <v>46248</v>
      </c>
      <c r="F347" s="397"/>
      <c r="G347" s="397"/>
      <c r="H347" s="397"/>
      <c r="J347" s="398">
        <f t="shared" si="65"/>
        <v>0</v>
      </c>
      <c r="K347" s="398"/>
      <c r="L347" s="399">
        <f t="shared" si="66"/>
        <v>0</v>
      </c>
      <c r="M347" s="399"/>
      <c r="N347">
        <f t="shared" si="67"/>
        <v>0</v>
      </c>
      <c r="O347" s="399"/>
      <c r="P347" s="399">
        <f t="shared" ca="1" si="68"/>
        <v>0</v>
      </c>
      <c r="Q347" s="399">
        <v>893.61</v>
      </c>
      <c r="R347" s="398">
        <v>97.45</v>
      </c>
      <c r="S347" s="398">
        <v>97.663410209999995</v>
      </c>
      <c r="T347" s="399">
        <f t="shared" si="69"/>
        <v>870.822945</v>
      </c>
      <c r="U347" s="399">
        <f t="shared" si="72"/>
        <v>872.72999997758097</v>
      </c>
      <c r="V347" s="399">
        <f t="shared" si="70"/>
        <v>872.72999997758097</v>
      </c>
      <c r="W347" s="399"/>
      <c r="X347" s="399">
        <v>1.74</v>
      </c>
      <c r="Y347" s="399"/>
      <c r="Z347" s="399">
        <f t="shared" si="71"/>
        <v>1.74</v>
      </c>
      <c r="AA347" s="400">
        <v>21836</v>
      </c>
      <c r="AB347" s="400" t="s">
        <v>22</v>
      </c>
      <c r="AC347" s="397">
        <v>46252</v>
      </c>
      <c r="AD347" s="400">
        <v>3730342</v>
      </c>
    </row>
    <row r="348" spans="2:30" x14ac:dyDescent="0.25">
      <c r="B348" s="397">
        <f t="shared" ca="1" si="64"/>
        <v>46306</v>
      </c>
      <c r="C348" s="397" t="s">
        <v>290</v>
      </c>
      <c r="D348" t="s">
        <v>47</v>
      </c>
      <c r="E348" s="397">
        <v>46251</v>
      </c>
      <c r="F348" s="397"/>
      <c r="G348" s="397"/>
      <c r="H348" s="397"/>
      <c r="J348" s="398">
        <f t="shared" si="65"/>
        <v>0</v>
      </c>
      <c r="K348" s="398"/>
      <c r="L348" s="399">
        <f t="shared" si="66"/>
        <v>0</v>
      </c>
      <c r="M348" s="399"/>
      <c r="N348">
        <f t="shared" si="67"/>
        <v>0</v>
      </c>
      <c r="O348" s="399"/>
      <c r="P348" s="399">
        <f t="shared" ca="1" si="68"/>
        <v>0</v>
      </c>
      <c r="Q348" s="399">
        <v>3017.53</v>
      </c>
      <c r="R348" s="398">
        <v>97.7</v>
      </c>
      <c r="S348" s="398">
        <v>97.915199999999999</v>
      </c>
      <c r="T348" s="399">
        <f t="shared" si="69"/>
        <v>2948.1268100000002</v>
      </c>
      <c r="U348" s="399">
        <f t="shared" si="72"/>
        <v>2954.6205345600001</v>
      </c>
      <c r="V348" s="399">
        <f t="shared" si="70"/>
        <v>2954.6205345600001</v>
      </c>
      <c r="W348" s="399"/>
      <c r="X348" s="399">
        <v>5.9</v>
      </c>
      <c r="Y348" s="399">
        <v>0.58999999999999986</v>
      </c>
      <c r="Z348" s="399">
        <f t="shared" si="71"/>
        <v>6.49</v>
      </c>
      <c r="AA348" s="400">
        <v>372979</v>
      </c>
      <c r="AB348" s="400" t="s">
        <v>22</v>
      </c>
      <c r="AC348" s="397">
        <v>46252</v>
      </c>
      <c r="AD348" s="400">
        <v>3730342</v>
      </c>
    </row>
    <row r="349" spans="2:30" x14ac:dyDescent="0.25">
      <c r="B349" s="397">
        <f t="shared" ca="1" si="64"/>
        <v>46306</v>
      </c>
      <c r="C349" s="397" t="s">
        <v>290</v>
      </c>
      <c r="D349" t="s">
        <v>47</v>
      </c>
      <c r="E349" s="397">
        <v>46252</v>
      </c>
      <c r="F349" s="397"/>
      <c r="G349" s="397"/>
      <c r="H349" s="397"/>
      <c r="J349" s="398">
        <f t="shared" si="65"/>
        <v>0</v>
      </c>
      <c r="K349" s="398"/>
      <c r="L349" s="399">
        <f t="shared" si="66"/>
        <v>0</v>
      </c>
      <c r="M349" s="399"/>
      <c r="N349">
        <f t="shared" si="67"/>
        <v>0</v>
      </c>
      <c r="O349" s="399"/>
      <c r="P349" s="399">
        <f t="shared" ca="1" si="68"/>
        <v>0</v>
      </c>
      <c r="Q349" s="399">
        <v>628.35</v>
      </c>
      <c r="R349" s="398">
        <v>97.5</v>
      </c>
      <c r="S349" s="398">
        <v>97.714600000000004</v>
      </c>
      <c r="T349" s="399">
        <f t="shared" si="69"/>
        <v>612.64125000000001</v>
      </c>
      <c r="U349" s="399">
        <f t="shared" si="72"/>
        <v>613.98968910000008</v>
      </c>
      <c r="V349" s="399">
        <f t="shared" si="70"/>
        <v>613.98968910000008</v>
      </c>
      <c r="W349" s="399"/>
      <c r="X349" s="399">
        <v>1.23</v>
      </c>
      <c r="Y349" s="399">
        <v>0.12000000000000011</v>
      </c>
      <c r="Z349" s="399">
        <f t="shared" si="71"/>
        <v>1.35</v>
      </c>
      <c r="AA349" s="400">
        <v>373032</v>
      </c>
      <c r="AB349" s="400" t="s">
        <v>22</v>
      </c>
      <c r="AC349" s="397">
        <v>46254</v>
      </c>
      <c r="AD349" s="400" t="s">
        <v>310</v>
      </c>
    </row>
    <row r="350" spans="2:30" x14ac:dyDescent="0.25">
      <c r="B350" s="397">
        <f t="shared" ca="1" si="64"/>
        <v>46306</v>
      </c>
      <c r="C350" s="397" t="s">
        <v>290</v>
      </c>
      <c r="D350" t="s">
        <v>47</v>
      </c>
      <c r="E350" s="397">
        <v>46252</v>
      </c>
      <c r="F350" s="397"/>
      <c r="G350" s="397"/>
      <c r="H350" s="397"/>
      <c r="J350" s="398">
        <f t="shared" si="65"/>
        <v>0</v>
      </c>
      <c r="K350" s="398"/>
      <c r="L350" s="399">
        <f t="shared" si="66"/>
        <v>0</v>
      </c>
      <c r="M350" s="399"/>
      <c r="N350">
        <f t="shared" si="67"/>
        <v>0</v>
      </c>
      <c r="O350" s="399"/>
      <c r="P350" s="399">
        <f t="shared" ca="1" si="68"/>
        <v>0</v>
      </c>
      <c r="Q350" s="399">
        <v>1542.26</v>
      </c>
      <c r="R350" s="398">
        <v>97.5</v>
      </c>
      <c r="S350" s="398">
        <v>97.714399999999998</v>
      </c>
      <c r="T350" s="399">
        <f t="shared" si="69"/>
        <v>1503.7035000000001</v>
      </c>
      <c r="U350" s="399">
        <f t="shared" si="72"/>
        <v>1507.01010544</v>
      </c>
      <c r="V350" s="399">
        <f t="shared" si="70"/>
        <v>1507.01010544</v>
      </c>
      <c r="W350" s="399"/>
      <c r="X350" s="399">
        <v>3.01</v>
      </c>
      <c r="Y350" s="399">
        <v>0.30000000000000032</v>
      </c>
      <c r="Z350" s="399">
        <f t="shared" si="71"/>
        <v>3.31</v>
      </c>
      <c r="AA350" s="400">
        <v>373072</v>
      </c>
      <c r="AB350" s="400" t="s">
        <v>22</v>
      </c>
      <c r="AC350" s="397">
        <v>46254</v>
      </c>
      <c r="AD350" s="400" t="s">
        <v>310</v>
      </c>
    </row>
    <row r="351" spans="2:30" x14ac:dyDescent="0.25">
      <c r="B351" s="397">
        <f t="shared" ca="1" si="64"/>
        <v>46306</v>
      </c>
      <c r="C351" s="397" t="s">
        <v>290</v>
      </c>
      <c r="D351" t="s">
        <v>47</v>
      </c>
      <c r="E351" s="397">
        <v>46252</v>
      </c>
      <c r="F351" s="397"/>
      <c r="G351" s="397"/>
      <c r="H351" s="397"/>
      <c r="J351" s="398">
        <f t="shared" si="65"/>
        <v>0</v>
      </c>
      <c r="K351" s="398"/>
      <c r="L351" s="399">
        <f t="shared" si="66"/>
        <v>0</v>
      </c>
      <c r="M351" s="399"/>
      <c r="N351">
        <f t="shared" si="67"/>
        <v>0</v>
      </c>
      <c r="O351" s="399"/>
      <c r="P351" s="399">
        <f t="shared" ca="1" si="68"/>
        <v>0</v>
      </c>
      <c r="Q351" s="399">
        <v>4623.71</v>
      </c>
      <c r="R351" s="398">
        <v>97.5</v>
      </c>
      <c r="S351" s="398">
        <v>97.714600000000004</v>
      </c>
      <c r="T351" s="399">
        <f t="shared" si="69"/>
        <v>4508.1172499999993</v>
      </c>
      <c r="U351" s="399">
        <f t="shared" si="72"/>
        <v>4518.0397316600001</v>
      </c>
      <c r="V351" s="399">
        <f t="shared" si="70"/>
        <v>4518.0397316600001</v>
      </c>
      <c r="W351" s="399"/>
      <c r="X351" s="399">
        <v>9.02</v>
      </c>
      <c r="Y351" s="399">
        <v>0.90000000000000036</v>
      </c>
      <c r="Z351" s="399">
        <f t="shared" si="71"/>
        <v>9.92</v>
      </c>
      <c r="AA351" s="400">
        <v>373073</v>
      </c>
      <c r="AB351" s="400" t="s">
        <v>22</v>
      </c>
      <c r="AC351" s="397">
        <v>46254</v>
      </c>
      <c r="AD351" s="400" t="s">
        <v>310</v>
      </c>
    </row>
    <row r="352" spans="2:30" x14ac:dyDescent="0.25">
      <c r="B352" s="397">
        <f t="shared" ca="1" si="64"/>
        <v>46306</v>
      </c>
      <c r="C352" s="397" t="s">
        <v>290</v>
      </c>
      <c r="D352" t="s">
        <v>47</v>
      </c>
      <c r="E352" s="397">
        <v>46253</v>
      </c>
      <c r="F352" s="397"/>
      <c r="G352" s="397"/>
      <c r="H352" s="397"/>
      <c r="J352" s="398">
        <f t="shared" si="65"/>
        <v>0</v>
      </c>
      <c r="K352" s="398"/>
      <c r="L352" s="399">
        <f t="shared" si="66"/>
        <v>0</v>
      </c>
      <c r="M352" s="399"/>
      <c r="N352">
        <f t="shared" si="67"/>
        <v>0</v>
      </c>
      <c r="O352" s="399"/>
      <c r="P352" s="399">
        <f t="shared" ca="1" si="68"/>
        <v>0</v>
      </c>
      <c r="Q352" s="399">
        <v>1421.13</v>
      </c>
      <c r="R352" s="398">
        <v>97.5</v>
      </c>
      <c r="S352" s="398">
        <v>97.714500000000001</v>
      </c>
      <c r="T352" s="399">
        <f t="shared" si="69"/>
        <v>1385.6017500000003</v>
      </c>
      <c r="U352" s="399">
        <f t="shared" si="72"/>
        <v>1388.6500738500001</v>
      </c>
      <c r="V352" s="399">
        <f t="shared" si="70"/>
        <v>1388.6500738500001</v>
      </c>
      <c r="W352" s="399"/>
      <c r="X352" s="399">
        <v>2.77</v>
      </c>
      <c r="Y352" s="399">
        <v>0.2799999999999998</v>
      </c>
      <c r="Z352" s="399">
        <f t="shared" si="71"/>
        <v>3.05</v>
      </c>
      <c r="AA352" s="400">
        <v>373120</v>
      </c>
      <c r="AB352" s="400" t="s">
        <v>22</v>
      </c>
      <c r="AC352" s="397">
        <v>46254</v>
      </c>
      <c r="AD352" s="400" t="s">
        <v>310</v>
      </c>
    </row>
    <row r="353" spans="2:30" x14ac:dyDescent="0.25">
      <c r="B353" s="397">
        <f t="shared" ca="1" si="64"/>
        <v>46306</v>
      </c>
      <c r="C353" s="397" t="s">
        <v>290</v>
      </c>
      <c r="D353" t="s">
        <v>47</v>
      </c>
      <c r="E353" s="397">
        <v>46253</v>
      </c>
      <c r="F353" s="397"/>
      <c r="G353" s="397"/>
      <c r="H353" s="397"/>
      <c r="J353" s="398">
        <f t="shared" si="65"/>
        <v>0</v>
      </c>
      <c r="K353" s="398"/>
      <c r="L353" s="399">
        <f t="shared" si="66"/>
        <v>0</v>
      </c>
      <c r="M353" s="399"/>
      <c r="N353">
        <f t="shared" si="67"/>
        <v>0</v>
      </c>
      <c r="O353" s="399"/>
      <c r="P353" s="399">
        <f t="shared" ca="1" si="68"/>
        <v>0</v>
      </c>
      <c r="Q353" s="399">
        <v>655.36</v>
      </c>
      <c r="R353" s="398">
        <v>97.5</v>
      </c>
      <c r="S353" s="398">
        <v>97.71575928</v>
      </c>
      <c r="T353" s="399">
        <f t="shared" si="69"/>
        <v>638.976</v>
      </c>
      <c r="U353" s="399">
        <f t="shared" si="72"/>
        <v>640.39000001740806</v>
      </c>
      <c r="V353" s="399">
        <f t="shared" si="70"/>
        <v>640.39000001740806</v>
      </c>
      <c r="W353" s="399"/>
      <c r="X353" s="399">
        <v>1.28</v>
      </c>
      <c r="Y353" s="399">
        <v>0.13</v>
      </c>
      <c r="Z353" s="399">
        <f t="shared" si="71"/>
        <v>1.4100000000000001</v>
      </c>
      <c r="AA353" s="400">
        <v>22107</v>
      </c>
      <c r="AB353" s="400" t="s">
        <v>22</v>
      </c>
      <c r="AC353" s="397">
        <v>46254</v>
      </c>
      <c r="AD353" s="400" t="s">
        <v>310</v>
      </c>
    </row>
    <row r="354" spans="2:30" x14ac:dyDescent="0.25">
      <c r="B354" s="397">
        <f t="shared" ca="1" si="64"/>
        <v>46306</v>
      </c>
      <c r="C354" s="397" t="s">
        <v>290</v>
      </c>
      <c r="D354" t="s">
        <v>47</v>
      </c>
      <c r="E354" s="397">
        <v>46255</v>
      </c>
      <c r="F354" s="397"/>
      <c r="G354" s="397"/>
      <c r="H354" s="397"/>
      <c r="J354" s="398">
        <f t="shared" si="65"/>
        <v>0</v>
      </c>
      <c r="K354" s="398"/>
      <c r="L354" s="399">
        <f t="shared" si="66"/>
        <v>0</v>
      </c>
      <c r="M354" s="399"/>
      <c r="N354">
        <f t="shared" si="67"/>
        <v>0</v>
      </c>
      <c r="O354" s="399"/>
      <c r="P354" s="399">
        <f t="shared" ca="1" si="68"/>
        <v>0</v>
      </c>
      <c r="Q354" s="399">
        <v>393.58</v>
      </c>
      <c r="R354" s="398">
        <v>96.75</v>
      </c>
      <c r="S354" s="398">
        <v>96.963800000000006</v>
      </c>
      <c r="T354" s="399">
        <f t="shared" si="69"/>
        <v>380.78864999999996</v>
      </c>
      <c r="U354" s="399">
        <f t="shared" si="72"/>
        <v>381.63012404</v>
      </c>
      <c r="V354" s="399">
        <f t="shared" si="70"/>
        <v>381.63012404</v>
      </c>
      <c r="W354" s="399"/>
      <c r="X354" s="399">
        <v>0.76</v>
      </c>
      <c r="Y354" s="399">
        <v>7.999999999999996E-2</v>
      </c>
      <c r="Z354" s="399">
        <f t="shared" si="71"/>
        <v>0.84</v>
      </c>
      <c r="AA354" s="400">
        <v>373299</v>
      </c>
      <c r="AB354" s="400" t="s">
        <v>22</v>
      </c>
      <c r="AC354" s="397">
        <v>46261</v>
      </c>
      <c r="AD354" s="400">
        <v>3735843</v>
      </c>
    </row>
    <row r="355" spans="2:30" x14ac:dyDescent="0.25">
      <c r="B355" s="397">
        <f t="shared" ca="1" si="64"/>
        <v>46306</v>
      </c>
      <c r="C355" s="397" t="s">
        <v>290</v>
      </c>
      <c r="D355" t="s">
        <v>47</v>
      </c>
      <c r="E355" s="397">
        <v>46255</v>
      </c>
      <c r="F355" s="397"/>
      <c r="G355" s="397"/>
      <c r="H355" s="397"/>
      <c r="J355" s="398">
        <f t="shared" si="65"/>
        <v>0</v>
      </c>
      <c r="K355" s="398"/>
      <c r="L355" s="399">
        <f t="shared" si="66"/>
        <v>0</v>
      </c>
      <c r="M355" s="399"/>
      <c r="N355">
        <f t="shared" si="67"/>
        <v>0</v>
      </c>
      <c r="O355" s="399"/>
      <c r="P355" s="399">
        <f t="shared" ca="1" si="68"/>
        <v>0</v>
      </c>
      <c r="Q355" s="399">
        <v>998.23</v>
      </c>
      <c r="R355" s="398">
        <v>98.05</v>
      </c>
      <c r="S355" s="398">
        <v>98.265900000000002</v>
      </c>
      <c r="T355" s="399">
        <f t="shared" si="69"/>
        <v>978.76451499999996</v>
      </c>
      <c r="U355" s="399">
        <f t="shared" si="72"/>
        <v>980.91969357000005</v>
      </c>
      <c r="V355" s="399">
        <f t="shared" si="70"/>
        <v>980.91969357000005</v>
      </c>
      <c r="W355" s="399"/>
      <c r="X355" s="399">
        <v>1.96</v>
      </c>
      <c r="Y355" s="399">
        <v>0.20000000000000021</v>
      </c>
      <c r="Z355" s="399">
        <f t="shared" si="71"/>
        <v>2.16</v>
      </c>
      <c r="AA355" s="400">
        <v>373300</v>
      </c>
      <c r="AB355" s="400" t="s">
        <v>22</v>
      </c>
      <c r="AC355" s="397">
        <v>46261</v>
      </c>
      <c r="AD355" s="400">
        <v>3735843</v>
      </c>
    </row>
    <row r="356" spans="2:30" x14ac:dyDescent="0.25">
      <c r="B356" s="397">
        <f t="shared" ca="1" si="64"/>
        <v>46306</v>
      </c>
      <c r="C356" s="397" t="s">
        <v>290</v>
      </c>
      <c r="D356" t="s">
        <v>47</v>
      </c>
      <c r="E356" s="397">
        <v>46258</v>
      </c>
      <c r="F356" s="397"/>
      <c r="G356" s="397"/>
      <c r="H356" s="397"/>
      <c r="J356" s="398">
        <f t="shared" si="65"/>
        <v>0</v>
      </c>
      <c r="K356" s="398"/>
      <c r="L356" s="399">
        <f t="shared" si="66"/>
        <v>0</v>
      </c>
      <c r="M356" s="399"/>
      <c r="N356">
        <f t="shared" si="67"/>
        <v>0</v>
      </c>
      <c r="O356" s="399"/>
      <c r="P356" s="399">
        <f t="shared" ca="1" si="68"/>
        <v>0</v>
      </c>
      <c r="Q356" s="399">
        <v>476.18</v>
      </c>
      <c r="R356" s="398">
        <v>97.75</v>
      </c>
      <c r="S356" s="398">
        <v>97.965100000000007</v>
      </c>
      <c r="T356" s="399">
        <f t="shared" si="69"/>
        <v>465.46595000000002</v>
      </c>
      <c r="U356" s="399">
        <f t="shared" si="72"/>
        <v>466.49021318000007</v>
      </c>
      <c r="V356" s="399">
        <f t="shared" si="70"/>
        <v>466.49021318000007</v>
      </c>
      <c r="W356" s="399"/>
      <c r="X356" s="399">
        <v>0.93</v>
      </c>
      <c r="Y356" s="399">
        <v>8.9999999999999969E-2</v>
      </c>
      <c r="Z356" s="399">
        <f t="shared" si="71"/>
        <v>1.02</v>
      </c>
      <c r="AA356" s="400">
        <v>373360</v>
      </c>
      <c r="AB356" s="400" t="s">
        <v>22</v>
      </c>
      <c r="AC356" s="397">
        <v>46261</v>
      </c>
      <c r="AD356" s="400">
        <v>3735843</v>
      </c>
    </row>
    <row r="357" spans="2:30" x14ac:dyDescent="0.25">
      <c r="B357" s="397">
        <f t="shared" ca="1" si="64"/>
        <v>46306</v>
      </c>
      <c r="C357" s="397" t="s">
        <v>290</v>
      </c>
      <c r="D357" t="s">
        <v>47</v>
      </c>
      <c r="E357" s="397">
        <v>46258</v>
      </c>
      <c r="F357" s="397"/>
      <c r="G357" s="397"/>
      <c r="H357" s="397"/>
      <c r="J357" s="398">
        <f t="shared" si="65"/>
        <v>0</v>
      </c>
      <c r="K357" s="398"/>
      <c r="L357" s="399">
        <f t="shared" si="66"/>
        <v>0</v>
      </c>
      <c r="M357" s="399"/>
      <c r="N357">
        <f t="shared" si="67"/>
        <v>0</v>
      </c>
      <c r="O357" s="399"/>
      <c r="P357" s="399">
        <f t="shared" ca="1" si="68"/>
        <v>0</v>
      </c>
      <c r="Q357" s="399">
        <v>333.01</v>
      </c>
      <c r="R357" s="398">
        <v>96.75</v>
      </c>
      <c r="S357" s="398">
        <v>97.072159999999997</v>
      </c>
      <c r="T357" s="399">
        <f t="shared" si="69"/>
        <v>322.18717499999997</v>
      </c>
      <c r="U357" s="399">
        <f t="shared" si="72"/>
        <v>323.26000001599999</v>
      </c>
      <c r="V357" s="399">
        <f t="shared" si="70"/>
        <v>323.26000001599999</v>
      </c>
      <c r="W357" s="399"/>
      <c r="X357" s="399">
        <v>1.07</v>
      </c>
      <c r="Y357" s="399"/>
      <c r="Z357" s="399">
        <f t="shared" si="71"/>
        <v>1.07</v>
      </c>
      <c r="AA357" s="400">
        <v>22496</v>
      </c>
      <c r="AB357" s="400" t="s">
        <v>22</v>
      </c>
      <c r="AC357" s="397">
        <v>46261</v>
      </c>
      <c r="AD357" s="400">
        <v>3735843</v>
      </c>
    </row>
    <row r="358" spans="2:30" x14ac:dyDescent="0.25">
      <c r="B358" s="397">
        <f t="shared" ca="1" si="64"/>
        <v>46306</v>
      </c>
      <c r="C358" s="397" t="s">
        <v>290</v>
      </c>
      <c r="D358" t="s">
        <v>47</v>
      </c>
      <c r="E358" s="397">
        <v>46259</v>
      </c>
      <c r="F358" s="397"/>
      <c r="G358" s="397"/>
      <c r="H358" s="397"/>
      <c r="J358" s="398">
        <f t="shared" si="65"/>
        <v>0</v>
      </c>
      <c r="K358" s="398"/>
      <c r="L358" s="399">
        <f t="shared" si="66"/>
        <v>0</v>
      </c>
      <c r="M358" s="399"/>
      <c r="N358">
        <f t="shared" si="67"/>
        <v>0</v>
      </c>
      <c r="O358" s="399"/>
      <c r="P358" s="399">
        <f t="shared" ca="1" si="68"/>
        <v>0</v>
      </c>
      <c r="Q358" s="399">
        <v>951.57</v>
      </c>
      <c r="R358" s="398">
        <v>97.9</v>
      </c>
      <c r="S358" s="398">
        <v>98.067400000000006</v>
      </c>
      <c r="T358" s="399">
        <f t="shared" si="69"/>
        <v>931.58703000000014</v>
      </c>
      <c r="U358" s="399">
        <f t="shared" si="72"/>
        <v>933.17995818000009</v>
      </c>
      <c r="V358" s="399">
        <f t="shared" si="70"/>
        <v>933.17995818000009</v>
      </c>
      <c r="W358" s="399"/>
      <c r="X358" s="399">
        <v>1.4</v>
      </c>
      <c r="Y358" s="399">
        <v>0.1900000000000002</v>
      </c>
      <c r="Z358" s="399">
        <f t="shared" si="71"/>
        <v>1.59</v>
      </c>
      <c r="AA358" s="400">
        <v>373461</v>
      </c>
      <c r="AB358" s="400" t="s">
        <v>22</v>
      </c>
      <c r="AC358" s="397">
        <v>46261</v>
      </c>
      <c r="AD358" s="400">
        <v>3735843</v>
      </c>
    </row>
    <row r="359" spans="2:30" x14ac:dyDescent="0.25">
      <c r="B359" s="397">
        <f t="shared" ca="1" si="64"/>
        <v>46306</v>
      </c>
      <c r="C359" s="397" t="s">
        <v>290</v>
      </c>
      <c r="D359" t="s">
        <v>47</v>
      </c>
      <c r="E359" s="397">
        <v>46260</v>
      </c>
      <c r="F359" s="397"/>
      <c r="G359" s="397"/>
      <c r="H359" s="397"/>
      <c r="J359" s="398">
        <f t="shared" si="65"/>
        <v>0</v>
      </c>
      <c r="K359" s="398"/>
      <c r="L359" s="399">
        <f t="shared" si="66"/>
        <v>0</v>
      </c>
      <c r="M359" s="399"/>
      <c r="N359">
        <f t="shared" si="67"/>
        <v>0</v>
      </c>
      <c r="O359" s="399"/>
      <c r="P359" s="399">
        <f t="shared" ca="1" si="68"/>
        <v>0</v>
      </c>
      <c r="Q359" s="399">
        <v>600.89</v>
      </c>
      <c r="R359" s="398">
        <v>97.65</v>
      </c>
      <c r="S359" s="398">
        <v>97.836500000000001</v>
      </c>
      <c r="T359" s="399">
        <f t="shared" si="69"/>
        <v>586.76908500000002</v>
      </c>
      <c r="U359" s="399">
        <f t="shared" si="72"/>
        <v>587.88974484999994</v>
      </c>
      <c r="V359" s="399">
        <f t="shared" si="70"/>
        <v>587.88974484999994</v>
      </c>
      <c r="W359" s="399"/>
      <c r="X359" s="399">
        <v>1</v>
      </c>
      <c r="Y359" s="399">
        <v>0.12000000000000011</v>
      </c>
      <c r="Z359" s="399">
        <f t="shared" si="71"/>
        <v>1.1200000000000001</v>
      </c>
      <c r="AA359" s="400">
        <v>373539</v>
      </c>
      <c r="AB359" s="400" t="s">
        <v>22</v>
      </c>
      <c r="AC359" s="397">
        <v>46261</v>
      </c>
      <c r="AD359" s="400">
        <v>3735843</v>
      </c>
    </row>
    <row r="360" spans="2:30" x14ac:dyDescent="0.25">
      <c r="B360" s="397">
        <f t="shared" ca="1" si="64"/>
        <v>46306</v>
      </c>
      <c r="C360" s="397" t="s">
        <v>290</v>
      </c>
      <c r="D360" t="s">
        <v>47</v>
      </c>
      <c r="E360" s="397">
        <v>46261</v>
      </c>
      <c r="F360" s="397"/>
      <c r="G360" s="397"/>
      <c r="H360" s="397"/>
      <c r="J360" s="398">
        <f t="shared" si="65"/>
        <v>0</v>
      </c>
      <c r="K360" s="398"/>
      <c r="L360" s="399">
        <f t="shared" si="66"/>
        <v>0</v>
      </c>
      <c r="M360" s="399"/>
      <c r="N360">
        <f t="shared" si="67"/>
        <v>0</v>
      </c>
      <c r="O360" s="399"/>
      <c r="P360" s="399">
        <f t="shared" ca="1" si="68"/>
        <v>0</v>
      </c>
      <c r="Q360" s="399">
        <v>550.26</v>
      </c>
      <c r="R360" s="398">
        <v>97.7</v>
      </c>
      <c r="S360" s="398">
        <v>97.915499999999994</v>
      </c>
      <c r="T360" s="399">
        <f t="shared" si="69"/>
        <v>537.60401999999999</v>
      </c>
      <c r="U360" s="399">
        <f t="shared" si="72"/>
        <v>538.78983029999995</v>
      </c>
      <c r="V360" s="399">
        <f t="shared" si="70"/>
        <v>538.78983029999995</v>
      </c>
      <c r="W360" s="399"/>
      <c r="X360" s="399">
        <v>1.08</v>
      </c>
      <c r="Y360" s="399">
        <v>0.1099999999999999</v>
      </c>
      <c r="Z360" s="399">
        <f t="shared" si="71"/>
        <v>1.19</v>
      </c>
      <c r="AA360" s="400">
        <v>373596</v>
      </c>
      <c r="AB360" s="400" t="s">
        <v>22</v>
      </c>
      <c r="AC360" s="397">
        <v>46267</v>
      </c>
      <c r="AD360" s="400">
        <v>373967</v>
      </c>
    </row>
    <row r="361" spans="2:30" x14ac:dyDescent="0.25">
      <c r="B361" s="397">
        <f t="shared" ca="1" si="64"/>
        <v>46306</v>
      </c>
      <c r="C361" s="397" t="s">
        <v>290</v>
      </c>
      <c r="D361" t="s">
        <v>47</v>
      </c>
      <c r="E361" s="397">
        <v>46261</v>
      </c>
      <c r="F361" s="397"/>
      <c r="G361" s="397"/>
      <c r="H361" s="397"/>
      <c r="J361" s="398">
        <f t="shared" si="65"/>
        <v>0</v>
      </c>
      <c r="K361" s="398"/>
      <c r="L361" s="399">
        <f t="shared" si="66"/>
        <v>0</v>
      </c>
      <c r="M361" s="399"/>
      <c r="N361">
        <f t="shared" si="67"/>
        <v>0</v>
      </c>
      <c r="O361" s="399"/>
      <c r="P361" s="399">
        <f t="shared" ca="1" si="68"/>
        <v>0</v>
      </c>
      <c r="Q361" s="399">
        <v>518.26</v>
      </c>
      <c r="R361" s="398">
        <v>98.05</v>
      </c>
      <c r="S361" s="398">
        <v>98.166943230000001</v>
      </c>
      <c r="T361" s="399">
        <f t="shared" si="69"/>
        <v>508.15392999999995</v>
      </c>
      <c r="U361" s="399">
        <f t="shared" si="72"/>
        <v>508.75999998379797</v>
      </c>
      <c r="V361" s="399">
        <f t="shared" si="70"/>
        <v>508.75999998379797</v>
      </c>
      <c r="W361" s="399"/>
      <c r="X361" s="399">
        <v>0.51</v>
      </c>
      <c r="Y361" s="399"/>
      <c r="Z361" s="399">
        <f t="shared" si="71"/>
        <v>0.51</v>
      </c>
      <c r="AA361" s="400">
        <v>22820</v>
      </c>
      <c r="AB361" s="400" t="s">
        <v>22</v>
      </c>
      <c r="AC361" s="397">
        <v>46267</v>
      </c>
      <c r="AD361" s="400">
        <v>373967</v>
      </c>
    </row>
    <row r="362" spans="2:30" x14ac:dyDescent="0.25">
      <c r="B362" s="397">
        <f t="shared" ca="1" si="64"/>
        <v>46306</v>
      </c>
      <c r="C362" s="397" t="s">
        <v>290</v>
      </c>
      <c r="D362" t="s">
        <v>47</v>
      </c>
      <c r="E362" s="397">
        <v>46262</v>
      </c>
      <c r="F362" s="397"/>
      <c r="G362" s="397"/>
      <c r="H362" s="397"/>
      <c r="J362" s="398">
        <f t="shared" si="65"/>
        <v>0</v>
      </c>
      <c r="K362" s="398"/>
      <c r="L362" s="399">
        <f t="shared" si="66"/>
        <v>0</v>
      </c>
      <c r="M362" s="399"/>
      <c r="N362">
        <f t="shared" si="67"/>
        <v>0</v>
      </c>
      <c r="O362" s="399"/>
      <c r="P362" s="399">
        <f t="shared" ca="1" si="68"/>
        <v>0</v>
      </c>
      <c r="Q362" s="399">
        <v>782.29</v>
      </c>
      <c r="R362" s="398">
        <v>98.05</v>
      </c>
      <c r="S362" s="398">
        <v>98.216800000000006</v>
      </c>
      <c r="T362" s="399">
        <f t="shared" si="69"/>
        <v>767.03534499999989</v>
      </c>
      <c r="U362" s="399">
        <f t="shared" si="72"/>
        <v>768.34020472000009</v>
      </c>
      <c r="V362" s="399">
        <f t="shared" si="70"/>
        <v>768.34020472000009</v>
      </c>
      <c r="W362" s="399"/>
      <c r="X362" s="399">
        <v>1.1499999999999999</v>
      </c>
      <c r="Y362" s="399">
        <v>0.15000000000000011</v>
      </c>
      <c r="Z362" s="399">
        <f t="shared" si="71"/>
        <v>1.3</v>
      </c>
      <c r="AA362" s="400">
        <v>373613</v>
      </c>
      <c r="AB362" s="400" t="s">
        <v>22</v>
      </c>
      <c r="AC362" s="397">
        <v>46267</v>
      </c>
      <c r="AD362" s="400">
        <v>373967</v>
      </c>
    </row>
    <row r="363" spans="2:30" x14ac:dyDescent="0.25">
      <c r="B363" s="397">
        <f t="shared" ca="1" si="64"/>
        <v>46306</v>
      </c>
      <c r="C363" s="397" t="s">
        <v>290</v>
      </c>
      <c r="D363" t="s">
        <v>47</v>
      </c>
      <c r="E363" s="397">
        <v>46265</v>
      </c>
      <c r="F363" s="397"/>
      <c r="G363" s="397"/>
      <c r="H363" s="397"/>
      <c r="J363" s="398">
        <f t="shared" si="65"/>
        <v>0</v>
      </c>
      <c r="K363" s="398"/>
      <c r="L363" s="399">
        <f t="shared" si="66"/>
        <v>0</v>
      </c>
      <c r="M363" s="399"/>
      <c r="N363">
        <f t="shared" si="67"/>
        <v>0</v>
      </c>
      <c r="O363" s="399"/>
      <c r="P363" s="399">
        <f t="shared" ca="1" si="68"/>
        <v>0</v>
      </c>
      <c r="Q363" s="399">
        <v>5035.5</v>
      </c>
      <c r="R363" s="398">
        <v>98.1</v>
      </c>
      <c r="S363" s="398">
        <v>98.2179</v>
      </c>
      <c r="T363" s="399">
        <f t="shared" si="69"/>
        <v>4939.8254999999999</v>
      </c>
      <c r="U363" s="399">
        <f t="shared" si="72"/>
        <v>4945.7623544999997</v>
      </c>
      <c r="V363" s="399">
        <f t="shared" si="70"/>
        <v>4945.7623544999997</v>
      </c>
      <c r="W363" s="399"/>
      <c r="X363" s="399">
        <v>4.9400000000000004</v>
      </c>
      <c r="Y363" s="399">
        <v>0.98999999999999932</v>
      </c>
      <c r="Z363" s="399">
        <f t="shared" si="71"/>
        <v>5.93</v>
      </c>
      <c r="AA363" s="400">
        <v>373797</v>
      </c>
      <c r="AB363" s="400" t="s">
        <v>22</v>
      </c>
      <c r="AC363" s="397">
        <v>46267</v>
      </c>
      <c r="AD363" s="400">
        <v>373967</v>
      </c>
    </row>
    <row r="364" spans="2:30" x14ac:dyDescent="0.25">
      <c r="B364" s="397">
        <f t="shared" ca="1" si="64"/>
        <v>46306</v>
      </c>
      <c r="C364" s="397" t="s">
        <v>290</v>
      </c>
      <c r="D364" t="s">
        <v>47</v>
      </c>
      <c r="E364" s="397">
        <v>46265</v>
      </c>
      <c r="F364" s="397"/>
      <c r="G364" s="397"/>
      <c r="H364" s="397"/>
      <c r="J364" s="398">
        <f t="shared" si="65"/>
        <v>0</v>
      </c>
      <c r="K364" s="398"/>
      <c r="L364" s="399">
        <f t="shared" si="66"/>
        <v>0</v>
      </c>
      <c r="M364" s="399"/>
      <c r="N364">
        <f t="shared" si="67"/>
        <v>0</v>
      </c>
      <c r="O364" s="399"/>
      <c r="P364" s="399">
        <f t="shared" ca="1" si="68"/>
        <v>0</v>
      </c>
      <c r="Q364" s="399">
        <v>628.1</v>
      </c>
      <c r="R364" s="398">
        <v>97.9</v>
      </c>
      <c r="S364" s="398">
        <v>98.01623945</v>
      </c>
      <c r="T364" s="399">
        <f t="shared" si="69"/>
        <v>614.90990000000011</v>
      </c>
      <c r="U364" s="399">
        <f t="shared" si="72"/>
        <v>615.63999998545</v>
      </c>
      <c r="V364" s="399">
        <f t="shared" si="70"/>
        <v>615.63999998545</v>
      </c>
      <c r="W364" s="399"/>
      <c r="X364" s="399">
        <v>0.61</v>
      </c>
      <c r="Y364" s="399"/>
      <c r="Z364" s="399">
        <f t="shared" si="71"/>
        <v>0.61</v>
      </c>
      <c r="AA364" s="400">
        <v>23003</v>
      </c>
      <c r="AB364" s="400" t="s">
        <v>22</v>
      </c>
      <c r="AC364" s="397">
        <v>46267</v>
      </c>
      <c r="AD364" s="400">
        <v>373967</v>
      </c>
    </row>
    <row r="365" spans="2:30" x14ac:dyDescent="0.25">
      <c r="B365" s="397">
        <f t="shared" ca="1" si="64"/>
        <v>46306</v>
      </c>
      <c r="C365" s="397" t="s">
        <v>290</v>
      </c>
      <c r="D365" t="s">
        <v>47</v>
      </c>
      <c r="E365" s="397">
        <v>46268</v>
      </c>
      <c r="F365" s="397"/>
      <c r="G365" s="397"/>
      <c r="H365" s="397"/>
      <c r="J365" s="398">
        <f t="shared" si="65"/>
        <v>0</v>
      </c>
      <c r="K365" s="398"/>
      <c r="L365" s="399">
        <f t="shared" si="66"/>
        <v>0</v>
      </c>
      <c r="M365" s="399"/>
      <c r="N365">
        <f t="shared" si="67"/>
        <v>0</v>
      </c>
      <c r="O365" s="399"/>
      <c r="P365" s="399">
        <f t="shared" ca="1" si="68"/>
        <v>0</v>
      </c>
      <c r="Q365" s="399">
        <v>1645.6</v>
      </c>
      <c r="R365" s="398">
        <v>98.5501</v>
      </c>
      <c r="S365" s="398">
        <v>98.668000000000006</v>
      </c>
      <c r="T365" s="399">
        <f t="shared" si="69"/>
        <v>1621.7404455999997</v>
      </c>
      <c r="U365" s="399">
        <f t="shared" si="72"/>
        <v>1623.6806080000001</v>
      </c>
      <c r="V365" s="399">
        <f t="shared" si="70"/>
        <v>1623.6806080000001</v>
      </c>
      <c r="W365" s="399"/>
      <c r="X365" s="399">
        <v>1.62</v>
      </c>
      <c r="Y365" s="399">
        <v>0.31999999999999978</v>
      </c>
      <c r="Z365" s="399">
        <f t="shared" si="71"/>
        <v>1.94</v>
      </c>
      <c r="AA365" s="400">
        <v>374063</v>
      </c>
      <c r="AB365" s="400" t="s">
        <v>22</v>
      </c>
      <c r="AC365" s="397">
        <v>46272</v>
      </c>
      <c r="AD365" s="400">
        <v>3741862</v>
      </c>
    </row>
    <row r="366" spans="2:30" x14ac:dyDescent="0.25">
      <c r="B366" s="397">
        <f t="shared" ca="1" si="64"/>
        <v>46306</v>
      </c>
      <c r="C366" s="397" t="s">
        <v>290</v>
      </c>
      <c r="D366" t="s">
        <v>47</v>
      </c>
      <c r="E366" s="397">
        <v>46269</v>
      </c>
      <c r="F366" s="397"/>
      <c r="G366" s="397"/>
      <c r="H366" s="397"/>
      <c r="J366" s="398">
        <f t="shared" si="65"/>
        <v>0</v>
      </c>
      <c r="K366" s="398"/>
      <c r="L366" s="399">
        <f t="shared" si="66"/>
        <v>0</v>
      </c>
      <c r="M366" s="399"/>
      <c r="N366">
        <f t="shared" si="67"/>
        <v>0</v>
      </c>
      <c r="O366" s="399"/>
      <c r="P366" s="399">
        <f t="shared" ca="1" si="68"/>
        <v>0</v>
      </c>
      <c r="Q366" s="399">
        <v>3377.34</v>
      </c>
      <c r="R366" s="398">
        <v>98.5</v>
      </c>
      <c r="S366" s="398">
        <v>98.618399999999994</v>
      </c>
      <c r="T366" s="399">
        <f t="shared" si="69"/>
        <v>3326.6799000000001</v>
      </c>
      <c r="U366" s="399">
        <f t="shared" si="72"/>
        <v>3330.6786705599998</v>
      </c>
      <c r="V366" s="399">
        <f t="shared" si="70"/>
        <v>3330.6786705599998</v>
      </c>
      <c r="W366" s="399"/>
      <c r="X366" s="399">
        <v>3.33</v>
      </c>
      <c r="Y366" s="399">
        <v>0.66999999999999993</v>
      </c>
      <c r="Z366" s="399">
        <f t="shared" si="71"/>
        <v>4</v>
      </c>
      <c r="AA366" s="400">
        <v>374140</v>
      </c>
      <c r="AB366" s="400" t="s">
        <v>22</v>
      </c>
      <c r="AC366" s="397">
        <v>46272</v>
      </c>
      <c r="AD366" s="400">
        <v>3741862</v>
      </c>
    </row>
    <row r="367" spans="2:30" x14ac:dyDescent="0.25">
      <c r="B367" s="397">
        <f t="shared" ca="1" si="64"/>
        <v>46306</v>
      </c>
      <c r="C367" s="397" t="s">
        <v>290</v>
      </c>
      <c r="D367" t="s">
        <v>47</v>
      </c>
      <c r="E367" s="397">
        <v>46274</v>
      </c>
      <c r="F367" s="397"/>
      <c r="G367" s="397"/>
      <c r="H367" s="397"/>
      <c r="J367" s="398">
        <f t="shared" si="65"/>
        <v>0</v>
      </c>
      <c r="K367" s="398"/>
      <c r="L367" s="399">
        <f t="shared" si="66"/>
        <v>0</v>
      </c>
      <c r="M367" s="399"/>
      <c r="N367">
        <f t="shared" si="67"/>
        <v>0</v>
      </c>
      <c r="O367" s="399"/>
      <c r="P367" s="399">
        <f t="shared" ca="1" si="68"/>
        <v>0</v>
      </c>
      <c r="Q367" s="399">
        <v>674.44</v>
      </c>
      <c r="R367" s="398">
        <v>97.6</v>
      </c>
      <c r="S367" s="398">
        <v>97.766999999999996</v>
      </c>
      <c r="T367" s="399">
        <f t="shared" si="69"/>
        <v>658.25343999999996</v>
      </c>
      <c r="U367" s="399">
        <f t="shared" si="72"/>
        <v>659.37975480000011</v>
      </c>
      <c r="V367" s="399">
        <f t="shared" si="70"/>
        <v>659.37975480000011</v>
      </c>
      <c r="W367" s="399"/>
      <c r="X367" s="399">
        <v>1</v>
      </c>
      <c r="Y367" s="399">
        <v>0.12999999999999989</v>
      </c>
      <c r="Z367" s="399">
        <f t="shared" si="71"/>
        <v>1.1299999999999999</v>
      </c>
      <c r="AA367" s="400">
        <v>374463</v>
      </c>
      <c r="AB367" s="400" t="s">
        <v>22</v>
      </c>
      <c r="AC367" s="397">
        <v>46280</v>
      </c>
      <c r="AD367" s="400">
        <v>3748022</v>
      </c>
    </row>
    <row r="368" spans="2:30" x14ac:dyDescent="0.25">
      <c r="B368" s="397">
        <f t="shared" ca="1" si="64"/>
        <v>46306</v>
      </c>
      <c r="C368" s="397" t="s">
        <v>290</v>
      </c>
      <c r="D368" t="s">
        <v>47</v>
      </c>
      <c r="E368" s="397">
        <v>46274</v>
      </c>
      <c r="F368" s="397"/>
      <c r="G368" s="397"/>
      <c r="H368" s="397"/>
      <c r="J368" s="398">
        <f t="shared" si="65"/>
        <v>0</v>
      </c>
      <c r="K368" s="398"/>
      <c r="L368" s="399">
        <f t="shared" si="66"/>
        <v>0</v>
      </c>
      <c r="M368" s="399"/>
      <c r="N368">
        <f t="shared" si="67"/>
        <v>0</v>
      </c>
      <c r="O368" s="399"/>
      <c r="P368" s="399">
        <f t="shared" ca="1" si="68"/>
        <v>0</v>
      </c>
      <c r="Q368" s="399">
        <v>972.18</v>
      </c>
      <c r="R368" s="398">
        <v>97.9</v>
      </c>
      <c r="S368" s="398">
        <v>98.021971239999999</v>
      </c>
      <c r="T368" s="399">
        <f t="shared" si="69"/>
        <v>951.76422000000002</v>
      </c>
      <c r="U368" s="399">
        <f t="shared" si="72"/>
        <v>952.95000000103187</v>
      </c>
      <c r="V368" s="399">
        <f t="shared" si="70"/>
        <v>952.95000000103187</v>
      </c>
      <c r="W368" s="399"/>
      <c r="X368" s="399">
        <v>1</v>
      </c>
      <c r="Y368" s="399"/>
      <c r="Z368" s="399">
        <f t="shared" si="71"/>
        <v>1</v>
      </c>
      <c r="AA368" s="400">
        <v>23745</v>
      </c>
      <c r="AB368" s="400" t="s">
        <v>22</v>
      </c>
      <c r="AC368" s="397">
        <v>46280</v>
      </c>
      <c r="AD368" s="400">
        <v>3748022</v>
      </c>
    </row>
    <row r="369" spans="2:30" x14ac:dyDescent="0.25">
      <c r="B369" s="397">
        <f t="shared" ca="1" si="64"/>
        <v>46306</v>
      </c>
      <c r="C369" s="397" t="s">
        <v>290</v>
      </c>
      <c r="D369" t="s">
        <v>47</v>
      </c>
      <c r="E369" s="397">
        <v>46275</v>
      </c>
      <c r="F369" s="397"/>
      <c r="G369" s="397"/>
      <c r="H369" s="397"/>
      <c r="J369" s="398">
        <f t="shared" si="65"/>
        <v>0</v>
      </c>
      <c r="K369" s="398"/>
      <c r="L369" s="399">
        <f t="shared" si="66"/>
        <v>0</v>
      </c>
      <c r="M369" s="399"/>
      <c r="N369">
        <f t="shared" si="67"/>
        <v>0</v>
      </c>
      <c r="O369" s="399"/>
      <c r="P369" s="399">
        <f t="shared" ca="1" si="68"/>
        <v>0</v>
      </c>
      <c r="Q369" s="399">
        <v>573.71</v>
      </c>
      <c r="R369" s="398">
        <v>98.05</v>
      </c>
      <c r="S369" s="398">
        <v>98.242999999999995</v>
      </c>
      <c r="T369" s="399">
        <f t="shared" si="69"/>
        <v>562.52265499999999</v>
      </c>
      <c r="U369" s="399">
        <f t="shared" si="72"/>
        <v>563.62991529999999</v>
      </c>
      <c r="V369" s="399">
        <f t="shared" si="70"/>
        <v>563.62991529999999</v>
      </c>
      <c r="W369" s="399"/>
      <c r="X369" s="399">
        <v>1</v>
      </c>
      <c r="Y369" s="399">
        <v>0.1100000000000001</v>
      </c>
      <c r="Z369" s="399">
        <f t="shared" si="71"/>
        <v>1.1100000000000001</v>
      </c>
      <c r="AA369" s="400">
        <v>374522</v>
      </c>
      <c r="AB369" s="400" t="s">
        <v>22</v>
      </c>
      <c r="AC369" s="397">
        <v>46280</v>
      </c>
      <c r="AD369" s="400">
        <v>3748022</v>
      </c>
    </row>
    <row r="370" spans="2:30" x14ac:dyDescent="0.25">
      <c r="B370" s="397">
        <f t="shared" ca="1" si="64"/>
        <v>46306</v>
      </c>
      <c r="C370" s="397" t="s">
        <v>290</v>
      </c>
      <c r="D370" t="s">
        <v>47</v>
      </c>
      <c r="E370" s="397">
        <v>46275</v>
      </c>
      <c r="F370" s="397"/>
      <c r="G370" s="397"/>
      <c r="H370" s="397"/>
      <c r="J370" s="398">
        <f t="shared" si="65"/>
        <v>0</v>
      </c>
      <c r="K370" s="398"/>
      <c r="L370" s="399">
        <f t="shared" si="66"/>
        <v>0</v>
      </c>
      <c r="M370" s="399"/>
      <c r="N370">
        <f t="shared" si="67"/>
        <v>0</v>
      </c>
      <c r="O370" s="399"/>
      <c r="P370" s="399">
        <f t="shared" ca="1" si="68"/>
        <v>0</v>
      </c>
      <c r="Q370" s="399">
        <v>316.10000000000002</v>
      </c>
      <c r="R370" s="398">
        <v>97.5</v>
      </c>
      <c r="S370" s="398">
        <v>97.836100000000002</v>
      </c>
      <c r="T370" s="399">
        <f t="shared" si="69"/>
        <v>308.19750000000005</v>
      </c>
      <c r="U370" s="399">
        <f t="shared" si="72"/>
        <v>309.25991210000007</v>
      </c>
      <c r="V370" s="399">
        <f t="shared" si="70"/>
        <v>309.25991210000007</v>
      </c>
      <c r="W370" s="399"/>
      <c r="X370" s="399">
        <v>1</v>
      </c>
      <c r="Y370" s="399">
        <v>6.0000000000000053E-2</v>
      </c>
      <c r="Z370" s="399">
        <f t="shared" si="71"/>
        <v>1.06</v>
      </c>
      <c r="AA370" s="400">
        <v>374571</v>
      </c>
      <c r="AB370" s="400" t="s">
        <v>22</v>
      </c>
      <c r="AC370" s="397">
        <v>46280</v>
      </c>
      <c r="AD370" s="400">
        <v>3748022</v>
      </c>
    </row>
    <row r="371" spans="2:30" x14ac:dyDescent="0.25">
      <c r="B371" s="397">
        <f t="shared" ca="1" si="64"/>
        <v>46306</v>
      </c>
      <c r="C371" s="397" t="s">
        <v>290</v>
      </c>
      <c r="D371" t="s">
        <v>47</v>
      </c>
      <c r="E371" s="397">
        <v>46275</v>
      </c>
      <c r="F371" s="397"/>
      <c r="G371" s="397"/>
      <c r="H371" s="397"/>
      <c r="J371" s="398">
        <f t="shared" si="65"/>
        <v>0</v>
      </c>
      <c r="K371" s="398"/>
      <c r="L371" s="399">
        <f t="shared" si="66"/>
        <v>0</v>
      </c>
      <c r="M371" s="399"/>
      <c r="N371">
        <f t="shared" si="67"/>
        <v>0</v>
      </c>
      <c r="O371" s="399"/>
      <c r="P371" s="399">
        <f t="shared" ca="1" si="68"/>
        <v>0</v>
      </c>
      <c r="Q371" s="399">
        <v>524.04</v>
      </c>
      <c r="R371" s="398">
        <v>97.75</v>
      </c>
      <c r="S371" s="398">
        <v>97.960079379999996</v>
      </c>
      <c r="T371" s="399">
        <f t="shared" si="69"/>
        <v>512.2491</v>
      </c>
      <c r="U371" s="399">
        <f t="shared" si="72"/>
        <v>513.34999998295189</v>
      </c>
      <c r="V371" s="399">
        <f t="shared" si="70"/>
        <v>513.34999998295189</v>
      </c>
      <c r="W371" s="399"/>
      <c r="X371" s="399">
        <v>1</v>
      </c>
      <c r="Y371" s="399"/>
      <c r="Z371" s="399">
        <f t="shared" si="71"/>
        <v>1</v>
      </c>
      <c r="AA371" s="400">
        <v>23865</v>
      </c>
      <c r="AB371" s="400" t="s">
        <v>22</v>
      </c>
      <c r="AC371" s="397">
        <v>46280</v>
      </c>
      <c r="AD371" s="400">
        <v>3748022</v>
      </c>
    </row>
    <row r="372" spans="2:30" x14ac:dyDescent="0.25">
      <c r="B372" s="397">
        <f t="shared" ca="1" si="64"/>
        <v>46306</v>
      </c>
      <c r="C372" s="397" t="s">
        <v>290</v>
      </c>
      <c r="D372" t="s">
        <v>47</v>
      </c>
      <c r="E372" s="397">
        <v>46275</v>
      </c>
      <c r="F372" s="397"/>
      <c r="G372" s="397"/>
      <c r="H372" s="397"/>
      <c r="J372" s="398">
        <f t="shared" si="65"/>
        <v>0</v>
      </c>
      <c r="K372" s="398"/>
      <c r="L372" s="399">
        <f t="shared" si="66"/>
        <v>0</v>
      </c>
      <c r="M372" s="399"/>
      <c r="N372">
        <f t="shared" si="67"/>
        <v>0</v>
      </c>
      <c r="O372" s="399"/>
      <c r="P372" s="399">
        <f t="shared" ca="1" si="68"/>
        <v>0</v>
      </c>
      <c r="Q372" s="399">
        <v>1254.03</v>
      </c>
      <c r="R372" s="398">
        <v>98.15</v>
      </c>
      <c r="S372" s="398">
        <v>98.26798402</v>
      </c>
      <c r="T372" s="399">
        <f t="shared" si="69"/>
        <v>1230.8304450000001</v>
      </c>
      <c r="U372" s="399">
        <f t="shared" si="72"/>
        <v>1232.310000006006</v>
      </c>
      <c r="V372" s="399">
        <f t="shared" si="70"/>
        <v>1232.310000006006</v>
      </c>
      <c r="W372" s="399"/>
      <c r="X372" s="399">
        <v>1.23</v>
      </c>
      <c r="Y372" s="399"/>
      <c r="Z372" s="399">
        <f t="shared" si="71"/>
        <v>1.23</v>
      </c>
      <c r="AA372" s="400">
        <v>23866</v>
      </c>
      <c r="AB372" s="400" t="s">
        <v>22</v>
      </c>
      <c r="AC372" s="397">
        <v>46280</v>
      </c>
      <c r="AD372" s="400">
        <v>3748022</v>
      </c>
    </row>
    <row r="373" spans="2:30" x14ac:dyDescent="0.25">
      <c r="B373" s="397">
        <f t="shared" ca="1" si="64"/>
        <v>46306</v>
      </c>
      <c r="C373" s="397" t="s">
        <v>290</v>
      </c>
      <c r="D373" t="s">
        <v>47</v>
      </c>
      <c r="E373" s="397">
        <v>46276</v>
      </c>
      <c r="F373" s="397"/>
      <c r="G373" s="397"/>
      <c r="H373" s="397"/>
      <c r="J373" s="398">
        <f t="shared" si="65"/>
        <v>0</v>
      </c>
      <c r="K373" s="398"/>
      <c r="L373" s="399">
        <f t="shared" si="66"/>
        <v>0</v>
      </c>
      <c r="M373" s="399"/>
      <c r="N373">
        <f t="shared" si="67"/>
        <v>0</v>
      </c>
      <c r="O373" s="399"/>
      <c r="P373" s="399">
        <f t="shared" ca="1" si="68"/>
        <v>0</v>
      </c>
      <c r="Q373" s="399">
        <v>209.04</v>
      </c>
      <c r="R373" s="398">
        <v>98</v>
      </c>
      <c r="S373" s="398">
        <v>98.497900000000001</v>
      </c>
      <c r="T373" s="399">
        <f t="shared" si="69"/>
        <v>204.85919999999999</v>
      </c>
      <c r="U373" s="399">
        <f t="shared" si="72"/>
        <v>205.90001015999999</v>
      </c>
      <c r="V373" s="399">
        <f t="shared" si="70"/>
        <v>205.90001015999999</v>
      </c>
      <c r="W373" s="399"/>
      <c r="X373" s="399">
        <v>1</v>
      </c>
      <c r="Y373" s="399">
        <v>4.0000000000000042E-2</v>
      </c>
      <c r="Z373" s="399">
        <f t="shared" si="71"/>
        <v>1.04</v>
      </c>
      <c r="AA373" s="400">
        <v>374665</v>
      </c>
      <c r="AB373" s="400" t="s">
        <v>22</v>
      </c>
      <c r="AC373" s="397">
        <v>46280</v>
      </c>
      <c r="AD373" s="400">
        <v>3748022</v>
      </c>
    </row>
    <row r="374" spans="2:30" x14ac:dyDescent="0.25">
      <c r="B374" s="397">
        <f t="shared" ca="1" si="64"/>
        <v>46306</v>
      </c>
      <c r="C374" s="397" t="s">
        <v>290</v>
      </c>
      <c r="D374" t="s">
        <v>47</v>
      </c>
      <c r="E374" s="397">
        <v>46276</v>
      </c>
      <c r="F374" s="397"/>
      <c r="G374" s="397"/>
      <c r="H374" s="397"/>
      <c r="J374" s="398">
        <f t="shared" si="65"/>
        <v>0</v>
      </c>
      <c r="K374" s="398"/>
      <c r="L374" s="399">
        <f t="shared" si="66"/>
        <v>0</v>
      </c>
      <c r="M374" s="399"/>
      <c r="N374">
        <f t="shared" si="67"/>
        <v>0</v>
      </c>
      <c r="O374" s="399"/>
      <c r="P374" s="399">
        <f t="shared" ca="1" si="68"/>
        <v>0</v>
      </c>
      <c r="Q374" s="399">
        <v>3873.13</v>
      </c>
      <c r="R374" s="398">
        <v>98.35</v>
      </c>
      <c r="S374" s="398">
        <v>98.467905799999997</v>
      </c>
      <c r="T374" s="399">
        <f t="shared" si="69"/>
        <v>3809.2233550000001</v>
      </c>
      <c r="U374" s="399">
        <f t="shared" si="72"/>
        <v>3813.7899999115402</v>
      </c>
      <c r="V374" s="399">
        <f t="shared" si="70"/>
        <v>3813.7899999115402</v>
      </c>
      <c r="W374" s="399"/>
      <c r="X374" s="399">
        <v>3.81</v>
      </c>
      <c r="Y374" s="399"/>
      <c r="Z374" s="399">
        <f t="shared" si="71"/>
        <v>3.81</v>
      </c>
      <c r="AA374" s="400">
        <v>23919</v>
      </c>
      <c r="AB374" s="400" t="s">
        <v>22</v>
      </c>
      <c r="AC374" s="397">
        <v>46280</v>
      </c>
      <c r="AD374" s="400">
        <v>3748022</v>
      </c>
    </row>
    <row r="375" spans="2:30" x14ac:dyDescent="0.25">
      <c r="B375" s="397">
        <f t="shared" ca="1" si="64"/>
        <v>46306</v>
      </c>
      <c r="C375" s="397" t="s">
        <v>290</v>
      </c>
      <c r="D375" t="s">
        <v>47</v>
      </c>
      <c r="E375" s="397">
        <v>46276</v>
      </c>
      <c r="F375" s="397"/>
      <c r="G375" s="397"/>
      <c r="H375" s="397"/>
      <c r="J375" s="398">
        <f t="shared" si="65"/>
        <v>0</v>
      </c>
      <c r="K375" s="398"/>
      <c r="L375" s="399">
        <f t="shared" si="66"/>
        <v>0</v>
      </c>
      <c r="M375" s="399"/>
      <c r="N375">
        <f t="shared" si="67"/>
        <v>0</v>
      </c>
      <c r="O375" s="399"/>
      <c r="P375" s="399">
        <f t="shared" ca="1" si="68"/>
        <v>0</v>
      </c>
      <c r="Q375" s="399">
        <v>1336.15</v>
      </c>
      <c r="R375" s="398">
        <v>98.27</v>
      </c>
      <c r="S375" s="398">
        <v>98.43655278</v>
      </c>
      <c r="T375" s="399">
        <f t="shared" si="69"/>
        <v>1313.0346050000001</v>
      </c>
      <c r="U375" s="399">
        <f t="shared" si="72"/>
        <v>1315.2599999699701</v>
      </c>
      <c r="V375" s="399">
        <f t="shared" si="70"/>
        <v>1315.2599999699701</v>
      </c>
      <c r="W375" s="399"/>
      <c r="X375" s="399">
        <v>1.97</v>
      </c>
      <c r="Y375" s="399"/>
      <c r="Z375" s="399">
        <f t="shared" si="71"/>
        <v>1.97</v>
      </c>
      <c r="AA375" s="400">
        <v>23962</v>
      </c>
      <c r="AB375" s="400" t="s">
        <v>22</v>
      </c>
      <c r="AC375" s="397">
        <v>46280</v>
      </c>
      <c r="AD375" s="400">
        <v>3748022</v>
      </c>
    </row>
    <row r="376" spans="2:30" x14ac:dyDescent="0.25">
      <c r="B376" s="397">
        <f t="shared" ca="1" si="64"/>
        <v>46306</v>
      </c>
      <c r="C376" s="397" t="s">
        <v>290</v>
      </c>
      <c r="D376" t="s">
        <v>47</v>
      </c>
      <c r="E376" s="397">
        <v>46276</v>
      </c>
      <c r="F376" s="397"/>
      <c r="G376" s="397"/>
      <c r="H376" s="397"/>
      <c r="J376" s="398">
        <f t="shared" si="65"/>
        <v>0</v>
      </c>
      <c r="K376" s="398"/>
      <c r="L376" s="399">
        <f t="shared" si="66"/>
        <v>0</v>
      </c>
      <c r="M376" s="399"/>
      <c r="N376">
        <f t="shared" si="67"/>
        <v>0</v>
      </c>
      <c r="O376" s="399"/>
      <c r="P376" s="399">
        <f t="shared" ca="1" si="68"/>
        <v>0</v>
      </c>
      <c r="Q376" s="399">
        <v>2283.7800000000002</v>
      </c>
      <c r="R376" s="398">
        <v>98.25</v>
      </c>
      <c r="S376" s="398">
        <v>98.41709797</v>
      </c>
      <c r="T376" s="399">
        <f t="shared" si="69"/>
        <v>2243.81385</v>
      </c>
      <c r="U376" s="399">
        <f t="shared" si="72"/>
        <v>2247.6300000192659</v>
      </c>
      <c r="V376" s="399">
        <f t="shared" si="70"/>
        <v>2247.6300000192659</v>
      </c>
      <c r="W376" s="399"/>
      <c r="X376" s="399">
        <v>3.37</v>
      </c>
      <c r="Y376" s="399"/>
      <c r="Z376" s="399">
        <f t="shared" si="71"/>
        <v>3.37</v>
      </c>
      <c r="AA376" s="400">
        <v>23980</v>
      </c>
      <c r="AB376" s="400" t="s">
        <v>22</v>
      </c>
      <c r="AC376" s="397">
        <v>46280</v>
      </c>
      <c r="AD376" s="400">
        <v>3748022</v>
      </c>
    </row>
    <row r="377" spans="2:30" x14ac:dyDescent="0.25">
      <c r="B377" s="397">
        <f t="shared" ca="1" si="64"/>
        <v>46306</v>
      </c>
      <c r="C377" s="397" t="s">
        <v>290</v>
      </c>
      <c r="D377" t="s">
        <v>47</v>
      </c>
      <c r="E377" s="397">
        <v>46286</v>
      </c>
      <c r="F377" s="397"/>
      <c r="G377" s="397"/>
      <c r="H377" s="397"/>
      <c r="J377" s="398">
        <f t="shared" si="65"/>
        <v>0</v>
      </c>
      <c r="K377" s="398"/>
      <c r="L377" s="399">
        <f t="shared" si="66"/>
        <v>0</v>
      </c>
      <c r="M377" s="399"/>
      <c r="N377">
        <f t="shared" si="67"/>
        <v>0</v>
      </c>
      <c r="O377" s="399"/>
      <c r="P377" s="399">
        <f t="shared" ca="1" si="68"/>
        <v>0</v>
      </c>
      <c r="Q377" s="399">
        <v>213.27</v>
      </c>
      <c r="R377" s="398">
        <v>98</v>
      </c>
      <c r="S377" s="398">
        <v>98.485500000000002</v>
      </c>
      <c r="T377" s="399">
        <f t="shared" si="69"/>
        <v>209.00460000000004</v>
      </c>
      <c r="U377" s="399">
        <f t="shared" si="72"/>
        <v>210.04002585000001</v>
      </c>
      <c r="V377" s="399">
        <f t="shared" si="70"/>
        <v>210.04002585000001</v>
      </c>
      <c r="W377" s="399"/>
      <c r="X377" s="399">
        <v>1</v>
      </c>
      <c r="Y377" s="399">
        <v>4.0000000000000042E-2</v>
      </c>
      <c r="Z377" s="399">
        <f t="shared" si="71"/>
        <v>1.04</v>
      </c>
      <c r="AA377" s="400">
        <v>375069</v>
      </c>
      <c r="AB377" s="400" t="s">
        <v>241</v>
      </c>
      <c r="AC377" s="397"/>
      <c r="AD377" s="400"/>
    </row>
  </sheetData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8"/>
  <dimension ref="B2:H23"/>
  <sheetViews>
    <sheetView zoomScale="120" zoomScaleNormal="120" workbookViewId="0">
      <selection activeCell="F15" sqref="F15"/>
    </sheetView>
  </sheetViews>
  <sheetFormatPr baseColWidth="10" defaultRowHeight="15" x14ac:dyDescent="0.25"/>
  <cols>
    <col min="1" max="1" width="2.7109375" customWidth="1"/>
    <col min="2" max="2" width="19.85546875" customWidth="1"/>
    <col min="3" max="3" width="14.140625" bestFit="1" customWidth="1"/>
    <col min="4" max="4" width="15.28515625" bestFit="1" customWidth="1"/>
    <col min="5" max="5" width="12.85546875" bestFit="1" customWidth="1"/>
    <col min="6" max="6" width="13.5703125" bestFit="1" customWidth="1"/>
    <col min="7" max="14" width="12.28515625" bestFit="1" customWidth="1"/>
    <col min="15" max="15" width="11.85546875" bestFit="1" customWidth="1"/>
  </cols>
  <sheetData>
    <row r="2" spans="2:8" x14ac:dyDescent="0.25">
      <c r="B2" s="332" t="s">
        <v>344</v>
      </c>
      <c r="C2" t="s">
        <v>345</v>
      </c>
    </row>
    <row r="4" spans="2:8" x14ac:dyDescent="0.25">
      <c r="C4" s="332" t="s">
        <v>227</v>
      </c>
    </row>
    <row r="5" spans="2:8" x14ac:dyDescent="0.25">
      <c r="B5" s="332" t="s">
        <v>346</v>
      </c>
      <c r="C5" s="365" t="s">
        <v>229</v>
      </c>
      <c r="D5" s="365" t="s">
        <v>347</v>
      </c>
      <c r="E5" t="s">
        <v>348</v>
      </c>
      <c r="F5" s="301"/>
      <c r="H5" s="301"/>
    </row>
    <row r="6" spans="2:8" x14ac:dyDescent="0.25">
      <c r="B6" s="330" t="s">
        <v>138</v>
      </c>
      <c r="C6" s="365">
        <v>0</v>
      </c>
      <c r="D6" s="365"/>
      <c r="E6">
        <v>9</v>
      </c>
      <c r="F6" s="301"/>
      <c r="H6" s="301"/>
    </row>
    <row r="7" spans="2:8" x14ac:dyDescent="0.25">
      <c r="B7" s="330" t="s">
        <v>46</v>
      </c>
      <c r="C7" s="365">
        <v>2.4333078714136036E-3</v>
      </c>
      <c r="D7" s="365">
        <v>18655.49807999999</v>
      </c>
      <c r="E7">
        <v>24</v>
      </c>
    </row>
    <row r="8" spans="2:8" x14ac:dyDescent="0.25">
      <c r="B8" s="330" t="s">
        <v>48</v>
      </c>
      <c r="C8" s="365">
        <v>9.6485420753822382E-4</v>
      </c>
      <c r="D8" s="365">
        <v>4594.2836466057215</v>
      </c>
      <c r="E8">
        <v>214</v>
      </c>
    </row>
    <row r="9" spans="2:8" x14ac:dyDescent="0.25">
      <c r="B9" s="330" t="s">
        <v>47</v>
      </c>
      <c r="C9" s="365">
        <v>2793.880000000001</v>
      </c>
      <c r="D9" s="365">
        <v>37076.224122845895</v>
      </c>
      <c r="E9">
        <v>325</v>
      </c>
      <c r="F9" s="301"/>
      <c r="H9" s="301"/>
    </row>
    <row r="10" spans="2:8" x14ac:dyDescent="0.25">
      <c r="B10" s="330" t="s">
        <v>191</v>
      </c>
      <c r="C10" s="365">
        <v>2793.8833981620774</v>
      </c>
      <c r="D10" s="365">
        <v>60326.005849451627</v>
      </c>
      <c r="E10">
        <v>572</v>
      </c>
      <c r="F10" s="301"/>
      <c r="H10" s="301"/>
    </row>
    <row r="12" spans="2:8" x14ac:dyDescent="0.25">
      <c r="F12" s="301"/>
      <c r="H12" s="301"/>
    </row>
    <row r="17" spans="6:8" x14ac:dyDescent="0.25">
      <c r="F17" s="301"/>
      <c r="H17" s="301"/>
    </row>
    <row r="21" spans="6:8" x14ac:dyDescent="0.25">
      <c r="F21" s="301"/>
      <c r="H21" s="301"/>
    </row>
    <row r="23" spans="6:8" x14ac:dyDescent="0.25">
      <c r="F23" s="301"/>
      <c r="G23" s="29"/>
      <c r="H23" s="301"/>
    </row>
  </sheetData>
  <conditionalFormatting pivot="1" sqref="C5:C9">
    <cfRule type="cellIs" dxfId="17" priority="2" operator="greaterThan">
      <formula>0</formula>
    </cfRule>
    <cfRule type="cellIs" dxfId="16" priority="3" operator="lessThan">
      <formula>0</formula>
    </cfRule>
  </conditionalFormatting>
  <conditionalFormatting pivot="1" sqref="D5:D9">
    <cfRule type="cellIs" dxfId="15" priority="1" operator="greater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B1:H574"/>
  <sheetViews>
    <sheetView zoomScale="120" zoomScaleNormal="120" workbookViewId="0">
      <pane ySplit="2" topLeftCell="A547" activePane="bottomLeft" state="frozen"/>
      <selection pane="bottomLeft" activeCell="B575" sqref="B575"/>
    </sheetView>
  </sheetViews>
  <sheetFormatPr baseColWidth="10" defaultRowHeight="15" x14ac:dyDescent="0.25"/>
  <cols>
    <col min="1" max="1" width="2.7109375" customWidth="1"/>
    <col min="4" max="4" width="29.85546875" bestFit="1" customWidth="1"/>
    <col min="5" max="5" width="13.5703125" bestFit="1" customWidth="1"/>
    <col min="6" max="6" width="11.85546875" bestFit="1" customWidth="1"/>
    <col min="7" max="7" width="12.42578125" bestFit="1" customWidth="1"/>
    <col min="8" max="8" width="13.5703125" bestFit="1" customWidth="1"/>
  </cols>
  <sheetData>
    <row r="1" spans="2:8" x14ac:dyDescent="0.25">
      <c r="E1" s="326">
        <f>SUBTOTAL(9,BaseOperacionesReales[Valor])</f>
        <v>2793.8833981621938</v>
      </c>
      <c r="F1" s="326">
        <f>SUBTOTAL(9,BaseOperacionesReales[Utilidad])</f>
        <v>60326.005849451605</v>
      </c>
    </row>
    <row r="2" spans="2:8" x14ac:dyDescent="0.25">
      <c r="B2" s="32" t="s">
        <v>344</v>
      </c>
      <c r="C2" s="32" t="s">
        <v>62</v>
      </c>
      <c r="D2" s="32" t="s">
        <v>349</v>
      </c>
      <c r="E2" s="303" t="s">
        <v>193</v>
      </c>
      <c r="F2" s="303" t="s">
        <v>350</v>
      </c>
      <c r="G2" s="32" t="s">
        <v>351</v>
      </c>
      <c r="H2" s="32" t="s">
        <v>352</v>
      </c>
    </row>
    <row r="3" spans="2:8" x14ac:dyDescent="0.25">
      <c r="B3" s="1">
        <v>46118</v>
      </c>
      <c r="C3" s="1" t="s">
        <v>46</v>
      </c>
      <c r="D3" t="s">
        <v>353</v>
      </c>
      <c r="E3" s="301">
        <v>27564.55</v>
      </c>
      <c r="F3" s="301">
        <v>2820.15</v>
      </c>
      <c r="G3" s="301">
        <v>27564.55</v>
      </c>
      <c r="H3" s="301">
        <f>IF(BaseOperacionesReales[[#This Row],[Dato PDF]]&lt;&gt;"",BaseOperacionesReales[[#This Row],[Dato PDF]]-BaseOperacionesReales[[#This Row],[Valor]],0)</f>
        <v>0</v>
      </c>
    </row>
    <row r="4" spans="2:8" x14ac:dyDescent="0.25">
      <c r="B4" s="1">
        <v>46118</v>
      </c>
      <c r="C4" s="1" t="s">
        <v>46</v>
      </c>
      <c r="D4" t="s">
        <v>353</v>
      </c>
      <c r="E4" s="301">
        <v>17028.349999999999</v>
      </c>
      <c r="F4" s="301">
        <v>3383.85</v>
      </c>
      <c r="G4" s="301">
        <v>17028.349999999999</v>
      </c>
      <c r="H4" s="301">
        <f>IF(BaseOperacionesReales[[#This Row],[Dato PDF]]&lt;&gt;"",BaseOperacionesReales[[#This Row],[Dato PDF]]-BaseOperacionesReales[[#This Row],[Valor]],0)</f>
        <v>0</v>
      </c>
    </row>
    <row r="5" spans="2:8" x14ac:dyDescent="0.25">
      <c r="B5" s="1">
        <v>46118</v>
      </c>
      <c r="C5" s="1" t="s">
        <v>46</v>
      </c>
      <c r="D5" t="s">
        <v>353</v>
      </c>
      <c r="E5" s="301">
        <v>19909.09</v>
      </c>
      <c r="F5" s="301">
        <v>4259.83</v>
      </c>
      <c r="G5" s="301">
        <v>19909.09</v>
      </c>
      <c r="H5" s="301">
        <f>IF(BaseOperacionesReales[[#This Row],[Dato PDF]]&lt;&gt;"",BaseOperacionesReales[[#This Row],[Dato PDF]]-BaseOperacionesReales[[#This Row],[Valor]],0)</f>
        <v>0</v>
      </c>
    </row>
    <row r="6" spans="2:8" x14ac:dyDescent="0.25">
      <c r="B6" s="1">
        <v>46120</v>
      </c>
      <c r="C6" s="1" t="s">
        <v>46</v>
      </c>
      <c r="D6" t="s">
        <v>353</v>
      </c>
      <c r="E6" s="301">
        <v>9818.2199999999993</v>
      </c>
      <c r="F6" s="301">
        <v>1166.99</v>
      </c>
      <c r="G6" s="301">
        <v>9818.2199999999993</v>
      </c>
      <c r="H6" s="301">
        <f>IF(BaseOperacionesReales[[#This Row],[Dato PDF]]&lt;&gt;"",BaseOperacionesReales[[#This Row],[Dato PDF]]-BaseOperacionesReales[[#This Row],[Valor]],0)</f>
        <v>0</v>
      </c>
    </row>
    <row r="7" spans="2:8" x14ac:dyDescent="0.25">
      <c r="B7" s="1">
        <v>46120</v>
      </c>
      <c r="C7" s="1" t="s">
        <v>46</v>
      </c>
      <c r="D7" t="s">
        <v>353</v>
      </c>
      <c r="E7" s="301">
        <v>2154.54</v>
      </c>
      <c r="F7" s="301">
        <v>253.53</v>
      </c>
      <c r="G7" s="301">
        <v>2154.54</v>
      </c>
      <c r="H7" s="301">
        <f>IF(BaseOperacionesReales[[#This Row],[Dato PDF]]&lt;&gt;"",BaseOperacionesReales[[#This Row],[Dato PDF]]-BaseOperacionesReales[[#This Row],[Valor]],0)</f>
        <v>0</v>
      </c>
    </row>
    <row r="8" spans="2:8" x14ac:dyDescent="0.25">
      <c r="B8" s="1">
        <v>46118</v>
      </c>
      <c r="C8" s="1" t="s">
        <v>48</v>
      </c>
      <c r="D8" t="s">
        <v>353</v>
      </c>
      <c r="E8" s="301">
        <v>5004.16</v>
      </c>
      <c r="F8" s="301">
        <v>1156.29</v>
      </c>
      <c r="G8" s="301">
        <v>5004.16</v>
      </c>
      <c r="H8" s="301">
        <f>IF(BaseOperacionesReales[[#This Row],[Dato PDF]]&lt;&gt;"",BaseOperacionesReales[[#This Row],[Dato PDF]]-BaseOperacionesReales[[#This Row],[Valor]],0)</f>
        <v>0</v>
      </c>
    </row>
    <row r="9" spans="2:8" x14ac:dyDescent="0.25">
      <c r="B9" s="1">
        <v>46118</v>
      </c>
      <c r="C9" s="1" t="s">
        <v>48</v>
      </c>
      <c r="D9" t="s">
        <v>353</v>
      </c>
      <c r="E9" s="301">
        <v>7921.83</v>
      </c>
      <c r="F9" s="301">
        <v>1789.87</v>
      </c>
      <c r="G9" s="301">
        <v>7921.83</v>
      </c>
      <c r="H9" s="301">
        <f>IF(BaseOperacionesReales[[#This Row],[Dato PDF]]&lt;&gt;"",BaseOperacionesReales[[#This Row],[Dato PDF]]-BaseOperacionesReales[[#This Row],[Valor]],0)</f>
        <v>0</v>
      </c>
    </row>
    <row r="10" spans="2:8" x14ac:dyDescent="0.25">
      <c r="B10" s="1">
        <v>46118</v>
      </c>
      <c r="C10" s="1" t="s">
        <v>48</v>
      </c>
      <c r="D10" t="s">
        <v>353</v>
      </c>
      <c r="E10" s="301">
        <v>6685.23</v>
      </c>
      <c r="F10" s="301">
        <v>1446.65</v>
      </c>
      <c r="G10" s="301">
        <v>6685.23</v>
      </c>
      <c r="H10" s="301">
        <f>IF(BaseOperacionesReales[[#This Row],[Dato PDF]]&lt;&gt;"",BaseOperacionesReales[[#This Row],[Dato PDF]]-BaseOperacionesReales[[#This Row],[Valor]],0)</f>
        <v>0</v>
      </c>
    </row>
    <row r="11" spans="2:8" x14ac:dyDescent="0.25">
      <c r="B11" s="1">
        <v>46119</v>
      </c>
      <c r="C11" s="1" t="s">
        <v>47</v>
      </c>
      <c r="D11" t="s">
        <v>353</v>
      </c>
      <c r="E11" s="301">
        <v>21367.09</v>
      </c>
      <c r="F11" s="301">
        <v>3625.5</v>
      </c>
      <c r="G11" s="301">
        <v>21367.09</v>
      </c>
      <c r="H11" s="301">
        <f>IF(BaseOperacionesReales[[#This Row],[Dato PDF]]&lt;&gt;"",BaseOperacionesReales[[#This Row],[Dato PDF]]-BaseOperacionesReales[[#This Row],[Valor]],0)</f>
        <v>0</v>
      </c>
    </row>
    <row r="12" spans="2:8" x14ac:dyDescent="0.25">
      <c r="B12" s="1">
        <v>46119</v>
      </c>
      <c r="C12" s="1" t="s">
        <v>47</v>
      </c>
      <c r="D12" t="s">
        <v>353</v>
      </c>
      <c r="E12" s="301">
        <v>18079.46</v>
      </c>
      <c r="F12" s="301">
        <v>3523.88</v>
      </c>
      <c r="G12" s="301">
        <v>18079.46</v>
      </c>
      <c r="H12" s="301">
        <f>IF(BaseOperacionesReales[[#This Row],[Dato PDF]]&lt;&gt;"",BaseOperacionesReales[[#This Row],[Dato PDF]]-BaseOperacionesReales[[#This Row],[Valor]],0)</f>
        <v>0</v>
      </c>
    </row>
    <row r="13" spans="2:8" x14ac:dyDescent="0.25">
      <c r="B13" s="1">
        <v>46119</v>
      </c>
      <c r="C13" s="1" t="s">
        <v>47</v>
      </c>
      <c r="D13" t="s">
        <v>353</v>
      </c>
      <c r="E13" s="301">
        <v>24279.18</v>
      </c>
      <c r="F13" s="301">
        <v>5594.65</v>
      </c>
      <c r="G13" s="301">
        <v>24279.18</v>
      </c>
      <c r="H13" s="301">
        <f>IF(BaseOperacionesReales[[#This Row],[Dato PDF]]&lt;&gt;"",BaseOperacionesReales[[#This Row],[Dato PDF]]-BaseOperacionesReales[[#This Row],[Valor]],0)</f>
        <v>0</v>
      </c>
    </row>
    <row r="14" spans="2:8" x14ac:dyDescent="0.25">
      <c r="B14" s="1">
        <v>46119</v>
      </c>
      <c r="C14" s="1" t="s">
        <v>47</v>
      </c>
      <c r="D14" t="s">
        <v>353</v>
      </c>
      <c r="E14" s="301">
        <v>10791.04</v>
      </c>
      <c r="F14" s="301">
        <v>345.89</v>
      </c>
      <c r="G14" s="301">
        <v>10791.04</v>
      </c>
      <c r="H14" s="301">
        <f>IF(BaseOperacionesReales[[#This Row],[Dato PDF]]&lt;&gt;"",BaseOperacionesReales[[#This Row],[Dato PDF]]-BaseOperacionesReales[[#This Row],[Valor]],0)</f>
        <v>0</v>
      </c>
    </row>
    <row r="15" spans="2:8" x14ac:dyDescent="0.25">
      <c r="B15" s="1">
        <v>46119</v>
      </c>
      <c r="C15" s="1" t="s">
        <v>47</v>
      </c>
      <c r="D15" t="s">
        <v>353</v>
      </c>
      <c r="E15" s="301">
        <v>31349.81</v>
      </c>
      <c r="F15" s="301">
        <v>2426.87</v>
      </c>
      <c r="G15" s="301">
        <v>31349.81</v>
      </c>
      <c r="H15" s="301">
        <f>IF(BaseOperacionesReales[[#This Row],[Dato PDF]]&lt;&gt;"",BaseOperacionesReales[[#This Row],[Dato PDF]]-BaseOperacionesReales[[#This Row],[Valor]],0)</f>
        <v>0</v>
      </c>
    </row>
    <row r="16" spans="2:8" x14ac:dyDescent="0.25">
      <c r="B16" s="1">
        <v>46119</v>
      </c>
      <c r="C16" s="1" t="s">
        <v>47</v>
      </c>
      <c r="D16" t="s">
        <v>353</v>
      </c>
      <c r="E16" s="301">
        <v>24480.71</v>
      </c>
      <c r="F16" s="301">
        <v>1961.78</v>
      </c>
      <c r="G16" s="301">
        <v>24480.71</v>
      </c>
      <c r="H16" s="301">
        <f>IF(BaseOperacionesReales[[#This Row],[Dato PDF]]&lt;&gt;"",BaseOperacionesReales[[#This Row],[Dato PDF]]-BaseOperacionesReales[[#This Row],[Valor]],0)</f>
        <v>0</v>
      </c>
    </row>
    <row r="17" spans="2:8" x14ac:dyDescent="0.25">
      <c r="B17" s="1">
        <v>46120</v>
      </c>
      <c r="C17" s="1" t="s">
        <v>47</v>
      </c>
      <c r="D17" t="s">
        <v>353</v>
      </c>
      <c r="E17" s="301">
        <v>6153.26</v>
      </c>
      <c r="F17" s="301">
        <v>356.22</v>
      </c>
      <c r="G17" s="301">
        <v>6153.26</v>
      </c>
      <c r="H17" s="301">
        <f>IF(BaseOperacionesReales[[#This Row],[Dato PDF]]&lt;&gt;"",BaseOperacionesReales[[#This Row],[Dato PDF]]-BaseOperacionesReales[[#This Row],[Valor]],0)</f>
        <v>0</v>
      </c>
    </row>
    <row r="18" spans="2:8" x14ac:dyDescent="0.25">
      <c r="B18" s="1">
        <v>46120</v>
      </c>
      <c r="C18" s="1" t="s">
        <v>47</v>
      </c>
      <c r="D18" t="s">
        <v>353</v>
      </c>
      <c r="E18" s="301">
        <v>3922.14</v>
      </c>
      <c r="F18" s="301">
        <v>271.89999999999998</v>
      </c>
      <c r="G18" s="301">
        <v>3922.14</v>
      </c>
      <c r="H18" s="301">
        <f>IF(BaseOperacionesReales[[#This Row],[Dato PDF]]&lt;&gt;"",BaseOperacionesReales[[#This Row],[Dato PDF]]-BaseOperacionesReales[[#This Row],[Valor]],0)</f>
        <v>0</v>
      </c>
    </row>
    <row r="19" spans="2:8" x14ac:dyDescent="0.25">
      <c r="B19" s="1">
        <v>46120</v>
      </c>
      <c r="C19" s="1" t="s">
        <v>47</v>
      </c>
      <c r="D19" t="s">
        <v>354</v>
      </c>
      <c r="E19" s="301">
        <v>1980</v>
      </c>
      <c r="F19" s="301">
        <v>0</v>
      </c>
      <c r="G19" s="301"/>
      <c r="H19" s="301">
        <f>IF(BaseOperacionesReales[[#This Row],[Dato PDF]]&lt;&gt;"",BaseOperacionesReales[[#This Row],[Dato PDF]]-BaseOperacionesReales[[#This Row],[Valor]],0)</f>
        <v>0</v>
      </c>
    </row>
    <row r="20" spans="2:8" x14ac:dyDescent="0.25">
      <c r="B20" s="1">
        <v>46120</v>
      </c>
      <c r="C20" s="1" t="s">
        <v>47</v>
      </c>
      <c r="D20" t="s">
        <v>355</v>
      </c>
      <c r="E20" s="301">
        <v>3000</v>
      </c>
      <c r="F20" s="301">
        <v>0</v>
      </c>
      <c r="G20" s="301"/>
      <c r="H20" s="301">
        <f>IF(BaseOperacionesReales[[#This Row],[Dato PDF]]&lt;&gt;"",BaseOperacionesReales[[#This Row],[Dato PDF]]-BaseOperacionesReales[[#This Row],[Valor]],0)</f>
        <v>0</v>
      </c>
    </row>
    <row r="21" spans="2:8" x14ac:dyDescent="0.25">
      <c r="B21" s="1">
        <v>46120</v>
      </c>
      <c r="C21" s="1" t="s">
        <v>47</v>
      </c>
      <c r="D21" t="s">
        <v>356</v>
      </c>
      <c r="E21" s="301">
        <v>5000</v>
      </c>
      <c r="F21" s="301">
        <v>0</v>
      </c>
      <c r="G21" s="301"/>
      <c r="H21" s="301">
        <f>IF(BaseOperacionesReales[[#This Row],[Dato PDF]]&lt;&gt;"",BaseOperacionesReales[[#This Row],[Dato PDF]]-BaseOperacionesReales[[#This Row],[Valor]],0)</f>
        <v>0</v>
      </c>
    </row>
    <row r="22" spans="2:8" x14ac:dyDescent="0.25">
      <c r="B22" s="1">
        <v>46120</v>
      </c>
      <c r="C22" s="1" t="s">
        <v>47</v>
      </c>
      <c r="D22" t="s">
        <v>357</v>
      </c>
      <c r="E22" s="301">
        <v>-47609.79</v>
      </c>
      <c r="F22" s="301">
        <v>0</v>
      </c>
      <c r="G22" s="301">
        <v>-47609.79</v>
      </c>
      <c r="H22" s="301">
        <f>IF(BaseOperacionesReales[[#This Row],[Dato PDF]]&lt;&gt;"",BaseOperacionesReales[[#This Row],[Dato PDF]]-BaseOperacionesReales[[#This Row],[Valor]],0)</f>
        <v>0</v>
      </c>
    </row>
    <row r="23" spans="2:8" x14ac:dyDescent="0.25">
      <c r="B23" s="1">
        <v>46121</v>
      </c>
      <c r="C23" s="1" t="s">
        <v>46</v>
      </c>
      <c r="D23" t="s">
        <v>353</v>
      </c>
      <c r="E23" s="301">
        <v>8824.7800000000007</v>
      </c>
      <c r="F23" s="301">
        <v>1482.74</v>
      </c>
      <c r="G23" s="301">
        <v>8824.7800000000007</v>
      </c>
      <c r="H23" s="301">
        <f>IF(BaseOperacionesReales[[#This Row],[Dato PDF]]&lt;&gt;"",BaseOperacionesReales[[#This Row],[Dato PDF]]-BaseOperacionesReales[[#This Row],[Valor]],0)</f>
        <v>0</v>
      </c>
    </row>
    <row r="24" spans="2:8" x14ac:dyDescent="0.25">
      <c r="B24" s="1">
        <v>46121</v>
      </c>
      <c r="C24" s="1" t="s">
        <v>46</v>
      </c>
      <c r="D24" t="s">
        <v>353</v>
      </c>
      <c r="E24" s="301">
        <v>11526.79</v>
      </c>
      <c r="F24" s="301">
        <v>1360.39</v>
      </c>
      <c r="G24" s="301">
        <v>11526.79</v>
      </c>
      <c r="H24" s="301">
        <f>IF(BaseOperacionesReales[[#This Row],[Dato PDF]]&lt;&gt;"",BaseOperacionesReales[[#This Row],[Dato PDF]]-BaseOperacionesReales[[#This Row],[Valor]],0)</f>
        <v>0</v>
      </c>
    </row>
    <row r="25" spans="2:8" x14ac:dyDescent="0.25">
      <c r="B25" s="1">
        <v>46121</v>
      </c>
      <c r="C25" s="1" t="s">
        <v>47</v>
      </c>
      <c r="D25" t="s">
        <v>353</v>
      </c>
      <c r="E25" s="301">
        <v>10677.59</v>
      </c>
      <c r="F25" s="301">
        <v>1074.93</v>
      </c>
      <c r="G25" s="301">
        <v>10677.59</v>
      </c>
      <c r="H25" s="301">
        <f>IF(BaseOperacionesReales[[#This Row],[Dato PDF]]&lt;&gt;"",BaseOperacionesReales[[#This Row],[Dato PDF]]-BaseOperacionesReales[[#This Row],[Valor]],0)</f>
        <v>0</v>
      </c>
    </row>
    <row r="26" spans="2:8" x14ac:dyDescent="0.25">
      <c r="B26" s="1">
        <v>46121</v>
      </c>
      <c r="C26" s="1" t="s">
        <v>47</v>
      </c>
      <c r="D26" t="s">
        <v>353</v>
      </c>
      <c r="E26" s="301">
        <v>8612.08</v>
      </c>
      <c r="F26" s="301">
        <v>825.11</v>
      </c>
      <c r="G26" s="301">
        <v>8612.08</v>
      </c>
      <c r="H26" s="301">
        <f>IF(BaseOperacionesReales[[#This Row],[Dato PDF]]&lt;&gt;"",BaseOperacionesReales[[#This Row],[Dato PDF]]-BaseOperacionesReales[[#This Row],[Valor]],0)</f>
        <v>0</v>
      </c>
    </row>
    <row r="27" spans="2:8" x14ac:dyDescent="0.25">
      <c r="B27" s="1">
        <v>46121</v>
      </c>
      <c r="C27" s="1" t="s">
        <v>47</v>
      </c>
      <c r="D27" t="s">
        <v>353</v>
      </c>
      <c r="E27" s="301">
        <v>9041.3799999999992</v>
      </c>
      <c r="F27" s="301">
        <v>1692.39</v>
      </c>
      <c r="G27" s="301">
        <v>9041.3799999999992</v>
      </c>
      <c r="H27" s="301">
        <f>IF(BaseOperacionesReales[[#This Row],[Dato PDF]]&lt;&gt;"",BaseOperacionesReales[[#This Row],[Dato PDF]]-BaseOperacionesReales[[#This Row],[Valor]],0)</f>
        <v>0</v>
      </c>
    </row>
    <row r="28" spans="2:8" x14ac:dyDescent="0.25">
      <c r="B28" s="1">
        <v>46121</v>
      </c>
      <c r="C28" s="1" t="s">
        <v>47</v>
      </c>
      <c r="D28" t="s">
        <v>353</v>
      </c>
      <c r="E28" s="301">
        <v>7336.26</v>
      </c>
      <c r="F28" s="301">
        <v>1317.26</v>
      </c>
      <c r="G28" s="301">
        <v>7336.26</v>
      </c>
      <c r="H28" s="301">
        <f>IF(BaseOperacionesReales[[#This Row],[Dato PDF]]&lt;&gt;"",BaseOperacionesReales[[#This Row],[Dato PDF]]-BaseOperacionesReales[[#This Row],[Valor]],0)</f>
        <v>0</v>
      </c>
    </row>
    <row r="29" spans="2:8" x14ac:dyDescent="0.25">
      <c r="B29" s="1">
        <v>46121</v>
      </c>
      <c r="C29" s="1" t="s">
        <v>47</v>
      </c>
      <c r="D29" t="s">
        <v>353</v>
      </c>
      <c r="E29" s="301">
        <v>8879.9</v>
      </c>
      <c r="F29" s="301">
        <v>1849.4</v>
      </c>
      <c r="G29" s="301">
        <v>8879.9</v>
      </c>
      <c r="H29" s="301">
        <f>IF(BaseOperacionesReales[[#This Row],[Dato PDF]]&lt;&gt;"",BaseOperacionesReales[[#This Row],[Dato PDF]]-BaseOperacionesReales[[#This Row],[Valor]],0)</f>
        <v>0</v>
      </c>
    </row>
    <row r="30" spans="2:8" x14ac:dyDescent="0.25">
      <c r="B30" s="1">
        <v>46121</v>
      </c>
      <c r="C30" s="1" t="s">
        <v>47</v>
      </c>
      <c r="D30" t="s">
        <v>353</v>
      </c>
      <c r="E30" s="301">
        <v>7182.74</v>
      </c>
      <c r="F30" s="301">
        <v>682.73</v>
      </c>
      <c r="G30" s="301">
        <v>7182.74</v>
      </c>
      <c r="H30" s="301">
        <f>IF(BaseOperacionesReales[[#This Row],[Dato PDF]]&lt;&gt;"",BaseOperacionesReales[[#This Row],[Dato PDF]]-BaseOperacionesReales[[#This Row],[Valor]],0)</f>
        <v>0</v>
      </c>
    </row>
    <row r="31" spans="2:8" x14ac:dyDescent="0.25">
      <c r="B31" s="1">
        <v>46121</v>
      </c>
      <c r="C31" s="1" t="s">
        <v>47</v>
      </c>
      <c r="D31" t="s">
        <v>353</v>
      </c>
      <c r="E31" s="301">
        <v>21152.97</v>
      </c>
      <c r="F31" s="301">
        <v>1395.64</v>
      </c>
      <c r="G31" s="301">
        <v>21152.97</v>
      </c>
      <c r="H31" s="301">
        <f>IF(BaseOperacionesReales[[#This Row],[Dato PDF]]&lt;&gt;"",BaseOperacionesReales[[#This Row],[Dato PDF]]-BaseOperacionesReales[[#This Row],[Valor]],0)</f>
        <v>0</v>
      </c>
    </row>
    <row r="32" spans="2:8" x14ac:dyDescent="0.25">
      <c r="B32" s="1">
        <v>46121</v>
      </c>
      <c r="C32" s="1" t="s">
        <v>47</v>
      </c>
      <c r="D32" t="s">
        <v>357</v>
      </c>
      <c r="E32" s="301">
        <v>-836.72</v>
      </c>
      <c r="F32" s="301"/>
      <c r="G32" s="301">
        <v>-836.72</v>
      </c>
      <c r="H32" s="301">
        <f>IF(BaseOperacionesReales[[#This Row],[Dato PDF]]&lt;&gt;"",BaseOperacionesReales[[#This Row],[Dato PDF]]-BaseOperacionesReales[[#This Row],[Valor]],0)</f>
        <v>0</v>
      </c>
    </row>
    <row r="33" spans="2:8" x14ac:dyDescent="0.25">
      <c r="B33" s="1">
        <v>46122</v>
      </c>
      <c r="C33" s="1" t="s">
        <v>47</v>
      </c>
      <c r="D33" t="s">
        <v>357</v>
      </c>
      <c r="E33" s="301">
        <v>-38969.998542212197</v>
      </c>
      <c r="F33" s="301"/>
      <c r="G33" s="301"/>
      <c r="H33" s="301">
        <f>IF(BaseOperacionesReales[[#This Row],[Dato PDF]]&lt;&gt;"",BaseOperacionesReales[[#This Row],[Dato PDF]]-BaseOperacionesReales[[#This Row],[Valor]],0)</f>
        <v>0</v>
      </c>
    </row>
    <row r="34" spans="2:8" x14ac:dyDescent="0.25">
      <c r="B34" s="1">
        <v>46122</v>
      </c>
      <c r="C34" s="1" t="s">
        <v>46</v>
      </c>
      <c r="D34" t="s">
        <v>357</v>
      </c>
      <c r="E34" s="301">
        <v>-73327.186968822105</v>
      </c>
      <c r="F34" s="301"/>
      <c r="G34" s="301"/>
      <c r="H34" s="301">
        <f>IF(BaseOperacionesReales[[#This Row],[Dato PDF]]&lt;&gt;"",BaseOperacionesReales[[#This Row],[Dato PDF]]-BaseOperacionesReales[[#This Row],[Valor]],0)</f>
        <v>0</v>
      </c>
    </row>
    <row r="35" spans="2:8" x14ac:dyDescent="0.25">
      <c r="B35" s="1">
        <v>46122</v>
      </c>
      <c r="C35" s="1" t="s">
        <v>47</v>
      </c>
      <c r="D35" t="s">
        <v>358</v>
      </c>
      <c r="E35" s="301">
        <v>-675</v>
      </c>
      <c r="F35" s="301"/>
      <c r="G35" s="301"/>
      <c r="H35" s="301">
        <f>IF(BaseOperacionesReales[[#This Row],[Dato PDF]]&lt;&gt;"",BaseOperacionesReales[[#This Row],[Dato PDF]]-BaseOperacionesReales[[#This Row],[Valor]],0)</f>
        <v>0</v>
      </c>
    </row>
    <row r="36" spans="2:8" x14ac:dyDescent="0.25">
      <c r="B36" s="1">
        <v>46122</v>
      </c>
      <c r="C36" s="1" t="s">
        <v>47</v>
      </c>
      <c r="D36" t="s">
        <v>359</v>
      </c>
      <c r="E36" s="301">
        <v>-21152.97</v>
      </c>
      <c r="F36" s="301"/>
      <c r="G36" s="301"/>
      <c r="H36" s="301">
        <f>IF(BaseOperacionesReales[[#This Row],[Dato PDF]]&lt;&gt;"",BaseOperacionesReales[[#This Row],[Dato PDF]]-BaseOperacionesReales[[#This Row],[Valor]],0)</f>
        <v>0</v>
      </c>
    </row>
    <row r="37" spans="2:8" x14ac:dyDescent="0.25">
      <c r="B37" s="1">
        <v>46125</v>
      </c>
      <c r="C37" s="1" t="s">
        <v>46</v>
      </c>
      <c r="D37" t="s">
        <v>357</v>
      </c>
      <c r="E37" s="301">
        <v>-14535.07</v>
      </c>
      <c r="F37" s="301"/>
      <c r="G37" s="301"/>
      <c r="H37" s="301">
        <f>IF(BaseOperacionesReales[[#This Row],[Dato PDF]]&lt;&gt;"",BaseOperacionesReales[[#This Row],[Dato PDF]]-BaseOperacionesReales[[#This Row],[Valor]],0)</f>
        <v>0</v>
      </c>
    </row>
    <row r="38" spans="2:8" x14ac:dyDescent="0.25">
      <c r="B38" s="1">
        <v>46125</v>
      </c>
      <c r="C38" s="1" t="s">
        <v>46</v>
      </c>
      <c r="D38" t="s">
        <v>360</v>
      </c>
      <c r="E38" s="301">
        <v>-1436</v>
      </c>
      <c r="F38" s="301"/>
      <c r="G38" s="301"/>
      <c r="H38" s="301">
        <f>IF(BaseOperacionesReales[[#This Row],[Dato PDF]]&lt;&gt;"",BaseOperacionesReales[[#This Row],[Dato PDF]]-BaseOperacionesReales[[#This Row],[Valor]],0)</f>
        <v>0</v>
      </c>
    </row>
    <row r="39" spans="2:8" x14ac:dyDescent="0.25">
      <c r="B39" s="1">
        <v>46126</v>
      </c>
      <c r="C39" s="1" t="s">
        <v>47</v>
      </c>
      <c r="D39" t="s">
        <v>353</v>
      </c>
      <c r="E39" s="301">
        <v>22710.05</v>
      </c>
      <c r="F39" s="301">
        <v>1512.54</v>
      </c>
      <c r="G39" s="301">
        <v>22710.05</v>
      </c>
      <c r="H39" s="301">
        <f>IF(BaseOperacionesReales[[#This Row],[Dato PDF]]&lt;&gt;"",BaseOperacionesReales[[#This Row],[Dato PDF]]-BaseOperacionesReales[[#This Row],[Valor]],0)</f>
        <v>0</v>
      </c>
    </row>
    <row r="40" spans="2:8" x14ac:dyDescent="0.25">
      <c r="B40" s="1">
        <v>46127</v>
      </c>
      <c r="C40" s="1" t="s">
        <v>47</v>
      </c>
      <c r="D40" t="s">
        <v>353</v>
      </c>
      <c r="E40" s="301">
        <v>3322.31</v>
      </c>
      <c r="F40" s="301">
        <v>68.159999999999854</v>
      </c>
      <c r="G40" s="301">
        <v>3322.31</v>
      </c>
      <c r="H40" s="301">
        <f>IF(BaseOperacionesReales[[#This Row],[Dato PDF]]&lt;&gt;"",BaseOperacionesReales[[#This Row],[Dato PDF]]-BaseOperacionesReales[[#This Row],[Valor]],0)</f>
        <v>0</v>
      </c>
    </row>
    <row r="41" spans="2:8" x14ac:dyDescent="0.25">
      <c r="B41" s="1">
        <v>46127</v>
      </c>
      <c r="C41" s="1" t="s">
        <v>47</v>
      </c>
      <c r="D41" t="s">
        <v>361</v>
      </c>
      <c r="E41" s="301">
        <v>-7466.8</v>
      </c>
      <c r="F41" s="301"/>
      <c r="G41" s="301"/>
      <c r="H41" s="301">
        <f>IF(BaseOperacionesReales[[#This Row],[Dato PDF]]&lt;&gt;"",BaseOperacionesReales[[#This Row],[Dato PDF]]-BaseOperacionesReales[[#This Row],[Valor]],0)</f>
        <v>0</v>
      </c>
    </row>
    <row r="42" spans="2:8" x14ac:dyDescent="0.25">
      <c r="B42" s="1">
        <v>46127</v>
      </c>
      <c r="C42" s="1" t="s">
        <v>47</v>
      </c>
      <c r="D42" t="s">
        <v>362</v>
      </c>
      <c r="E42" s="301">
        <v>-551.79</v>
      </c>
      <c r="F42" s="301"/>
      <c r="G42" s="301"/>
      <c r="H42" s="301">
        <f>IF(BaseOperacionesReales[[#This Row],[Dato PDF]]&lt;&gt;"",BaseOperacionesReales[[#This Row],[Dato PDF]]-BaseOperacionesReales[[#This Row],[Valor]],0)</f>
        <v>0</v>
      </c>
    </row>
    <row r="43" spans="2:8" x14ac:dyDescent="0.25">
      <c r="B43" s="1">
        <v>46129</v>
      </c>
      <c r="C43" s="1" t="s">
        <v>47</v>
      </c>
      <c r="D43" t="s">
        <v>363</v>
      </c>
      <c r="E43" s="301">
        <v>27800</v>
      </c>
      <c r="F43" s="301"/>
      <c r="G43" s="301">
        <v>27800</v>
      </c>
      <c r="H43" s="301">
        <f>IF(BaseOperacionesReales[[#This Row],[Dato PDF]]&lt;&gt;"",BaseOperacionesReales[[#This Row],[Dato PDF]]-BaseOperacionesReales[[#This Row],[Valor]],0)</f>
        <v>0</v>
      </c>
    </row>
    <row r="44" spans="2:8" x14ac:dyDescent="0.25">
      <c r="B44" s="1">
        <v>46129</v>
      </c>
      <c r="C44" s="1" t="s">
        <v>47</v>
      </c>
      <c r="D44" t="s">
        <v>364</v>
      </c>
      <c r="E44" s="301">
        <v>-36865.46</v>
      </c>
      <c r="F44" s="301"/>
      <c r="G44" s="301"/>
      <c r="H44" s="301">
        <f>IF(BaseOperacionesReales[[#This Row],[Dato PDF]]&lt;&gt;"",BaseOperacionesReales[[#This Row],[Dato PDF]]-BaseOperacionesReales[[#This Row],[Valor]],0)</f>
        <v>0</v>
      </c>
    </row>
    <row r="45" spans="2:8" x14ac:dyDescent="0.25">
      <c r="B45" s="1">
        <v>46129</v>
      </c>
      <c r="C45" s="1" t="s">
        <v>46</v>
      </c>
      <c r="D45" t="s">
        <v>364</v>
      </c>
      <c r="E45" s="301">
        <v>-7558</v>
      </c>
      <c r="F45" s="301"/>
      <c r="G45" s="301"/>
      <c r="H45" s="301">
        <f>IF(BaseOperacionesReales[[#This Row],[Dato PDF]]&lt;&gt;"",BaseOperacionesReales[[#This Row],[Dato PDF]]-BaseOperacionesReales[[#This Row],[Valor]],0)</f>
        <v>0</v>
      </c>
    </row>
    <row r="46" spans="2:8" x14ac:dyDescent="0.25">
      <c r="B46" s="1">
        <v>46129</v>
      </c>
      <c r="C46" s="1" t="s">
        <v>48</v>
      </c>
      <c r="D46" t="s">
        <v>364</v>
      </c>
      <c r="E46" s="301">
        <v>-6191.55</v>
      </c>
      <c r="F46" s="301"/>
      <c r="G46" s="301"/>
      <c r="H46" s="301">
        <f>IF(BaseOperacionesReales[[#This Row],[Dato PDF]]&lt;&gt;"",BaseOperacionesReales[[#This Row],[Dato PDF]]-BaseOperacionesReales[[#This Row],[Valor]],0)</f>
        <v>0</v>
      </c>
    </row>
    <row r="47" spans="2:8" x14ac:dyDescent="0.25">
      <c r="B47" s="1">
        <v>46129</v>
      </c>
      <c r="C47" s="1" t="s">
        <v>48</v>
      </c>
      <c r="D47" t="s">
        <v>364</v>
      </c>
      <c r="E47" s="301">
        <v>-13439.3</v>
      </c>
      <c r="F47" s="301"/>
      <c r="G47" s="301"/>
      <c r="H47" s="301">
        <f>IF(BaseOperacionesReales[[#This Row],[Dato PDF]]&lt;&gt;"",BaseOperacionesReales[[#This Row],[Dato PDF]]-BaseOperacionesReales[[#This Row],[Valor]],0)</f>
        <v>0</v>
      </c>
    </row>
    <row r="48" spans="2:8" x14ac:dyDescent="0.25">
      <c r="B48" s="1">
        <v>46130</v>
      </c>
      <c r="C48" s="1" t="s">
        <v>48</v>
      </c>
      <c r="D48" t="s">
        <v>365</v>
      </c>
      <c r="E48" s="301">
        <v>19.63</v>
      </c>
      <c r="F48" s="301"/>
      <c r="G48" s="301"/>
      <c r="H48" s="301">
        <f>IF(BaseOperacionesReales[[#This Row],[Dato PDF]]&lt;&gt;"",BaseOperacionesReales[[#This Row],[Dato PDF]]-BaseOperacionesReales[[#This Row],[Valor]],0)</f>
        <v>0</v>
      </c>
    </row>
    <row r="49" spans="2:8" x14ac:dyDescent="0.25">
      <c r="B49" s="1">
        <v>46130</v>
      </c>
      <c r="C49" s="1" t="s">
        <v>46</v>
      </c>
      <c r="D49" t="s">
        <v>366</v>
      </c>
      <c r="E49" s="301">
        <v>29.94</v>
      </c>
      <c r="F49" s="301"/>
      <c r="G49" s="301"/>
      <c r="H49" s="301">
        <f>IF(BaseOperacionesReales[[#This Row],[Dato PDF]]&lt;&gt;"",BaseOperacionesReales[[#This Row],[Dato PDF]]-BaseOperacionesReales[[#This Row],[Valor]],0)</f>
        <v>0</v>
      </c>
    </row>
    <row r="50" spans="2:8" x14ac:dyDescent="0.25">
      <c r="B50" s="1">
        <v>46131</v>
      </c>
      <c r="C50" s="1" t="s">
        <v>138</v>
      </c>
      <c r="D50" t="s">
        <v>367</v>
      </c>
      <c r="E50" s="301">
        <v>14000</v>
      </c>
      <c r="F50" s="301"/>
      <c r="G50" s="301"/>
      <c r="H50" s="301">
        <f>IF(BaseOperacionesReales[[#This Row],[Dato PDF]]&lt;&gt;"",BaseOperacionesReales[[#This Row],[Dato PDF]]-BaseOperacionesReales[[#This Row],[Valor]],0)</f>
        <v>0</v>
      </c>
    </row>
    <row r="51" spans="2:8" x14ac:dyDescent="0.25">
      <c r="B51" s="1">
        <v>46131</v>
      </c>
      <c r="C51" s="1" t="s">
        <v>138</v>
      </c>
      <c r="D51" t="s">
        <v>367</v>
      </c>
      <c r="E51" s="301">
        <v>9500</v>
      </c>
      <c r="F51" s="301"/>
      <c r="G51" s="301"/>
      <c r="H51" s="301">
        <f>IF(BaseOperacionesReales[[#This Row],[Dato PDF]]&lt;&gt;"",BaseOperacionesReales[[#This Row],[Dato PDF]]-BaseOperacionesReales[[#This Row],[Valor]],0)</f>
        <v>0</v>
      </c>
    </row>
    <row r="52" spans="2:8" x14ac:dyDescent="0.25">
      <c r="B52" s="1">
        <v>46132</v>
      </c>
      <c r="C52" s="1" t="s">
        <v>46</v>
      </c>
      <c r="D52" t="s">
        <v>353</v>
      </c>
      <c r="E52" s="301">
        <v>97845.45</v>
      </c>
      <c r="F52" s="301">
        <f>BaseOperacionesReales[[#This Row],[Valor]]-94064.99</f>
        <v>3780.4599999999919</v>
      </c>
      <c r="G52" s="301"/>
      <c r="H52" s="301">
        <f>IF(BaseOperacionesReales[[#This Row],[Dato PDF]]&lt;&gt;"",BaseOperacionesReales[[#This Row],[Dato PDF]]-BaseOperacionesReales[[#This Row],[Valor]],0)</f>
        <v>0</v>
      </c>
    </row>
    <row r="53" spans="2:8" x14ac:dyDescent="0.25">
      <c r="B53" s="1">
        <v>46132</v>
      </c>
      <c r="C53" s="1" t="s">
        <v>47</v>
      </c>
      <c r="D53" t="s">
        <v>353</v>
      </c>
      <c r="E53" s="301">
        <v>70721.77</v>
      </c>
      <c r="F53" s="301">
        <f>BaseOperacionesReales[[#This Row],[Valor]]-66747.69</f>
        <v>3974.0800000000017</v>
      </c>
      <c r="G53" s="301">
        <v>70721.77</v>
      </c>
      <c r="H53" s="301">
        <f>IF(BaseOperacionesReales[[#This Row],[Dato PDF]]&lt;&gt;"",BaseOperacionesReales[[#This Row],[Dato PDF]]-BaseOperacionesReales[[#This Row],[Valor]],0)</f>
        <v>0</v>
      </c>
    </row>
    <row r="54" spans="2:8" x14ac:dyDescent="0.25">
      <c r="B54" s="1">
        <v>46132</v>
      </c>
      <c r="C54" s="1" t="s">
        <v>47</v>
      </c>
      <c r="D54" t="s">
        <v>353</v>
      </c>
      <c r="E54" s="301">
        <v>20840.650000000001</v>
      </c>
      <c r="F54" s="301">
        <f>BaseOperacionesReales[[#This Row],[Valor]]-19843.61</f>
        <v>997.04000000000087</v>
      </c>
      <c r="G54" s="301">
        <v>20840.650000000001</v>
      </c>
      <c r="H54" s="301">
        <f>IF(BaseOperacionesReales[[#This Row],[Dato PDF]]&lt;&gt;"",BaseOperacionesReales[[#This Row],[Dato PDF]]-BaseOperacionesReales[[#This Row],[Valor]],0)</f>
        <v>0</v>
      </c>
    </row>
    <row r="55" spans="2:8" x14ac:dyDescent="0.25">
      <c r="B55" s="1">
        <v>46132</v>
      </c>
      <c r="C55" s="1" t="s">
        <v>47</v>
      </c>
      <c r="D55" t="s">
        <v>353</v>
      </c>
      <c r="E55" s="301">
        <v>50225.13</v>
      </c>
      <c r="F55" s="301">
        <f>BaseOperacionesReales[[#This Row],[Valor]]-47575.63</f>
        <v>2649.5</v>
      </c>
      <c r="G55" s="301">
        <v>50225.13</v>
      </c>
      <c r="H55" s="301">
        <f>IF(BaseOperacionesReales[[#This Row],[Dato PDF]]&lt;&gt;"",BaseOperacionesReales[[#This Row],[Dato PDF]]-BaseOperacionesReales[[#This Row],[Valor]],0)</f>
        <v>0</v>
      </c>
    </row>
    <row r="56" spans="2:8" x14ac:dyDescent="0.25">
      <c r="B56" s="1">
        <v>46132</v>
      </c>
      <c r="C56" s="1" t="s">
        <v>47</v>
      </c>
      <c r="D56" t="s">
        <v>362</v>
      </c>
      <c r="E56" s="301">
        <v>-101.63</v>
      </c>
      <c r="F56" s="301"/>
      <c r="G56" s="301"/>
      <c r="H56" s="301">
        <f>IF(BaseOperacionesReales[[#This Row],[Dato PDF]]&lt;&gt;"",BaseOperacionesReales[[#This Row],[Dato PDF]]-BaseOperacionesReales[[#This Row],[Valor]],0)</f>
        <v>0</v>
      </c>
    </row>
    <row r="57" spans="2:8" x14ac:dyDescent="0.25">
      <c r="B57" s="1">
        <v>46133</v>
      </c>
      <c r="C57" s="1" t="s">
        <v>47</v>
      </c>
      <c r="D57" t="s">
        <v>362</v>
      </c>
      <c r="E57" s="301">
        <v>-351.23</v>
      </c>
      <c r="F57" s="301"/>
      <c r="G57" s="301"/>
      <c r="H57" s="301">
        <f>IF(BaseOperacionesReales[[#This Row],[Dato PDF]]&lt;&gt;"",BaseOperacionesReales[[#This Row],[Dato PDF]]-BaseOperacionesReales[[#This Row],[Valor]],0)</f>
        <v>0</v>
      </c>
    </row>
    <row r="58" spans="2:8" x14ac:dyDescent="0.25">
      <c r="B58" s="1">
        <v>46133</v>
      </c>
      <c r="C58" s="1" t="s">
        <v>47</v>
      </c>
      <c r="D58" t="s">
        <v>362</v>
      </c>
      <c r="E58" s="301">
        <v>-433.26</v>
      </c>
      <c r="F58" s="301"/>
      <c r="G58" s="301"/>
      <c r="H58" s="301">
        <f>IF(BaseOperacionesReales[[#This Row],[Dato PDF]]&lt;&gt;"",BaseOperacionesReales[[#This Row],[Dato PDF]]-BaseOperacionesReales[[#This Row],[Valor]],0)</f>
        <v>0</v>
      </c>
    </row>
    <row r="59" spans="2:8" x14ac:dyDescent="0.25">
      <c r="B59" s="1">
        <v>46134</v>
      </c>
      <c r="C59" s="1" t="s">
        <v>138</v>
      </c>
      <c r="D59" t="s">
        <v>367</v>
      </c>
      <c r="E59" s="301">
        <v>1000</v>
      </c>
      <c r="F59" s="301"/>
      <c r="G59" s="301"/>
      <c r="H59" s="301">
        <f>IF(BaseOperacionesReales[[#This Row],[Dato PDF]]&lt;&gt;"",BaseOperacionesReales[[#This Row],[Dato PDF]]-BaseOperacionesReales[[#This Row],[Valor]],0)</f>
        <v>0</v>
      </c>
    </row>
    <row r="60" spans="2:8" x14ac:dyDescent="0.25">
      <c r="B60" s="1">
        <v>46134</v>
      </c>
      <c r="C60" s="1" t="s">
        <v>47</v>
      </c>
      <c r="D60" t="s">
        <v>362</v>
      </c>
      <c r="E60" s="301">
        <v>-676.79</v>
      </c>
      <c r="F60" s="301"/>
      <c r="G60" s="301"/>
      <c r="H60" s="301">
        <f>IF(BaseOperacionesReales[[#This Row],[Dato PDF]]&lt;&gt;"",BaseOperacionesReales[[#This Row],[Dato PDF]]-BaseOperacionesReales[[#This Row],[Valor]],0)</f>
        <v>0</v>
      </c>
    </row>
    <row r="61" spans="2:8" x14ac:dyDescent="0.25">
      <c r="B61" s="1">
        <v>46134</v>
      </c>
      <c r="C61" s="1" t="s">
        <v>47</v>
      </c>
      <c r="D61" t="s">
        <v>362</v>
      </c>
      <c r="E61" s="301">
        <v>-306.83999999999997</v>
      </c>
      <c r="F61" s="301"/>
      <c r="G61" s="301"/>
      <c r="H61" s="301">
        <f>IF(BaseOperacionesReales[[#This Row],[Dato PDF]]&lt;&gt;"",BaseOperacionesReales[[#This Row],[Dato PDF]]-BaseOperacionesReales[[#This Row],[Valor]],0)</f>
        <v>0</v>
      </c>
    </row>
    <row r="62" spans="2:8" x14ac:dyDescent="0.25">
      <c r="B62" s="1">
        <v>46134</v>
      </c>
      <c r="C62" s="1" t="s">
        <v>47</v>
      </c>
      <c r="D62" t="s">
        <v>362</v>
      </c>
      <c r="E62" s="301">
        <v>-531.79999999999995</v>
      </c>
      <c r="F62" s="301"/>
      <c r="G62" s="301"/>
      <c r="H62" s="301">
        <f>IF(BaseOperacionesReales[[#This Row],[Dato PDF]]&lt;&gt;"",BaseOperacionesReales[[#This Row],[Dato PDF]]-BaseOperacionesReales[[#This Row],[Valor]],0)</f>
        <v>0</v>
      </c>
    </row>
    <row r="63" spans="2:8" x14ac:dyDescent="0.25">
      <c r="B63" s="1">
        <v>46134</v>
      </c>
      <c r="C63" s="1" t="s">
        <v>47</v>
      </c>
      <c r="D63" t="s">
        <v>362</v>
      </c>
      <c r="E63" s="301">
        <v>-195.26</v>
      </c>
      <c r="F63" s="301"/>
      <c r="G63" s="301"/>
      <c r="H63" s="301">
        <f>IF(BaseOperacionesReales[[#This Row],[Dato PDF]]&lt;&gt;"",BaseOperacionesReales[[#This Row],[Dato PDF]]-BaseOperacionesReales[[#This Row],[Valor]],0)</f>
        <v>0</v>
      </c>
    </row>
    <row r="64" spans="2:8" x14ac:dyDescent="0.25">
      <c r="B64" s="1">
        <v>46134</v>
      </c>
      <c r="C64" s="1" t="s">
        <v>47</v>
      </c>
      <c r="D64" t="s">
        <v>362</v>
      </c>
      <c r="E64" s="301">
        <v>-228.84</v>
      </c>
      <c r="F64" s="301"/>
      <c r="G64" s="301"/>
      <c r="H64" s="301">
        <f>IF(BaseOperacionesReales[[#This Row],[Dato PDF]]&lt;&gt;"",BaseOperacionesReales[[#This Row],[Dato PDF]]-BaseOperacionesReales[[#This Row],[Valor]],0)</f>
        <v>0</v>
      </c>
    </row>
    <row r="65" spans="2:8" x14ac:dyDescent="0.25">
      <c r="B65" s="1">
        <v>46134</v>
      </c>
      <c r="C65" s="1" t="s">
        <v>138</v>
      </c>
      <c r="D65" t="s">
        <v>364</v>
      </c>
      <c r="E65" s="301">
        <v>-24500</v>
      </c>
      <c r="F65" s="301"/>
      <c r="G65" s="301"/>
      <c r="H65" s="301">
        <f>IF(BaseOperacionesReales[[#This Row],[Dato PDF]]&lt;&gt;"",BaseOperacionesReales[[#This Row],[Dato PDF]]-BaseOperacionesReales[[#This Row],[Valor]],0)</f>
        <v>0</v>
      </c>
    </row>
    <row r="66" spans="2:8" x14ac:dyDescent="0.25">
      <c r="B66" s="1">
        <v>46136</v>
      </c>
      <c r="C66" s="1" t="s">
        <v>47</v>
      </c>
      <c r="D66" t="s">
        <v>362</v>
      </c>
      <c r="E66" s="364">
        <v>-131.61000000000001</v>
      </c>
      <c r="F66" s="301"/>
      <c r="G66" s="301"/>
      <c r="H66" s="301">
        <f>IF(BaseOperacionesReales[[#This Row],[Dato PDF]]&lt;&gt;"",BaseOperacionesReales[[#This Row],[Dato PDF]]-BaseOperacionesReales[[#This Row],[Valor]],0)</f>
        <v>0</v>
      </c>
    </row>
    <row r="67" spans="2:8" x14ac:dyDescent="0.25">
      <c r="B67" s="1">
        <v>46136</v>
      </c>
      <c r="C67" s="1" t="s">
        <v>47</v>
      </c>
      <c r="D67" t="s">
        <v>362</v>
      </c>
      <c r="E67" s="364">
        <v>-266.05</v>
      </c>
      <c r="F67" s="301"/>
      <c r="G67" s="301"/>
      <c r="H67" s="301">
        <f>IF(BaseOperacionesReales[[#This Row],[Dato PDF]]&lt;&gt;"",BaseOperacionesReales[[#This Row],[Dato PDF]]-BaseOperacionesReales[[#This Row],[Valor]],0)</f>
        <v>0</v>
      </c>
    </row>
    <row r="68" spans="2:8" x14ac:dyDescent="0.25">
      <c r="B68" s="1">
        <v>46136</v>
      </c>
      <c r="C68" s="1" t="s">
        <v>47</v>
      </c>
      <c r="D68" t="s">
        <v>362</v>
      </c>
      <c r="E68" s="364">
        <v>-413.45</v>
      </c>
      <c r="F68" s="301"/>
      <c r="G68" s="301"/>
      <c r="H68" s="301">
        <f>IF(BaseOperacionesReales[[#This Row],[Dato PDF]]&lt;&gt;"",BaseOperacionesReales[[#This Row],[Dato PDF]]-BaseOperacionesReales[[#This Row],[Valor]],0)</f>
        <v>0</v>
      </c>
    </row>
    <row r="69" spans="2:8" x14ac:dyDescent="0.25">
      <c r="B69" s="1">
        <v>46136</v>
      </c>
      <c r="C69" s="1" t="s">
        <v>47</v>
      </c>
      <c r="D69" t="s">
        <v>362</v>
      </c>
      <c r="E69" s="364">
        <v>-192.94</v>
      </c>
      <c r="F69" s="301"/>
      <c r="G69" s="301"/>
      <c r="H69" s="301">
        <f>IF(BaseOperacionesReales[[#This Row],[Dato PDF]]&lt;&gt;"",BaseOperacionesReales[[#This Row],[Dato PDF]]-BaseOperacionesReales[[#This Row],[Valor]],0)</f>
        <v>0</v>
      </c>
    </row>
    <row r="70" spans="2:8" x14ac:dyDescent="0.25">
      <c r="B70" s="1">
        <v>46139</v>
      </c>
      <c r="C70" s="1" t="s">
        <v>47</v>
      </c>
      <c r="D70" t="s">
        <v>362</v>
      </c>
      <c r="E70" s="301">
        <v>-234.78990764</v>
      </c>
      <c r="F70" s="301"/>
      <c r="G70" s="301"/>
      <c r="H70" s="301">
        <f>IF(BaseOperacionesReales[[#This Row],[Dato PDF]]&lt;&gt;"",BaseOperacionesReales[[#This Row],[Dato PDF]]-BaseOperacionesReales[[#This Row],[Valor]],0)</f>
        <v>0</v>
      </c>
    </row>
    <row r="71" spans="2:8" x14ac:dyDescent="0.25">
      <c r="B71" s="1">
        <v>46139</v>
      </c>
      <c r="C71" s="1" t="s">
        <v>47</v>
      </c>
      <c r="D71" t="s">
        <v>362</v>
      </c>
      <c r="E71" s="301">
        <v>-510.54025469999988</v>
      </c>
      <c r="F71" s="301"/>
      <c r="G71" s="301"/>
      <c r="H71" s="301">
        <f>IF(BaseOperacionesReales[[#This Row],[Dato PDF]]&lt;&gt;"",BaseOperacionesReales[[#This Row],[Dato PDF]]-BaseOperacionesReales[[#This Row],[Valor]],0)</f>
        <v>0</v>
      </c>
    </row>
    <row r="72" spans="2:8" x14ac:dyDescent="0.25">
      <c r="B72" s="1">
        <v>46139</v>
      </c>
      <c r="C72" s="1" t="s">
        <v>47</v>
      </c>
      <c r="D72" t="s">
        <v>362</v>
      </c>
      <c r="E72" s="301">
        <v>-526.76018067999996</v>
      </c>
      <c r="F72" s="301"/>
      <c r="G72" s="301"/>
      <c r="H72" s="301">
        <f>IF(BaseOperacionesReales[[#This Row],[Dato PDF]]&lt;&gt;"",BaseOperacionesReales[[#This Row],[Dato PDF]]-BaseOperacionesReales[[#This Row],[Valor]],0)</f>
        <v>0</v>
      </c>
    </row>
    <row r="73" spans="2:8" x14ac:dyDescent="0.25">
      <c r="B73" s="1">
        <v>46139</v>
      </c>
      <c r="C73" s="1" t="s">
        <v>47</v>
      </c>
      <c r="D73" t="s">
        <v>362</v>
      </c>
      <c r="E73" s="301">
        <v>-49.820000000480007</v>
      </c>
      <c r="F73" s="301"/>
      <c r="G73" s="301"/>
      <c r="H73" s="301">
        <f>IF(BaseOperacionesReales[[#This Row],[Dato PDF]]&lt;&gt;"",BaseOperacionesReales[[#This Row],[Dato PDF]]-BaseOperacionesReales[[#This Row],[Valor]],0)</f>
        <v>0</v>
      </c>
    </row>
    <row r="74" spans="2:8" x14ac:dyDescent="0.25">
      <c r="B74" s="1">
        <v>46139</v>
      </c>
      <c r="C74" s="1" t="s">
        <v>47</v>
      </c>
      <c r="D74" t="s">
        <v>364</v>
      </c>
      <c r="E74" s="301">
        <v>-138241.19</v>
      </c>
      <c r="F74" s="301"/>
      <c r="G74" s="301"/>
      <c r="H74" s="301">
        <f>IF(BaseOperacionesReales[[#This Row],[Dato PDF]]&lt;&gt;"",BaseOperacionesReales[[#This Row],[Dato PDF]]-BaseOperacionesReales[[#This Row],[Valor]],0)</f>
        <v>0</v>
      </c>
    </row>
    <row r="75" spans="2:8" x14ac:dyDescent="0.25">
      <c r="B75" s="1">
        <v>46139</v>
      </c>
      <c r="C75" s="1" t="s">
        <v>46</v>
      </c>
      <c r="D75" t="s">
        <v>364</v>
      </c>
      <c r="E75" s="301">
        <v>-92156.29</v>
      </c>
      <c r="F75" s="301"/>
      <c r="G75" s="301"/>
      <c r="H75" s="301">
        <f>IF(BaseOperacionesReales[[#This Row],[Dato PDF]]&lt;&gt;"",BaseOperacionesReales[[#This Row],[Dato PDF]]-BaseOperacionesReales[[#This Row],[Valor]],0)</f>
        <v>0</v>
      </c>
    </row>
    <row r="76" spans="2:8" x14ac:dyDescent="0.25">
      <c r="B76" s="1">
        <v>46140</v>
      </c>
      <c r="C76" s="1" t="s">
        <v>47</v>
      </c>
      <c r="D76" t="s">
        <v>368</v>
      </c>
      <c r="E76" s="301">
        <v>-3700.56</v>
      </c>
      <c r="F76" s="301"/>
      <c r="G76" s="301"/>
      <c r="H76" s="301">
        <f>IF(BaseOperacionesReales[[#This Row],[Dato PDF]]&lt;&gt;"",BaseOperacionesReales[[#This Row],[Dato PDF]]-BaseOperacionesReales[[#This Row],[Valor]],0)</f>
        <v>0</v>
      </c>
    </row>
    <row r="77" spans="2:8" x14ac:dyDescent="0.25">
      <c r="B77" s="1">
        <v>46140</v>
      </c>
      <c r="C77" s="1" t="s">
        <v>46</v>
      </c>
      <c r="D77" t="s">
        <v>364</v>
      </c>
      <c r="E77" s="301">
        <v>-5728.65</v>
      </c>
      <c r="F77" s="301"/>
      <c r="G77" s="301"/>
      <c r="H77" s="301">
        <f>IF(BaseOperacionesReales[[#This Row],[Dato PDF]]&lt;&gt;"",BaseOperacionesReales[[#This Row],[Dato PDF]]-BaseOperacionesReales[[#This Row],[Valor]],0)</f>
        <v>0</v>
      </c>
    </row>
    <row r="78" spans="2:8" x14ac:dyDescent="0.25">
      <c r="B78" s="1">
        <v>46140</v>
      </c>
      <c r="C78" s="1" t="s">
        <v>47</v>
      </c>
      <c r="D78" t="s">
        <v>362</v>
      </c>
      <c r="E78" s="301">
        <v>-153.75005909999999</v>
      </c>
      <c r="F78" s="301"/>
      <c r="G78" s="301"/>
      <c r="H78" s="301">
        <f>IF(BaseOperacionesReales[[#This Row],[Dato PDF]]&lt;&gt;"",BaseOperacionesReales[[#This Row],[Dato PDF]]-BaseOperacionesReales[[#This Row],[Valor]],0)</f>
        <v>0</v>
      </c>
    </row>
    <row r="79" spans="2:8" x14ac:dyDescent="0.25">
      <c r="B79" s="1">
        <v>46140</v>
      </c>
      <c r="C79" s="1" t="s">
        <v>47</v>
      </c>
      <c r="D79" t="s">
        <v>362</v>
      </c>
      <c r="E79" s="301">
        <v>-501.14016476000012</v>
      </c>
      <c r="F79" s="301"/>
      <c r="G79" s="301"/>
      <c r="H79" s="301">
        <f>IF(BaseOperacionesReales[[#This Row],[Dato PDF]]&lt;&gt;"",BaseOperacionesReales[[#This Row],[Dato PDF]]-BaseOperacionesReales[[#This Row],[Valor]],0)</f>
        <v>0</v>
      </c>
    </row>
    <row r="80" spans="2:8" x14ac:dyDescent="0.25">
      <c r="B80" s="1">
        <v>46140</v>
      </c>
      <c r="C80" s="1" t="s">
        <v>47</v>
      </c>
      <c r="D80" t="s">
        <v>362</v>
      </c>
      <c r="E80" s="301">
        <v>-445.04004858000002</v>
      </c>
      <c r="F80" s="301"/>
      <c r="G80" s="301"/>
      <c r="H80" s="301">
        <f>IF(BaseOperacionesReales[[#This Row],[Dato PDF]]&lt;&gt;"",BaseOperacionesReales[[#This Row],[Dato PDF]]-BaseOperacionesReales[[#This Row],[Valor]],0)</f>
        <v>0</v>
      </c>
    </row>
    <row r="81" spans="2:8" x14ac:dyDescent="0.25">
      <c r="B81" s="1">
        <v>46140</v>
      </c>
      <c r="C81" s="1" t="s">
        <v>47</v>
      </c>
      <c r="D81" t="s">
        <v>362</v>
      </c>
      <c r="E81" s="301">
        <v>-470.22003575999997</v>
      </c>
      <c r="F81" s="301"/>
      <c r="G81" s="301"/>
      <c r="H81" s="301">
        <f>IF(BaseOperacionesReales[[#This Row],[Dato PDF]]&lt;&gt;"",BaseOperacionesReales[[#This Row],[Dato PDF]]-BaseOperacionesReales[[#This Row],[Valor]],0)</f>
        <v>0</v>
      </c>
    </row>
    <row r="82" spans="2:8" x14ac:dyDescent="0.25">
      <c r="B82" s="1">
        <v>46140</v>
      </c>
      <c r="C82" s="1" t="s">
        <v>47</v>
      </c>
      <c r="D82" t="s">
        <v>362</v>
      </c>
      <c r="E82" s="301">
        <v>-431.5901044499999</v>
      </c>
      <c r="F82" s="301"/>
      <c r="G82" s="301"/>
      <c r="H82" s="301">
        <f>IF(BaseOperacionesReales[[#This Row],[Dato PDF]]&lt;&gt;"",BaseOperacionesReales[[#This Row],[Dato PDF]]-BaseOperacionesReales[[#This Row],[Valor]],0)</f>
        <v>0</v>
      </c>
    </row>
    <row r="83" spans="2:8" x14ac:dyDescent="0.25">
      <c r="B83" s="1">
        <v>46140</v>
      </c>
      <c r="C83" s="1" t="s">
        <v>47</v>
      </c>
      <c r="D83" t="s">
        <v>362</v>
      </c>
      <c r="E83" s="301">
        <v>-239.58011392</v>
      </c>
      <c r="F83" s="301"/>
      <c r="G83" s="301"/>
      <c r="H83" s="301">
        <f>IF(BaseOperacionesReales[[#This Row],[Dato PDF]]&lt;&gt;"",BaseOperacionesReales[[#This Row],[Dato PDF]]-BaseOperacionesReales[[#This Row],[Valor]],0)</f>
        <v>0</v>
      </c>
    </row>
    <row r="84" spans="2:8" x14ac:dyDescent="0.25">
      <c r="B84" s="1">
        <v>46140</v>
      </c>
      <c r="C84" s="1" t="s">
        <v>47</v>
      </c>
      <c r="D84" t="s">
        <v>362</v>
      </c>
      <c r="E84" s="301">
        <v>-2208.9506200000001</v>
      </c>
      <c r="F84" s="301"/>
      <c r="G84" s="301"/>
      <c r="H84" s="301">
        <f>IF(BaseOperacionesReales[[#This Row],[Dato PDF]]&lt;&gt;"",BaseOperacionesReales[[#This Row],[Dato PDF]]-BaseOperacionesReales[[#This Row],[Valor]],0)</f>
        <v>0</v>
      </c>
    </row>
    <row r="85" spans="2:8" x14ac:dyDescent="0.25">
      <c r="B85" s="1">
        <v>46140</v>
      </c>
      <c r="C85" s="1" t="s">
        <v>47</v>
      </c>
      <c r="D85" t="s">
        <v>362</v>
      </c>
      <c r="E85" s="301">
        <v>-379.31011199999989</v>
      </c>
      <c r="F85" s="301"/>
      <c r="G85" s="301"/>
      <c r="H85" s="301">
        <f>IF(BaseOperacionesReales[[#This Row],[Dato PDF]]&lt;&gt;"",BaseOperacionesReales[[#This Row],[Dato PDF]]-BaseOperacionesReales[[#This Row],[Valor]],0)</f>
        <v>0</v>
      </c>
    </row>
    <row r="86" spans="2:8" x14ac:dyDescent="0.25">
      <c r="B86" s="1">
        <v>46140</v>
      </c>
      <c r="C86" s="1" t="s">
        <v>47</v>
      </c>
      <c r="D86" t="s">
        <v>362</v>
      </c>
      <c r="E86" s="301">
        <v>-785.54030095999997</v>
      </c>
      <c r="F86" s="301"/>
      <c r="G86" s="301"/>
      <c r="H86" s="301">
        <f>IF(BaseOperacionesReales[[#This Row],[Dato PDF]]&lt;&gt;"",BaseOperacionesReales[[#This Row],[Dato PDF]]-BaseOperacionesReales[[#This Row],[Valor]],0)</f>
        <v>0</v>
      </c>
    </row>
    <row r="87" spans="2:8" x14ac:dyDescent="0.25">
      <c r="B87" s="1">
        <v>46140</v>
      </c>
      <c r="C87" s="1" t="s">
        <v>47</v>
      </c>
      <c r="D87" t="s">
        <v>362</v>
      </c>
      <c r="E87" s="301">
        <v>-328.63983804999998</v>
      </c>
      <c r="F87" s="301"/>
      <c r="G87" s="301"/>
      <c r="H87" s="301">
        <f>IF(BaseOperacionesReales[[#This Row],[Dato PDF]]&lt;&gt;"",BaseOperacionesReales[[#This Row],[Dato PDF]]-BaseOperacionesReales[[#This Row],[Valor]],0)</f>
        <v>0</v>
      </c>
    </row>
    <row r="88" spans="2:8" x14ac:dyDescent="0.25">
      <c r="B88" s="1">
        <v>46140</v>
      </c>
      <c r="C88" s="1" t="s">
        <v>47</v>
      </c>
      <c r="D88" t="s">
        <v>362</v>
      </c>
      <c r="E88" s="301">
        <v>-1264.3399555200001</v>
      </c>
      <c r="F88" s="301"/>
      <c r="G88" s="301"/>
      <c r="H88" s="301">
        <f>IF(BaseOperacionesReales[[#This Row],[Dato PDF]]&lt;&gt;"",BaseOperacionesReales[[#This Row],[Dato PDF]]-BaseOperacionesReales[[#This Row],[Valor]],0)</f>
        <v>0</v>
      </c>
    </row>
    <row r="89" spans="2:8" x14ac:dyDescent="0.25">
      <c r="B89" s="1">
        <v>46140</v>
      </c>
      <c r="C89" s="1" t="s">
        <v>47</v>
      </c>
      <c r="D89" t="s">
        <v>362</v>
      </c>
      <c r="E89" s="301">
        <v>-761.40018840000005</v>
      </c>
      <c r="F89" s="301"/>
      <c r="G89" s="301"/>
      <c r="H89" s="301">
        <f>IF(BaseOperacionesReales[[#This Row],[Dato PDF]]&lt;&gt;"",BaseOperacionesReales[[#This Row],[Dato PDF]]-BaseOperacionesReales[[#This Row],[Valor]],0)</f>
        <v>0</v>
      </c>
    </row>
    <row r="90" spans="2:8" x14ac:dyDescent="0.25">
      <c r="B90" s="1">
        <v>46140</v>
      </c>
      <c r="C90" s="1" t="s">
        <v>47</v>
      </c>
      <c r="D90" t="s">
        <v>362</v>
      </c>
      <c r="E90" s="301">
        <v>-520.34994000999995</v>
      </c>
      <c r="F90" s="301"/>
      <c r="G90" s="301"/>
      <c r="H90" s="301">
        <f>IF(BaseOperacionesReales[[#This Row],[Dato PDF]]&lt;&gt;"",BaseOperacionesReales[[#This Row],[Dato PDF]]-BaseOperacionesReales[[#This Row],[Valor]],0)</f>
        <v>0</v>
      </c>
    </row>
    <row r="91" spans="2:8" x14ac:dyDescent="0.25">
      <c r="B91" s="1">
        <v>46140</v>
      </c>
      <c r="C91" s="1" t="s">
        <v>47</v>
      </c>
      <c r="D91" t="s">
        <v>362</v>
      </c>
      <c r="E91" s="301">
        <v>-898.33018909999998</v>
      </c>
      <c r="F91" s="301"/>
      <c r="G91" s="301"/>
      <c r="H91" s="301">
        <f>IF(BaseOperacionesReales[[#This Row],[Dato PDF]]&lt;&gt;"",BaseOperacionesReales[[#This Row],[Dato PDF]]-BaseOperacionesReales[[#This Row],[Valor]],0)</f>
        <v>0</v>
      </c>
    </row>
    <row r="92" spans="2:8" x14ac:dyDescent="0.25">
      <c r="B92" s="1">
        <v>46140</v>
      </c>
      <c r="C92" s="1" t="s">
        <v>47</v>
      </c>
      <c r="D92" t="s">
        <v>362</v>
      </c>
      <c r="E92" s="301">
        <v>-933.12984660000006</v>
      </c>
      <c r="F92" s="301"/>
      <c r="G92" s="301"/>
      <c r="H92" s="301">
        <f>IF(BaseOperacionesReales[[#This Row],[Dato PDF]]&lt;&gt;"",BaseOperacionesReales[[#This Row],[Dato PDF]]-BaseOperacionesReales[[#This Row],[Valor]],0)</f>
        <v>0</v>
      </c>
    </row>
    <row r="93" spans="2:8" x14ac:dyDescent="0.25">
      <c r="B93" s="1">
        <v>46140</v>
      </c>
      <c r="C93" s="1" t="s">
        <v>47</v>
      </c>
      <c r="D93" t="s">
        <v>362</v>
      </c>
      <c r="E93" s="301">
        <v>-827.21002848000001</v>
      </c>
      <c r="F93" s="301"/>
      <c r="G93" s="301"/>
      <c r="H93" s="301">
        <f>IF(BaseOperacionesReales[[#This Row],[Dato PDF]]&lt;&gt;"",BaseOperacionesReales[[#This Row],[Dato PDF]]-BaseOperacionesReales[[#This Row],[Valor]],0)</f>
        <v>0</v>
      </c>
    </row>
    <row r="94" spans="2:8" x14ac:dyDescent="0.25">
      <c r="B94" s="1">
        <v>46140</v>
      </c>
      <c r="C94" s="1" t="s">
        <v>47</v>
      </c>
      <c r="D94" t="s">
        <v>362</v>
      </c>
      <c r="E94" s="301">
        <v>-602.74003149000009</v>
      </c>
      <c r="F94" s="301"/>
      <c r="G94" s="301"/>
      <c r="H94" s="301">
        <f>IF(BaseOperacionesReales[[#This Row],[Dato PDF]]&lt;&gt;"",BaseOperacionesReales[[#This Row],[Dato PDF]]-BaseOperacionesReales[[#This Row],[Valor]],0)</f>
        <v>0</v>
      </c>
    </row>
    <row r="95" spans="2:8" x14ac:dyDescent="0.25">
      <c r="B95" s="1">
        <v>46140</v>
      </c>
      <c r="C95" s="1" t="s">
        <v>47</v>
      </c>
      <c r="D95" t="s">
        <v>362</v>
      </c>
      <c r="E95" s="301">
        <v>-416.95021264000002</v>
      </c>
      <c r="F95" s="301"/>
      <c r="G95" s="301"/>
      <c r="H95" s="301">
        <f>IF(BaseOperacionesReales[[#This Row],[Dato PDF]]&lt;&gt;"",BaseOperacionesReales[[#This Row],[Dato PDF]]-BaseOperacionesReales[[#This Row],[Valor]],0)</f>
        <v>0</v>
      </c>
    </row>
    <row r="96" spans="2:8" x14ac:dyDescent="0.25">
      <c r="B96" s="1">
        <v>46140</v>
      </c>
      <c r="C96" s="1" t="s">
        <v>47</v>
      </c>
      <c r="D96" t="s">
        <v>362</v>
      </c>
      <c r="E96" s="301">
        <v>-539.41023270000005</v>
      </c>
      <c r="F96" s="301"/>
      <c r="G96" s="301"/>
      <c r="H96" s="301">
        <f>IF(BaseOperacionesReales[[#This Row],[Dato PDF]]&lt;&gt;"",BaseOperacionesReales[[#This Row],[Dato PDF]]-BaseOperacionesReales[[#This Row],[Valor]],0)</f>
        <v>0</v>
      </c>
    </row>
    <row r="97" spans="2:8" x14ac:dyDescent="0.25">
      <c r="B97" s="1">
        <v>46140</v>
      </c>
      <c r="C97" s="1" t="s">
        <v>47</v>
      </c>
      <c r="D97" t="s">
        <v>362</v>
      </c>
      <c r="E97" s="301">
        <v>-873.26970142000005</v>
      </c>
      <c r="F97" s="301"/>
      <c r="G97" s="301"/>
      <c r="H97" s="301">
        <f>IF(BaseOperacionesReales[[#This Row],[Dato PDF]]&lt;&gt;"",BaseOperacionesReales[[#This Row],[Dato PDF]]-BaseOperacionesReales[[#This Row],[Valor]],0)</f>
        <v>0</v>
      </c>
    </row>
    <row r="98" spans="2:8" x14ac:dyDescent="0.25">
      <c r="B98" s="1">
        <v>46140</v>
      </c>
      <c r="C98" s="1" t="s">
        <v>47</v>
      </c>
      <c r="D98" t="s">
        <v>362</v>
      </c>
      <c r="E98" s="301">
        <v>-803.19990875000008</v>
      </c>
      <c r="F98" s="301"/>
      <c r="G98" s="301"/>
      <c r="H98" s="301">
        <f>IF(BaseOperacionesReales[[#This Row],[Dato PDF]]&lt;&gt;"",BaseOperacionesReales[[#This Row],[Dato PDF]]-BaseOperacionesReales[[#This Row],[Valor]],0)</f>
        <v>0</v>
      </c>
    </row>
    <row r="99" spans="2:8" x14ac:dyDescent="0.25">
      <c r="B99" s="1">
        <v>46140</v>
      </c>
      <c r="C99" s="1" t="s">
        <v>47</v>
      </c>
      <c r="D99" t="s">
        <v>362</v>
      </c>
      <c r="E99" s="301">
        <v>-763.90999998533687</v>
      </c>
      <c r="F99" s="301"/>
      <c r="G99" s="301"/>
      <c r="H99" s="301">
        <f>IF(BaseOperacionesReales[[#This Row],[Dato PDF]]&lt;&gt;"",BaseOperacionesReales[[#This Row],[Dato PDF]]-BaseOperacionesReales[[#This Row],[Valor]],0)</f>
        <v>0</v>
      </c>
    </row>
    <row r="100" spans="2:8" x14ac:dyDescent="0.25">
      <c r="B100" s="1">
        <v>46140</v>
      </c>
      <c r="C100" s="1" t="s">
        <v>47</v>
      </c>
      <c r="D100" t="s">
        <v>362</v>
      </c>
      <c r="E100" s="301">
        <v>-884.47000003488006</v>
      </c>
      <c r="F100" s="301"/>
      <c r="G100" s="301"/>
      <c r="H100" s="301">
        <f>IF(BaseOperacionesReales[[#This Row],[Dato PDF]]&lt;&gt;"",BaseOperacionesReales[[#This Row],[Dato PDF]]-BaseOperacionesReales[[#This Row],[Valor]],0)</f>
        <v>0</v>
      </c>
    </row>
    <row r="101" spans="2:8" x14ac:dyDescent="0.25">
      <c r="B101" s="1">
        <v>46140</v>
      </c>
      <c r="C101" s="1" t="s">
        <v>47</v>
      </c>
      <c r="D101" t="s">
        <v>362</v>
      </c>
      <c r="E101" s="301">
        <v>-447.85999999026001</v>
      </c>
      <c r="F101" s="301"/>
      <c r="G101" s="301"/>
      <c r="H101" s="301">
        <f>IF(BaseOperacionesReales[[#This Row],[Dato PDF]]&lt;&gt;"",BaseOperacionesReales[[#This Row],[Dato PDF]]-BaseOperacionesReales[[#This Row],[Valor]],0)</f>
        <v>0</v>
      </c>
    </row>
    <row r="102" spans="2:8" x14ac:dyDescent="0.25">
      <c r="B102" s="1">
        <v>46140</v>
      </c>
      <c r="C102" s="1" t="s">
        <v>47</v>
      </c>
      <c r="D102" t="s">
        <v>362</v>
      </c>
      <c r="E102" s="301">
        <v>-900.44000004175007</v>
      </c>
      <c r="F102" s="301"/>
      <c r="G102" s="301"/>
      <c r="H102" s="301">
        <f>IF(BaseOperacionesReales[[#This Row],[Dato PDF]]&lt;&gt;"",BaseOperacionesReales[[#This Row],[Dato PDF]]-BaseOperacionesReales[[#This Row],[Valor]],0)</f>
        <v>0</v>
      </c>
    </row>
    <row r="103" spans="2:8" x14ac:dyDescent="0.25">
      <c r="B103" s="1">
        <v>46141</v>
      </c>
      <c r="C103" s="1" t="s">
        <v>46</v>
      </c>
      <c r="D103" t="s">
        <v>369</v>
      </c>
      <c r="E103" s="301">
        <v>39.49</v>
      </c>
      <c r="F103" s="301"/>
      <c r="G103" s="301"/>
      <c r="H103" s="301">
        <f>IF(BaseOperacionesReales[[#This Row],[Dato PDF]]&lt;&gt;"",BaseOperacionesReales[[#This Row],[Dato PDF]]-BaseOperacionesReales[[#This Row],[Valor]],0)</f>
        <v>0</v>
      </c>
    </row>
    <row r="104" spans="2:8" x14ac:dyDescent="0.25">
      <c r="B104" s="1">
        <v>46141</v>
      </c>
      <c r="C104" s="1" t="s">
        <v>47</v>
      </c>
      <c r="D104" t="s">
        <v>362</v>
      </c>
      <c r="E104" s="301">
        <v>-807.46038764000002</v>
      </c>
      <c r="F104" s="301"/>
      <c r="G104" s="301"/>
      <c r="H104" s="301">
        <f>IF(BaseOperacionesReales[[#This Row],[Dato PDF]]&lt;&gt;"",BaseOperacionesReales[[#This Row],[Dato PDF]]-BaseOperacionesReales[[#This Row],[Valor]],0)</f>
        <v>0</v>
      </c>
    </row>
    <row r="105" spans="2:8" x14ac:dyDescent="0.25">
      <c r="B105" s="1">
        <v>46141</v>
      </c>
      <c r="C105" s="1" t="s">
        <v>47</v>
      </c>
      <c r="D105" t="s">
        <v>362</v>
      </c>
      <c r="E105" s="301">
        <v>-2800.688988299999</v>
      </c>
      <c r="F105" s="301"/>
      <c r="G105" s="301"/>
      <c r="H105" s="301">
        <f>IF(BaseOperacionesReales[[#This Row],[Dato PDF]]&lt;&gt;"",BaseOperacionesReales[[#This Row],[Dato PDF]]-BaseOperacionesReales[[#This Row],[Valor]],0)</f>
        <v>0</v>
      </c>
    </row>
    <row r="106" spans="2:8" x14ac:dyDescent="0.25">
      <c r="B106" s="1">
        <v>46141</v>
      </c>
      <c r="C106" s="1" t="s">
        <v>47</v>
      </c>
      <c r="D106" t="s">
        <v>362</v>
      </c>
      <c r="E106" s="301">
        <v>-1574.40930093</v>
      </c>
      <c r="F106" s="301"/>
      <c r="G106" s="301"/>
      <c r="H106" s="301">
        <f>IF(BaseOperacionesReales[[#This Row],[Dato PDF]]&lt;&gt;"",BaseOperacionesReales[[#This Row],[Dato PDF]]-BaseOperacionesReales[[#This Row],[Valor]],0)</f>
        <v>0</v>
      </c>
    </row>
    <row r="107" spans="2:8" x14ac:dyDescent="0.25">
      <c r="B107" s="1">
        <v>46141</v>
      </c>
      <c r="C107" s="1" t="s">
        <v>47</v>
      </c>
      <c r="D107" t="s">
        <v>362</v>
      </c>
      <c r="E107" s="301">
        <v>-683.72997359999999</v>
      </c>
      <c r="F107" s="301"/>
      <c r="G107" s="301"/>
      <c r="H107" s="301">
        <f>IF(BaseOperacionesReales[[#This Row],[Dato PDF]]&lt;&gt;"",BaseOperacionesReales[[#This Row],[Dato PDF]]-BaseOperacionesReales[[#This Row],[Valor]],0)</f>
        <v>0</v>
      </c>
    </row>
    <row r="108" spans="2:8" x14ac:dyDescent="0.25">
      <c r="B108" s="1">
        <v>46141</v>
      </c>
      <c r="C108" s="1" t="s">
        <v>47</v>
      </c>
      <c r="D108" t="s">
        <v>362</v>
      </c>
      <c r="E108" s="301">
        <v>-725.07974918000002</v>
      </c>
      <c r="F108" s="301"/>
      <c r="G108" s="301"/>
      <c r="H108" s="301">
        <f>IF(BaseOperacionesReales[[#This Row],[Dato PDF]]&lt;&gt;"",BaseOperacionesReales[[#This Row],[Dato PDF]]-BaseOperacionesReales[[#This Row],[Valor]],0)</f>
        <v>0</v>
      </c>
    </row>
    <row r="109" spans="2:8" x14ac:dyDescent="0.25">
      <c r="B109" s="1">
        <v>46141</v>
      </c>
      <c r="C109" s="1" t="s">
        <v>47</v>
      </c>
      <c r="D109" t="s">
        <v>362</v>
      </c>
      <c r="E109" s="301">
        <v>-992.28999810000005</v>
      </c>
      <c r="F109" s="301"/>
      <c r="G109" s="301"/>
      <c r="H109" s="301">
        <f>IF(BaseOperacionesReales[[#This Row],[Dato PDF]]&lt;&gt;"",BaseOperacionesReales[[#This Row],[Dato PDF]]-BaseOperacionesReales[[#This Row],[Valor]],0)</f>
        <v>0</v>
      </c>
    </row>
    <row r="110" spans="2:8" x14ac:dyDescent="0.25">
      <c r="B110" s="1">
        <v>46141</v>
      </c>
      <c r="C110" s="1" t="s">
        <v>47</v>
      </c>
      <c r="D110" t="s">
        <v>362</v>
      </c>
      <c r="E110" s="301">
        <v>-1733.1506348</v>
      </c>
      <c r="F110" s="301"/>
      <c r="G110" s="301"/>
      <c r="H110" s="301">
        <f>IF(BaseOperacionesReales[[#This Row],[Dato PDF]]&lt;&gt;"",BaseOperacionesReales[[#This Row],[Dato PDF]]-BaseOperacionesReales[[#This Row],[Valor]],0)</f>
        <v>0</v>
      </c>
    </row>
    <row r="111" spans="2:8" x14ac:dyDescent="0.25">
      <c r="B111" s="1">
        <v>46141</v>
      </c>
      <c r="C111" s="1" t="s">
        <v>47</v>
      </c>
      <c r="D111" t="s">
        <v>362</v>
      </c>
      <c r="E111" s="301">
        <v>-748.45018206000009</v>
      </c>
      <c r="F111" s="301"/>
      <c r="G111" s="301"/>
      <c r="H111" s="301">
        <f>IF(BaseOperacionesReales[[#This Row],[Dato PDF]]&lt;&gt;"",BaseOperacionesReales[[#This Row],[Dato PDF]]-BaseOperacionesReales[[#This Row],[Valor]],0)</f>
        <v>0</v>
      </c>
    </row>
    <row r="112" spans="2:8" x14ac:dyDescent="0.25">
      <c r="B112" s="1">
        <v>46141</v>
      </c>
      <c r="C112" s="1" t="s">
        <v>47</v>
      </c>
      <c r="D112" t="s">
        <v>362</v>
      </c>
      <c r="E112" s="301">
        <v>-441.02995143999999</v>
      </c>
      <c r="F112" s="301"/>
      <c r="G112" s="301"/>
      <c r="H112" s="301">
        <f>IF(BaseOperacionesReales[[#This Row],[Dato PDF]]&lt;&gt;"",BaseOperacionesReales[[#This Row],[Dato PDF]]-BaseOperacionesReales[[#This Row],[Valor]],0)</f>
        <v>0</v>
      </c>
    </row>
    <row r="113" spans="2:8" x14ac:dyDescent="0.25">
      <c r="B113" s="1">
        <v>46141</v>
      </c>
      <c r="C113" s="1" t="s">
        <v>47</v>
      </c>
      <c r="D113" t="s">
        <v>362</v>
      </c>
      <c r="E113" s="301">
        <v>-427.59020304000001</v>
      </c>
      <c r="F113" s="301"/>
      <c r="G113" s="301"/>
      <c r="H113" s="301">
        <f>IF(BaseOperacionesReales[[#This Row],[Dato PDF]]&lt;&gt;"",BaseOperacionesReales[[#This Row],[Dato PDF]]-BaseOperacionesReales[[#This Row],[Valor]],0)</f>
        <v>0</v>
      </c>
    </row>
    <row r="114" spans="2:8" x14ac:dyDescent="0.25">
      <c r="B114" s="1">
        <v>46141</v>
      </c>
      <c r="C114" s="1" t="s">
        <v>47</v>
      </c>
      <c r="D114" t="s">
        <v>362</v>
      </c>
      <c r="E114" s="301">
        <v>-1778.56048818</v>
      </c>
      <c r="F114" s="301"/>
      <c r="G114" s="301"/>
      <c r="H114" s="301">
        <f>IF(BaseOperacionesReales[[#This Row],[Dato PDF]]&lt;&gt;"",BaseOperacionesReales[[#This Row],[Dato PDF]]-BaseOperacionesReales[[#This Row],[Valor]],0)</f>
        <v>0</v>
      </c>
    </row>
    <row r="115" spans="2:8" x14ac:dyDescent="0.25">
      <c r="B115" s="1">
        <v>46141</v>
      </c>
      <c r="C115" s="1" t="s">
        <v>47</v>
      </c>
      <c r="D115" t="s">
        <v>357</v>
      </c>
      <c r="E115" s="301">
        <v>-31853.0877</v>
      </c>
      <c r="F115" s="301"/>
      <c r="G115" s="301"/>
      <c r="H115" s="301">
        <f>IF(BaseOperacionesReales[[#This Row],[Dato PDF]]&lt;&gt;"",BaseOperacionesReales[[#This Row],[Dato PDF]]-BaseOperacionesReales[[#This Row],[Valor]],0)</f>
        <v>0</v>
      </c>
    </row>
    <row r="116" spans="2:8" x14ac:dyDescent="0.25">
      <c r="B116" s="1">
        <v>46141</v>
      </c>
      <c r="C116" s="1" t="s">
        <v>47</v>
      </c>
      <c r="D116" t="s">
        <v>362</v>
      </c>
      <c r="E116" s="301">
        <v>-432.740000014016</v>
      </c>
      <c r="F116" s="301"/>
      <c r="G116" s="301"/>
      <c r="H116" s="301">
        <f>IF(BaseOperacionesReales[[#This Row],[Dato PDF]]&lt;&gt;"",BaseOperacionesReales[[#This Row],[Dato PDF]]-BaseOperacionesReales[[#This Row],[Valor]],0)</f>
        <v>0</v>
      </c>
    </row>
    <row r="117" spans="2:8" x14ac:dyDescent="0.25">
      <c r="B117" s="1">
        <v>46146</v>
      </c>
      <c r="C117" s="1" t="s">
        <v>47</v>
      </c>
      <c r="D117" t="s">
        <v>362</v>
      </c>
      <c r="E117" s="301">
        <v>-300.62014879999998</v>
      </c>
      <c r="F117" s="301"/>
      <c r="G117" s="301"/>
      <c r="H117" s="301">
        <f>IF(BaseOperacionesReales[[#This Row],[Dato PDF]]&lt;&gt;"",BaseOperacionesReales[[#This Row],[Dato PDF]]-BaseOperacionesReales[[#This Row],[Valor]],0)</f>
        <v>0</v>
      </c>
    </row>
    <row r="118" spans="2:8" x14ac:dyDescent="0.25">
      <c r="B118" s="1">
        <v>46146</v>
      </c>
      <c r="C118" s="1" t="s">
        <v>47</v>
      </c>
      <c r="D118" t="s">
        <v>362</v>
      </c>
      <c r="E118" s="301">
        <v>-484.08976192</v>
      </c>
      <c r="F118" s="301"/>
      <c r="G118" s="301"/>
      <c r="H118" s="301">
        <f>IF(BaseOperacionesReales[[#This Row],[Dato PDF]]&lt;&gt;"",BaseOperacionesReales[[#This Row],[Dato PDF]]-BaseOperacionesReales[[#This Row],[Valor]],0)</f>
        <v>0</v>
      </c>
    </row>
    <row r="119" spans="2:8" x14ac:dyDescent="0.25">
      <c r="B119" s="1">
        <v>46146</v>
      </c>
      <c r="C119" s="1" t="s">
        <v>47</v>
      </c>
      <c r="D119" t="s">
        <v>362</v>
      </c>
      <c r="E119" s="301">
        <v>-415.10979551999998</v>
      </c>
      <c r="F119" s="301"/>
      <c r="G119" s="301"/>
      <c r="H119" s="301">
        <f>IF(BaseOperacionesReales[[#This Row],[Dato PDF]]&lt;&gt;"",BaseOperacionesReales[[#This Row],[Dato PDF]]-BaseOperacionesReales[[#This Row],[Valor]],0)</f>
        <v>0</v>
      </c>
    </row>
    <row r="120" spans="2:8" x14ac:dyDescent="0.25">
      <c r="B120" s="1">
        <v>46146</v>
      </c>
      <c r="C120" s="1" t="s">
        <v>47</v>
      </c>
      <c r="D120" t="s">
        <v>362</v>
      </c>
      <c r="E120" s="301">
        <v>-229.6899382</v>
      </c>
      <c r="F120" s="301"/>
      <c r="G120" s="301"/>
      <c r="H120" s="301">
        <f>IF(BaseOperacionesReales[[#This Row],[Dato PDF]]&lt;&gt;"",BaseOperacionesReales[[#This Row],[Dato PDF]]-BaseOperacionesReales[[#This Row],[Valor]],0)</f>
        <v>0</v>
      </c>
    </row>
    <row r="121" spans="2:8" x14ac:dyDescent="0.25">
      <c r="B121" s="1">
        <v>46147</v>
      </c>
      <c r="C121" s="1" t="s">
        <v>138</v>
      </c>
      <c r="D121" t="s">
        <v>370</v>
      </c>
      <c r="E121" s="301">
        <v>2026</v>
      </c>
      <c r="F121" s="301"/>
      <c r="G121" s="301"/>
      <c r="H121" s="301">
        <f>IF(BaseOperacionesReales[[#This Row],[Dato PDF]]&lt;&gt;"",BaseOperacionesReales[[#This Row],[Dato PDF]]-BaseOperacionesReales[[#This Row],[Valor]],0)</f>
        <v>0</v>
      </c>
    </row>
    <row r="122" spans="2:8" x14ac:dyDescent="0.25">
      <c r="B122" s="1">
        <v>46147</v>
      </c>
      <c r="C122" s="1" t="s">
        <v>138</v>
      </c>
      <c r="D122" t="s">
        <v>371</v>
      </c>
      <c r="E122" s="301">
        <v>2400</v>
      </c>
      <c r="F122" s="301"/>
      <c r="G122" s="301"/>
      <c r="H122" s="301">
        <f>IF(BaseOperacionesReales[[#This Row],[Dato PDF]]&lt;&gt;"",BaseOperacionesReales[[#This Row],[Dato PDF]]-BaseOperacionesReales[[#This Row],[Valor]],0)</f>
        <v>0</v>
      </c>
    </row>
    <row r="123" spans="2:8" x14ac:dyDescent="0.25">
      <c r="B123" s="1">
        <v>46147</v>
      </c>
      <c r="C123" s="1" t="s">
        <v>47</v>
      </c>
      <c r="D123" t="s">
        <v>372</v>
      </c>
      <c r="E123" s="301">
        <v>38222.83</v>
      </c>
      <c r="F123" s="301">
        <v>563.96914551939699</v>
      </c>
      <c r="G123" s="301"/>
      <c r="H123" s="301">
        <f>IF(BaseOperacionesReales[[#This Row],[Dato PDF]]&lt;&gt;"",BaseOperacionesReales[[#This Row],[Dato PDF]]-BaseOperacionesReales[[#This Row],[Valor]],0)</f>
        <v>0</v>
      </c>
    </row>
    <row r="124" spans="2:8" x14ac:dyDescent="0.25">
      <c r="B124" s="1">
        <v>46147</v>
      </c>
      <c r="C124" s="1" t="s">
        <v>47</v>
      </c>
      <c r="D124" t="s">
        <v>359</v>
      </c>
      <c r="E124" s="301">
        <v>-38222.83</v>
      </c>
      <c r="F124" s="301"/>
      <c r="G124" s="301"/>
      <c r="H124" s="301">
        <f>IF(BaseOperacionesReales[[#This Row],[Dato PDF]]&lt;&gt;"",BaseOperacionesReales[[#This Row],[Dato PDF]]-BaseOperacionesReales[[#This Row],[Valor]],0)</f>
        <v>0</v>
      </c>
    </row>
    <row r="125" spans="2:8" x14ac:dyDescent="0.25">
      <c r="B125" s="1">
        <v>46147</v>
      </c>
      <c r="C125" s="1" t="s">
        <v>48</v>
      </c>
      <c r="D125" t="s">
        <v>367</v>
      </c>
      <c r="E125" s="301">
        <v>12000</v>
      </c>
      <c r="F125" s="301"/>
      <c r="G125" s="301"/>
      <c r="H125" s="301">
        <f>IF(BaseOperacionesReales[[#This Row],[Dato PDF]]&lt;&gt;"",BaseOperacionesReales[[#This Row],[Dato PDF]]-BaseOperacionesReales[[#This Row],[Valor]],0)</f>
        <v>0</v>
      </c>
    </row>
    <row r="126" spans="2:8" x14ac:dyDescent="0.25">
      <c r="B126" s="1">
        <v>46148</v>
      </c>
      <c r="C126" s="1" t="s">
        <v>48</v>
      </c>
      <c r="D126" t="s">
        <v>367</v>
      </c>
      <c r="E126" s="301">
        <v>15000</v>
      </c>
      <c r="F126" s="301"/>
      <c r="G126" s="301"/>
      <c r="H126" s="301">
        <f>IF(BaseOperacionesReales[[#This Row],[Dato PDF]]&lt;&gt;"",BaseOperacionesReales[[#This Row],[Dato PDF]]-BaseOperacionesReales[[#This Row],[Valor]],0)</f>
        <v>0</v>
      </c>
    </row>
    <row r="127" spans="2:8" x14ac:dyDescent="0.25">
      <c r="B127" s="1">
        <v>46148</v>
      </c>
      <c r="C127" s="1" t="s">
        <v>48</v>
      </c>
      <c r="D127" t="s">
        <v>362</v>
      </c>
      <c r="E127" s="301">
        <v>-321.64011964000002</v>
      </c>
      <c r="F127" s="301"/>
      <c r="G127" s="301"/>
      <c r="H127" s="301">
        <f>IF(BaseOperacionesReales[[#This Row],[Dato PDF]]&lt;&gt;"",BaseOperacionesReales[[#This Row],[Dato PDF]]-BaseOperacionesReales[[#This Row],[Valor]],0)</f>
        <v>0</v>
      </c>
    </row>
    <row r="128" spans="2:8" x14ac:dyDescent="0.25">
      <c r="B128" s="1">
        <v>46148</v>
      </c>
      <c r="C128" s="1" t="s">
        <v>48</v>
      </c>
      <c r="D128" t="s">
        <v>362</v>
      </c>
      <c r="E128" s="301">
        <v>-329.03999998427997</v>
      </c>
      <c r="F128" s="301"/>
      <c r="G128" s="301"/>
      <c r="H128" s="301">
        <f>IF(BaseOperacionesReales[[#This Row],[Dato PDF]]&lt;&gt;"",BaseOperacionesReales[[#This Row],[Dato PDF]]-BaseOperacionesReales[[#This Row],[Valor]],0)</f>
        <v>0</v>
      </c>
    </row>
    <row r="129" spans="2:8" x14ac:dyDescent="0.25">
      <c r="B129" s="1">
        <v>46148</v>
      </c>
      <c r="C129" s="1" t="s">
        <v>48</v>
      </c>
      <c r="D129" t="s">
        <v>362</v>
      </c>
      <c r="E129" s="301">
        <v>-1129.4401215</v>
      </c>
      <c r="F129" s="301"/>
      <c r="G129" s="301"/>
      <c r="H129" s="301">
        <f>IF(BaseOperacionesReales[[#This Row],[Dato PDF]]&lt;&gt;"",BaseOperacionesReales[[#This Row],[Dato PDF]]-BaseOperacionesReales[[#This Row],[Valor]],0)</f>
        <v>0</v>
      </c>
    </row>
    <row r="130" spans="2:8" x14ac:dyDescent="0.25">
      <c r="B130" s="1">
        <v>46148</v>
      </c>
      <c r="C130" s="1" t="s">
        <v>48</v>
      </c>
      <c r="D130" t="s">
        <v>362</v>
      </c>
      <c r="E130" s="301">
        <v>-688.72969155999988</v>
      </c>
      <c r="F130" s="301"/>
      <c r="G130" s="301"/>
      <c r="H130" s="301">
        <f>IF(BaseOperacionesReales[[#This Row],[Dato PDF]]&lt;&gt;"",BaseOperacionesReales[[#This Row],[Dato PDF]]-BaseOperacionesReales[[#This Row],[Valor]],0)</f>
        <v>0</v>
      </c>
    </row>
    <row r="131" spans="2:8" x14ac:dyDescent="0.25">
      <c r="B131" s="1">
        <v>46148</v>
      </c>
      <c r="C131" s="1" t="s">
        <v>48</v>
      </c>
      <c r="D131" t="s">
        <v>362</v>
      </c>
      <c r="E131" s="301">
        <v>-630.02971799999989</v>
      </c>
      <c r="F131" s="301"/>
      <c r="G131" s="301"/>
      <c r="H131" s="301">
        <f>IF(BaseOperacionesReales[[#This Row],[Dato PDF]]&lt;&gt;"",BaseOperacionesReales[[#This Row],[Dato PDF]]-BaseOperacionesReales[[#This Row],[Valor]],0)</f>
        <v>0</v>
      </c>
    </row>
    <row r="132" spans="2:8" x14ac:dyDescent="0.25">
      <c r="B132" s="1">
        <v>46148</v>
      </c>
      <c r="C132" s="1" t="s">
        <v>48</v>
      </c>
      <c r="D132" t="s">
        <v>362</v>
      </c>
      <c r="E132" s="301">
        <v>-306.69986153999997</v>
      </c>
      <c r="F132" s="301"/>
      <c r="G132" s="301"/>
      <c r="H132" s="301">
        <f>IF(BaseOperacionesReales[[#This Row],[Dato PDF]]&lt;&gt;"",BaseOperacionesReales[[#This Row],[Dato PDF]]-BaseOperacionesReales[[#This Row],[Valor]],0)</f>
        <v>0</v>
      </c>
    </row>
    <row r="133" spans="2:8" x14ac:dyDescent="0.25">
      <c r="B133" s="1">
        <v>46148</v>
      </c>
      <c r="C133" s="1" t="s">
        <v>48</v>
      </c>
      <c r="D133" t="s">
        <v>362</v>
      </c>
      <c r="E133" s="301">
        <v>-230.51999964000001</v>
      </c>
      <c r="F133" s="301"/>
      <c r="G133" s="301"/>
      <c r="H133" s="301">
        <f>IF(BaseOperacionesReales[[#This Row],[Dato PDF]]&lt;&gt;"",BaseOperacionesReales[[#This Row],[Dato PDF]]-BaseOperacionesReales[[#This Row],[Valor]],0)</f>
        <v>0</v>
      </c>
    </row>
    <row r="134" spans="2:8" x14ac:dyDescent="0.25">
      <c r="B134" s="1">
        <v>46148</v>
      </c>
      <c r="C134" s="1" t="s">
        <v>48</v>
      </c>
      <c r="D134" t="s">
        <v>362</v>
      </c>
      <c r="E134" s="301">
        <v>-1723.8496342200001</v>
      </c>
      <c r="F134" s="301"/>
      <c r="G134" s="301"/>
      <c r="H134" s="301">
        <f>IF(BaseOperacionesReales[[#This Row],[Dato PDF]]&lt;&gt;"",BaseOperacionesReales[[#This Row],[Dato PDF]]-BaseOperacionesReales[[#This Row],[Valor]],0)</f>
        <v>0</v>
      </c>
    </row>
    <row r="135" spans="2:8" x14ac:dyDescent="0.25">
      <c r="B135" s="1">
        <v>46148</v>
      </c>
      <c r="C135" s="1" t="s">
        <v>48</v>
      </c>
      <c r="D135" t="s">
        <v>362</v>
      </c>
      <c r="E135" s="301">
        <v>-199.10002373</v>
      </c>
      <c r="F135" s="301"/>
      <c r="G135" s="301"/>
      <c r="H135" s="301">
        <f>IF(BaseOperacionesReales[[#This Row],[Dato PDF]]&lt;&gt;"",BaseOperacionesReales[[#This Row],[Dato PDF]]-BaseOperacionesReales[[#This Row],[Valor]],0)</f>
        <v>0</v>
      </c>
    </row>
    <row r="136" spans="2:8" x14ac:dyDescent="0.25">
      <c r="B136" s="1">
        <v>46148</v>
      </c>
      <c r="C136" s="1" t="s">
        <v>48</v>
      </c>
      <c r="D136" t="s">
        <v>362</v>
      </c>
      <c r="E136" s="301">
        <v>-599.50999376000004</v>
      </c>
      <c r="F136" s="301"/>
      <c r="G136" s="301"/>
      <c r="H136" s="301">
        <f>IF(BaseOperacionesReales[[#This Row],[Dato PDF]]&lt;&gt;"",BaseOperacionesReales[[#This Row],[Dato PDF]]-BaseOperacionesReales[[#This Row],[Valor]],0)</f>
        <v>0</v>
      </c>
    </row>
    <row r="137" spans="2:8" x14ac:dyDescent="0.25">
      <c r="B137" s="1">
        <v>46148</v>
      </c>
      <c r="C137" s="1" t="s">
        <v>48</v>
      </c>
      <c r="D137" t="s">
        <v>362</v>
      </c>
      <c r="E137" s="301">
        <v>-678.99966558000006</v>
      </c>
      <c r="F137" s="301"/>
      <c r="G137" s="301"/>
      <c r="H137" s="301">
        <f>IF(BaseOperacionesReales[[#This Row],[Dato PDF]]&lt;&gt;"",BaseOperacionesReales[[#This Row],[Dato PDF]]-BaseOperacionesReales[[#This Row],[Valor]],0)</f>
        <v>0</v>
      </c>
    </row>
    <row r="138" spans="2:8" x14ac:dyDescent="0.25">
      <c r="B138" s="1">
        <v>46148</v>
      </c>
      <c r="C138" s="1" t="s">
        <v>48</v>
      </c>
      <c r="D138" t="s">
        <v>362</v>
      </c>
      <c r="E138" s="301">
        <v>-706.71027083000013</v>
      </c>
      <c r="F138" s="301"/>
      <c r="G138" s="301"/>
      <c r="H138" s="301">
        <f>IF(BaseOperacionesReales[[#This Row],[Dato PDF]]&lt;&gt;"",BaseOperacionesReales[[#This Row],[Dato PDF]]-BaseOperacionesReales[[#This Row],[Valor]],0)</f>
        <v>0</v>
      </c>
    </row>
    <row r="139" spans="2:8" x14ac:dyDescent="0.25">
      <c r="B139" s="1">
        <v>46148</v>
      </c>
      <c r="C139" s="1" t="s">
        <v>48</v>
      </c>
      <c r="D139" t="s">
        <v>362</v>
      </c>
      <c r="E139" s="301">
        <v>-265.67997478000001</v>
      </c>
      <c r="F139" s="301"/>
      <c r="G139" s="301"/>
      <c r="H139" s="301">
        <f>IF(BaseOperacionesReales[[#This Row],[Dato PDF]]&lt;&gt;"",BaseOperacionesReales[[#This Row],[Dato PDF]]-BaseOperacionesReales[[#This Row],[Valor]],0)</f>
        <v>0</v>
      </c>
    </row>
    <row r="140" spans="2:8" x14ac:dyDescent="0.25">
      <c r="B140" s="1">
        <v>46149</v>
      </c>
      <c r="C140" s="1" t="s">
        <v>138</v>
      </c>
      <c r="D140" t="s">
        <v>367</v>
      </c>
      <c r="E140" s="301">
        <v>5400</v>
      </c>
      <c r="F140" s="301"/>
      <c r="G140" s="301"/>
      <c r="H140" s="301">
        <f>IF(BaseOperacionesReales[[#This Row],[Dato PDF]]&lt;&gt;"",BaseOperacionesReales[[#This Row],[Dato PDF]]-BaseOperacionesReales[[#This Row],[Valor]],0)</f>
        <v>0</v>
      </c>
    </row>
    <row r="141" spans="2:8" x14ac:dyDescent="0.25">
      <c r="B141" s="1">
        <v>46149</v>
      </c>
      <c r="C141" s="1" t="s">
        <v>138</v>
      </c>
      <c r="D141" t="s">
        <v>367</v>
      </c>
      <c r="E141" s="301">
        <v>174</v>
      </c>
      <c r="F141" s="301"/>
      <c r="G141" s="301"/>
      <c r="H141" s="301">
        <f>IF(BaseOperacionesReales[[#This Row],[Dato PDF]]&lt;&gt;"",BaseOperacionesReales[[#This Row],[Dato PDF]]-BaseOperacionesReales[[#This Row],[Valor]],0)</f>
        <v>0</v>
      </c>
    </row>
    <row r="142" spans="2:8" x14ac:dyDescent="0.25">
      <c r="B142" s="1">
        <v>46149</v>
      </c>
      <c r="C142" s="1" t="s">
        <v>48</v>
      </c>
      <c r="D142" t="s">
        <v>362</v>
      </c>
      <c r="E142" s="301">
        <v>-127.94002986</v>
      </c>
      <c r="F142" s="301"/>
      <c r="G142" s="301"/>
      <c r="H142" s="301">
        <f>IF(BaseOperacionesReales[[#This Row],[Dato PDF]]&lt;&gt;"",BaseOperacionesReales[[#This Row],[Dato PDF]]-BaseOperacionesReales[[#This Row],[Valor]],0)</f>
        <v>0</v>
      </c>
    </row>
    <row r="143" spans="2:8" x14ac:dyDescent="0.25">
      <c r="B143" s="1">
        <v>46149</v>
      </c>
      <c r="C143" s="1" t="s">
        <v>48</v>
      </c>
      <c r="D143" t="s">
        <v>362</v>
      </c>
      <c r="E143" s="301">
        <v>-817.94008589999999</v>
      </c>
      <c r="F143" s="301"/>
      <c r="G143" s="301"/>
      <c r="H143" s="301">
        <f>IF(BaseOperacionesReales[[#This Row],[Dato PDF]]&lt;&gt;"",BaseOperacionesReales[[#This Row],[Dato PDF]]-BaseOperacionesReales[[#This Row],[Valor]],0)</f>
        <v>0</v>
      </c>
    </row>
    <row r="144" spans="2:8" x14ac:dyDescent="0.25">
      <c r="B144" s="1">
        <v>46149</v>
      </c>
      <c r="C144" s="1" t="s">
        <v>48</v>
      </c>
      <c r="D144" t="s">
        <v>362</v>
      </c>
      <c r="E144" s="301">
        <v>-691.34996712999998</v>
      </c>
      <c r="F144" s="301"/>
      <c r="G144" s="301"/>
      <c r="H144" s="301">
        <f>IF(BaseOperacionesReales[[#This Row],[Dato PDF]]&lt;&gt;"",BaseOperacionesReales[[#This Row],[Dato PDF]]-BaseOperacionesReales[[#This Row],[Valor]],0)</f>
        <v>0</v>
      </c>
    </row>
    <row r="145" spans="2:8" x14ac:dyDescent="0.25">
      <c r="B145" s="1">
        <v>46149</v>
      </c>
      <c r="C145" s="1" t="s">
        <v>48</v>
      </c>
      <c r="D145" t="s">
        <v>362</v>
      </c>
      <c r="E145" s="301">
        <v>-490.90974893999999</v>
      </c>
      <c r="F145" s="301"/>
      <c r="G145" s="301"/>
      <c r="H145" s="301">
        <f>IF(BaseOperacionesReales[[#This Row],[Dato PDF]]&lt;&gt;"",BaseOperacionesReales[[#This Row],[Dato PDF]]-BaseOperacionesReales[[#This Row],[Valor]],0)</f>
        <v>0</v>
      </c>
    </row>
    <row r="146" spans="2:8" x14ac:dyDescent="0.25">
      <c r="B146" s="1">
        <v>46149</v>
      </c>
      <c r="C146" s="1" t="s">
        <v>138</v>
      </c>
      <c r="D146" t="s">
        <v>357</v>
      </c>
      <c r="E146" s="301">
        <v>-10000</v>
      </c>
      <c r="F146" s="301"/>
      <c r="G146" s="301"/>
      <c r="H146" s="301">
        <f>IF(BaseOperacionesReales[[#This Row],[Dato PDF]]&lt;&gt;"",BaseOperacionesReales[[#This Row],[Dato PDF]]-BaseOperacionesReales[[#This Row],[Valor]],0)</f>
        <v>0</v>
      </c>
    </row>
    <row r="147" spans="2:8" x14ac:dyDescent="0.25">
      <c r="B147" s="1">
        <v>46149</v>
      </c>
      <c r="C147" s="1" t="s">
        <v>47</v>
      </c>
      <c r="D147" t="s">
        <v>357</v>
      </c>
      <c r="E147" s="301">
        <v>-18093.509999999998</v>
      </c>
      <c r="F147" s="301"/>
      <c r="G147" s="301"/>
      <c r="H147" s="301">
        <f>IF(BaseOperacionesReales[[#This Row],[Dato PDF]]&lt;&gt;"",BaseOperacionesReales[[#This Row],[Dato PDF]]-BaseOperacionesReales[[#This Row],[Valor]],0)</f>
        <v>0</v>
      </c>
    </row>
    <row r="148" spans="2:8" x14ac:dyDescent="0.25">
      <c r="B148" s="1">
        <v>46149</v>
      </c>
      <c r="C148" s="1" t="s">
        <v>47</v>
      </c>
      <c r="D148" t="s">
        <v>357</v>
      </c>
      <c r="E148" s="301">
        <v>-31906.5</v>
      </c>
      <c r="F148" s="301"/>
      <c r="G148" s="301"/>
      <c r="H148" s="301">
        <f>IF(BaseOperacionesReales[[#This Row],[Dato PDF]]&lt;&gt;"",BaseOperacionesReales[[#This Row],[Dato PDF]]-BaseOperacionesReales[[#This Row],[Valor]],0)</f>
        <v>0</v>
      </c>
    </row>
    <row r="149" spans="2:8" x14ac:dyDescent="0.25">
      <c r="B149" s="1">
        <v>46149</v>
      </c>
      <c r="C149" s="1" t="s">
        <v>47</v>
      </c>
      <c r="D149" t="s">
        <v>359</v>
      </c>
      <c r="E149" s="301">
        <v>-3876.06</v>
      </c>
      <c r="F149" s="301"/>
      <c r="G149" s="301"/>
      <c r="H149" s="301">
        <f>IF(BaseOperacionesReales[[#This Row],[Dato PDF]]&lt;&gt;"",BaseOperacionesReales[[#This Row],[Dato PDF]]-BaseOperacionesReales[[#This Row],[Valor]],0)</f>
        <v>0</v>
      </c>
    </row>
    <row r="150" spans="2:8" x14ac:dyDescent="0.25">
      <c r="B150" s="1">
        <v>46150</v>
      </c>
      <c r="C150" s="1" t="s">
        <v>48</v>
      </c>
      <c r="D150" t="s">
        <v>362</v>
      </c>
      <c r="E150" s="301">
        <v>-280.56998807999997</v>
      </c>
      <c r="F150" s="301"/>
      <c r="G150" s="301"/>
      <c r="H150" s="301">
        <f>IF(BaseOperacionesReales[[#This Row],[Dato PDF]]&lt;&gt;"",BaseOperacionesReales[[#This Row],[Dato PDF]]-BaseOperacionesReales[[#This Row],[Valor]],0)</f>
        <v>0</v>
      </c>
    </row>
    <row r="151" spans="2:8" x14ac:dyDescent="0.25">
      <c r="B151" s="1">
        <v>46151</v>
      </c>
      <c r="C151" s="1" t="s">
        <v>48</v>
      </c>
      <c r="D151" t="s">
        <v>362</v>
      </c>
      <c r="E151" s="301">
        <v>-286.42010879999998</v>
      </c>
      <c r="F151" s="301"/>
      <c r="G151" s="301"/>
      <c r="H151" s="301">
        <f>IF(BaseOperacionesReales[[#This Row],[Dato PDF]]&lt;&gt;"",BaseOperacionesReales[[#This Row],[Dato PDF]]-BaseOperacionesReales[[#This Row],[Valor]],0)</f>
        <v>0</v>
      </c>
    </row>
    <row r="152" spans="2:8" x14ac:dyDescent="0.25">
      <c r="B152" s="1">
        <v>46153</v>
      </c>
      <c r="C152" s="1" t="s">
        <v>48</v>
      </c>
      <c r="D152" t="s">
        <v>362</v>
      </c>
      <c r="E152" s="301">
        <v>-1282.7000278400001</v>
      </c>
      <c r="F152" s="301"/>
      <c r="G152" s="301"/>
      <c r="H152" s="301">
        <f>IF(BaseOperacionesReales[[#This Row],[Dato PDF]]&lt;&gt;"",BaseOperacionesReales[[#This Row],[Dato PDF]]-BaseOperacionesReales[[#This Row],[Valor]],0)</f>
        <v>0</v>
      </c>
    </row>
    <row r="153" spans="2:8" x14ac:dyDescent="0.25">
      <c r="B153" s="1">
        <v>46153</v>
      </c>
      <c r="C153" s="1" t="s">
        <v>47</v>
      </c>
      <c r="D153" t="s">
        <v>373</v>
      </c>
      <c r="E153" s="301">
        <v>0.99</v>
      </c>
      <c r="F153" s="301"/>
      <c r="G153" s="301"/>
      <c r="H153" s="301">
        <f>IF(BaseOperacionesReales[[#This Row],[Dato PDF]]&lt;&gt;"",BaseOperacionesReales[[#This Row],[Dato PDF]]-BaseOperacionesReales[[#This Row],[Valor]],0)</f>
        <v>0</v>
      </c>
    </row>
    <row r="154" spans="2:8" x14ac:dyDescent="0.25">
      <c r="B154" s="1">
        <v>46154</v>
      </c>
      <c r="C154" s="1" t="s">
        <v>46</v>
      </c>
      <c r="D154" t="s">
        <v>353</v>
      </c>
      <c r="E154" s="301">
        <v>14682.630080000001</v>
      </c>
      <c r="F154" s="301">
        <v>147.55807999999709</v>
      </c>
      <c r="G154" s="301"/>
      <c r="H154" s="301">
        <f>IF(BaseOperacionesReales[[#This Row],[Dato PDF]]&lt;&gt;"",BaseOperacionesReales[[#This Row],[Dato PDF]]-BaseOperacionesReales[[#This Row],[Valor]],0)</f>
        <v>0</v>
      </c>
    </row>
    <row r="155" spans="2:8" x14ac:dyDescent="0.25">
      <c r="B155" s="1">
        <v>46154</v>
      </c>
      <c r="C155" s="1" t="s">
        <v>48</v>
      </c>
      <c r="D155" t="s">
        <v>362</v>
      </c>
      <c r="E155" s="301">
        <v>-5259.9579753600001</v>
      </c>
      <c r="F155" s="301"/>
      <c r="G155" s="301"/>
      <c r="H155" s="301">
        <f>IF(BaseOperacionesReales[[#This Row],[Dato PDF]]&lt;&gt;"",BaseOperacionesReales[[#This Row],[Dato PDF]]-BaseOperacionesReales[[#This Row],[Valor]],0)</f>
        <v>0</v>
      </c>
    </row>
    <row r="156" spans="2:8" x14ac:dyDescent="0.25">
      <c r="B156" s="1">
        <v>46154</v>
      </c>
      <c r="C156" s="1" t="s">
        <v>46</v>
      </c>
      <c r="D156" t="s">
        <v>357</v>
      </c>
      <c r="E156" s="301">
        <v>-23524.15</v>
      </c>
      <c r="F156" s="301"/>
      <c r="G156" s="301"/>
      <c r="H156" s="301">
        <f>IF(BaseOperacionesReales[[#This Row],[Dato PDF]]&lt;&gt;"",BaseOperacionesReales[[#This Row],[Dato PDF]]-BaseOperacionesReales[[#This Row],[Valor]],0)</f>
        <v>0</v>
      </c>
    </row>
    <row r="157" spans="2:8" x14ac:dyDescent="0.25">
      <c r="B157" s="1">
        <v>46154</v>
      </c>
      <c r="C157" s="1" t="s">
        <v>46</v>
      </c>
      <c r="D157" t="s">
        <v>371</v>
      </c>
      <c r="E157" s="301">
        <v>11700</v>
      </c>
      <c r="F157" s="301"/>
      <c r="G157" s="301"/>
      <c r="H157" s="301">
        <f>IF(BaseOperacionesReales[[#This Row],[Dato PDF]]&lt;&gt;"",BaseOperacionesReales[[#This Row],[Dato PDF]]-BaseOperacionesReales[[#This Row],[Valor]],0)</f>
        <v>0</v>
      </c>
    </row>
    <row r="158" spans="2:8" x14ac:dyDescent="0.25">
      <c r="B158" s="1">
        <v>46155</v>
      </c>
      <c r="C158" s="1" t="s">
        <v>48</v>
      </c>
      <c r="D158" t="s">
        <v>362</v>
      </c>
      <c r="E158" s="301">
        <v>-1745.1508713600001</v>
      </c>
      <c r="F158" s="301"/>
      <c r="G158" s="301"/>
      <c r="H158" s="301">
        <f>IF(BaseOperacionesReales[[#This Row],[Dato PDF]]&lt;&gt;"",BaseOperacionesReales[[#This Row],[Dato PDF]]-BaseOperacionesReales[[#This Row],[Valor]],0)</f>
        <v>0</v>
      </c>
    </row>
    <row r="159" spans="2:8" x14ac:dyDescent="0.25">
      <c r="B159" s="1">
        <v>46155</v>
      </c>
      <c r="C159" s="1" t="s">
        <v>48</v>
      </c>
      <c r="D159" t="s">
        <v>362</v>
      </c>
      <c r="E159" s="301">
        <v>-900.45020467999996</v>
      </c>
      <c r="F159" s="301"/>
      <c r="G159" s="301"/>
      <c r="H159" s="301">
        <f>IF(BaseOperacionesReales[[#This Row],[Dato PDF]]&lt;&gt;"",BaseOperacionesReales[[#This Row],[Dato PDF]]-BaseOperacionesReales[[#This Row],[Valor]],0)</f>
        <v>0</v>
      </c>
    </row>
    <row r="160" spans="2:8" x14ac:dyDescent="0.25">
      <c r="B160" s="1">
        <v>46155</v>
      </c>
      <c r="C160" s="1" t="s">
        <v>48</v>
      </c>
      <c r="D160" t="s">
        <v>362</v>
      </c>
      <c r="E160" s="301">
        <v>-792.31992465999997</v>
      </c>
      <c r="F160" s="301"/>
      <c r="G160" s="301"/>
      <c r="H160" s="301">
        <f>IF(BaseOperacionesReales[[#This Row],[Dato PDF]]&lt;&gt;"",BaseOperacionesReales[[#This Row],[Dato PDF]]-BaseOperacionesReales[[#This Row],[Valor]],0)</f>
        <v>0</v>
      </c>
    </row>
    <row r="161" spans="2:8" x14ac:dyDescent="0.25">
      <c r="B161" s="1">
        <v>46156</v>
      </c>
      <c r="C161" s="1" t="s">
        <v>48</v>
      </c>
      <c r="D161" t="s">
        <v>362</v>
      </c>
      <c r="E161" s="301">
        <v>-407.44983252999998</v>
      </c>
      <c r="F161" s="301"/>
      <c r="G161" s="301"/>
      <c r="H161" s="301">
        <f>IF(BaseOperacionesReales[[#This Row],[Dato PDF]]&lt;&gt;"",BaseOperacionesReales[[#This Row],[Dato PDF]]-BaseOperacionesReales[[#This Row],[Valor]],0)</f>
        <v>0</v>
      </c>
    </row>
    <row r="162" spans="2:8" x14ac:dyDescent="0.25">
      <c r="B162" s="1">
        <v>46156</v>
      </c>
      <c r="C162" s="1" t="s">
        <v>48</v>
      </c>
      <c r="D162" t="s">
        <v>362</v>
      </c>
      <c r="E162" s="301">
        <v>-599.22028740000007</v>
      </c>
      <c r="F162" s="301"/>
      <c r="G162" s="301"/>
      <c r="H162" s="301">
        <f>IF(BaseOperacionesReales[[#This Row],[Dato PDF]]&lt;&gt;"",BaseOperacionesReales[[#This Row],[Dato PDF]]-BaseOperacionesReales[[#This Row],[Valor]],0)</f>
        <v>0</v>
      </c>
    </row>
    <row r="163" spans="2:8" x14ac:dyDescent="0.25">
      <c r="B163" s="1">
        <v>46156</v>
      </c>
      <c r="C163" s="1" t="s">
        <v>48</v>
      </c>
      <c r="D163" t="s">
        <v>362</v>
      </c>
      <c r="E163" s="301">
        <v>-958.12989865999987</v>
      </c>
      <c r="F163" s="301"/>
      <c r="G163" s="301"/>
      <c r="H163" s="301">
        <f>IF(BaseOperacionesReales[[#This Row],[Dato PDF]]&lt;&gt;"",BaseOperacionesReales[[#This Row],[Dato PDF]]-BaseOperacionesReales[[#This Row],[Valor]],0)</f>
        <v>0</v>
      </c>
    </row>
    <row r="164" spans="2:8" x14ac:dyDescent="0.25">
      <c r="B164" s="1">
        <v>46156</v>
      </c>
      <c r="C164" s="1" t="s">
        <v>48</v>
      </c>
      <c r="D164" t="s">
        <v>362</v>
      </c>
      <c r="E164" s="301">
        <v>-1055.9194907999999</v>
      </c>
      <c r="F164" s="301"/>
      <c r="G164" s="301"/>
      <c r="H164" s="301">
        <f>IF(BaseOperacionesReales[[#This Row],[Dato PDF]]&lt;&gt;"",BaseOperacionesReales[[#This Row],[Dato PDF]]-BaseOperacionesReales[[#This Row],[Valor]],0)</f>
        <v>0</v>
      </c>
    </row>
    <row r="165" spans="2:8" x14ac:dyDescent="0.25">
      <c r="B165" s="1">
        <v>46156</v>
      </c>
      <c r="C165" s="1" t="s">
        <v>48</v>
      </c>
      <c r="D165" t="s">
        <v>362</v>
      </c>
      <c r="E165" s="301">
        <v>-515.53993107999997</v>
      </c>
      <c r="F165" s="301"/>
      <c r="G165" s="301"/>
      <c r="H165" s="301">
        <f>IF(BaseOperacionesReales[[#This Row],[Dato PDF]]&lt;&gt;"",BaseOperacionesReales[[#This Row],[Dato PDF]]-BaseOperacionesReales[[#This Row],[Valor]],0)</f>
        <v>0</v>
      </c>
    </row>
    <row r="166" spans="2:8" x14ac:dyDescent="0.25">
      <c r="B166" s="1">
        <v>46156</v>
      </c>
      <c r="C166" s="1" t="s">
        <v>48</v>
      </c>
      <c r="D166" t="s">
        <v>362</v>
      </c>
      <c r="E166" s="301">
        <v>-143.49000351999999</v>
      </c>
      <c r="F166" s="301"/>
      <c r="G166" s="301"/>
      <c r="H166" s="301">
        <f>IF(BaseOperacionesReales[[#This Row],[Dato PDF]]&lt;&gt;"",BaseOperacionesReales[[#This Row],[Dato PDF]]-BaseOperacionesReales[[#This Row],[Valor]],0)</f>
        <v>0</v>
      </c>
    </row>
    <row r="167" spans="2:8" x14ac:dyDescent="0.25">
      <c r="B167" s="1">
        <v>46156</v>
      </c>
      <c r="C167" s="1" t="s">
        <v>48</v>
      </c>
      <c r="D167" t="s">
        <v>362</v>
      </c>
      <c r="E167" s="301">
        <v>-958.47048575999997</v>
      </c>
      <c r="F167" s="301"/>
      <c r="G167" s="301"/>
      <c r="H167" s="301">
        <f>IF(BaseOperacionesReales[[#This Row],[Dato PDF]]&lt;&gt;"",BaseOperacionesReales[[#This Row],[Dato PDF]]-BaseOperacionesReales[[#This Row],[Valor]],0)</f>
        <v>0</v>
      </c>
    </row>
    <row r="168" spans="2:8" x14ac:dyDescent="0.25">
      <c r="B168" s="1">
        <v>46156</v>
      </c>
      <c r="C168" s="1" t="s">
        <v>47</v>
      </c>
      <c r="D168" t="s">
        <v>374</v>
      </c>
      <c r="E168" s="301">
        <v>24863.273663889999</v>
      </c>
      <c r="F168" s="301">
        <v>72.018463889995473</v>
      </c>
      <c r="G168" s="301"/>
      <c r="H168" s="301">
        <f>IF(BaseOperacionesReales[[#This Row],[Dato PDF]]&lt;&gt;"",BaseOperacionesReales[[#This Row],[Dato PDF]]-BaseOperacionesReales[[#This Row],[Valor]],0)</f>
        <v>0</v>
      </c>
    </row>
    <row r="169" spans="2:8" x14ac:dyDescent="0.25">
      <c r="B169" s="1">
        <v>46157</v>
      </c>
      <c r="C169" s="1" t="s">
        <v>48</v>
      </c>
      <c r="D169" t="s">
        <v>362</v>
      </c>
      <c r="E169" s="301">
        <v>-1716.5992633200001</v>
      </c>
      <c r="F169" s="301"/>
      <c r="G169" s="301"/>
      <c r="H169" s="301">
        <f>IF(BaseOperacionesReales[[#This Row],[Dato PDF]]&lt;&gt;"",BaseOperacionesReales[[#This Row],[Dato PDF]]-BaseOperacionesReales[[#This Row],[Valor]],0)</f>
        <v>0</v>
      </c>
    </row>
    <row r="170" spans="2:8" x14ac:dyDescent="0.25">
      <c r="B170" s="1">
        <v>46157</v>
      </c>
      <c r="C170" s="1" t="s">
        <v>48</v>
      </c>
      <c r="D170" t="s">
        <v>362</v>
      </c>
      <c r="E170" s="301">
        <v>-95.600001000000006</v>
      </c>
      <c r="F170" s="301"/>
      <c r="G170" s="301"/>
      <c r="H170" s="301">
        <f>IF(BaseOperacionesReales[[#This Row],[Dato PDF]]&lt;&gt;"",BaseOperacionesReales[[#This Row],[Dato PDF]]-BaseOperacionesReales[[#This Row],[Valor]],0)</f>
        <v>0</v>
      </c>
    </row>
    <row r="171" spans="2:8" x14ac:dyDescent="0.25">
      <c r="B171" s="1">
        <v>46157</v>
      </c>
      <c r="C171" s="1" t="s">
        <v>47</v>
      </c>
      <c r="D171" t="s">
        <v>357</v>
      </c>
      <c r="E171" s="301">
        <v>-18094.63</v>
      </c>
      <c r="F171" s="301"/>
      <c r="G171" s="301"/>
      <c r="H171" s="301">
        <f>IF(BaseOperacionesReales[[#This Row],[Dato PDF]]&lt;&gt;"",BaseOperacionesReales[[#This Row],[Dato PDF]]-BaseOperacionesReales[[#This Row],[Valor]],0)</f>
        <v>0</v>
      </c>
    </row>
    <row r="172" spans="2:8" x14ac:dyDescent="0.25">
      <c r="B172" s="1">
        <v>46160</v>
      </c>
      <c r="C172" s="1" t="s">
        <v>47</v>
      </c>
      <c r="D172" t="s">
        <v>362</v>
      </c>
      <c r="E172" s="301">
        <v>-3066.9584724900001</v>
      </c>
      <c r="F172" s="301"/>
      <c r="G172" s="301"/>
      <c r="H172" s="301">
        <f>IF(BaseOperacionesReales[[#This Row],[Dato PDF]]&lt;&gt;"",BaseOperacionesReales[[#This Row],[Dato PDF]]-BaseOperacionesReales[[#This Row],[Valor]],0)</f>
        <v>0</v>
      </c>
    </row>
    <row r="173" spans="2:8" x14ac:dyDescent="0.25">
      <c r="B173" s="1">
        <v>46160</v>
      </c>
      <c r="C173" s="1" t="s">
        <v>48</v>
      </c>
      <c r="D173" t="s">
        <v>362</v>
      </c>
      <c r="E173" s="301">
        <v>-65.940024890000004</v>
      </c>
      <c r="F173" s="301"/>
      <c r="G173" s="301"/>
      <c r="H173" s="301">
        <f>IF(BaseOperacionesReales[[#This Row],[Dato PDF]]&lt;&gt;"",BaseOperacionesReales[[#This Row],[Dato PDF]]-BaseOperacionesReales[[#This Row],[Valor]],0)</f>
        <v>0</v>
      </c>
    </row>
    <row r="174" spans="2:8" x14ac:dyDescent="0.25">
      <c r="B174" s="1">
        <v>46160</v>
      </c>
      <c r="C174" s="1" t="s">
        <v>46</v>
      </c>
      <c r="D174" t="s">
        <v>362</v>
      </c>
      <c r="E174" s="301">
        <v>-1085.8305458699999</v>
      </c>
      <c r="F174" s="301"/>
      <c r="G174" s="301"/>
      <c r="H174" s="301">
        <f>IF(BaseOperacionesReales[[#This Row],[Dato PDF]]&lt;&gt;"",BaseOperacionesReales[[#This Row],[Dato PDF]]-BaseOperacionesReales[[#This Row],[Valor]],0)</f>
        <v>0</v>
      </c>
    </row>
    <row r="175" spans="2:8" x14ac:dyDescent="0.25">
      <c r="B175" s="1">
        <v>46160</v>
      </c>
      <c r="C175" s="1" t="s">
        <v>46</v>
      </c>
      <c r="D175" t="s">
        <v>362</v>
      </c>
      <c r="E175" s="301">
        <v>-1195.9001086999999</v>
      </c>
      <c r="F175" s="301"/>
      <c r="G175" s="301"/>
      <c r="H175" s="301">
        <f>IF(BaseOperacionesReales[[#This Row],[Dato PDF]]&lt;&gt;"",BaseOperacionesReales[[#This Row],[Dato PDF]]-BaseOperacionesReales[[#This Row],[Valor]],0)</f>
        <v>0</v>
      </c>
    </row>
    <row r="176" spans="2:8" x14ac:dyDescent="0.25">
      <c r="B176" s="1">
        <v>46160</v>
      </c>
      <c r="C176" s="1" t="s">
        <v>47</v>
      </c>
      <c r="D176" t="s">
        <v>358</v>
      </c>
      <c r="E176" s="301">
        <v>-1882.37</v>
      </c>
      <c r="F176" s="301"/>
      <c r="G176" s="301"/>
      <c r="H176" s="301">
        <f>IF(BaseOperacionesReales[[#This Row],[Dato PDF]]&lt;&gt;"",BaseOperacionesReales[[#This Row],[Dato PDF]]-BaseOperacionesReales[[#This Row],[Valor]],0)</f>
        <v>0</v>
      </c>
    </row>
    <row r="177" spans="2:8" x14ac:dyDescent="0.25">
      <c r="B177" s="1">
        <v>46161</v>
      </c>
      <c r="C177" s="1" t="s">
        <v>47</v>
      </c>
      <c r="D177" t="s">
        <v>367</v>
      </c>
      <c r="E177" s="301">
        <v>300</v>
      </c>
      <c r="F177" s="301"/>
      <c r="G177" s="301"/>
      <c r="H177" s="301">
        <f>IF(BaseOperacionesReales[[#This Row],[Dato PDF]]&lt;&gt;"",BaseOperacionesReales[[#This Row],[Dato PDF]]-BaseOperacionesReales[[#This Row],[Valor]],0)</f>
        <v>0</v>
      </c>
    </row>
    <row r="178" spans="2:8" x14ac:dyDescent="0.25">
      <c r="B178" s="1">
        <v>46161</v>
      </c>
      <c r="C178" s="1" t="s">
        <v>48</v>
      </c>
      <c r="D178" t="s">
        <v>372</v>
      </c>
      <c r="E178" s="301">
        <v>32552.18</v>
      </c>
      <c r="F178" s="301">
        <v>201.473646605722</v>
      </c>
      <c r="G178" s="301"/>
      <c r="H178" s="301">
        <f>IF(BaseOperacionesReales[[#This Row],[Dato PDF]]&lt;&gt;"",BaseOperacionesReales[[#This Row],[Dato PDF]]-BaseOperacionesReales[[#This Row],[Valor]],0)</f>
        <v>0</v>
      </c>
    </row>
    <row r="179" spans="2:8" x14ac:dyDescent="0.25">
      <c r="B179" s="1">
        <v>46161</v>
      </c>
      <c r="C179" s="1" t="s">
        <v>47</v>
      </c>
      <c r="D179" t="s">
        <v>358</v>
      </c>
      <c r="E179" s="301">
        <v>-3489.14</v>
      </c>
      <c r="F179" s="301"/>
      <c r="G179" s="301"/>
      <c r="H179" s="301">
        <f>IF(BaseOperacionesReales[[#This Row],[Dato PDF]]&lt;&gt;"",BaseOperacionesReales[[#This Row],[Dato PDF]]-BaseOperacionesReales[[#This Row],[Valor]],0)</f>
        <v>0</v>
      </c>
    </row>
    <row r="180" spans="2:8" x14ac:dyDescent="0.25">
      <c r="B180" s="1">
        <v>46161</v>
      </c>
      <c r="C180" s="1" t="s">
        <v>46</v>
      </c>
      <c r="D180" t="s">
        <v>362</v>
      </c>
      <c r="E180" s="301">
        <v>-396.92008193999999</v>
      </c>
      <c r="F180" s="301"/>
      <c r="G180" s="301"/>
      <c r="H180" s="301">
        <f>IF(BaseOperacionesReales[[#This Row],[Dato PDF]]&lt;&gt;"",BaseOperacionesReales[[#This Row],[Dato PDF]]-BaseOperacionesReales[[#This Row],[Valor]],0)</f>
        <v>0</v>
      </c>
    </row>
    <row r="181" spans="2:8" x14ac:dyDescent="0.25">
      <c r="B181" s="1">
        <v>46161</v>
      </c>
      <c r="C181" s="1" t="s">
        <v>47</v>
      </c>
      <c r="D181" t="s">
        <v>362</v>
      </c>
      <c r="E181" s="301">
        <v>-372.809999991528</v>
      </c>
      <c r="F181" s="301"/>
      <c r="G181" s="301"/>
      <c r="H181" s="301">
        <f>IF(BaseOperacionesReales[[#This Row],[Dato PDF]]&lt;&gt;"",BaseOperacionesReales[[#This Row],[Dato PDF]]-BaseOperacionesReales[[#This Row],[Valor]],0)</f>
        <v>0</v>
      </c>
    </row>
    <row r="182" spans="2:8" x14ac:dyDescent="0.25">
      <c r="B182" s="1">
        <v>46161</v>
      </c>
      <c r="C182" s="1" t="s">
        <v>47</v>
      </c>
      <c r="D182" t="s">
        <v>362</v>
      </c>
      <c r="E182" s="301">
        <v>-830.87978294000004</v>
      </c>
      <c r="F182" s="301"/>
      <c r="G182" s="301"/>
      <c r="H182" s="301">
        <f>IF(BaseOperacionesReales[[#This Row],[Dato PDF]]&lt;&gt;"",BaseOperacionesReales[[#This Row],[Dato PDF]]-BaseOperacionesReales[[#This Row],[Valor]],0)</f>
        <v>0</v>
      </c>
    </row>
    <row r="183" spans="2:8" x14ac:dyDescent="0.25">
      <c r="B183" s="1">
        <v>46161</v>
      </c>
      <c r="C183" s="1" t="s">
        <v>47</v>
      </c>
      <c r="D183" t="s">
        <v>357</v>
      </c>
      <c r="E183" s="301">
        <v>-12069.24</v>
      </c>
      <c r="F183" s="301"/>
      <c r="G183" s="301"/>
      <c r="H183" s="301">
        <f>IF(BaseOperacionesReales[[#This Row],[Dato PDF]]&lt;&gt;"",BaseOperacionesReales[[#This Row],[Dato PDF]]-BaseOperacionesReales[[#This Row],[Valor]],0)</f>
        <v>0</v>
      </c>
    </row>
    <row r="184" spans="2:8" x14ac:dyDescent="0.25">
      <c r="B184" s="1">
        <v>46161</v>
      </c>
      <c r="C184" s="1" t="s">
        <v>47</v>
      </c>
      <c r="D184" t="s">
        <v>374</v>
      </c>
      <c r="E184" s="301">
        <v>9917.5851082315003</v>
      </c>
      <c r="F184" s="301">
        <v>42.555388231501638</v>
      </c>
      <c r="G184" s="301"/>
      <c r="H184" s="301">
        <f>IF(BaseOperacionesReales[[#This Row],[Dato PDF]]&lt;&gt;"",BaseOperacionesReales[[#This Row],[Dato PDF]]-BaseOperacionesReales[[#This Row],[Valor]],0)</f>
        <v>0</v>
      </c>
    </row>
    <row r="185" spans="2:8" x14ac:dyDescent="0.25">
      <c r="B185" s="1">
        <v>46161</v>
      </c>
      <c r="C185" s="1" t="s">
        <v>47</v>
      </c>
      <c r="D185" t="s">
        <v>374</v>
      </c>
      <c r="E185" s="301">
        <v>39795.871036299999</v>
      </c>
      <c r="F185" s="301">
        <v>166.7270362999989</v>
      </c>
      <c r="G185" s="301"/>
      <c r="H185" s="301">
        <f>IF(BaseOperacionesReales[[#This Row],[Dato PDF]]&lt;&gt;"",BaseOperacionesReales[[#This Row],[Dato PDF]]-BaseOperacionesReales[[#This Row],[Valor]],0)</f>
        <v>0</v>
      </c>
    </row>
    <row r="186" spans="2:8" x14ac:dyDescent="0.25">
      <c r="B186" s="1">
        <v>46162</v>
      </c>
      <c r="C186" s="1" t="s">
        <v>48</v>
      </c>
      <c r="D186" t="s">
        <v>362</v>
      </c>
      <c r="E186" s="301">
        <v>-261.62003068000001</v>
      </c>
      <c r="F186" s="301"/>
      <c r="G186" s="301"/>
      <c r="H186" s="301">
        <f>IF(BaseOperacionesReales[[#This Row],[Dato PDF]]&lt;&gt;"",BaseOperacionesReales[[#This Row],[Dato PDF]]-BaseOperacionesReales[[#This Row],[Valor]],0)</f>
        <v>0</v>
      </c>
    </row>
    <row r="187" spans="2:8" x14ac:dyDescent="0.25">
      <c r="B187" s="1">
        <v>46162</v>
      </c>
      <c r="C187" s="1" t="s">
        <v>48</v>
      </c>
      <c r="D187" t="s">
        <v>362</v>
      </c>
      <c r="E187" s="301">
        <v>-1194.54022833</v>
      </c>
      <c r="F187" s="301"/>
      <c r="G187" s="301"/>
      <c r="H187" s="301">
        <f>IF(BaseOperacionesReales[[#This Row],[Dato PDF]]&lt;&gt;"",BaseOperacionesReales[[#This Row],[Dato PDF]]-BaseOperacionesReales[[#This Row],[Valor]],0)</f>
        <v>0</v>
      </c>
    </row>
    <row r="188" spans="2:8" x14ac:dyDescent="0.25">
      <c r="B188" s="1">
        <v>46162</v>
      </c>
      <c r="C188" s="1" t="s">
        <v>48</v>
      </c>
      <c r="D188" t="s">
        <v>362</v>
      </c>
      <c r="E188" s="301">
        <v>-2147.6393011800001</v>
      </c>
      <c r="F188" s="301"/>
      <c r="G188" s="301"/>
      <c r="H188" s="301">
        <f>IF(BaseOperacionesReales[[#This Row],[Dato PDF]]&lt;&gt;"",BaseOperacionesReales[[#This Row],[Dato PDF]]-BaseOperacionesReales[[#This Row],[Valor]],0)</f>
        <v>0</v>
      </c>
    </row>
    <row r="189" spans="2:8" x14ac:dyDescent="0.25">
      <c r="B189" s="1">
        <v>46162</v>
      </c>
      <c r="C189" s="1" t="s">
        <v>48</v>
      </c>
      <c r="D189" t="s">
        <v>362</v>
      </c>
      <c r="E189" s="301">
        <v>-162.44001080000001</v>
      </c>
      <c r="F189" s="301"/>
      <c r="G189" s="301"/>
      <c r="H189" s="301">
        <f>IF(BaseOperacionesReales[[#This Row],[Dato PDF]]&lt;&gt;"",BaseOperacionesReales[[#This Row],[Dato PDF]]-BaseOperacionesReales[[#This Row],[Valor]],0)</f>
        <v>0</v>
      </c>
    </row>
    <row r="190" spans="2:8" x14ac:dyDescent="0.25">
      <c r="B190" s="1">
        <v>46162</v>
      </c>
      <c r="C190" s="1" t="s">
        <v>48</v>
      </c>
      <c r="D190" t="s">
        <v>362</v>
      </c>
      <c r="E190" s="301">
        <v>-128.1900431</v>
      </c>
      <c r="F190" s="301"/>
      <c r="G190" s="301"/>
      <c r="H190" s="301">
        <f>IF(BaseOperacionesReales[[#This Row],[Dato PDF]]&lt;&gt;"",BaseOperacionesReales[[#This Row],[Dato PDF]]-BaseOperacionesReales[[#This Row],[Valor]],0)</f>
        <v>0</v>
      </c>
    </row>
    <row r="191" spans="2:8" x14ac:dyDescent="0.25">
      <c r="B191" s="1">
        <v>46162</v>
      </c>
      <c r="C191" s="1" t="s">
        <v>48</v>
      </c>
      <c r="D191" t="s">
        <v>362</v>
      </c>
      <c r="E191" s="301">
        <v>-275.17990500000002</v>
      </c>
      <c r="F191" s="301"/>
      <c r="G191" s="301"/>
      <c r="H191" s="301">
        <f>IF(BaseOperacionesReales[[#This Row],[Dato PDF]]&lt;&gt;"",BaseOperacionesReales[[#This Row],[Dato PDF]]-BaseOperacionesReales[[#This Row],[Valor]],0)</f>
        <v>0</v>
      </c>
    </row>
    <row r="192" spans="2:8" x14ac:dyDescent="0.25">
      <c r="B192" s="1">
        <v>46162</v>
      </c>
      <c r="C192" s="1" t="s">
        <v>48</v>
      </c>
      <c r="D192" t="s">
        <v>362</v>
      </c>
      <c r="E192" s="301">
        <v>-3148.8486250199999</v>
      </c>
      <c r="F192" s="301"/>
      <c r="G192" s="301"/>
      <c r="H192" s="301">
        <f>IF(BaseOperacionesReales[[#This Row],[Dato PDF]]&lt;&gt;"",BaseOperacionesReales[[#This Row],[Dato PDF]]-BaseOperacionesReales[[#This Row],[Valor]],0)</f>
        <v>0</v>
      </c>
    </row>
    <row r="193" spans="2:8" x14ac:dyDescent="0.25">
      <c r="B193" s="1">
        <v>46162</v>
      </c>
      <c r="C193" s="1" t="s">
        <v>47</v>
      </c>
      <c r="D193" t="s">
        <v>374</v>
      </c>
      <c r="E193" s="301">
        <v>24851.312849999998</v>
      </c>
      <c r="F193" s="301">
        <v>106.14408890499909</v>
      </c>
      <c r="G193" s="301"/>
      <c r="H193" s="301">
        <f>IF(BaseOperacionesReales[[#This Row],[Dato PDF]]&lt;&gt;"",BaseOperacionesReales[[#This Row],[Dato PDF]]-BaseOperacionesReales[[#This Row],[Valor]],0)</f>
        <v>0</v>
      </c>
    </row>
    <row r="194" spans="2:8" x14ac:dyDescent="0.25">
      <c r="B194" s="1">
        <v>46162</v>
      </c>
      <c r="C194" s="1" t="s">
        <v>47</v>
      </c>
      <c r="D194" t="s">
        <v>357</v>
      </c>
      <c r="E194" s="301">
        <v>-2632.32</v>
      </c>
      <c r="F194" s="301"/>
      <c r="G194" s="301"/>
      <c r="H194" s="301">
        <f>IF(BaseOperacionesReales[[#This Row],[Dato PDF]]&lt;&gt;"",BaseOperacionesReales[[#This Row],[Dato PDF]]-BaseOperacionesReales[[#This Row],[Valor]],0)</f>
        <v>0</v>
      </c>
    </row>
    <row r="195" spans="2:8" x14ac:dyDescent="0.25">
      <c r="B195" s="1">
        <v>46160</v>
      </c>
      <c r="C195" s="1" t="s">
        <v>48</v>
      </c>
      <c r="D195" t="s">
        <v>373</v>
      </c>
      <c r="E195" s="301">
        <v>2.0172263342868502</v>
      </c>
      <c r="F195" s="301"/>
      <c r="G195" s="301"/>
      <c r="H195" s="301">
        <f>IF(BaseOperacionesReales[[#This Row],[Dato PDF]]&lt;&gt;"",BaseOperacionesReales[[#This Row],[Dato PDF]]-BaseOperacionesReales[[#This Row],[Valor]],0)</f>
        <v>0</v>
      </c>
    </row>
    <row r="196" spans="2:8" x14ac:dyDescent="0.25">
      <c r="B196" s="1">
        <v>46156</v>
      </c>
      <c r="C196" s="1" t="s">
        <v>47</v>
      </c>
      <c r="D196" t="s">
        <v>375</v>
      </c>
      <c r="E196" s="301">
        <v>-4.5</v>
      </c>
      <c r="F196" s="301">
        <v>-4.5</v>
      </c>
      <c r="G196" s="301"/>
      <c r="H196" s="301">
        <f>IF(BaseOperacionesReales[[#This Row],[Dato PDF]]&lt;&gt;"",BaseOperacionesReales[[#This Row],[Dato PDF]]-BaseOperacionesReales[[#This Row],[Valor]],0)</f>
        <v>0</v>
      </c>
    </row>
    <row r="197" spans="2:8" x14ac:dyDescent="0.25">
      <c r="B197" s="1">
        <v>46161</v>
      </c>
      <c r="C197" s="1" t="s">
        <v>47</v>
      </c>
      <c r="D197" t="s">
        <v>375</v>
      </c>
      <c r="E197" s="301">
        <v>-2.13</v>
      </c>
      <c r="F197" s="301">
        <v>-2.13</v>
      </c>
      <c r="G197" s="301"/>
      <c r="H197" s="301">
        <f>IF(BaseOperacionesReales[[#This Row],[Dato PDF]]&lt;&gt;"",BaseOperacionesReales[[#This Row],[Dato PDF]]-BaseOperacionesReales[[#This Row],[Valor]],0)</f>
        <v>0</v>
      </c>
    </row>
    <row r="198" spans="2:8" x14ac:dyDescent="0.25">
      <c r="B198" s="1">
        <v>46161</v>
      </c>
      <c r="C198" s="1" t="s">
        <v>47</v>
      </c>
      <c r="D198" t="s">
        <v>375</v>
      </c>
      <c r="E198" s="393">
        <v>-8.5299999999999994</v>
      </c>
      <c r="F198" s="301">
        <v>-8.5299999999999994</v>
      </c>
      <c r="G198" s="301"/>
      <c r="H198" s="301">
        <f>IF(BaseOperacionesReales[[#This Row],[Dato PDF]]&lt;&gt;"",BaseOperacionesReales[[#This Row],[Dato PDF]]-BaseOperacionesReales[[#This Row],[Valor]],0)</f>
        <v>0</v>
      </c>
    </row>
    <row r="199" spans="2:8" x14ac:dyDescent="0.25">
      <c r="B199" s="1">
        <v>46162</v>
      </c>
      <c r="C199" s="1" t="s">
        <v>47</v>
      </c>
      <c r="D199" t="s">
        <v>375</v>
      </c>
      <c r="E199" s="301">
        <v>-5.5</v>
      </c>
      <c r="F199" s="301">
        <v>-5.5</v>
      </c>
      <c r="G199" s="301"/>
      <c r="H199" s="301">
        <f>IF(BaseOperacionesReales[[#This Row],[Dato PDF]]&lt;&gt;"",BaseOperacionesReales[[#This Row],[Dato PDF]]-BaseOperacionesReales[[#This Row],[Valor]],0)</f>
        <v>0</v>
      </c>
    </row>
    <row r="200" spans="2:8" x14ac:dyDescent="0.25">
      <c r="B200" s="1">
        <v>46163</v>
      </c>
      <c r="C200" s="1" t="s">
        <v>48</v>
      </c>
      <c r="D200" t="s">
        <v>362</v>
      </c>
      <c r="E200" s="301">
        <v>-1416.1499999914529</v>
      </c>
      <c r="F200" s="301"/>
      <c r="G200" s="301"/>
      <c r="H200" s="301">
        <f>IF(BaseOperacionesReales[[#This Row],[Dato PDF]]&lt;&gt;"",BaseOperacionesReales[[#This Row],[Dato PDF]]-BaseOperacionesReales[[#This Row],[Valor]],0)</f>
        <v>0</v>
      </c>
    </row>
    <row r="201" spans="2:8" x14ac:dyDescent="0.25">
      <c r="B201" s="1">
        <v>46163</v>
      </c>
      <c r="C201" s="1" t="s">
        <v>48</v>
      </c>
      <c r="D201" t="s">
        <v>362</v>
      </c>
      <c r="E201" s="301">
        <v>-753.46000002164408</v>
      </c>
      <c r="F201" s="301"/>
      <c r="G201" s="301"/>
      <c r="H201" s="301">
        <f>IF(BaseOperacionesReales[[#This Row],[Dato PDF]]&lt;&gt;"",BaseOperacionesReales[[#This Row],[Dato PDF]]-BaseOperacionesReales[[#This Row],[Valor]],0)</f>
        <v>0</v>
      </c>
    </row>
    <row r="202" spans="2:8" x14ac:dyDescent="0.25">
      <c r="B202" s="1">
        <v>46163</v>
      </c>
      <c r="C202" s="1" t="s">
        <v>48</v>
      </c>
      <c r="D202" t="s">
        <v>362</v>
      </c>
      <c r="E202" s="301">
        <v>-282.92000000875402</v>
      </c>
      <c r="F202" s="301"/>
      <c r="G202" s="301"/>
      <c r="H202" s="301">
        <f>IF(BaseOperacionesReales[[#This Row],[Dato PDF]]&lt;&gt;"",BaseOperacionesReales[[#This Row],[Dato PDF]]-BaseOperacionesReales[[#This Row],[Valor]],0)</f>
        <v>0</v>
      </c>
    </row>
    <row r="203" spans="2:8" x14ac:dyDescent="0.25">
      <c r="B203" s="1">
        <v>46163</v>
      </c>
      <c r="C203" s="1" t="s">
        <v>48</v>
      </c>
      <c r="D203" t="s">
        <v>362</v>
      </c>
      <c r="E203" s="301">
        <v>-395.71999998668599</v>
      </c>
      <c r="F203" s="301"/>
      <c r="G203" s="301"/>
      <c r="H203" s="301">
        <f>IF(BaseOperacionesReales[[#This Row],[Dato PDF]]&lt;&gt;"",BaseOperacionesReales[[#This Row],[Dato PDF]]-BaseOperacionesReales[[#This Row],[Valor]],0)</f>
        <v>0</v>
      </c>
    </row>
    <row r="204" spans="2:8" x14ac:dyDescent="0.25">
      <c r="B204" s="1">
        <v>46163</v>
      </c>
      <c r="C204" s="1" t="s">
        <v>48</v>
      </c>
      <c r="D204" t="s">
        <v>362</v>
      </c>
      <c r="E204" s="301">
        <v>-313.640000007624</v>
      </c>
      <c r="F204" s="301"/>
      <c r="G204" s="301"/>
      <c r="H204" s="301">
        <f>IF(BaseOperacionesReales[[#This Row],[Dato PDF]]&lt;&gt;"",BaseOperacionesReales[[#This Row],[Dato PDF]]-BaseOperacionesReales[[#This Row],[Valor]],0)</f>
        <v>0</v>
      </c>
    </row>
    <row r="205" spans="2:8" x14ac:dyDescent="0.25">
      <c r="B205" s="1">
        <v>46163</v>
      </c>
      <c r="C205" s="1" t="s">
        <v>48</v>
      </c>
      <c r="D205" t="s">
        <v>362</v>
      </c>
      <c r="E205" s="301">
        <v>-780.22002134999991</v>
      </c>
      <c r="F205" s="301"/>
      <c r="G205" s="301"/>
      <c r="H205" s="301">
        <f>IF(BaseOperacionesReales[[#This Row],[Dato PDF]]&lt;&gt;"",BaseOperacionesReales[[#This Row],[Dato PDF]]-BaseOperacionesReales[[#This Row],[Valor]],0)</f>
        <v>0</v>
      </c>
    </row>
    <row r="206" spans="2:8" x14ac:dyDescent="0.25">
      <c r="B206" s="1">
        <v>46163</v>
      </c>
      <c r="C206" s="1" t="s">
        <v>48</v>
      </c>
      <c r="D206" t="s">
        <v>362</v>
      </c>
      <c r="E206" s="301">
        <v>-945.93029167999998</v>
      </c>
      <c r="F206" s="301"/>
      <c r="G206" s="301"/>
      <c r="H206" s="301">
        <f>IF(BaseOperacionesReales[[#This Row],[Dato PDF]]&lt;&gt;"",BaseOperacionesReales[[#This Row],[Dato PDF]]-BaseOperacionesReales[[#This Row],[Valor]],0)</f>
        <v>0</v>
      </c>
    </row>
    <row r="207" spans="2:8" x14ac:dyDescent="0.25">
      <c r="B207" s="1">
        <v>46163</v>
      </c>
      <c r="C207" s="1" t="s">
        <v>48</v>
      </c>
      <c r="D207" t="s">
        <v>362</v>
      </c>
      <c r="E207" s="301">
        <v>-620.49970080000003</v>
      </c>
      <c r="F207" s="301"/>
      <c r="G207" s="301"/>
      <c r="H207" s="301">
        <f>IF(BaseOperacionesReales[[#This Row],[Dato PDF]]&lt;&gt;"",BaseOperacionesReales[[#This Row],[Dato PDF]]-BaseOperacionesReales[[#This Row],[Valor]],0)</f>
        <v>0</v>
      </c>
    </row>
    <row r="208" spans="2:8" x14ac:dyDescent="0.25">
      <c r="B208" s="1">
        <v>46163</v>
      </c>
      <c r="C208" s="1" t="s">
        <v>48</v>
      </c>
      <c r="D208" t="s">
        <v>362</v>
      </c>
      <c r="E208" s="301">
        <v>-411.31998463999997</v>
      </c>
      <c r="F208" s="301"/>
      <c r="G208" s="301"/>
      <c r="H208" s="301">
        <f>IF(BaseOperacionesReales[[#This Row],[Dato PDF]]&lt;&gt;"",BaseOperacionesReales[[#This Row],[Dato PDF]]-BaseOperacionesReales[[#This Row],[Valor]],0)</f>
        <v>0</v>
      </c>
    </row>
    <row r="209" spans="2:8" x14ac:dyDescent="0.25">
      <c r="B209" s="1">
        <v>46163</v>
      </c>
      <c r="C209" s="1" t="s">
        <v>48</v>
      </c>
      <c r="D209" t="s">
        <v>362</v>
      </c>
      <c r="E209" s="301">
        <v>-126.26003396</v>
      </c>
      <c r="F209" s="301"/>
      <c r="G209" s="301"/>
      <c r="H209" s="301">
        <f>IF(BaseOperacionesReales[[#This Row],[Dato PDF]]&lt;&gt;"",BaseOperacionesReales[[#This Row],[Dato PDF]]-BaseOperacionesReales[[#This Row],[Valor]],0)</f>
        <v>0</v>
      </c>
    </row>
    <row r="210" spans="2:8" x14ac:dyDescent="0.25">
      <c r="B210" s="1">
        <v>46163</v>
      </c>
      <c r="C210" s="1" t="s">
        <v>48</v>
      </c>
      <c r="D210" t="s">
        <v>362</v>
      </c>
      <c r="E210" s="301">
        <v>-137.87997766999999</v>
      </c>
      <c r="F210" s="301"/>
      <c r="G210" s="301"/>
      <c r="H210" s="301">
        <f>IF(BaseOperacionesReales[[#This Row],[Dato PDF]]&lt;&gt;"",BaseOperacionesReales[[#This Row],[Dato PDF]]-BaseOperacionesReales[[#This Row],[Valor]],0)</f>
        <v>0</v>
      </c>
    </row>
    <row r="211" spans="2:8" x14ac:dyDescent="0.25">
      <c r="B211" s="1">
        <v>46163</v>
      </c>
      <c r="C211" s="1" t="s">
        <v>48</v>
      </c>
      <c r="D211" t="s">
        <v>362</v>
      </c>
      <c r="E211" s="301">
        <v>-686.18006559999992</v>
      </c>
      <c r="F211" s="301"/>
      <c r="G211" s="301"/>
      <c r="H211" s="301">
        <f>IF(BaseOperacionesReales[[#This Row],[Dato PDF]]&lt;&gt;"",BaseOperacionesReales[[#This Row],[Dato PDF]]-BaseOperacionesReales[[#This Row],[Valor]],0)</f>
        <v>0</v>
      </c>
    </row>
    <row r="212" spans="2:8" x14ac:dyDescent="0.25">
      <c r="B212" s="1">
        <v>46163</v>
      </c>
      <c r="C212" s="1" t="s">
        <v>48</v>
      </c>
      <c r="D212" t="s">
        <v>362</v>
      </c>
      <c r="E212" s="301">
        <v>-1234.51035252</v>
      </c>
      <c r="F212" s="301"/>
      <c r="G212" s="301"/>
      <c r="H212" s="301">
        <f>IF(BaseOperacionesReales[[#This Row],[Dato PDF]]&lt;&gt;"",BaseOperacionesReales[[#This Row],[Dato PDF]]-BaseOperacionesReales[[#This Row],[Valor]],0)</f>
        <v>0</v>
      </c>
    </row>
    <row r="213" spans="2:8" x14ac:dyDescent="0.25">
      <c r="B213" s="1">
        <v>46163</v>
      </c>
      <c r="C213" s="1" t="s">
        <v>48</v>
      </c>
      <c r="D213" t="s">
        <v>362</v>
      </c>
      <c r="E213" s="301">
        <v>-996.52968549000002</v>
      </c>
      <c r="F213" s="301"/>
      <c r="G213" s="301"/>
      <c r="H213" s="301">
        <f>IF(BaseOperacionesReales[[#This Row],[Dato PDF]]&lt;&gt;"",BaseOperacionesReales[[#This Row],[Dato PDF]]-BaseOperacionesReales[[#This Row],[Valor]],0)</f>
        <v>0</v>
      </c>
    </row>
    <row r="214" spans="2:8" x14ac:dyDescent="0.25">
      <c r="B214" s="1">
        <v>46163</v>
      </c>
      <c r="C214" s="1" t="s">
        <v>47</v>
      </c>
      <c r="D214" t="s">
        <v>360</v>
      </c>
      <c r="E214" s="301">
        <v>-902.69</v>
      </c>
      <c r="F214" s="301"/>
      <c r="G214" s="301"/>
      <c r="H214" s="301">
        <f>IF(BaseOperacionesReales[[#This Row],[Dato PDF]]&lt;&gt;"",BaseOperacionesReales[[#This Row],[Dato PDF]]-BaseOperacionesReales[[#This Row],[Valor]],0)</f>
        <v>0</v>
      </c>
    </row>
    <row r="215" spans="2:8" x14ac:dyDescent="0.25">
      <c r="B215" s="1">
        <v>46163</v>
      </c>
      <c r="C215" s="1" t="s">
        <v>47</v>
      </c>
      <c r="D215" t="s">
        <v>360</v>
      </c>
      <c r="E215" s="301">
        <v>-5648.33</v>
      </c>
      <c r="F215" s="301"/>
      <c r="G215" s="301"/>
      <c r="H215" s="301">
        <f>IF(BaseOperacionesReales[[#This Row],[Dato PDF]]&lt;&gt;"",BaseOperacionesReales[[#This Row],[Dato PDF]]-BaseOperacionesReales[[#This Row],[Valor]],0)</f>
        <v>0</v>
      </c>
    </row>
    <row r="216" spans="2:8" x14ac:dyDescent="0.25">
      <c r="B216" s="1">
        <v>46163</v>
      </c>
      <c r="C216" s="1" t="s">
        <v>47</v>
      </c>
      <c r="D216" t="s">
        <v>376</v>
      </c>
      <c r="E216" s="301">
        <v>-4210.7700000000004</v>
      </c>
      <c r="F216" s="301"/>
      <c r="G216" s="301"/>
      <c r="H216" s="301">
        <f>IF(BaseOperacionesReales[[#This Row],[Dato PDF]]&lt;&gt;"",BaseOperacionesReales[[#This Row],[Dato PDF]]-BaseOperacionesReales[[#This Row],[Valor]],0)</f>
        <v>0</v>
      </c>
    </row>
    <row r="217" spans="2:8" x14ac:dyDescent="0.25">
      <c r="B217" s="1">
        <v>46163</v>
      </c>
      <c r="C217" s="1" t="s">
        <v>47</v>
      </c>
      <c r="D217" t="s">
        <v>376</v>
      </c>
      <c r="E217" s="301">
        <v>-15498.14</v>
      </c>
      <c r="F217" s="301"/>
      <c r="G217" s="301"/>
      <c r="H217" s="301">
        <f>IF(BaseOperacionesReales[[#This Row],[Dato PDF]]&lt;&gt;"",BaseOperacionesReales[[#This Row],[Dato PDF]]-BaseOperacionesReales[[#This Row],[Valor]],0)</f>
        <v>0</v>
      </c>
    </row>
    <row r="218" spans="2:8" x14ac:dyDescent="0.25">
      <c r="B218" s="1">
        <v>46164</v>
      </c>
      <c r="C218" s="1" t="s">
        <v>48</v>
      </c>
      <c r="D218" t="s">
        <v>362</v>
      </c>
      <c r="E218" s="301">
        <v>-247.93999999799999</v>
      </c>
      <c r="F218" s="301"/>
      <c r="G218" s="301"/>
      <c r="H218" s="301">
        <f>IF(BaseOperacionesReales[[#This Row],[Dato PDF]]&lt;&gt;"",BaseOperacionesReales[[#This Row],[Dato PDF]]-BaseOperacionesReales[[#This Row],[Valor]],0)</f>
        <v>0</v>
      </c>
    </row>
    <row r="219" spans="2:8" x14ac:dyDescent="0.25">
      <c r="B219" s="1">
        <v>46164</v>
      </c>
      <c r="C219" s="1" t="s">
        <v>48</v>
      </c>
      <c r="D219" t="s">
        <v>362</v>
      </c>
      <c r="E219" s="301">
        <v>-535.45999997364595</v>
      </c>
      <c r="F219" s="301"/>
      <c r="G219" s="301"/>
      <c r="H219" s="301">
        <f>IF(BaseOperacionesReales[[#This Row],[Dato PDF]]&lt;&gt;"",BaseOperacionesReales[[#This Row],[Dato PDF]]-BaseOperacionesReales[[#This Row],[Valor]],0)</f>
        <v>0</v>
      </c>
    </row>
    <row r="220" spans="2:8" x14ac:dyDescent="0.25">
      <c r="B220" s="1">
        <v>46164</v>
      </c>
      <c r="C220" s="1" t="s">
        <v>48</v>
      </c>
      <c r="D220" t="s">
        <v>362</v>
      </c>
      <c r="E220" s="301">
        <v>-569.33000002415702</v>
      </c>
      <c r="F220" s="301"/>
      <c r="G220" s="301"/>
      <c r="H220" s="301">
        <f>IF(BaseOperacionesReales[[#This Row],[Dato PDF]]&lt;&gt;"",BaseOperacionesReales[[#This Row],[Dato PDF]]-BaseOperacionesReales[[#This Row],[Valor]],0)</f>
        <v>0</v>
      </c>
    </row>
    <row r="221" spans="2:8" x14ac:dyDescent="0.25">
      <c r="B221" s="1">
        <v>46164</v>
      </c>
      <c r="C221" s="1" t="s">
        <v>48</v>
      </c>
      <c r="D221" t="s">
        <v>362</v>
      </c>
      <c r="E221" s="301">
        <v>-760.02992720000009</v>
      </c>
      <c r="F221" s="301"/>
      <c r="G221" s="301"/>
      <c r="H221" s="301">
        <f>IF(BaseOperacionesReales[[#This Row],[Dato PDF]]&lt;&gt;"",BaseOperacionesReales[[#This Row],[Dato PDF]]-BaseOperacionesReales[[#This Row],[Valor]],0)</f>
        <v>0</v>
      </c>
    </row>
    <row r="222" spans="2:8" x14ac:dyDescent="0.25">
      <c r="B222" s="1">
        <v>46164</v>
      </c>
      <c r="C222" s="1" t="s">
        <v>48</v>
      </c>
      <c r="D222" t="s">
        <v>362</v>
      </c>
      <c r="E222" s="301">
        <v>-605.8797523500001</v>
      </c>
      <c r="F222" s="301"/>
      <c r="G222" s="301"/>
      <c r="H222" s="301">
        <f>IF(BaseOperacionesReales[[#This Row],[Dato PDF]]&lt;&gt;"",BaseOperacionesReales[[#This Row],[Dato PDF]]-BaseOperacionesReales[[#This Row],[Valor]],0)</f>
        <v>0</v>
      </c>
    </row>
    <row r="223" spans="2:8" x14ac:dyDescent="0.25">
      <c r="B223" s="1">
        <v>46164</v>
      </c>
      <c r="C223" s="1" t="s">
        <v>48</v>
      </c>
      <c r="D223" t="s">
        <v>362</v>
      </c>
      <c r="E223" s="301">
        <v>-2835.9108725999999</v>
      </c>
      <c r="F223" s="301"/>
      <c r="G223" s="301"/>
      <c r="H223" s="301">
        <f>IF(BaseOperacionesReales[[#This Row],[Dato PDF]]&lt;&gt;"",BaseOperacionesReales[[#This Row],[Dato PDF]]-BaseOperacionesReales[[#This Row],[Valor]],0)</f>
        <v>0</v>
      </c>
    </row>
    <row r="224" spans="2:8" x14ac:dyDescent="0.25">
      <c r="B224" s="1">
        <v>46164</v>
      </c>
      <c r="C224" s="1" t="s">
        <v>48</v>
      </c>
      <c r="D224" t="s">
        <v>362</v>
      </c>
      <c r="E224" s="301">
        <v>-672.45022987999994</v>
      </c>
      <c r="F224" s="301"/>
      <c r="G224" s="301"/>
      <c r="H224" s="301">
        <f>IF(BaseOperacionesReales[[#This Row],[Dato PDF]]&lt;&gt;"",BaseOperacionesReales[[#This Row],[Dato PDF]]-BaseOperacionesReales[[#This Row],[Valor]],0)</f>
        <v>0</v>
      </c>
    </row>
    <row r="225" spans="2:8" x14ac:dyDescent="0.25">
      <c r="B225" s="1">
        <v>46164</v>
      </c>
      <c r="C225" s="1" t="s">
        <v>48</v>
      </c>
      <c r="D225" t="s">
        <v>362</v>
      </c>
      <c r="E225" s="301">
        <v>-1940.7109231899999</v>
      </c>
      <c r="F225" s="301"/>
      <c r="G225" s="301"/>
      <c r="H225" s="301">
        <f>IF(BaseOperacionesReales[[#This Row],[Dato PDF]]&lt;&gt;"",BaseOperacionesReales[[#This Row],[Dato PDF]]-BaseOperacionesReales[[#This Row],[Valor]],0)</f>
        <v>0</v>
      </c>
    </row>
    <row r="226" spans="2:8" x14ac:dyDescent="0.25">
      <c r="B226" s="1">
        <v>46164</v>
      </c>
      <c r="C226" s="1" t="s">
        <v>48</v>
      </c>
      <c r="D226" t="s">
        <v>362</v>
      </c>
      <c r="E226" s="301">
        <v>-1001.42993691</v>
      </c>
      <c r="F226" s="301"/>
      <c r="G226" s="301"/>
      <c r="H226" s="301">
        <f>IF(BaseOperacionesReales[[#This Row],[Dato PDF]]&lt;&gt;"",BaseOperacionesReales[[#This Row],[Dato PDF]]-BaseOperacionesReales[[#This Row],[Valor]],0)</f>
        <v>0</v>
      </c>
    </row>
    <row r="227" spans="2:8" x14ac:dyDescent="0.25">
      <c r="B227" s="401">
        <v>46168</v>
      </c>
      <c r="C227" s="1" t="s">
        <v>48</v>
      </c>
      <c r="D227" t="s">
        <v>362</v>
      </c>
      <c r="E227" s="402">
        <v>-858.04</v>
      </c>
      <c r="F227" s="402"/>
      <c r="G227" s="402"/>
      <c r="H227" s="402">
        <f>IF(BaseOperacionesReales[[#This Row],[Dato PDF]]&lt;&gt;"",BaseOperacionesReales[[#This Row],[Dato PDF]]-BaseOperacionesReales[[#This Row],[Valor]],0)</f>
        <v>0</v>
      </c>
    </row>
    <row r="228" spans="2:8" x14ac:dyDescent="0.25">
      <c r="B228" s="401">
        <v>46169</v>
      </c>
      <c r="C228" s="1" t="s">
        <v>48</v>
      </c>
      <c r="D228" t="s">
        <v>362</v>
      </c>
      <c r="E228" s="301">
        <v>-774.85962276999999</v>
      </c>
      <c r="F228" s="301"/>
      <c r="G228" s="301"/>
      <c r="H228" s="301">
        <f>IF(BaseOperacionesReales[[#This Row],[Dato PDF]]&lt;&gt;"",BaseOperacionesReales[[#This Row],[Dato PDF]]-BaseOperacionesReales[[#This Row],[Valor]],0)</f>
        <v>0</v>
      </c>
    </row>
    <row r="229" spans="2:8" x14ac:dyDescent="0.25">
      <c r="B229" s="401">
        <v>46169</v>
      </c>
      <c r="C229" s="1" t="s">
        <v>48</v>
      </c>
      <c r="D229" t="s">
        <v>362</v>
      </c>
      <c r="E229" s="301">
        <v>-355.40006111999998</v>
      </c>
      <c r="F229" s="301"/>
      <c r="G229" s="301"/>
      <c r="H229" s="301">
        <f>IF(BaseOperacionesReales[[#This Row],[Dato PDF]]&lt;&gt;"",BaseOperacionesReales[[#This Row],[Dato PDF]]-BaseOperacionesReales[[#This Row],[Valor]],0)</f>
        <v>0</v>
      </c>
    </row>
    <row r="230" spans="2:8" x14ac:dyDescent="0.25">
      <c r="B230" s="401">
        <v>46169</v>
      </c>
      <c r="C230" s="1" t="s">
        <v>48</v>
      </c>
      <c r="D230" t="s">
        <v>362</v>
      </c>
      <c r="E230" s="301">
        <v>-360.91995841999989</v>
      </c>
      <c r="F230" s="301"/>
      <c r="G230" s="301"/>
      <c r="H230" s="301">
        <f>IF(BaseOperacionesReales[[#This Row],[Dato PDF]]&lt;&gt;"",BaseOperacionesReales[[#This Row],[Dato PDF]]-BaseOperacionesReales[[#This Row],[Valor]],0)</f>
        <v>0</v>
      </c>
    </row>
    <row r="231" spans="2:8" x14ac:dyDescent="0.25">
      <c r="B231" s="401">
        <v>46169</v>
      </c>
      <c r="C231" s="1" t="s">
        <v>48</v>
      </c>
      <c r="D231" t="s">
        <v>362</v>
      </c>
      <c r="E231" s="301">
        <v>-632.88011180000001</v>
      </c>
      <c r="F231" s="301"/>
      <c r="G231" s="301"/>
      <c r="H231" s="301">
        <f>IF(BaseOperacionesReales[[#This Row],[Dato PDF]]&lt;&gt;"",BaseOperacionesReales[[#This Row],[Dato PDF]]-BaseOperacionesReales[[#This Row],[Valor]],0)</f>
        <v>0</v>
      </c>
    </row>
    <row r="232" spans="2:8" x14ac:dyDescent="0.25">
      <c r="B232" s="401">
        <v>46169</v>
      </c>
      <c r="C232" s="1" t="s">
        <v>48</v>
      </c>
      <c r="D232" t="s">
        <v>362</v>
      </c>
      <c r="E232" s="301">
        <v>-1420.00963348</v>
      </c>
      <c r="F232" s="301"/>
      <c r="G232" s="301"/>
      <c r="H232" s="301">
        <f>IF(BaseOperacionesReales[[#This Row],[Dato PDF]]&lt;&gt;"",BaseOperacionesReales[[#This Row],[Dato PDF]]-BaseOperacionesReales[[#This Row],[Valor]],0)</f>
        <v>0</v>
      </c>
    </row>
    <row r="233" spans="2:8" x14ac:dyDescent="0.25">
      <c r="B233" s="401">
        <v>46169</v>
      </c>
      <c r="C233" s="1" t="s">
        <v>48</v>
      </c>
      <c r="D233" t="s">
        <v>372</v>
      </c>
      <c r="E233" s="301">
        <v>28293.634999999991</v>
      </c>
      <c r="F233" s="301"/>
      <c r="G233" s="301"/>
      <c r="H233" s="301">
        <f>IF(BaseOperacionesReales[[#This Row],[Dato PDF]]&lt;&gt;"",BaseOperacionesReales[[#This Row],[Dato PDF]]-BaseOperacionesReales[[#This Row],[Valor]],0)</f>
        <v>0</v>
      </c>
    </row>
    <row r="234" spans="2:8" x14ac:dyDescent="0.25">
      <c r="B234" s="1">
        <v>46169</v>
      </c>
      <c r="C234" s="1" t="s">
        <v>47</v>
      </c>
      <c r="D234" t="s">
        <v>357</v>
      </c>
      <c r="E234" s="301">
        <v>-25501.38</v>
      </c>
      <c r="F234" s="301"/>
      <c r="G234" s="301"/>
      <c r="H234" s="301">
        <f>IF(BaseOperacionesReales[[#This Row],[Dato PDF]]&lt;&gt;"",BaseOperacionesReales[[#This Row],[Dato PDF]]-BaseOperacionesReales[[#This Row],[Valor]],0)</f>
        <v>0</v>
      </c>
    </row>
    <row r="235" spans="2:8" x14ac:dyDescent="0.25">
      <c r="B235" s="1">
        <v>46169</v>
      </c>
      <c r="C235" s="1" t="s">
        <v>47</v>
      </c>
      <c r="D235" t="s">
        <v>371</v>
      </c>
      <c r="E235" s="301">
        <v>1000</v>
      </c>
      <c r="F235" s="301"/>
      <c r="G235" s="301"/>
      <c r="H235" s="301">
        <f>IF(BaseOperacionesReales[[#This Row],[Dato PDF]]&lt;&gt;"",BaseOperacionesReales[[#This Row],[Dato PDF]]-BaseOperacionesReales[[#This Row],[Valor]],0)</f>
        <v>0</v>
      </c>
    </row>
    <row r="236" spans="2:8" x14ac:dyDescent="0.25">
      <c r="B236" s="1">
        <v>46170</v>
      </c>
      <c r="C236" s="1" t="s">
        <v>48</v>
      </c>
      <c r="D236" t="s">
        <v>362</v>
      </c>
      <c r="E236" s="301">
        <v>-1985.9207696000001</v>
      </c>
      <c r="F236" s="301"/>
      <c r="G236" s="301"/>
      <c r="H236" s="301">
        <f>IF(BaseOperacionesReales[[#This Row],[Dato PDF]]&lt;&gt;"",BaseOperacionesReales[[#This Row],[Dato PDF]]-BaseOperacionesReales[[#This Row],[Valor]],0)</f>
        <v>0</v>
      </c>
    </row>
    <row r="237" spans="2:8" x14ac:dyDescent="0.25">
      <c r="B237" s="1">
        <v>46170</v>
      </c>
      <c r="C237" s="1" t="s">
        <v>48</v>
      </c>
      <c r="D237" t="s">
        <v>362</v>
      </c>
      <c r="E237" s="301">
        <v>-616.60011448</v>
      </c>
      <c r="F237" s="301"/>
      <c r="G237" s="301"/>
      <c r="H237" s="301">
        <f>IF(BaseOperacionesReales[[#This Row],[Dato PDF]]&lt;&gt;"",BaseOperacionesReales[[#This Row],[Dato PDF]]-BaseOperacionesReales[[#This Row],[Valor]],0)</f>
        <v>0</v>
      </c>
    </row>
    <row r="238" spans="2:8" x14ac:dyDescent="0.25">
      <c r="B238" s="1">
        <v>46170</v>
      </c>
      <c r="C238" s="1" t="s">
        <v>48</v>
      </c>
      <c r="D238" t="s">
        <v>362</v>
      </c>
      <c r="E238" s="301">
        <v>-2508.8293801999998</v>
      </c>
      <c r="F238" s="301"/>
      <c r="G238" s="301"/>
      <c r="H238" s="301">
        <f>IF(BaseOperacionesReales[[#This Row],[Dato PDF]]&lt;&gt;"",BaseOperacionesReales[[#This Row],[Dato PDF]]-BaseOperacionesReales[[#This Row],[Valor]],0)</f>
        <v>0</v>
      </c>
    </row>
    <row r="239" spans="2:8" x14ac:dyDescent="0.25">
      <c r="B239" s="1">
        <v>46170</v>
      </c>
      <c r="C239" s="1" t="s">
        <v>48</v>
      </c>
      <c r="D239" t="s">
        <v>362</v>
      </c>
      <c r="E239" s="301">
        <v>-419.43994400000003</v>
      </c>
      <c r="F239" s="301"/>
      <c r="G239" s="301"/>
      <c r="H239" s="301">
        <f>IF(BaseOperacionesReales[[#This Row],[Dato PDF]]&lt;&gt;"",BaseOperacionesReales[[#This Row],[Dato PDF]]-BaseOperacionesReales[[#This Row],[Valor]],0)</f>
        <v>0</v>
      </c>
    </row>
    <row r="240" spans="2:8" x14ac:dyDescent="0.25">
      <c r="B240" s="1">
        <v>46170</v>
      </c>
      <c r="C240" s="1" t="s">
        <v>48</v>
      </c>
      <c r="D240" t="s">
        <v>362</v>
      </c>
      <c r="E240" s="301">
        <v>-1940.45942928</v>
      </c>
      <c r="F240" s="301"/>
      <c r="G240" s="301"/>
      <c r="H240" s="301">
        <f>IF(BaseOperacionesReales[[#This Row],[Dato PDF]]&lt;&gt;"",BaseOperacionesReales[[#This Row],[Dato PDF]]-BaseOperacionesReales[[#This Row],[Valor]],0)</f>
        <v>0</v>
      </c>
    </row>
    <row r="241" spans="2:8" x14ac:dyDescent="0.25">
      <c r="B241" s="1">
        <v>46170</v>
      </c>
      <c r="C241" s="1" t="s">
        <v>48</v>
      </c>
      <c r="D241" t="s">
        <v>362</v>
      </c>
      <c r="E241" s="301">
        <v>-1594.7304585899999</v>
      </c>
      <c r="F241" s="301"/>
      <c r="G241" s="301"/>
      <c r="H241" s="301">
        <f>IF(BaseOperacionesReales[[#This Row],[Dato PDF]]&lt;&gt;"",BaseOperacionesReales[[#This Row],[Dato PDF]]-BaseOperacionesReales[[#This Row],[Valor]],0)</f>
        <v>0</v>
      </c>
    </row>
    <row r="242" spans="2:8" x14ac:dyDescent="0.25">
      <c r="B242" s="1">
        <v>46170</v>
      </c>
      <c r="C242" s="1" t="s">
        <v>48</v>
      </c>
      <c r="D242" t="s">
        <v>362</v>
      </c>
      <c r="E242" s="301">
        <v>-525.78024074999996</v>
      </c>
      <c r="F242" s="301"/>
      <c r="G242" s="301"/>
      <c r="H242" s="301">
        <f>IF(BaseOperacionesReales[[#This Row],[Dato PDF]]&lt;&gt;"",BaseOperacionesReales[[#This Row],[Dato PDF]]-BaseOperacionesReales[[#This Row],[Valor]],0)</f>
        <v>0</v>
      </c>
    </row>
    <row r="243" spans="2:8" x14ac:dyDescent="0.25">
      <c r="B243" s="1">
        <v>46170</v>
      </c>
      <c r="C243" s="1" t="s">
        <v>48</v>
      </c>
      <c r="D243" t="s">
        <v>362</v>
      </c>
      <c r="E243" s="301">
        <v>-1235.9002989000001</v>
      </c>
      <c r="F243" s="301"/>
      <c r="G243" s="301"/>
      <c r="H243" s="301">
        <f>IF(BaseOperacionesReales[[#This Row],[Dato PDF]]&lt;&gt;"",BaseOperacionesReales[[#This Row],[Dato PDF]]-BaseOperacionesReales[[#This Row],[Valor]],0)</f>
        <v>0</v>
      </c>
    </row>
    <row r="244" spans="2:8" x14ac:dyDescent="0.25">
      <c r="B244" s="1">
        <v>46170</v>
      </c>
      <c r="C244" s="1" t="s">
        <v>48</v>
      </c>
      <c r="D244" t="s">
        <v>362</v>
      </c>
      <c r="E244" s="301">
        <v>-791.67030168000008</v>
      </c>
      <c r="F244" s="301"/>
      <c r="G244" s="301"/>
      <c r="H244" s="301">
        <f>IF(BaseOperacionesReales[[#This Row],[Dato PDF]]&lt;&gt;"",BaseOperacionesReales[[#This Row],[Dato PDF]]-BaseOperacionesReales[[#This Row],[Valor]],0)</f>
        <v>0</v>
      </c>
    </row>
    <row r="245" spans="2:8" x14ac:dyDescent="0.25">
      <c r="B245" s="1">
        <v>46170</v>
      </c>
      <c r="C245" s="1" t="s">
        <v>48</v>
      </c>
      <c r="D245" t="s">
        <v>362</v>
      </c>
      <c r="E245" s="301">
        <v>-2057.8310382</v>
      </c>
      <c r="F245" s="301"/>
      <c r="G245" s="301"/>
      <c r="H245" s="301">
        <f>IF(BaseOperacionesReales[[#This Row],[Dato PDF]]&lt;&gt;"",BaseOperacionesReales[[#This Row],[Dato PDF]]-BaseOperacionesReales[[#This Row],[Valor]],0)</f>
        <v>0</v>
      </c>
    </row>
    <row r="246" spans="2:8" x14ac:dyDescent="0.25">
      <c r="B246" s="1">
        <v>46170</v>
      </c>
      <c r="C246" s="1" t="s">
        <v>48</v>
      </c>
      <c r="D246" t="s">
        <v>362</v>
      </c>
      <c r="E246" s="301">
        <v>-280.80999998990399</v>
      </c>
      <c r="F246" s="301"/>
      <c r="G246" s="301"/>
      <c r="H246" s="301">
        <f>IF(BaseOperacionesReales[[#This Row],[Dato PDF]]&lt;&gt;"",BaseOperacionesReales[[#This Row],[Dato PDF]]-BaseOperacionesReales[[#This Row],[Valor]],0)</f>
        <v>0</v>
      </c>
    </row>
    <row r="247" spans="2:8" x14ac:dyDescent="0.25">
      <c r="B247" s="1">
        <v>46170</v>
      </c>
      <c r="C247" s="1" t="s">
        <v>48</v>
      </c>
      <c r="D247" t="s">
        <v>362</v>
      </c>
      <c r="E247" s="301">
        <v>-2167.4200000344999</v>
      </c>
      <c r="F247" s="301"/>
      <c r="G247" s="301"/>
      <c r="H247" s="301">
        <f>IF(BaseOperacionesReales[[#This Row],[Dato PDF]]&lt;&gt;"",BaseOperacionesReales[[#This Row],[Dato PDF]]-BaseOperacionesReales[[#This Row],[Valor]],0)</f>
        <v>0</v>
      </c>
    </row>
    <row r="248" spans="2:8" x14ac:dyDescent="0.25">
      <c r="B248" s="1">
        <v>46170</v>
      </c>
      <c r="C248" s="1" t="s">
        <v>48</v>
      </c>
      <c r="D248" t="s">
        <v>362</v>
      </c>
      <c r="E248" s="301">
        <v>-2409.3900000294102</v>
      </c>
      <c r="F248" s="301"/>
      <c r="G248" s="301"/>
      <c r="H248" s="301">
        <f>IF(BaseOperacionesReales[[#This Row],[Dato PDF]]&lt;&gt;"",BaseOperacionesReales[[#This Row],[Dato PDF]]-BaseOperacionesReales[[#This Row],[Valor]],0)</f>
        <v>0</v>
      </c>
    </row>
    <row r="249" spans="2:8" x14ac:dyDescent="0.25">
      <c r="B249" s="1">
        <v>46171</v>
      </c>
      <c r="C249" s="1" t="s">
        <v>47</v>
      </c>
      <c r="D249" t="s">
        <v>362</v>
      </c>
      <c r="E249" s="301">
        <v>-3901.0192888299998</v>
      </c>
      <c r="F249" s="301"/>
      <c r="G249" s="301"/>
      <c r="H249" s="301">
        <f>IF(BaseOperacionesReales[[#This Row],[Dato PDF]]&lt;&gt;"",BaseOperacionesReales[[#This Row],[Dato PDF]]-BaseOperacionesReales[[#This Row],[Valor]],0)</f>
        <v>0</v>
      </c>
    </row>
    <row r="250" spans="2:8" x14ac:dyDescent="0.25">
      <c r="B250" s="1">
        <v>46171</v>
      </c>
      <c r="C250" s="1" t="s">
        <v>48</v>
      </c>
      <c r="D250" t="s">
        <v>362</v>
      </c>
      <c r="E250" s="301">
        <v>-944.72953919999998</v>
      </c>
      <c r="F250" s="301"/>
      <c r="G250" s="301"/>
      <c r="H250" s="301">
        <f>IF(BaseOperacionesReales[[#This Row],[Dato PDF]]&lt;&gt;"",BaseOperacionesReales[[#This Row],[Dato PDF]]-BaseOperacionesReales[[#This Row],[Valor]],0)</f>
        <v>0</v>
      </c>
    </row>
    <row r="251" spans="2:8" x14ac:dyDescent="0.25">
      <c r="B251" s="1">
        <v>46171</v>
      </c>
      <c r="C251" s="1" t="s">
        <v>48</v>
      </c>
      <c r="D251" t="s">
        <v>362</v>
      </c>
      <c r="E251" s="301">
        <v>-679.46017762000008</v>
      </c>
      <c r="F251" s="301"/>
      <c r="G251" s="301"/>
      <c r="H251" s="301">
        <f>IF(BaseOperacionesReales[[#This Row],[Dato PDF]]&lt;&gt;"",BaseOperacionesReales[[#This Row],[Dato PDF]]-BaseOperacionesReales[[#This Row],[Valor]],0)</f>
        <v>0</v>
      </c>
    </row>
    <row r="252" spans="2:8" x14ac:dyDescent="0.25">
      <c r="B252" s="1">
        <v>46171</v>
      </c>
      <c r="C252" s="1" t="s">
        <v>46</v>
      </c>
      <c r="D252" t="s">
        <v>362</v>
      </c>
      <c r="E252" s="301">
        <v>-253.11994136000001</v>
      </c>
      <c r="F252" s="301"/>
      <c r="G252" s="301"/>
      <c r="H252" s="301">
        <f>IF(BaseOperacionesReales[[#This Row],[Dato PDF]]&lt;&gt;"",BaseOperacionesReales[[#This Row],[Dato PDF]]-BaseOperacionesReales[[#This Row],[Valor]],0)</f>
        <v>0</v>
      </c>
    </row>
    <row r="253" spans="2:8" x14ac:dyDescent="0.25">
      <c r="B253" s="1">
        <v>46171</v>
      </c>
      <c r="C253" s="1" t="s">
        <v>47</v>
      </c>
      <c r="D253" t="s">
        <v>362</v>
      </c>
      <c r="E253" s="301">
        <v>-496.08017514000011</v>
      </c>
      <c r="F253" s="301"/>
      <c r="G253" s="301"/>
      <c r="H253" s="301">
        <f>IF(BaseOperacionesReales[[#This Row],[Dato PDF]]&lt;&gt;"",BaseOperacionesReales[[#This Row],[Dato PDF]]-BaseOperacionesReales[[#This Row],[Valor]],0)</f>
        <v>0</v>
      </c>
    </row>
    <row r="254" spans="2:8" x14ac:dyDescent="0.25">
      <c r="B254" s="1">
        <v>46171</v>
      </c>
      <c r="C254" s="1" t="s">
        <v>47</v>
      </c>
      <c r="D254" t="s">
        <v>362</v>
      </c>
      <c r="E254" s="301">
        <v>-341.53016936</v>
      </c>
      <c r="F254" s="301"/>
      <c r="G254" s="301"/>
      <c r="H254" s="301">
        <f>IF(BaseOperacionesReales[[#This Row],[Dato PDF]]&lt;&gt;"",BaseOperacionesReales[[#This Row],[Dato PDF]]-BaseOperacionesReales[[#This Row],[Valor]],0)</f>
        <v>0</v>
      </c>
    </row>
    <row r="255" spans="2:8" x14ac:dyDescent="0.25">
      <c r="B255" s="1">
        <v>46171</v>
      </c>
      <c r="C255" s="1" t="s">
        <v>47</v>
      </c>
      <c r="D255" t="s">
        <v>362</v>
      </c>
      <c r="E255" s="301">
        <v>-469.29983249999998</v>
      </c>
      <c r="F255" s="301"/>
      <c r="G255" s="301"/>
      <c r="H255" s="301">
        <f>IF(BaseOperacionesReales[[#This Row],[Dato PDF]]&lt;&gt;"",BaseOperacionesReales[[#This Row],[Dato PDF]]-BaseOperacionesReales[[#This Row],[Valor]],0)</f>
        <v>0</v>
      </c>
    </row>
    <row r="256" spans="2:8" x14ac:dyDescent="0.25">
      <c r="B256" s="1">
        <v>46171</v>
      </c>
      <c r="C256" s="1" t="s">
        <v>48</v>
      </c>
      <c r="D256" t="s">
        <v>362</v>
      </c>
      <c r="E256" s="301">
        <v>-1150.9094425999999</v>
      </c>
      <c r="F256" s="301"/>
      <c r="G256" s="301"/>
      <c r="H256" s="301">
        <f>IF(BaseOperacionesReales[[#This Row],[Dato PDF]]&lt;&gt;"",BaseOperacionesReales[[#This Row],[Dato PDF]]-BaseOperacionesReales[[#This Row],[Valor]],0)</f>
        <v>0</v>
      </c>
    </row>
    <row r="257" spans="2:8" x14ac:dyDescent="0.25">
      <c r="B257" s="1">
        <v>46171</v>
      </c>
      <c r="C257" s="1" t="s">
        <v>48</v>
      </c>
      <c r="D257" t="s">
        <v>362</v>
      </c>
      <c r="E257" s="301">
        <v>-1917.39905488</v>
      </c>
      <c r="F257" s="301"/>
      <c r="G257" s="301"/>
      <c r="H257" s="301">
        <f>IF(BaseOperacionesReales[[#This Row],[Dato PDF]]&lt;&gt;"",BaseOperacionesReales[[#This Row],[Dato PDF]]-BaseOperacionesReales[[#This Row],[Valor]],0)</f>
        <v>0</v>
      </c>
    </row>
    <row r="258" spans="2:8" x14ac:dyDescent="0.25">
      <c r="B258" s="1">
        <v>46171</v>
      </c>
      <c r="C258" s="1" t="s">
        <v>48</v>
      </c>
      <c r="D258" t="s">
        <v>362</v>
      </c>
      <c r="E258" s="301">
        <v>-470.17986869999999</v>
      </c>
      <c r="F258" s="301"/>
      <c r="G258" s="301"/>
      <c r="H258" s="301">
        <f>IF(BaseOperacionesReales[[#This Row],[Dato PDF]]&lt;&gt;"",BaseOperacionesReales[[#This Row],[Dato PDF]]-BaseOperacionesReales[[#This Row],[Valor]],0)</f>
        <v>0</v>
      </c>
    </row>
    <row r="259" spans="2:8" x14ac:dyDescent="0.25">
      <c r="B259" s="1">
        <v>46171</v>
      </c>
      <c r="C259" s="1" t="s">
        <v>48</v>
      </c>
      <c r="D259" t="s">
        <v>362</v>
      </c>
      <c r="E259" s="301">
        <v>-309.10993553999998</v>
      </c>
      <c r="F259" s="301"/>
      <c r="G259" s="301"/>
      <c r="H259" s="301">
        <f>IF(BaseOperacionesReales[[#This Row],[Dato PDF]]&lt;&gt;"",BaseOperacionesReales[[#This Row],[Dato PDF]]-BaseOperacionesReales[[#This Row],[Valor]],0)</f>
        <v>0</v>
      </c>
    </row>
    <row r="260" spans="2:8" x14ac:dyDescent="0.25">
      <c r="B260" s="1">
        <v>46171</v>
      </c>
      <c r="C260" s="1" t="s">
        <v>48</v>
      </c>
      <c r="D260" t="s">
        <v>362</v>
      </c>
      <c r="E260" s="301">
        <v>-6811.3092753199999</v>
      </c>
      <c r="F260" s="301"/>
      <c r="G260" s="301"/>
      <c r="H260" s="301">
        <f>IF(BaseOperacionesReales[[#This Row],[Dato PDF]]&lt;&gt;"",BaseOperacionesReales[[#This Row],[Dato PDF]]-BaseOperacionesReales[[#This Row],[Valor]],0)</f>
        <v>0</v>
      </c>
    </row>
    <row r="261" spans="2:8" x14ac:dyDescent="0.25">
      <c r="B261" s="1">
        <v>46171</v>
      </c>
      <c r="C261" s="1" t="s">
        <v>47</v>
      </c>
      <c r="D261" t="s">
        <v>360</v>
      </c>
      <c r="E261" s="301">
        <v>-525.04</v>
      </c>
      <c r="F261" s="301"/>
      <c r="G261" s="301"/>
      <c r="H261" s="301">
        <f>IF(BaseOperacionesReales[[#This Row],[Dato PDF]]&lt;&gt;"",BaseOperacionesReales[[#This Row],[Dato PDF]]-BaseOperacionesReales[[#This Row],[Valor]],0)</f>
        <v>0</v>
      </c>
    </row>
    <row r="262" spans="2:8" x14ac:dyDescent="0.25">
      <c r="B262" s="1">
        <v>46141</v>
      </c>
      <c r="C262" s="1" t="s">
        <v>46</v>
      </c>
      <c r="D262" t="s">
        <v>369</v>
      </c>
      <c r="E262" s="301">
        <v>73.290000000000006</v>
      </c>
      <c r="F262" s="301"/>
      <c r="G262" s="301"/>
      <c r="H262" s="301">
        <f>IF(BaseOperacionesReales[[#This Row],[Dato PDF]]&lt;&gt;"",BaseOperacionesReales[[#This Row],[Dato PDF]]-BaseOperacionesReales[[#This Row],[Valor]],0)</f>
        <v>0</v>
      </c>
    </row>
    <row r="263" spans="2:8" x14ac:dyDescent="0.25">
      <c r="B263" s="401">
        <v>46174</v>
      </c>
      <c r="C263" s="401" t="s">
        <v>47</v>
      </c>
      <c r="D263" t="s">
        <v>362</v>
      </c>
      <c r="E263" s="402">
        <v>-749</v>
      </c>
      <c r="F263" s="402"/>
      <c r="G263" s="402"/>
      <c r="H263" s="402">
        <f>IF(BaseOperacionesReales[[#This Row],[Dato PDF]]&lt;&gt;"",BaseOperacionesReales[[#This Row],[Dato PDF]]-BaseOperacionesReales[[#This Row],[Valor]],0)</f>
        <v>0</v>
      </c>
    </row>
    <row r="264" spans="2:8" x14ac:dyDescent="0.25">
      <c r="B264" s="401">
        <v>46174</v>
      </c>
      <c r="C264" s="401" t="s">
        <v>48</v>
      </c>
      <c r="D264" t="s">
        <v>362</v>
      </c>
      <c r="E264" s="402">
        <v>-243.96</v>
      </c>
      <c r="F264" s="402"/>
      <c r="G264" s="402"/>
      <c r="H264" s="402">
        <f>IF(BaseOperacionesReales[[#This Row],[Dato PDF]]&lt;&gt;"",BaseOperacionesReales[[#This Row],[Dato PDF]]-BaseOperacionesReales[[#This Row],[Valor]],0)</f>
        <v>0</v>
      </c>
    </row>
    <row r="265" spans="2:8" x14ac:dyDescent="0.25">
      <c r="B265" s="401">
        <v>46174</v>
      </c>
      <c r="C265" s="401" t="s">
        <v>48</v>
      </c>
      <c r="D265" t="s">
        <v>362</v>
      </c>
      <c r="E265" s="402">
        <v>-397.28</v>
      </c>
      <c r="F265" s="402"/>
      <c r="G265" s="402"/>
      <c r="H265" s="402">
        <f>IF(BaseOperacionesReales[[#This Row],[Dato PDF]]&lt;&gt;"",BaseOperacionesReales[[#This Row],[Dato PDF]]-BaseOperacionesReales[[#This Row],[Valor]],0)</f>
        <v>0</v>
      </c>
    </row>
    <row r="266" spans="2:8" x14ac:dyDescent="0.25">
      <c r="B266" s="401">
        <v>46174</v>
      </c>
      <c r="C266" s="401" t="s">
        <v>48</v>
      </c>
      <c r="D266" t="s">
        <v>362</v>
      </c>
      <c r="E266" s="402">
        <v>-590.34</v>
      </c>
      <c r="F266" s="402"/>
      <c r="G266" s="402"/>
      <c r="H266" s="402">
        <f>IF(BaseOperacionesReales[[#This Row],[Dato PDF]]&lt;&gt;"",BaseOperacionesReales[[#This Row],[Dato PDF]]-BaseOperacionesReales[[#This Row],[Valor]],0)</f>
        <v>0</v>
      </c>
    </row>
    <row r="267" spans="2:8" x14ac:dyDescent="0.25">
      <c r="B267" s="401">
        <v>46174</v>
      </c>
      <c r="C267" s="401" t="s">
        <v>48</v>
      </c>
      <c r="D267" t="s">
        <v>362</v>
      </c>
      <c r="E267" s="402">
        <v>-7985.87</v>
      </c>
      <c r="F267" s="402"/>
      <c r="G267" s="402"/>
      <c r="H267" s="402">
        <f>IF(BaseOperacionesReales[[#This Row],[Dato PDF]]&lt;&gt;"",BaseOperacionesReales[[#This Row],[Dato PDF]]-BaseOperacionesReales[[#This Row],[Valor]],0)</f>
        <v>0</v>
      </c>
    </row>
    <row r="268" spans="2:8" x14ac:dyDescent="0.25">
      <c r="B268" s="401">
        <v>46174</v>
      </c>
      <c r="C268" s="401" t="s">
        <v>48</v>
      </c>
      <c r="D268" t="s">
        <v>362</v>
      </c>
      <c r="E268" s="402">
        <v>-415.06</v>
      </c>
      <c r="F268" s="402"/>
      <c r="G268" s="402"/>
      <c r="H268" s="402">
        <f>IF(BaseOperacionesReales[[#This Row],[Dato PDF]]&lt;&gt;"",BaseOperacionesReales[[#This Row],[Dato PDF]]-BaseOperacionesReales[[#This Row],[Valor]],0)</f>
        <v>0</v>
      </c>
    </row>
    <row r="269" spans="2:8" x14ac:dyDescent="0.25">
      <c r="B269" s="1">
        <v>46174</v>
      </c>
      <c r="C269" s="1" t="s">
        <v>48</v>
      </c>
      <c r="D269" t="s">
        <v>372</v>
      </c>
      <c r="E269" s="301">
        <v>40075.46</v>
      </c>
      <c r="F269" s="301"/>
      <c r="G269" s="301"/>
      <c r="H269" s="301">
        <f>IF(BaseOperacionesReales[[#This Row],[Dato PDF]]&lt;&gt;"",BaseOperacionesReales[[#This Row],[Dato PDF]]-BaseOperacionesReales[[#This Row],[Valor]],0)</f>
        <v>0</v>
      </c>
    </row>
    <row r="270" spans="2:8" x14ac:dyDescent="0.25">
      <c r="B270" s="1">
        <v>46174</v>
      </c>
      <c r="C270" s="1" t="s">
        <v>48</v>
      </c>
      <c r="D270" t="s">
        <v>367</v>
      </c>
      <c r="E270" s="301">
        <v>3500</v>
      </c>
      <c r="F270" s="301"/>
      <c r="G270" s="301"/>
      <c r="H270" s="301">
        <f>IF(BaseOperacionesReales[[#This Row],[Dato PDF]]&lt;&gt;"",BaseOperacionesReales[[#This Row],[Dato PDF]]-BaseOperacionesReales[[#This Row],[Valor]],0)</f>
        <v>0</v>
      </c>
    </row>
    <row r="271" spans="2:8" x14ac:dyDescent="0.25">
      <c r="B271" s="1">
        <v>46174</v>
      </c>
      <c r="C271" s="1" t="s">
        <v>48</v>
      </c>
      <c r="D271" t="s">
        <v>377</v>
      </c>
      <c r="E271" s="301">
        <v>200</v>
      </c>
      <c r="F271" s="301"/>
      <c r="G271" s="301"/>
      <c r="H271" s="301">
        <f>IF(BaseOperacionesReales[[#This Row],[Dato PDF]]&lt;&gt;"",BaseOperacionesReales[[#This Row],[Dato PDF]]-BaseOperacionesReales[[#This Row],[Valor]],0)</f>
        <v>0</v>
      </c>
    </row>
    <row r="272" spans="2:8" x14ac:dyDescent="0.25">
      <c r="B272" s="401">
        <v>46175</v>
      </c>
      <c r="C272" s="401" t="s">
        <v>48</v>
      </c>
      <c r="D272" t="s">
        <v>362</v>
      </c>
      <c r="E272" s="402">
        <v>-707.96</v>
      </c>
      <c r="F272" s="402"/>
      <c r="G272" s="402"/>
      <c r="H272" s="402">
        <f>IF(BaseOperacionesReales[[#This Row],[Dato PDF]]&lt;&gt;"",BaseOperacionesReales[[#This Row],[Dato PDF]]-BaseOperacionesReales[[#This Row],[Valor]],0)</f>
        <v>0</v>
      </c>
    </row>
    <row r="273" spans="2:8" x14ac:dyDescent="0.25">
      <c r="B273" s="401">
        <v>46175</v>
      </c>
      <c r="C273" s="401" t="s">
        <v>48</v>
      </c>
      <c r="D273" t="s">
        <v>362</v>
      </c>
      <c r="E273" s="402">
        <v>-215.13</v>
      </c>
      <c r="F273" s="402"/>
      <c r="G273" s="402"/>
      <c r="H273" s="402">
        <f>IF(BaseOperacionesReales[[#This Row],[Dato PDF]]&lt;&gt;"",BaseOperacionesReales[[#This Row],[Dato PDF]]-BaseOperacionesReales[[#This Row],[Valor]],0)</f>
        <v>0</v>
      </c>
    </row>
    <row r="274" spans="2:8" x14ac:dyDescent="0.25">
      <c r="B274" s="401">
        <v>46175</v>
      </c>
      <c r="C274" s="401" t="s">
        <v>48</v>
      </c>
      <c r="D274" t="s">
        <v>362</v>
      </c>
      <c r="E274" s="402">
        <v>-1278.58</v>
      </c>
      <c r="F274" s="402"/>
      <c r="G274" s="402"/>
      <c r="H274" s="402">
        <f>IF(BaseOperacionesReales[[#This Row],[Dato PDF]]&lt;&gt;"",BaseOperacionesReales[[#This Row],[Dato PDF]]-BaseOperacionesReales[[#This Row],[Valor]],0)</f>
        <v>0</v>
      </c>
    </row>
    <row r="275" spans="2:8" x14ac:dyDescent="0.25">
      <c r="B275" s="401">
        <v>46175</v>
      </c>
      <c r="C275" s="401" t="s">
        <v>48</v>
      </c>
      <c r="D275" t="s">
        <v>362</v>
      </c>
      <c r="E275" s="402">
        <v>-327.02999999999997</v>
      </c>
      <c r="F275" s="402"/>
      <c r="G275" s="402"/>
      <c r="H275" s="402">
        <f>IF(BaseOperacionesReales[[#This Row],[Dato PDF]]&lt;&gt;"",BaseOperacionesReales[[#This Row],[Dato PDF]]-BaseOperacionesReales[[#This Row],[Valor]],0)</f>
        <v>0</v>
      </c>
    </row>
    <row r="276" spans="2:8" x14ac:dyDescent="0.25">
      <c r="B276" s="401">
        <v>46175</v>
      </c>
      <c r="C276" s="401" t="s">
        <v>48</v>
      </c>
      <c r="D276" t="s">
        <v>362</v>
      </c>
      <c r="E276" s="402">
        <v>-941.24</v>
      </c>
      <c r="F276" s="402"/>
      <c r="G276" s="402"/>
      <c r="H276" s="402">
        <f>IF(BaseOperacionesReales[[#This Row],[Dato PDF]]&lt;&gt;"",BaseOperacionesReales[[#This Row],[Dato PDF]]-BaseOperacionesReales[[#This Row],[Valor]],0)</f>
        <v>0</v>
      </c>
    </row>
    <row r="277" spans="2:8" x14ac:dyDescent="0.25">
      <c r="B277" s="401">
        <v>46175</v>
      </c>
      <c r="C277" s="401" t="s">
        <v>48</v>
      </c>
      <c r="D277" t="s">
        <v>362</v>
      </c>
      <c r="E277" s="402">
        <v>-147.27000000000001</v>
      </c>
      <c r="F277" s="402"/>
      <c r="G277" s="402"/>
      <c r="H277" s="402">
        <f>IF(BaseOperacionesReales[[#This Row],[Dato PDF]]&lt;&gt;"",BaseOperacionesReales[[#This Row],[Dato PDF]]-BaseOperacionesReales[[#This Row],[Valor]],0)</f>
        <v>0</v>
      </c>
    </row>
    <row r="278" spans="2:8" x14ac:dyDescent="0.25">
      <c r="B278" s="401">
        <v>46175</v>
      </c>
      <c r="C278" s="401" t="s">
        <v>48</v>
      </c>
      <c r="D278" t="s">
        <v>362</v>
      </c>
      <c r="E278" s="402">
        <v>-1883.03</v>
      </c>
      <c r="F278" s="402"/>
      <c r="G278" s="402"/>
      <c r="H278" s="402">
        <f>IF(BaseOperacionesReales[[#This Row],[Dato PDF]]&lt;&gt;"",BaseOperacionesReales[[#This Row],[Dato PDF]]-BaseOperacionesReales[[#This Row],[Valor]],0)</f>
        <v>0</v>
      </c>
    </row>
    <row r="279" spans="2:8" x14ac:dyDescent="0.25">
      <c r="B279" s="401">
        <v>46175</v>
      </c>
      <c r="C279" s="401" t="s">
        <v>48</v>
      </c>
      <c r="D279" t="s">
        <v>362</v>
      </c>
      <c r="E279" s="402">
        <v>-326.5</v>
      </c>
      <c r="F279" s="402"/>
      <c r="G279" s="402"/>
      <c r="H279" s="402">
        <f>IF(BaseOperacionesReales[[#This Row],[Dato PDF]]&lt;&gt;"",BaseOperacionesReales[[#This Row],[Dato PDF]]-BaseOperacionesReales[[#This Row],[Valor]],0)</f>
        <v>0</v>
      </c>
    </row>
    <row r="280" spans="2:8" x14ac:dyDescent="0.25">
      <c r="B280" s="401">
        <v>46175</v>
      </c>
      <c r="C280" s="401" t="s">
        <v>48</v>
      </c>
      <c r="D280" t="s">
        <v>362</v>
      </c>
      <c r="E280" s="402">
        <v>-3439.58</v>
      </c>
      <c r="F280" s="402"/>
      <c r="G280" s="402"/>
      <c r="H280" s="402">
        <f>IF(BaseOperacionesReales[[#This Row],[Dato PDF]]&lt;&gt;"",BaseOperacionesReales[[#This Row],[Dato PDF]]-BaseOperacionesReales[[#This Row],[Valor]],0)</f>
        <v>0</v>
      </c>
    </row>
    <row r="281" spans="2:8" x14ac:dyDescent="0.25">
      <c r="B281" s="401">
        <v>46175</v>
      </c>
      <c r="C281" s="401" t="s">
        <v>48</v>
      </c>
      <c r="D281" t="s">
        <v>362</v>
      </c>
      <c r="E281" s="402">
        <v>-647.15</v>
      </c>
      <c r="F281" s="402"/>
      <c r="G281" s="402"/>
      <c r="H281" s="402">
        <f>IF(BaseOperacionesReales[[#This Row],[Dato PDF]]&lt;&gt;"",BaseOperacionesReales[[#This Row],[Dato PDF]]-BaseOperacionesReales[[#This Row],[Valor]],0)</f>
        <v>0</v>
      </c>
    </row>
    <row r="282" spans="2:8" x14ac:dyDescent="0.25">
      <c r="B282" s="401">
        <v>46176</v>
      </c>
      <c r="C282" s="401" t="s">
        <v>48</v>
      </c>
      <c r="D282" t="s">
        <v>362</v>
      </c>
      <c r="E282" s="402">
        <v>-281.47000000000003</v>
      </c>
      <c r="F282" s="402"/>
      <c r="G282" s="402"/>
      <c r="H282" s="402">
        <f>IF(BaseOperacionesReales[[#This Row],[Dato PDF]]&lt;&gt;"",BaseOperacionesReales[[#This Row],[Dato PDF]]-BaseOperacionesReales[[#This Row],[Valor]],0)</f>
        <v>0</v>
      </c>
    </row>
    <row r="283" spans="2:8" x14ac:dyDescent="0.25">
      <c r="B283" s="401">
        <v>46176</v>
      </c>
      <c r="C283" s="401" t="s">
        <v>48</v>
      </c>
      <c r="D283" t="s">
        <v>362</v>
      </c>
      <c r="E283" s="402">
        <v>-12443.02</v>
      </c>
      <c r="F283" s="402"/>
      <c r="G283" s="402"/>
      <c r="H283" s="402">
        <f>IF(BaseOperacionesReales[[#This Row],[Dato PDF]]&lt;&gt;"",BaseOperacionesReales[[#This Row],[Dato PDF]]-BaseOperacionesReales[[#This Row],[Valor]],0)</f>
        <v>0</v>
      </c>
    </row>
    <row r="284" spans="2:8" x14ac:dyDescent="0.25">
      <c r="B284" s="401">
        <v>46176</v>
      </c>
      <c r="C284" s="401" t="s">
        <v>48</v>
      </c>
      <c r="D284" t="s">
        <v>362</v>
      </c>
      <c r="E284" s="402">
        <v>-500.78</v>
      </c>
      <c r="F284" s="402"/>
      <c r="G284" s="402"/>
      <c r="H284" s="402">
        <f>IF(BaseOperacionesReales[[#This Row],[Dato PDF]]&lt;&gt;"",BaseOperacionesReales[[#This Row],[Dato PDF]]-BaseOperacionesReales[[#This Row],[Valor]],0)</f>
        <v>0</v>
      </c>
    </row>
    <row r="285" spans="2:8" x14ac:dyDescent="0.25">
      <c r="B285" s="401">
        <v>46176</v>
      </c>
      <c r="C285" s="401" t="s">
        <v>48</v>
      </c>
      <c r="D285" t="s">
        <v>362</v>
      </c>
      <c r="E285" s="402">
        <v>-3339.2</v>
      </c>
      <c r="F285" s="402"/>
      <c r="G285" s="402"/>
      <c r="H285" s="402">
        <f>IF(BaseOperacionesReales[[#This Row],[Dato PDF]]&lt;&gt;"",BaseOperacionesReales[[#This Row],[Dato PDF]]-BaseOperacionesReales[[#This Row],[Valor]],0)</f>
        <v>0</v>
      </c>
    </row>
    <row r="286" spans="2:8" x14ac:dyDescent="0.25">
      <c r="B286" s="401">
        <v>46176</v>
      </c>
      <c r="C286" s="401" t="s">
        <v>48</v>
      </c>
      <c r="D286" t="s">
        <v>362</v>
      </c>
      <c r="E286" s="402">
        <v>-3516.8</v>
      </c>
      <c r="F286" s="402"/>
      <c r="G286" s="402"/>
      <c r="H286" s="402">
        <f>IF(BaseOperacionesReales[[#This Row],[Dato PDF]]&lt;&gt;"",BaseOperacionesReales[[#This Row],[Dato PDF]]-BaseOperacionesReales[[#This Row],[Valor]],0)</f>
        <v>0</v>
      </c>
    </row>
    <row r="287" spans="2:8" x14ac:dyDescent="0.25">
      <c r="B287" s="401">
        <v>46176</v>
      </c>
      <c r="C287" s="401" t="s">
        <v>48</v>
      </c>
      <c r="D287" t="s">
        <v>362</v>
      </c>
      <c r="E287" s="402">
        <v>-1450.33</v>
      </c>
      <c r="F287" s="402"/>
      <c r="G287" s="402"/>
      <c r="H287" s="402">
        <f>IF(BaseOperacionesReales[[#This Row],[Dato PDF]]&lt;&gt;"",BaseOperacionesReales[[#This Row],[Dato PDF]]-BaseOperacionesReales[[#This Row],[Valor]],0)</f>
        <v>0</v>
      </c>
    </row>
    <row r="288" spans="2:8" x14ac:dyDescent="0.25">
      <c r="B288" s="401">
        <v>46176</v>
      </c>
      <c r="C288" s="401" t="s">
        <v>48</v>
      </c>
      <c r="D288" t="s">
        <v>362</v>
      </c>
      <c r="E288" s="402">
        <v>-1267.19</v>
      </c>
      <c r="F288" s="402"/>
      <c r="G288" s="402"/>
      <c r="H288" s="402">
        <f>IF(BaseOperacionesReales[[#This Row],[Dato PDF]]&lt;&gt;"",BaseOperacionesReales[[#This Row],[Dato PDF]]-BaseOperacionesReales[[#This Row],[Valor]],0)</f>
        <v>0</v>
      </c>
    </row>
    <row r="289" spans="2:8" x14ac:dyDescent="0.25">
      <c r="B289" s="1">
        <v>46178</v>
      </c>
      <c r="C289" s="1" t="s">
        <v>48</v>
      </c>
      <c r="D289" t="s">
        <v>378</v>
      </c>
      <c r="E289" s="301">
        <v>2000</v>
      </c>
      <c r="F289" s="301"/>
      <c r="G289" s="301"/>
      <c r="H289" s="301">
        <f>IF(BaseOperacionesReales[[#This Row],[Dato PDF]]&lt;&gt;"",BaseOperacionesReales[[#This Row],[Dato PDF]]-BaseOperacionesReales[[#This Row],[Valor]],0)</f>
        <v>0</v>
      </c>
    </row>
    <row r="290" spans="2:8" x14ac:dyDescent="0.25">
      <c r="B290" s="1">
        <v>46178</v>
      </c>
      <c r="C290" s="1" t="s">
        <v>48</v>
      </c>
      <c r="D290" t="s">
        <v>372</v>
      </c>
      <c r="E290" s="301">
        <v>38510.824522000003</v>
      </c>
      <c r="F290" s="301"/>
      <c r="G290" s="301"/>
      <c r="H290" s="301">
        <f>IF(BaseOperacionesReales[[#This Row],[Dato PDF]]&lt;&gt;"",BaseOperacionesReales[[#This Row],[Dato PDF]]-BaseOperacionesReales[[#This Row],[Valor]],0)</f>
        <v>0</v>
      </c>
    </row>
    <row r="291" spans="2:8" x14ac:dyDescent="0.25">
      <c r="B291" s="1">
        <v>46178</v>
      </c>
      <c r="C291" s="401" t="s">
        <v>48</v>
      </c>
      <c r="D291" t="s">
        <v>362</v>
      </c>
      <c r="E291" s="402">
        <v>-332.99</v>
      </c>
      <c r="F291" s="402"/>
      <c r="G291" s="402"/>
      <c r="H291" s="402">
        <f>IF(BaseOperacionesReales[[#This Row],[Dato PDF]]&lt;&gt;"",BaseOperacionesReales[[#This Row],[Dato PDF]]-BaseOperacionesReales[[#This Row],[Valor]],0)</f>
        <v>0</v>
      </c>
    </row>
    <row r="292" spans="2:8" x14ac:dyDescent="0.25">
      <c r="B292" s="1">
        <v>46178</v>
      </c>
      <c r="C292" s="401" t="s">
        <v>48</v>
      </c>
      <c r="D292" t="s">
        <v>362</v>
      </c>
      <c r="E292" s="402">
        <v>-530.29</v>
      </c>
      <c r="F292" s="402"/>
      <c r="G292" s="402"/>
      <c r="H292" s="402">
        <f>IF(BaseOperacionesReales[[#This Row],[Dato PDF]]&lt;&gt;"",BaseOperacionesReales[[#This Row],[Dato PDF]]-BaseOperacionesReales[[#This Row],[Valor]],0)</f>
        <v>0</v>
      </c>
    </row>
    <row r="293" spans="2:8" x14ac:dyDescent="0.25">
      <c r="B293" s="1">
        <v>46178</v>
      </c>
      <c r="C293" s="401" t="s">
        <v>48</v>
      </c>
      <c r="D293" t="s">
        <v>362</v>
      </c>
      <c r="E293" s="402">
        <v>-2254.5</v>
      </c>
      <c r="F293" s="402"/>
      <c r="G293" s="402"/>
      <c r="H293" s="402">
        <f>IF(BaseOperacionesReales[[#This Row],[Dato PDF]]&lt;&gt;"",BaseOperacionesReales[[#This Row],[Dato PDF]]-BaseOperacionesReales[[#This Row],[Valor]],0)</f>
        <v>0</v>
      </c>
    </row>
    <row r="294" spans="2:8" x14ac:dyDescent="0.25">
      <c r="B294" s="1">
        <v>46178</v>
      </c>
      <c r="C294" s="401" t="s">
        <v>48</v>
      </c>
      <c r="D294" t="s">
        <v>362</v>
      </c>
      <c r="E294" s="402">
        <v>-3829.03</v>
      </c>
      <c r="F294" s="402"/>
      <c r="G294" s="402"/>
      <c r="H294" s="402">
        <f>IF(BaseOperacionesReales[[#This Row],[Dato PDF]]&lt;&gt;"",BaseOperacionesReales[[#This Row],[Dato PDF]]-BaseOperacionesReales[[#This Row],[Valor]],0)</f>
        <v>0</v>
      </c>
    </row>
    <row r="295" spans="2:8" x14ac:dyDescent="0.25">
      <c r="B295" s="1">
        <v>46178</v>
      </c>
      <c r="C295" s="401" t="s">
        <v>48</v>
      </c>
      <c r="D295" t="s">
        <v>362</v>
      </c>
      <c r="E295" s="402">
        <v>-4357.5600000000004</v>
      </c>
      <c r="F295" s="402"/>
      <c r="G295" s="402"/>
      <c r="H295" s="402">
        <f>IF(BaseOperacionesReales[[#This Row],[Dato PDF]]&lt;&gt;"",BaseOperacionesReales[[#This Row],[Dato PDF]]-BaseOperacionesReales[[#This Row],[Valor]],0)</f>
        <v>0</v>
      </c>
    </row>
    <row r="296" spans="2:8" x14ac:dyDescent="0.25">
      <c r="B296" s="1">
        <v>46178</v>
      </c>
      <c r="C296" s="401" t="s">
        <v>48</v>
      </c>
      <c r="D296" t="s">
        <v>362</v>
      </c>
      <c r="E296" s="402">
        <v>-4748.67</v>
      </c>
      <c r="F296" s="402"/>
      <c r="G296" s="402"/>
      <c r="H296" s="402">
        <f>IF(BaseOperacionesReales[[#This Row],[Dato PDF]]&lt;&gt;"",BaseOperacionesReales[[#This Row],[Dato PDF]]-BaseOperacionesReales[[#This Row],[Valor]],0)</f>
        <v>0</v>
      </c>
    </row>
    <row r="297" spans="2:8" x14ac:dyDescent="0.25">
      <c r="B297" s="1">
        <v>46178</v>
      </c>
      <c r="C297" s="401" t="s">
        <v>48</v>
      </c>
      <c r="D297" t="s">
        <v>362</v>
      </c>
      <c r="E297" s="402">
        <v>-4777.79</v>
      </c>
      <c r="F297" s="402"/>
      <c r="G297" s="402"/>
      <c r="H297" s="402">
        <f>IF(BaseOperacionesReales[[#This Row],[Dato PDF]]&lt;&gt;"",BaseOperacionesReales[[#This Row],[Dato PDF]]-BaseOperacionesReales[[#This Row],[Valor]],0)</f>
        <v>0</v>
      </c>
    </row>
    <row r="298" spans="2:8" x14ac:dyDescent="0.25">
      <c r="B298" s="1">
        <v>46178</v>
      </c>
      <c r="C298" s="401" t="s">
        <v>48</v>
      </c>
      <c r="D298" t="s">
        <v>362</v>
      </c>
      <c r="E298" s="402">
        <v>-3507</v>
      </c>
      <c r="F298" s="402"/>
      <c r="G298" s="402"/>
      <c r="H298" s="402">
        <f>IF(BaseOperacionesReales[[#This Row],[Dato PDF]]&lt;&gt;"",BaseOperacionesReales[[#This Row],[Dato PDF]]-BaseOperacionesReales[[#This Row],[Valor]],0)</f>
        <v>0</v>
      </c>
    </row>
    <row r="299" spans="2:8" x14ac:dyDescent="0.25">
      <c r="B299" s="1">
        <v>46178</v>
      </c>
      <c r="C299" s="401" t="s">
        <v>48</v>
      </c>
      <c r="D299" t="s">
        <v>362</v>
      </c>
      <c r="E299" s="402">
        <v>-1370.86</v>
      </c>
      <c r="F299" s="402"/>
      <c r="G299" s="402"/>
      <c r="H299" s="402">
        <f>IF(BaseOperacionesReales[[#This Row],[Dato PDF]]&lt;&gt;"",BaseOperacionesReales[[#This Row],[Dato PDF]]-BaseOperacionesReales[[#This Row],[Valor]],0)</f>
        <v>0</v>
      </c>
    </row>
    <row r="300" spans="2:8" x14ac:dyDescent="0.25">
      <c r="B300" s="1">
        <v>46178</v>
      </c>
      <c r="C300" s="401" t="s">
        <v>48</v>
      </c>
      <c r="D300" t="s">
        <v>362</v>
      </c>
      <c r="E300" s="402">
        <v>-514.08000000000004</v>
      </c>
      <c r="F300" s="402"/>
      <c r="G300" s="402"/>
      <c r="H300" s="402">
        <f>IF(BaseOperacionesReales[[#This Row],[Dato PDF]]&lt;&gt;"",BaseOperacionesReales[[#This Row],[Dato PDF]]-BaseOperacionesReales[[#This Row],[Valor]],0)</f>
        <v>0</v>
      </c>
    </row>
    <row r="301" spans="2:8" x14ac:dyDescent="0.25">
      <c r="B301" s="1">
        <v>46178</v>
      </c>
      <c r="C301" s="401" t="s">
        <v>48</v>
      </c>
      <c r="D301" t="s">
        <v>362</v>
      </c>
      <c r="E301" s="402">
        <v>-925.84</v>
      </c>
      <c r="F301" s="402"/>
      <c r="G301" s="402"/>
      <c r="H301" s="402">
        <f>IF(BaseOperacionesReales[[#This Row],[Dato PDF]]&lt;&gt;"",BaseOperacionesReales[[#This Row],[Dato PDF]]-BaseOperacionesReales[[#This Row],[Valor]],0)</f>
        <v>0</v>
      </c>
    </row>
    <row r="302" spans="2:8" x14ac:dyDescent="0.25">
      <c r="B302" s="1">
        <v>46178</v>
      </c>
      <c r="C302" s="401" t="s">
        <v>48</v>
      </c>
      <c r="D302" t="s">
        <v>362</v>
      </c>
      <c r="E302" s="402">
        <v>-588.5</v>
      </c>
      <c r="F302" s="402"/>
      <c r="G302" s="402"/>
      <c r="H302" s="402">
        <f>IF(BaseOperacionesReales[[#This Row],[Dato PDF]]&lt;&gt;"",BaseOperacionesReales[[#This Row],[Dato PDF]]-BaseOperacionesReales[[#This Row],[Valor]],0)</f>
        <v>0</v>
      </c>
    </row>
    <row r="303" spans="2:8" x14ac:dyDescent="0.25">
      <c r="B303" s="1">
        <v>46178</v>
      </c>
      <c r="C303" s="401" t="s">
        <v>48</v>
      </c>
      <c r="D303" t="s">
        <v>362</v>
      </c>
      <c r="E303" s="402">
        <v>-588.5</v>
      </c>
      <c r="F303" s="402"/>
      <c r="G303" s="402"/>
      <c r="H303" s="402">
        <f>IF(BaseOperacionesReales[[#This Row],[Dato PDF]]&lt;&gt;"",BaseOperacionesReales[[#This Row],[Dato PDF]]-BaseOperacionesReales[[#This Row],[Valor]],0)</f>
        <v>0</v>
      </c>
    </row>
    <row r="304" spans="2:8" x14ac:dyDescent="0.25">
      <c r="B304" s="1">
        <v>46178</v>
      </c>
      <c r="C304" s="401" t="s">
        <v>48</v>
      </c>
      <c r="D304" t="s">
        <v>362</v>
      </c>
      <c r="E304" s="402">
        <v>-745.64</v>
      </c>
      <c r="F304" s="402"/>
      <c r="G304" s="402"/>
      <c r="H304" s="402">
        <f>IF(BaseOperacionesReales[[#This Row],[Dato PDF]]&lt;&gt;"",BaseOperacionesReales[[#This Row],[Dato PDF]]-BaseOperacionesReales[[#This Row],[Valor]],0)</f>
        <v>0</v>
      </c>
    </row>
    <row r="305" spans="2:8" x14ac:dyDescent="0.25">
      <c r="B305" s="1">
        <v>46178</v>
      </c>
      <c r="C305" s="401" t="s">
        <v>48</v>
      </c>
      <c r="D305" t="s">
        <v>362</v>
      </c>
      <c r="E305" s="402">
        <v>-843.11</v>
      </c>
      <c r="F305" s="402"/>
      <c r="G305" s="402"/>
      <c r="H305" s="402">
        <f>IF(BaseOperacionesReales[[#This Row],[Dato PDF]]&lt;&gt;"",BaseOperacionesReales[[#This Row],[Dato PDF]]-BaseOperacionesReales[[#This Row],[Valor]],0)</f>
        <v>0</v>
      </c>
    </row>
    <row r="306" spans="2:8" x14ac:dyDescent="0.25">
      <c r="B306" s="1">
        <v>46178</v>
      </c>
      <c r="C306" s="401" t="s">
        <v>48</v>
      </c>
      <c r="D306" t="s">
        <v>362</v>
      </c>
      <c r="E306" s="402">
        <v>-1108.67</v>
      </c>
      <c r="F306" s="402"/>
      <c r="G306" s="402"/>
      <c r="H306" s="402">
        <f>IF(BaseOperacionesReales[[#This Row],[Dato PDF]]&lt;&gt;"",BaseOperacionesReales[[#This Row],[Dato PDF]]-BaseOperacionesReales[[#This Row],[Valor]],0)</f>
        <v>0</v>
      </c>
    </row>
    <row r="307" spans="2:8" x14ac:dyDescent="0.25">
      <c r="B307" s="1">
        <v>46178</v>
      </c>
      <c r="C307" s="401" t="s">
        <v>48</v>
      </c>
      <c r="D307" t="s">
        <v>362</v>
      </c>
      <c r="E307" s="402">
        <v>-1548.84</v>
      </c>
      <c r="F307" s="402"/>
      <c r="G307" s="402"/>
      <c r="H307" s="402">
        <f>IF(BaseOperacionesReales[[#This Row],[Dato PDF]]&lt;&gt;"",BaseOperacionesReales[[#This Row],[Dato PDF]]-BaseOperacionesReales[[#This Row],[Valor]],0)</f>
        <v>0</v>
      </c>
    </row>
    <row r="308" spans="2:8" x14ac:dyDescent="0.25">
      <c r="B308" s="1">
        <v>46178</v>
      </c>
      <c r="C308" s="401" t="s">
        <v>48</v>
      </c>
      <c r="D308" t="s">
        <v>362</v>
      </c>
      <c r="E308" s="402">
        <v>-1735.44</v>
      </c>
      <c r="F308" s="402"/>
      <c r="G308" s="402"/>
      <c r="H308" s="402">
        <f>IF(BaseOperacionesReales[[#This Row],[Dato PDF]]&lt;&gt;"",BaseOperacionesReales[[#This Row],[Dato PDF]]-BaseOperacionesReales[[#This Row],[Valor]],0)</f>
        <v>0</v>
      </c>
    </row>
    <row r="309" spans="2:8" x14ac:dyDescent="0.25">
      <c r="B309" s="1">
        <v>46178</v>
      </c>
      <c r="C309" s="401" t="s">
        <v>48</v>
      </c>
      <c r="D309" t="s">
        <v>362</v>
      </c>
      <c r="E309" s="402">
        <v>-1677.33</v>
      </c>
      <c r="F309" s="402"/>
      <c r="G309" s="402"/>
      <c r="H309" s="402">
        <f>IF(BaseOperacionesReales[[#This Row],[Dato PDF]]&lt;&gt;"",BaseOperacionesReales[[#This Row],[Dato PDF]]-BaseOperacionesReales[[#This Row],[Valor]],0)</f>
        <v>0</v>
      </c>
    </row>
    <row r="310" spans="2:8" x14ac:dyDescent="0.25">
      <c r="B310" s="1">
        <v>46178</v>
      </c>
      <c r="C310" s="401" t="s">
        <v>48</v>
      </c>
      <c r="D310" t="s">
        <v>362</v>
      </c>
      <c r="E310" s="402">
        <v>-2374.5100000000002</v>
      </c>
      <c r="F310" s="402"/>
      <c r="G310" s="402"/>
      <c r="H310" s="402">
        <f>IF(BaseOperacionesReales[[#This Row],[Dato PDF]]&lt;&gt;"",BaseOperacionesReales[[#This Row],[Dato PDF]]-BaseOperacionesReales[[#This Row],[Valor]],0)</f>
        <v>0</v>
      </c>
    </row>
    <row r="311" spans="2:8" x14ac:dyDescent="0.25">
      <c r="B311" s="401">
        <v>46181</v>
      </c>
      <c r="C311" s="401" t="s">
        <v>48</v>
      </c>
      <c r="D311" t="s">
        <v>362</v>
      </c>
      <c r="E311" s="402">
        <v>-544.85</v>
      </c>
      <c r="F311" s="402"/>
      <c r="G311" s="402"/>
      <c r="H311" s="402">
        <f>IF(BaseOperacionesReales[[#This Row],[Dato PDF]]&lt;&gt;"",BaseOperacionesReales[[#This Row],[Dato PDF]]-BaseOperacionesReales[[#This Row],[Valor]],0)</f>
        <v>0</v>
      </c>
    </row>
    <row r="312" spans="2:8" x14ac:dyDescent="0.25">
      <c r="B312" s="401">
        <v>46181</v>
      </c>
      <c r="C312" s="401" t="s">
        <v>48</v>
      </c>
      <c r="D312" t="s">
        <v>362</v>
      </c>
      <c r="E312" s="402">
        <v>-833.09</v>
      </c>
      <c r="F312" s="402"/>
      <c r="G312" s="402"/>
      <c r="H312" s="402">
        <f>IF(BaseOperacionesReales[[#This Row],[Dato PDF]]&lt;&gt;"",BaseOperacionesReales[[#This Row],[Dato PDF]]-BaseOperacionesReales[[#This Row],[Valor]],0)</f>
        <v>0</v>
      </c>
    </row>
    <row r="313" spans="2:8" x14ac:dyDescent="0.25">
      <c r="B313" s="401">
        <v>46181</v>
      </c>
      <c r="C313" s="401" t="s">
        <v>48</v>
      </c>
      <c r="D313" t="s">
        <v>362</v>
      </c>
      <c r="E313" s="402">
        <v>-418.37</v>
      </c>
      <c r="F313" s="402"/>
      <c r="G313" s="402"/>
      <c r="H313" s="402">
        <f>IF(BaseOperacionesReales[[#This Row],[Dato PDF]]&lt;&gt;"",BaseOperacionesReales[[#This Row],[Dato PDF]]-BaseOperacionesReales[[#This Row],[Valor]],0)</f>
        <v>0</v>
      </c>
    </row>
    <row r="314" spans="2:8" x14ac:dyDescent="0.25">
      <c r="B314" s="401">
        <v>46181</v>
      </c>
      <c r="C314" s="401" t="s">
        <v>48</v>
      </c>
      <c r="D314" t="s">
        <v>362</v>
      </c>
      <c r="E314" s="402">
        <v>-885.22</v>
      </c>
      <c r="F314" s="402"/>
      <c r="G314" s="402"/>
      <c r="H314" s="402">
        <f>IF(BaseOperacionesReales[[#This Row],[Dato PDF]]&lt;&gt;"",BaseOperacionesReales[[#This Row],[Dato PDF]]-BaseOperacionesReales[[#This Row],[Valor]],0)</f>
        <v>0</v>
      </c>
    </row>
    <row r="315" spans="2:8" x14ac:dyDescent="0.25">
      <c r="B315" s="401">
        <v>46181</v>
      </c>
      <c r="C315" s="401" t="s">
        <v>48</v>
      </c>
      <c r="D315" t="s">
        <v>362</v>
      </c>
      <c r="E315" s="402">
        <v>-293.52999999999997</v>
      </c>
      <c r="F315" s="402"/>
      <c r="G315" s="402"/>
      <c r="H315" s="402">
        <f>IF(BaseOperacionesReales[[#This Row],[Dato PDF]]&lt;&gt;"",BaseOperacionesReales[[#This Row],[Dato PDF]]-BaseOperacionesReales[[#This Row],[Valor]],0)</f>
        <v>0</v>
      </c>
    </row>
    <row r="316" spans="2:8" x14ac:dyDescent="0.25">
      <c r="B316" s="1">
        <v>46181</v>
      </c>
      <c r="C316" s="1" t="s">
        <v>48</v>
      </c>
      <c r="D316" t="s">
        <v>372</v>
      </c>
      <c r="E316" s="301">
        <v>43387.18</v>
      </c>
      <c r="F316" s="301"/>
      <c r="G316" s="301"/>
      <c r="H316" s="301">
        <f>IF(BaseOperacionesReales[[#This Row],[Dato PDF]]&lt;&gt;"",BaseOperacionesReales[[#This Row],[Dato PDF]]-BaseOperacionesReales[[#This Row],[Valor]],0)</f>
        <v>0</v>
      </c>
    </row>
    <row r="317" spans="2:8" x14ac:dyDescent="0.25">
      <c r="B317" s="1">
        <v>46181</v>
      </c>
      <c r="C317" s="1" t="s">
        <v>48</v>
      </c>
      <c r="D317" t="s">
        <v>379</v>
      </c>
      <c r="E317" s="301">
        <v>-9.52</v>
      </c>
      <c r="F317" s="301"/>
      <c r="G317" s="301"/>
      <c r="H317" s="301">
        <f>IF(BaseOperacionesReales[[#This Row],[Dato PDF]]&lt;&gt;"",BaseOperacionesReales[[#This Row],[Dato PDF]]-BaseOperacionesReales[[#This Row],[Valor]],0)</f>
        <v>0</v>
      </c>
    </row>
    <row r="318" spans="2:8" x14ac:dyDescent="0.25">
      <c r="B318" s="401">
        <v>46182</v>
      </c>
      <c r="C318" s="401" t="s">
        <v>48</v>
      </c>
      <c r="D318" t="s">
        <v>362</v>
      </c>
      <c r="E318" s="402">
        <v>-2386.85</v>
      </c>
      <c r="F318" s="402"/>
      <c r="G318" s="402"/>
      <c r="H318" s="402">
        <f>IF(BaseOperacionesReales[[#This Row],[Dato PDF]]&lt;&gt;"",BaseOperacionesReales[[#This Row],[Dato PDF]]-BaseOperacionesReales[[#This Row],[Valor]],0)</f>
        <v>0</v>
      </c>
    </row>
    <row r="319" spans="2:8" x14ac:dyDescent="0.25">
      <c r="B319" s="401">
        <v>46182</v>
      </c>
      <c r="C319" s="401" t="s">
        <v>48</v>
      </c>
      <c r="D319" t="s">
        <v>362</v>
      </c>
      <c r="E319" s="402">
        <v>-546.32000000000005</v>
      </c>
      <c r="F319" s="402"/>
      <c r="G319" s="402"/>
      <c r="H319" s="402">
        <f>IF(BaseOperacionesReales[[#This Row],[Dato PDF]]&lt;&gt;"",BaseOperacionesReales[[#This Row],[Dato PDF]]-BaseOperacionesReales[[#This Row],[Valor]],0)</f>
        <v>0</v>
      </c>
    </row>
    <row r="320" spans="2:8" x14ac:dyDescent="0.25">
      <c r="B320" s="401">
        <v>46182</v>
      </c>
      <c r="C320" s="401" t="s">
        <v>48</v>
      </c>
      <c r="D320" t="s">
        <v>362</v>
      </c>
      <c r="E320" s="402">
        <v>-164.71</v>
      </c>
      <c r="F320" s="402"/>
      <c r="G320" s="402"/>
      <c r="H320" s="402">
        <f>IF(BaseOperacionesReales[[#This Row],[Dato PDF]]&lt;&gt;"",BaseOperacionesReales[[#This Row],[Dato PDF]]-BaseOperacionesReales[[#This Row],[Valor]],0)</f>
        <v>0</v>
      </c>
    </row>
    <row r="321" spans="2:8" x14ac:dyDescent="0.25">
      <c r="B321" s="401">
        <v>46182</v>
      </c>
      <c r="C321" s="401" t="s">
        <v>48</v>
      </c>
      <c r="D321" t="s">
        <v>362</v>
      </c>
      <c r="E321" s="402">
        <v>-2277.29</v>
      </c>
      <c r="F321" s="402"/>
      <c r="G321" s="402"/>
      <c r="H321" s="402">
        <f>IF(BaseOperacionesReales[[#This Row],[Dato PDF]]&lt;&gt;"",BaseOperacionesReales[[#This Row],[Dato PDF]]-BaseOperacionesReales[[#This Row],[Valor]],0)</f>
        <v>0</v>
      </c>
    </row>
    <row r="322" spans="2:8" x14ac:dyDescent="0.25">
      <c r="B322" s="401">
        <v>46182</v>
      </c>
      <c r="C322" s="401" t="s">
        <v>48</v>
      </c>
      <c r="D322" t="s">
        <v>362</v>
      </c>
      <c r="E322" s="402">
        <v>-437.97</v>
      </c>
      <c r="F322" s="402"/>
      <c r="G322" s="402"/>
      <c r="H322" s="402">
        <f>IF(BaseOperacionesReales[[#This Row],[Dato PDF]]&lt;&gt;"",BaseOperacionesReales[[#This Row],[Dato PDF]]-BaseOperacionesReales[[#This Row],[Valor]],0)</f>
        <v>0</v>
      </c>
    </row>
    <row r="323" spans="2:8" x14ac:dyDescent="0.25">
      <c r="B323" s="401">
        <v>46182</v>
      </c>
      <c r="C323" s="401" t="s">
        <v>48</v>
      </c>
      <c r="D323" t="s">
        <v>362</v>
      </c>
      <c r="E323" s="402">
        <v>-649.75</v>
      </c>
      <c r="F323" s="402"/>
      <c r="G323" s="402"/>
      <c r="H323" s="402">
        <f>IF(BaseOperacionesReales[[#This Row],[Dato PDF]]&lt;&gt;"",BaseOperacionesReales[[#This Row],[Dato PDF]]-BaseOperacionesReales[[#This Row],[Valor]],0)</f>
        <v>0</v>
      </c>
    </row>
    <row r="324" spans="2:8" x14ac:dyDescent="0.25">
      <c r="B324" s="401">
        <v>46182</v>
      </c>
      <c r="C324" s="401" t="s">
        <v>48</v>
      </c>
      <c r="D324" t="s">
        <v>362</v>
      </c>
      <c r="E324" s="402">
        <v>-364.23</v>
      </c>
      <c r="F324" s="402"/>
      <c r="G324" s="402"/>
      <c r="H324" s="402">
        <f>IF(BaseOperacionesReales[[#This Row],[Dato PDF]]&lt;&gt;"",BaseOperacionesReales[[#This Row],[Dato PDF]]-BaseOperacionesReales[[#This Row],[Valor]],0)</f>
        <v>0</v>
      </c>
    </row>
    <row r="325" spans="2:8" x14ac:dyDescent="0.25">
      <c r="B325" s="401">
        <v>46182</v>
      </c>
      <c r="C325" s="401" t="s">
        <v>48</v>
      </c>
      <c r="D325" t="s">
        <v>362</v>
      </c>
      <c r="E325" s="402">
        <v>-374.41</v>
      </c>
      <c r="F325" s="402"/>
      <c r="G325" s="402"/>
      <c r="H325" s="402">
        <f>IF(BaseOperacionesReales[[#This Row],[Dato PDF]]&lt;&gt;"",BaseOperacionesReales[[#This Row],[Dato PDF]]-BaseOperacionesReales[[#This Row],[Valor]],0)</f>
        <v>0</v>
      </c>
    </row>
    <row r="326" spans="2:8" x14ac:dyDescent="0.25">
      <c r="B326" s="401">
        <v>46182</v>
      </c>
      <c r="C326" s="401" t="s">
        <v>48</v>
      </c>
      <c r="D326" t="s">
        <v>362</v>
      </c>
      <c r="E326" s="402">
        <v>-845.22</v>
      </c>
      <c r="F326" s="402"/>
      <c r="G326" s="402"/>
      <c r="H326" s="402">
        <f>IF(BaseOperacionesReales[[#This Row],[Dato PDF]]&lt;&gt;"",BaseOperacionesReales[[#This Row],[Dato PDF]]-BaseOperacionesReales[[#This Row],[Valor]],0)</f>
        <v>0</v>
      </c>
    </row>
    <row r="327" spans="2:8" x14ac:dyDescent="0.25">
      <c r="B327" s="401">
        <v>46183</v>
      </c>
      <c r="C327" s="401" t="s">
        <v>48</v>
      </c>
      <c r="D327" t="s">
        <v>362</v>
      </c>
      <c r="E327" s="402">
        <v>-5936.8</v>
      </c>
      <c r="F327" s="402"/>
      <c r="G327" s="402"/>
      <c r="H327" s="402">
        <f>IF(BaseOperacionesReales[[#This Row],[Dato PDF]]&lt;&gt;"",BaseOperacionesReales[[#This Row],[Dato PDF]]-BaseOperacionesReales[[#This Row],[Valor]],0)</f>
        <v>0</v>
      </c>
    </row>
    <row r="328" spans="2:8" x14ac:dyDescent="0.25">
      <c r="B328" s="401">
        <v>46183</v>
      </c>
      <c r="C328" s="401" t="s">
        <v>48</v>
      </c>
      <c r="D328" t="s">
        <v>362</v>
      </c>
      <c r="E328" s="402">
        <v>-1518.29</v>
      </c>
      <c r="F328" s="402"/>
      <c r="G328" s="402"/>
      <c r="H328" s="402">
        <f>IF(BaseOperacionesReales[[#This Row],[Dato PDF]]&lt;&gt;"",BaseOperacionesReales[[#This Row],[Dato PDF]]-BaseOperacionesReales[[#This Row],[Valor]],0)</f>
        <v>0</v>
      </c>
    </row>
    <row r="329" spans="2:8" x14ac:dyDescent="0.25">
      <c r="B329" s="401">
        <v>46183</v>
      </c>
      <c r="C329" s="401" t="s">
        <v>48</v>
      </c>
      <c r="D329" t="s">
        <v>362</v>
      </c>
      <c r="E329" s="402">
        <v>-4085.96</v>
      </c>
      <c r="F329" s="402"/>
      <c r="G329" s="402"/>
      <c r="H329" s="402">
        <f>IF(BaseOperacionesReales[[#This Row],[Dato PDF]]&lt;&gt;"",BaseOperacionesReales[[#This Row],[Dato PDF]]-BaseOperacionesReales[[#This Row],[Valor]],0)</f>
        <v>0</v>
      </c>
    </row>
    <row r="330" spans="2:8" x14ac:dyDescent="0.25">
      <c r="B330" s="401">
        <v>46183</v>
      </c>
      <c r="C330" s="401" t="s">
        <v>48</v>
      </c>
      <c r="D330" t="s">
        <v>362</v>
      </c>
      <c r="E330" s="402">
        <v>-613.70000000000005</v>
      </c>
      <c r="F330" s="402"/>
      <c r="G330" s="402"/>
      <c r="H330" s="402">
        <f>IF(BaseOperacionesReales[[#This Row],[Dato PDF]]&lt;&gt;"",BaseOperacionesReales[[#This Row],[Dato PDF]]-BaseOperacionesReales[[#This Row],[Valor]],0)</f>
        <v>0</v>
      </c>
    </row>
    <row r="331" spans="2:8" x14ac:dyDescent="0.25">
      <c r="B331" s="401">
        <v>46183</v>
      </c>
      <c r="C331" s="401" t="s">
        <v>48</v>
      </c>
      <c r="D331" t="s">
        <v>362</v>
      </c>
      <c r="E331" s="402">
        <v>-982.42</v>
      </c>
      <c r="F331" s="402"/>
      <c r="G331" s="402"/>
      <c r="H331" s="402">
        <f>IF(BaseOperacionesReales[[#This Row],[Dato PDF]]&lt;&gt;"",BaseOperacionesReales[[#This Row],[Dato PDF]]-BaseOperacionesReales[[#This Row],[Valor]],0)</f>
        <v>0</v>
      </c>
    </row>
    <row r="332" spans="2:8" x14ac:dyDescent="0.25">
      <c r="B332" s="401">
        <v>46183</v>
      </c>
      <c r="C332" s="401" t="s">
        <v>48</v>
      </c>
      <c r="D332" t="s">
        <v>362</v>
      </c>
      <c r="E332" s="402">
        <v>-758.02</v>
      </c>
      <c r="F332" s="402"/>
      <c r="G332" s="402"/>
      <c r="H332" s="402">
        <f>IF(BaseOperacionesReales[[#This Row],[Dato PDF]]&lt;&gt;"",BaseOperacionesReales[[#This Row],[Dato PDF]]-BaseOperacionesReales[[#This Row],[Valor]],0)</f>
        <v>0</v>
      </c>
    </row>
    <row r="333" spans="2:8" x14ac:dyDescent="0.25">
      <c r="B333" s="401">
        <v>46183</v>
      </c>
      <c r="C333" s="401" t="s">
        <v>48</v>
      </c>
      <c r="D333" t="s">
        <v>362</v>
      </c>
      <c r="E333" s="402">
        <v>-286.02</v>
      </c>
      <c r="F333" s="402"/>
      <c r="G333" s="402"/>
      <c r="H333" s="402">
        <f>IF(BaseOperacionesReales[[#This Row],[Dato PDF]]&lt;&gt;"",BaseOperacionesReales[[#This Row],[Dato PDF]]-BaseOperacionesReales[[#This Row],[Valor]],0)</f>
        <v>0</v>
      </c>
    </row>
    <row r="334" spans="2:8" x14ac:dyDescent="0.25">
      <c r="B334" s="401">
        <v>46183</v>
      </c>
      <c r="C334" s="1" t="s">
        <v>47</v>
      </c>
      <c r="D334" t="s">
        <v>380</v>
      </c>
      <c r="E334" s="301">
        <v>-25.76</v>
      </c>
      <c r="F334" s="301"/>
      <c r="G334" s="301"/>
      <c r="H334" s="301">
        <f>IF(BaseOperacionesReales[[#This Row],[Dato PDF]]&lt;&gt;"",BaseOperacionesReales[[#This Row],[Dato PDF]]-BaseOperacionesReales[[#This Row],[Valor]],0)</f>
        <v>0</v>
      </c>
    </row>
    <row r="335" spans="2:8" x14ac:dyDescent="0.25">
      <c r="B335" s="401">
        <v>46184</v>
      </c>
      <c r="C335" s="401" t="s">
        <v>48</v>
      </c>
      <c r="D335" t="s">
        <v>362</v>
      </c>
      <c r="E335" s="402">
        <v>-1405.36</v>
      </c>
      <c r="F335" s="402"/>
      <c r="G335" s="402"/>
      <c r="H335" s="402">
        <f>IF(BaseOperacionesReales[[#This Row],[Dato PDF]]&lt;&gt;"",BaseOperacionesReales[[#This Row],[Dato PDF]]-BaseOperacionesReales[[#This Row],[Valor]],0)</f>
        <v>0</v>
      </c>
    </row>
    <row r="336" spans="2:8" x14ac:dyDescent="0.25">
      <c r="B336" s="401">
        <v>46184</v>
      </c>
      <c r="C336" s="401" t="s">
        <v>48</v>
      </c>
      <c r="D336" t="s">
        <v>362</v>
      </c>
      <c r="E336" s="402">
        <v>-271.05</v>
      </c>
      <c r="F336" s="402"/>
      <c r="G336" s="402"/>
      <c r="H336" s="402">
        <f>IF(BaseOperacionesReales[[#This Row],[Dato PDF]]&lt;&gt;"",BaseOperacionesReales[[#This Row],[Dato PDF]]-BaseOperacionesReales[[#This Row],[Valor]],0)</f>
        <v>0</v>
      </c>
    </row>
    <row r="337" spans="2:8" x14ac:dyDescent="0.25">
      <c r="B337" s="401">
        <v>46184</v>
      </c>
      <c r="C337" s="401" t="s">
        <v>48</v>
      </c>
      <c r="D337" t="s">
        <v>362</v>
      </c>
      <c r="E337" s="402">
        <v>-736.93</v>
      </c>
      <c r="F337" s="402"/>
      <c r="G337" s="402"/>
      <c r="H337" s="402">
        <f>IF(BaseOperacionesReales[[#This Row],[Dato PDF]]&lt;&gt;"",BaseOperacionesReales[[#This Row],[Dato PDF]]-BaseOperacionesReales[[#This Row],[Valor]],0)</f>
        <v>0</v>
      </c>
    </row>
    <row r="338" spans="2:8" x14ac:dyDescent="0.25">
      <c r="B338" s="401">
        <v>46184</v>
      </c>
      <c r="C338" s="401" t="s">
        <v>48</v>
      </c>
      <c r="D338" t="s">
        <v>362</v>
      </c>
      <c r="E338" s="402">
        <v>-534.49</v>
      </c>
      <c r="F338" s="402"/>
      <c r="G338" s="402"/>
      <c r="H338" s="402">
        <f>IF(BaseOperacionesReales[[#This Row],[Dato PDF]]&lt;&gt;"",BaseOperacionesReales[[#This Row],[Dato PDF]]-BaseOperacionesReales[[#This Row],[Valor]],0)</f>
        <v>0</v>
      </c>
    </row>
    <row r="339" spans="2:8" x14ac:dyDescent="0.25">
      <c r="B339" s="401">
        <v>46184</v>
      </c>
      <c r="C339" s="401" t="s">
        <v>48</v>
      </c>
      <c r="D339" t="s">
        <v>362</v>
      </c>
      <c r="E339" s="402">
        <v>-774.03</v>
      </c>
      <c r="F339" s="402"/>
      <c r="G339" s="402"/>
      <c r="H339" s="402">
        <f>IF(BaseOperacionesReales[[#This Row],[Dato PDF]]&lt;&gt;"",BaseOperacionesReales[[#This Row],[Dato PDF]]-BaseOperacionesReales[[#This Row],[Valor]],0)</f>
        <v>0</v>
      </c>
    </row>
    <row r="340" spans="2:8" x14ac:dyDescent="0.25">
      <c r="B340" s="401">
        <v>46184</v>
      </c>
      <c r="C340" s="401" t="s">
        <v>48</v>
      </c>
      <c r="D340" t="s">
        <v>362</v>
      </c>
      <c r="E340" s="402">
        <v>-2770.19</v>
      </c>
      <c r="F340" s="402"/>
      <c r="G340" s="402"/>
      <c r="H340" s="402">
        <f>IF(BaseOperacionesReales[[#This Row],[Dato PDF]]&lt;&gt;"",BaseOperacionesReales[[#This Row],[Dato PDF]]-BaseOperacionesReales[[#This Row],[Valor]],0)</f>
        <v>0</v>
      </c>
    </row>
    <row r="341" spans="2:8" x14ac:dyDescent="0.25">
      <c r="B341" s="401">
        <v>46184</v>
      </c>
      <c r="C341" s="401" t="s">
        <v>48</v>
      </c>
      <c r="D341" t="s">
        <v>362</v>
      </c>
      <c r="E341" s="402">
        <v>-720.17</v>
      </c>
      <c r="F341" s="402"/>
      <c r="G341" s="402"/>
      <c r="H341" s="402">
        <f>IF(BaseOperacionesReales[[#This Row],[Dato PDF]]&lt;&gt;"",BaseOperacionesReales[[#This Row],[Dato PDF]]-BaseOperacionesReales[[#This Row],[Valor]],0)</f>
        <v>0</v>
      </c>
    </row>
    <row r="342" spans="2:8" x14ac:dyDescent="0.25">
      <c r="B342" s="401">
        <v>46184</v>
      </c>
      <c r="C342" s="401" t="s">
        <v>48</v>
      </c>
      <c r="D342" t="s">
        <v>362</v>
      </c>
      <c r="E342" s="402">
        <v>-951.41</v>
      </c>
      <c r="F342" s="402"/>
      <c r="G342" s="402"/>
      <c r="H342" s="402">
        <f>IF(BaseOperacionesReales[[#This Row],[Dato PDF]]&lt;&gt;"",BaseOperacionesReales[[#This Row],[Dato PDF]]-BaseOperacionesReales[[#This Row],[Valor]],0)</f>
        <v>0</v>
      </c>
    </row>
    <row r="343" spans="2:8" x14ac:dyDescent="0.25">
      <c r="B343" s="401">
        <v>46184</v>
      </c>
      <c r="C343" s="401" t="s">
        <v>48</v>
      </c>
      <c r="D343" t="s">
        <v>362</v>
      </c>
      <c r="E343" s="402">
        <v>-1582.67</v>
      </c>
      <c r="F343" s="402"/>
      <c r="G343" s="402"/>
      <c r="H343" s="402">
        <f>IF(BaseOperacionesReales[[#This Row],[Dato PDF]]&lt;&gt;"",BaseOperacionesReales[[#This Row],[Dato PDF]]-BaseOperacionesReales[[#This Row],[Valor]],0)</f>
        <v>0</v>
      </c>
    </row>
    <row r="344" spans="2:8" x14ac:dyDescent="0.25">
      <c r="B344" s="401">
        <v>46184</v>
      </c>
      <c r="C344" s="401" t="s">
        <v>48</v>
      </c>
      <c r="D344" t="s">
        <v>367</v>
      </c>
      <c r="E344" s="301">
        <v>3850</v>
      </c>
      <c r="F344" s="301"/>
      <c r="G344" s="301"/>
      <c r="H344" s="301">
        <f>IF(BaseOperacionesReales[[#This Row],[Dato PDF]]&lt;&gt;"",BaseOperacionesReales[[#This Row],[Dato PDF]]-BaseOperacionesReales[[#This Row],[Valor]],0)</f>
        <v>0</v>
      </c>
    </row>
    <row r="345" spans="2:8" x14ac:dyDescent="0.25">
      <c r="B345" s="401">
        <v>46184</v>
      </c>
      <c r="C345" s="401" t="s">
        <v>48</v>
      </c>
      <c r="D345" t="s">
        <v>367</v>
      </c>
      <c r="E345" s="301">
        <v>3000</v>
      </c>
      <c r="F345" s="301"/>
      <c r="G345" s="301"/>
      <c r="H345" s="301">
        <f>IF(BaseOperacionesReales[[#This Row],[Dato PDF]]&lt;&gt;"",BaseOperacionesReales[[#This Row],[Dato PDF]]-BaseOperacionesReales[[#This Row],[Valor]],0)</f>
        <v>0</v>
      </c>
    </row>
    <row r="346" spans="2:8" x14ac:dyDescent="0.25">
      <c r="B346" s="1">
        <v>46185</v>
      </c>
      <c r="C346" s="401" t="s">
        <v>48</v>
      </c>
      <c r="D346" t="s">
        <v>362</v>
      </c>
      <c r="E346" s="402">
        <v>-1269.02</v>
      </c>
      <c r="F346" s="402"/>
      <c r="G346" s="402"/>
      <c r="H346" s="402">
        <f>IF(BaseOperacionesReales[[#This Row],[Dato PDF]]&lt;&gt;"",BaseOperacionesReales[[#This Row],[Dato PDF]]-BaseOperacionesReales[[#This Row],[Valor]],0)</f>
        <v>0</v>
      </c>
    </row>
    <row r="347" spans="2:8" x14ac:dyDescent="0.25">
      <c r="B347" s="1">
        <v>46185</v>
      </c>
      <c r="C347" s="401" t="s">
        <v>48</v>
      </c>
      <c r="D347" t="s">
        <v>362</v>
      </c>
      <c r="E347" s="402">
        <v>-419.97</v>
      </c>
      <c r="F347" s="402"/>
      <c r="G347" s="402"/>
      <c r="H347" s="402">
        <f>IF(BaseOperacionesReales[[#This Row],[Dato PDF]]&lt;&gt;"",BaseOperacionesReales[[#This Row],[Dato PDF]]-BaseOperacionesReales[[#This Row],[Valor]],0)</f>
        <v>0</v>
      </c>
    </row>
    <row r="348" spans="2:8" x14ac:dyDescent="0.25">
      <c r="B348" s="1">
        <v>46185</v>
      </c>
      <c r="C348" s="401" t="s">
        <v>48</v>
      </c>
      <c r="D348" t="s">
        <v>362</v>
      </c>
      <c r="E348" s="402">
        <v>-2526.9899999999998</v>
      </c>
      <c r="F348" s="402"/>
      <c r="G348" s="402"/>
      <c r="H348" s="402">
        <f>IF(BaseOperacionesReales[[#This Row],[Dato PDF]]&lt;&gt;"",BaseOperacionesReales[[#This Row],[Dato PDF]]-BaseOperacionesReales[[#This Row],[Valor]],0)</f>
        <v>0</v>
      </c>
    </row>
    <row r="349" spans="2:8" x14ac:dyDescent="0.25">
      <c r="B349" s="1">
        <v>46185</v>
      </c>
      <c r="C349" s="401" t="s">
        <v>48</v>
      </c>
      <c r="D349" t="s">
        <v>362</v>
      </c>
      <c r="E349" s="402">
        <v>-2644.4</v>
      </c>
      <c r="F349" s="402"/>
      <c r="G349" s="402"/>
      <c r="H349" s="402">
        <f>IF(BaseOperacionesReales[[#This Row],[Dato PDF]]&lt;&gt;"",BaseOperacionesReales[[#This Row],[Dato PDF]]-BaseOperacionesReales[[#This Row],[Valor]],0)</f>
        <v>0</v>
      </c>
    </row>
    <row r="350" spans="2:8" x14ac:dyDescent="0.25">
      <c r="B350" s="1">
        <v>46185</v>
      </c>
      <c r="C350" s="401" t="s">
        <v>48</v>
      </c>
      <c r="D350" t="s">
        <v>362</v>
      </c>
      <c r="E350" s="402">
        <v>-447.29</v>
      </c>
      <c r="F350" s="402"/>
      <c r="G350" s="402"/>
      <c r="H350" s="402">
        <f>IF(BaseOperacionesReales[[#This Row],[Dato PDF]]&lt;&gt;"",BaseOperacionesReales[[#This Row],[Dato PDF]]-BaseOperacionesReales[[#This Row],[Valor]],0)</f>
        <v>0</v>
      </c>
    </row>
    <row r="351" spans="2:8" x14ac:dyDescent="0.25">
      <c r="B351" s="1">
        <v>46185</v>
      </c>
      <c r="C351" s="401" t="s">
        <v>48</v>
      </c>
      <c r="D351" t="s">
        <v>362</v>
      </c>
      <c r="E351" s="402">
        <v>-1798.99</v>
      </c>
      <c r="F351" s="402"/>
      <c r="G351" s="402"/>
      <c r="H351" s="402">
        <f>IF(BaseOperacionesReales[[#This Row],[Dato PDF]]&lt;&gt;"",BaseOperacionesReales[[#This Row],[Dato PDF]]-BaseOperacionesReales[[#This Row],[Valor]],0)</f>
        <v>0</v>
      </c>
    </row>
    <row r="352" spans="2:8" x14ac:dyDescent="0.25">
      <c r="B352" s="1">
        <v>46185</v>
      </c>
      <c r="C352" s="401" t="s">
        <v>48</v>
      </c>
      <c r="D352" t="s">
        <v>362</v>
      </c>
      <c r="E352" s="402">
        <v>-1016.87</v>
      </c>
      <c r="F352" s="402"/>
      <c r="G352" s="402"/>
      <c r="H352" s="402">
        <f>IF(BaseOperacionesReales[[#This Row],[Dato PDF]]&lt;&gt;"",BaseOperacionesReales[[#This Row],[Dato PDF]]-BaseOperacionesReales[[#This Row],[Valor]],0)</f>
        <v>0</v>
      </c>
    </row>
    <row r="353" spans="2:8" x14ac:dyDescent="0.25">
      <c r="B353" s="1">
        <v>46185</v>
      </c>
      <c r="C353" s="401" t="s">
        <v>48</v>
      </c>
      <c r="D353" t="s">
        <v>362</v>
      </c>
      <c r="E353" s="402">
        <v>-1500.97</v>
      </c>
      <c r="F353" s="402"/>
      <c r="G353" s="402"/>
      <c r="H353" s="402">
        <f>IF(BaseOperacionesReales[[#This Row],[Dato PDF]]&lt;&gt;"",BaseOperacionesReales[[#This Row],[Dato PDF]]-BaseOperacionesReales[[#This Row],[Valor]],0)</f>
        <v>0</v>
      </c>
    </row>
    <row r="354" spans="2:8" x14ac:dyDescent="0.25">
      <c r="B354" s="1">
        <v>46185</v>
      </c>
      <c r="C354" s="1" t="s">
        <v>48</v>
      </c>
      <c r="D354" t="s">
        <v>357</v>
      </c>
      <c r="E354" s="301">
        <v>-3595.77</v>
      </c>
      <c r="F354" s="301"/>
      <c r="G354" s="301"/>
      <c r="H354" s="301">
        <f>IF(BaseOperacionesReales[[#This Row],[Dato PDF]]&lt;&gt;"",BaseOperacionesReales[[#This Row],[Dato PDF]]-BaseOperacionesReales[[#This Row],[Valor]],0)</f>
        <v>0</v>
      </c>
    </row>
    <row r="355" spans="2:8" x14ac:dyDescent="0.25">
      <c r="B355" s="1">
        <v>46187</v>
      </c>
      <c r="C355" s="1" t="s">
        <v>48</v>
      </c>
      <c r="D355" t="s">
        <v>367</v>
      </c>
      <c r="E355" s="301">
        <v>1480</v>
      </c>
      <c r="F355" s="301"/>
      <c r="G355" s="301"/>
      <c r="H355" s="301">
        <f>IF(BaseOperacionesReales[[#This Row],[Dato PDF]]&lt;&gt;"",BaseOperacionesReales[[#This Row],[Dato PDF]]-BaseOperacionesReales[[#This Row],[Valor]],0)</f>
        <v>0</v>
      </c>
    </row>
    <row r="356" spans="2:8" x14ac:dyDescent="0.25">
      <c r="B356" s="401">
        <v>46188</v>
      </c>
      <c r="C356" s="1" t="s">
        <v>48</v>
      </c>
      <c r="D356" t="s">
        <v>372</v>
      </c>
      <c r="E356" s="301">
        <v>46860.11</v>
      </c>
      <c r="F356" s="301"/>
      <c r="G356" s="301"/>
      <c r="H356" s="301">
        <f>IF(BaseOperacionesReales[[#This Row],[Dato PDF]]&lt;&gt;"",BaseOperacionesReales[[#This Row],[Dato PDF]]-BaseOperacionesReales[[#This Row],[Valor]],0)</f>
        <v>0</v>
      </c>
    </row>
    <row r="357" spans="2:8" x14ac:dyDescent="0.25">
      <c r="B357" s="401">
        <v>46188</v>
      </c>
      <c r="C357" s="401" t="s">
        <v>48</v>
      </c>
      <c r="D357" t="s">
        <v>362</v>
      </c>
      <c r="E357" s="402">
        <v>-476.11</v>
      </c>
      <c r="F357" s="402"/>
      <c r="G357" s="402"/>
      <c r="H357" s="402">
        <f>IF(BaseOperacionesReales[[#This Row],[Dato PDF]]&lt;&gt;"",BaseOperacionesReales[[#This Row],[Dato PDF]]-BaseOperacionesReales[[#This Row],[Valor]],0)</f>
        <v>0</v>
      </c>
    </row>
    <row r="358" spans="2:8" x14ac:dyDescent="0.25">
      <c r="B358" s="401">
        <v>46188</v>
      </c>
      <c r="C358" s="401" t="s">
        <v>48</v>
      </c>
      <c r="D358" t="s">
        <v>362</v>
      </c>
      <c r="E358" s="402">
        <v>-745.02</v>
      </c>
      <c r="F358" s="402"/>
      <c r="G358" s="402"/>
      <c r="H358" s="402">
        <f>IF(BaseOperacionesReales[[#This Row],[Dato PDF]]&lt;&gt;"",BaseOperacionesReales[[#This Row],[Dato PDF]]-BaseOperacionesReales[[#This Row],[Valor]],0)</f>
        <v>0</v>
      </c>
    </row>
    <row r="359" spans="2:8" x14ac:dyDescent="0.25">
      <c r="B359" s="401">
        <v>46188</v>
      </c>
      <c r="C359" s="1" t="s">
        <v>48</v>
      </c>
      <c r="D359" t="s">
        <v>359</v>
      </c>
      <c r="E359" s="301">
        <v>-14500</v>
      </c>
      <c r="F359" s="301"/>
      <c r="G359" s="301"/>
      <c r="H359" s="301">
        <f>IF(BaseOperacionesReales[[#This Row],[Dato PDF]]&lt;&gt;"",BaseOperacionesReales[[#This Row],[Dato PDF]]-BaseOperacionesReales[[#This Row],[Valor]],0)</f>
        <v>0</v>
      </c>
    </row>
    <row r="360" spans="2:8" x14ac:dyDescent="0.25">
      <c r="B360" s="401">
        <v>46188</v>
      </c>
      <c r="C360" s="1" t="s">
        <v>48</v>
      </c>
      <c r="D360" t="s">
        <v>357</v>
      </c>
      <c r="E360" s="301">
        <v>-9093.7199999999993</v>
      </c>
      <c r="F360" s="301"/>
      <c r="G360" s="301"/>
      <c r="H360" s="301">
        <f>IF(BaseOperacionesReales[[#This Row],[Dato PDF]]&lt;&gt;"",BaseOperacionesReales[[#This Row],[Dato PDF]]-BaseOperacionesReales[[#This Row],[Valor]],0)</f>
        <v>0</v>
      </c>
    </row>
    <row r="361" spans="2:8" x14ac:dyDescent="0.25">
      <c r="B361" s="401">
        <v>46188</v>
      </c>
      <c r="C361" s="1" t="s">
        <v>48</v>
      </c>
      <c r="D361" t="s">
        <v>357</v>
      </c>
      <c r="E361" s="301">
        <v>-13154.55</v>
      </c>
      <c r="F361" s="301"/>
      <c r="G361" s="301"/>
      <c r="H361" s="301">
        <f>IF(BaseOperacionesReales[[#This Row],[Dato PDF]]&lt;&gt;"",BaseOperacionesReales[[#This Row],[Dato PDF]]-BaseOperacionesReales[[#This Row],[Valor]],0)</f>
        <v>0</v>
      </c>
    </row>
    <row r="362" spans="2:8" x14ac:dyDescent="0.25">
      <c r="B362" s="401">
        <v>46188</v>
      </c>
      <c r="C362" s="1" t="s">
        <v>47</v>
      </c>
      <c r="D362" t="s">
        <v>360</v>
      </c>
      <c r="E362" s="301">
        <v>-14472.99</v>
      </c>
      <c r="F362" s="301"/>
      <c r="G362" s="301"/>
      <c r="H362" s="301">
        <f>IF(BaseOperacionesReales[[#This Row],[Dato PDF]]&lt;&gt;"",BaseOperacionesReales[[#This Row],[Dato PDF]]-BaseOperacionesReales[[#This Row],[Valor]],0)</f>
        <v>0</v>
      </c>
    </row>
    <row r="363" spans="2:8" x14ac:dyDescent="0.25">
      <c r="B363" s="401">
        <v>46188</v>
      </c>
      <c r="C363" s="1" t="s">
        <v>47</v>
      </c>
      <c r="D363" t="s">
        <v>371</v>
      </c>
      <c r="E363" s="301">
        <v>14472.99</v>
      </c>
      <c r="F363" s="301"/>
      <c r="G363" s="301"/>
      <c r="H363" s="301">
        <f>IF(BaseOperacionesReales[[#This Row],[Dato PDF]]&lt;&gt;"",BaseOperacionesReales[[#This Row],[Dato PDF]]-BaseOperacionesReales[[#This Row],[Valor]],0)</f>
        <v>0</v>
      </c>
    </row>
    <row r="364" spans="2:8" x14ac:dyDescent="0.25">
      <c r="B364" s="401">
        <v>46189</v>
      </c>
      <c r="C364" s="401" t="s">
        <v>48</v>
      </c>
      <c r="D364" t="s">
        <v>362</v>
      </c>
      <c r="E364" s="402">
        <v>-942.62</v>
      </c>
      <c r="F364" s="402"/>
      <c r="G364" s="402"/>
      <c r="H364" s="402">
        <f>IF(BaseOperacionesReales[[#This Row],[Dato PDF]]&lt;&gt;"",BaseOperacionesReales[[#This Row],[Dato PDF]]-BaseOperacionesReales[[#This Row],[Valor]],0)</f>
        <v>0</v>
      </c>
    </row>
    <row r="365" spans="2:8" x14ac:dyDescent="0.25">
      <c r="B365" s="401">
        <v>46189</v>
      </c>
      <c r="C365" s="401" t="s">
        <v>48</v>
      </c>
      <c r="D365" t="s">
        <v>362</v>
      </c>
      <c r="E365" s="402">
        <v>-592.28</v>
      </c>
      <c r="F365" s="402"/>
      <c r="G365" s="402"/>
      <c r="H365" s="402">
        <f>IF(BaseOperacionesReales[[#This Row],[Dato PDF]]&lt;&gt;"",BaseOperacionesReales[[#This Row],[Dato PDF]]-BaseOperacionesReales[[#This Row],[Valor]],0)</f>
        <v>0</v>
      </c>
    </row>
    <row r="366" spans="2:8" x14ac:dyDescent="0.25">
      <c r="B366" s="401">
        <v>46189</v>
      </c>
      <c r="C366" s="401" t="s">
        <v>48</v>
      </c>
      <c r="D366" t="s">
        <v>362</v>
      </c>
      <c r="E366" s="402">
        <v>-268.89</v>
      </c>
      <c r="F366" s="402"/>
      <c r="G366" s="402"/>
      <c r="H366" s="402">
        <f>IF(BaseOperacionesReales[[#This Row],[Dato PDF]]&lt;&gt;"",BaseOperacionesReales[[#This Row],[Dato PDF]]-BaseOperacionesReales[[#This Row],[Valor]],0)</f>
        <v>0</v>
      </c>
    </row>
    <row r="367" spans="2:8" x14ac:dyDescent="0.25">
      <c r="B367" s="401">
        <v>46189</v>
      </c>
      <c r="C367" s="401" t="s">
        <v>48</v>
      </c>
      <c r="D367" t="s">
        <v>362</v>
      </c>
      <c r="E367" s="402">
        <v>-481.28</v>
      </c>
      <c r="F367" s="402"/>
      <c r="G367" s="402"/>
      <c r="H367" s="402">
        <f>IF(BaseOperacionesReales[[#This Row],[Dato PDF]]&lt;&gt;"",BaseOperacionesReales[[#This Row],[Dato PDF]]-BaseOperacionesReales[[#This Row],[Valor]],0)</f>
        <v>0</v>
      </c>
    </row>
    <row r="368" spans="2:8" x14ac:dyDescent="0.25">
      <c r="B368" s="401">
        <v>46189</v>
      </c>
      <c r="C368" s="401" t="s">
        <v>48</v>
      </c>
      <c r="D368" t="s">
        <v>362</v>
      </c>
      <c r="E368" s="402">
        <v>-284.99</v>
      </c>
      <c r="F368" s="402"/>
      <c r="G368" s="402"/>
      <c r="H368" s="402">
        <f>IF(BaseOperacionesReales[[#This Row],[Dato PDF]]&lt;&gt;"",BaseOperacionesReales[[#This Row],[Dato PDF]]-BaseOperacionesReales[[#This Row],[Valor]],0)</f>
        <v>0</v>
      </c>
    </row>
    <row r="369" spans="2:8" x14ac:dyDescent="0.25">
      <c r="B369" s="401">
        <v>46189</v>
      </c>
      <c r="C369" s="401" t="s">
        <v>48</v>
      </c>
      <c r="D369" t="s">
        <v>362</v>
      </c>
      <c r="E369" s="402">
        <v>-1857.01</v>
      </c>
      <c r="F369" s="402"/>
      <c r="G369" s="402"/>
      <c r="H369" s="402">
        <f>IF(BaseOperacionesReales[[#This Row],[Dato PDF]]&lt;&gt;"",BaseOperacionesReales[[#This Row],[Dato PDF]]-BaseOperacionesReales[[#This Row],[Valor]],0)</f>
        <v>0</v>
      </c>
    </row>
    <row r="370" spans="2:8" x14ac:dyDescent="0.25">
      <c r="B370" s="401">
        <v>46189</v>
      </c>
      <c r="C370" s="401" t="s">
        <v>48</v>
      </c>
      <c r="D370" t="s">
        <v>362</v>
      </c>
      <c r="E370" s="402">
        <v>-4308.87</v>
      </c>
      <c r="F370" s="402"/>
      <c r="G370" s="402"/>
      <c r="H370" s="402">
        <f>IF(BaseOperacionesReales[[#This Row],[Dato PDF]]&lt;&gt;"",BaseOperacionesReales[[#This Row],[Dato PDF]]-BaseOperacionesReales[[#This Row],[Valor]],0)</f>
        <v>0</v>
      </c>
    </row>
    <row r="371" spans="2:8" x14ac:dyDescent="0.25">
      <c r="B371" s="401">
        <v>46189</v>
      </c>
      <c r="C371" s="401" t="s">
        <v>48</v>
      </c>
      <c r="D371" t="s">
        <v>362</v>
      </c>
      <c r="E371" s="402">
        <v>-304.7</v>
      </c>
      <c r="F371" s="402"/>
      <c r="G371" s="402"/>
      <c r="H371" s="402">
        <f>IF(BaseOperacionesReales[[#This Row],[Dato PDF]]&lt;&gt;"",BaseOperacionesReales[[#This Row],[Dato PDF]]-BaseOperacionesReales[[#This Row],[Valor]],0)</f>
        <v>0</v>
      </c>
    </row>
    <row r="372" spans="2:8" x14ac:dyDescent="0.25">
      <c r="B372" s="401">
        <v>46189</v>
      </c>
      <c r="C372" s="401" t="s">
        <v>48</v>
      </c>
      <c r="D372" t="s">
        <v>362</v>
      </c>
      <c r="E372" s="402">
        <v>-1009.53</v>
      </c>
      <c r="F372" s="402"/>
      <c r="G372" s="402"/>
      <c r="H372" s="402">
        <f>IF(BaseOperacionesReales[[#This Row],[Dato PDF]]&lt;&gt;"",BaseOperacionesReales[[#This Row],[Dato PDF]]-BaseOperacionesReales[[#This Row],[Valor]],0)</f>
        <v>0</v>
      </c>
    </row>
    <row r="373" spans="2:8" x14ac:dyDescent="0.25">
      <c r="B373" s="401">
        <v>46189</v>
      </c>
      <c r="C373" s="401" t="s">
        <v>48</v>
      </c>
      <c r="D373" t="s">
        <v>362</v>
      </c>
      <c r="E373" s="402">
        <v>-555</v>
      </c>
      <c r="F373" s="402"/>
      <c r="G373" s="402"/>
      <c r="H373" s="402">
        <f>IF(BaseOperacionesReales[[#This Row],[Dato PDF]]&lt;&gt;"",BaseOperacionesReales[[#This Row],[Dato PDF]]-BaseOperacionesReales[[#This Row],[Valor]],0)</f>
        <v>0</v>
      </c>
    </row>
    <row r="374" spans="2:8" x14ac:dyDescent="0.25">
      <c r="B374" s="401">
        <v>46189</v>
      </c>
      <c r="C374" s="401" t="s">
        <v>48</v>
      </c>
      <c r="D374" t="s">
        <v>362</v>
      </c>
      <c r="E374" s="402">
        <v>-580.92999999999995</v>
      </c>
      <c r="F374" s="402"/>
      <c r="G374" s="402"/>
      <c r="H374" s="402">
        <f>IF(BaseOperacionesReales[[#This Row],[Dato PDF]]&lt;&gt;"",BaseOperacionesReales[[#This Row],[Dato PDF]]-BaseOperacionesReales[[#This Row],[Valor]],0)</f>
        <v>0</v>
      </c>
    </row>
    <row r="375" spans="2:8" x14ac:dyDescent="0.25">
      <c r="B375" s="401">
        <v>46189</v>
      </c>
      <c r="C375" s="1" t="s">
        <v>48</v>
      </c>
      <c r="D375" t="s">
        <v>358</v>
      </c>
      <c r="E375" s="301">
        <v>-1586.91</v>
      </c>
      <c r="F375" s="301"/>
      <c r="G375" s="301"/>
      <c r="H375" s="301">
        <f>IF(BaseOperacionesReales[[#This Row],[Dato PDF]]&lt;&gt;"",BaseOperacionesReales[[#This Row],[Dato PDF]]-BaseOperacionesReales[[#This Row],[Valor]],0)</f>
        <v>0</v>
      </c>
    </row>
    <row r="376" spans="2:8" x14ac:dyDescent="0.25">
      <c r="B376" s="401">
        <v>46189</v>
      </c>
      <c r="C376" s="1" t="s">
        <v>48</v>
      </c>
      <c r="D376" t="s">
        <v>367</v>
      </c>
      <c r="E376" s="301">
        <v>1000</v>
      </c>
      <c r="F376" s="301"/>
      <c r="G376" s="301"/>
      <c r="H376" s="301">
        <f>IF(BaseOperacionesReales[[#This Row],[Dato PDF]]&lt;&gt;"",BaseOperacionesReales[[#This Row],[Dato PDF]]-BaseOperacionesReales[[#This Row],[Valor]],0)</f>
        <v>0</v>
      </c>
    </row>
    <row r="377" spans="2:8" x14ac:dyDescent="0.25">
      <c r="B377" s="401">
        <v>46190</v>
      </c>
      <c r="C377" s="401" t="s">
        <v>48</v>
      </c>
      <c r="D377" t="s">
        <v>362</v>
      </c>
      <c r="E377" s="402">
        <v>-1436.5</v>
      </c>
      <c r="F377" s="402"/>
      <c r="G377" s="402"/>
      <c r="H377" s="402">
        <f>IF(BaseOperacionesReales[[#This Row],[Dato PDF]]&lt;&gt;"",BaseOperacionesReales[[#This Row],[Dato PDF]]-BaseOperacionesReales[[#This Row],[Valor]],0)</f>
        <v>0</v>
      </c>
    </row>
    <row r="378" spans="2:8" x14ac:dyDescent="0.25">
      <c r="B378" s="401">
        <v>46190</v>
      </c>
      <c r="C378" s="401" t="s">
        <v>48</v>
      </c>
      <c r="D378" t="s">
        <v>362</v>
      </c>
      <c r="E378" s="402">
        <v>-727.19</v>
      </c>
      <c r="F378" s="402"/>
      <c r="G378" s="402"/>
      <c r="H378" s="402">
        <f>IF(BaseOperacionesReales[[#This Row],[Dato PDF]]&lt;&gt;"",BaseOperacionesReales[[#This Row],[Dato PDF]]-BaseOperacionesReales[[#This Row],[Valor]],0)</f>
        <v>0</v>
      </c>
    </row>
    <row r="379" spans="2:8" x14ac:dyDescent="0.25">
      <c r="B379" s="401">
        <v>46190</v>
      </c>
      <c r="C379" s="401" t="s">
        <v>47</v>
      </c>
      <c r="D379" t="s">
        <v>362</v>
      </c>
      <c r="E379" s="402">
        <v>-3739.64</v>
      </c>
      <c r="F379" s="402"/>
      <c r="G379" s="402"/>
      <c r="H379" s="402">
        <f>IF(BaseOperacionesReales[[#This Row],[Dato PDF]]&lt;&gt;"",BaseOperacionesReales[[#This Row],[Dato PDF]]-BaseOperacionesReales[[#This Row],[Valor]],0)</f>
        <v>0</v>
      </c>
    </row>
    <row r="380" spans="2:8" x14ac:dyDescent="0.25">
      <c r="B380" s="401">
        <v>46190</v>
      </c>
      <c r="C380" s="401" t="s">
        <v>47</v>
      </c>
      <c r="D380" t="s">
        <v>362</v>
      </c>
      <c r="E380" s="402">
        <v>-1196.72</v>
      </c>
      <c r="F380" s="402"/>
      <c r="G380" s="402"/>
      <c r="H380" s="402">
        <f>IF(BaseOperacionesReales[[#This Row],[Dato PDF]]&lt;&gt;"",BaseOperacionesReales[[#This Row],[Dato PDF]]-BaseOperacionesReales[[#This Row],[Valor]],0)</f>
        <v>0</v>
      </c>
    </row>
    <row r="381" spans="2:8" x14ac:dyDescent="0.25">
      <c r="B381" s="401">
        <v>46190</v>
      </c>
      <c r="C381" s="401" t="s">
        <v>47</v>
      </c>
      <c r="D381" t="s">
        <v>362</v>
      </c>
      <c r="E381" s="402">
        <v>-1728.01</v>
      </c>
      <c r="F381" s="402"/>
      <c r="G381" s="402"/>
      <c r="H381" s="402">
        <f>IF(BaseOperacionesReales[[#This Row],[Dato PDF]]&lt;&gt;"",BaseOperacionesReales[[#This Row],[Dato PDF]]-BaseOperacionesReales[[#This Row],[Valor]],0)</f>
        <v>0</v>
      </c>
    </row>
    <row r="382" spans="2:8" x14ac:dyDescent="0.25">
      <c r="B382" s="401">
        <v>46190</v>
      </c>
      <c r="C382" s="401" t="s">
        <v>47</v>
      </c>
      <c r="D382" t="s">
        <v>362</v>
      </c>
      <c r="E382" s="402">
        <v>-1014.58</v>
      </c>
      <c r="F382" s="402"/>
      <c r="G382" s="402"/>
      <c r="H382" s="402">
        <f>IF(BaseOperacionesReales[[#This Row],[Dato PDF]]&lt;&gt;"",BaseOperacionesReales[[#This Row],[Dato PDF]]-BaseOperacionesReales[[#This Row],[Valor]],0)</f>
        <v>0</v>
      </c>
    </row>
    <row r="383" spans="2:8" x14ac:dyDescent="0.25">
      <c r="B383" s="401">
        <v>46190</v>
      </c>
      <c r="C383" s="401" t="s">
        <v>47</v>
      </c>
      <c r="D383" t="s">
        <v>362</v>
      </c>
      <c r="E383" s="402">
        <v>-174.05</v>
      </c>
      <c r="F383" s="402"/>
      <c r="G383" s="402"/>
      <c r="H383" s="402">
        <f>IF(BaseOperacionesReales[[#This Row],[Dato PDF]]&lt;&gt;"",BaseOperacionesReales[[#This Row],[Dato PDF]]-BaseOperacionesReales[[#This Row],[Valor]],0)</f>
        <v>0</v>
      </c>
    </row>
    <row r="384" spans="2:8" x14ac:dyDescent="0.25">
      <c r="B384" s="401">
        <v>46190</v>
      </c>
      <c r="C384" s="401" t="s">
        <v>47</v>
      </c>
      <c r="D384" t="s">
        <v>362</v>
      </c>
      <c r="E384" s="402">
        <v>-1600.27</v>
      </c>
      <c r="F384" s="402"/>
      <c r="G384" s="402"/>
      <c r="H384" s="402">
        <f>IF(BaseOperacionesReales[[#This Row],[Dato PDF]]&lt;&gt;"",BaseOperacionesReales[[#This Row],[Dato PDF]]-BaseOperacionesReales[[#This Row],[Valor]],0)</f>
        <v>0</v>
      </c>
    </row>
    <row r="385" spans="2:8" x14ac:dyDescent="0.25">
      <c r="B385" s="401">
        <v>46190</v>
      </c>
      <c r="C385" s="401" t="s">
        <v>47</v>
      </c>
      <c r="D385" t="s">
        <v>362</v>
      </c>
      <c r="E385" s="402">
        <v>-1558.61</v>
      </c>
      <c r="F385" s="402"/>
      <c r="G385" s="402"/>
      <c r="H385" s="402">
        <f>IF(BaseOperacionesReales[[#This Row],[Dato PDF]]&lt;&gt;"",BaseOperacionesReales[[#This Row],[Dato PDF]]-BaseOperacionesReales[[#This Row],[Valor]],0)</f>
        <v>0</v>
      </c>
    </row>
    <row r="386" spans="2:8" x14ac:dyDescent="0.25">
      <c r="B386" s="401">
        <v>46190</v>
      </c>
      <c r="C386" s="1" t="s">
        <v>47</v>
      </c>
      <c r="D386" t="s">
        <v>353</v>
      </c>
      <c r="E386" s="301">
        <v>12281.94</v>
      </c>
      <c r="F386" s="301"/>
      <c r="G386" s="301"/>
      <c r="H386" s="301">
        <f>IF(BaseOperacionesReales[[#This Row],[Dato PDF]]&lt;&gt;"",BaseOperacionesReales[[#This Row],[Dato PDF]]-BaseOperacionesReales[[#This Row],[Valor]],0)</f>
        <v>0</v>
      </c>
    </row>
    <row r="387" spans="2:8" x14ac:dyDescent="0.25">
      <c r="B387" s="401">
        <v>46191</v>
      </c>
      <c r="C387" s="401" t="s">
        <v>47</v>
      </c>
      <c r="D387" t="s">
        <v>362</v>
      </c>
      <c r="E387" s="402">
        <v>-404.38</v>
      </c>
      <c r="F387" s="402"/>
      <c r="G387" s="402"/>
      <c r="H387" s="402">
        <f>IF(BaseOperacionesReales[[#This Row],[Dato PDF]]&lt;&gt;"",BaseOperacionesReales[[#This Row],[Dato PDF]]-BaseOperacionesReales[[#This Row],[Valor]],0)</f>
        <v>0</v>
      </c>
    </row>
    <row r="388" spans="2:8" x14ac:dyDescent="0.25">
      <c r="B388" s="401">
        <v>46191</v>
      </c>
      <c r="C388" s="401" t="s">
        <v>47</v>
      </c>
      <c r="D388" t="s">
        <v>362</v>
      </c>
      <c r="E388" s="402">
        <v>-593.28</v>
      </c>
      <c r="F388" s="402"/>
      <c r="G388" s="402"/>
      <c r="H388" s="402">
        <f>IF(BaseOperacionesReales[[#This Row],[Dato PDF]]&lt;&gt;"",BaseOperacionesReales[[#This Row],[Dato PDF]]-BaseOperacionesReales[[#This Row],[Valor]],0)</f>
        <v>0</v>
      </c>
    </row>
    <row r="389" spans="2:8" x14ac:dyDescent="0.25">
      <c r="B389" s="401">
        <v>46191</v>
      </c>
      <c r="C389" s="401" t="s">
        <v>47</v>
      </c>
      <c r="D389" t="s">
        <v>362</v>
      </c>
      <c r="E389" s="402">
        <v>-317.94</v>
      </c>
      <c r="F389" s="402"/>
      <c r="G389" s="402"/>
      <c r="H389" s="402">
        <f>IF(BaseOperacionesReales[[#This Row],[Dato PDF]]&lt;&gt;"",BaseOperacionesReales[[#This Row],[Dato PDF]]-BaseOperacionesReales[[#This Row],[Valor]],0)</f>
        <v>0</v>
      </c>
    </row>
    <row r="390" spans="2:8" x14ac:dyDescent="0.25">
      <c r="B390" s="401">
        <v>46191</v>
      </c>
      <c r="C390" s="401" t="s">
        <v>47</v>
      </c>
      <c r="D390" t="s">
        <v>362</v>
      </c>
      <c r="E390" s="402">
        <v>-232.79</v>
      </c>
      <c r="F390" s="402"/>
      <c r="G390" s="402"/>
      <c r="H390" s="402">
        <f>IF(BaseOperacionesReales[[#This Row],[Dato PDF]]&lt;&gt;"",BaseOperacionesReales[[#This Row],[Dato PDF]]-BaseOperacionesReales[[#This Row],[Valor]],0)</f>
        <v>0</v>
      </c>
    </row>
    <row r="391" spans="2:8" x14ac:dyDescent="0.25">
      <c r="B391" s="401">
        <v>46191</v>
      </c>
      <c r="C391" s="1" t="s">
        <v>47</v>
      </c>
      <c r="D391" t="s">
        <v>371</v>
      </c>
      <c r="E391" s="301">
        <v>120</v>
      </c>
      <c r="F391" s="301"/>
      <c r="G391" s="301"/>
      <c r="H391" s="301">
        <f>IF(BaseOperacionesReales[[#This Row],[Dato PDF]]&lt;&gt;"",BaseOperacionesReales[[#This Row],[Dato PDF]]-BaseOperacionesReales[[#This Row],[Valor]],0)</f>
        <v>0</v>
      </c>
    </row>
    <row r="392" spans="2:8" x14ac:dyDescent="0.25">
      <c r="B392" s="401">
        <v>46191</v>
      </c>
      <c r="C392" s="1" t="s">
        <v>47</v>
      </c>
      <c r="D392" t="s">
        <v>371</v>
      </c>
      <c r="E392" s="301">
        <v>158.33000000000001</v>
      </c>
      <c r="F392" s="301"/>
      <c r="G392" s="301"/>
      <c r="H392" s="301">
        <f>IF(BaseOperacionesReales[[#This Row],[Dato PDF]]&lt;&gt;"",BaseOperacionesReales[[#This Row],[Dato PDF]]-BaseOperacionesReales[[#This Row],[Valor]],0)</f>
        <v>0</v>
      </c>
    </row>
    <row r="393" spans="2:8" x14ac:dyDescent="0.25">
      <c r="B393" s="401">
        <v>46191</v>
      </c>
      <c r="C393" s="1" t="s">
        <v>48</v>
      </c>
      <c r="D393" t="s">
        <v>380</v>
      </c>
      <c r="E393" s="301">
        <v>-111.45</v>
      </c>
      <c r="F393" s="301"/>
      <c r="G393" s="301"/>
      <c r="H393" s="301">
        <f>IF(BaseOperacionesReales[[#This Row],[Dato PDF]]&lt;&gt;"",BaseOperacionesReales[[#This Row],[Dato PDF]]-BaseOperacionesReales[[#This Row],[Valor]],0)</f>
        <v>0</v>
      </c>
    </row>
    <row r="394" spans="2:8" x14ac:dyDescent="0.25">
      <c r="B394" s="1">
        <v>46192</v>
      </c>
      <c r="C394" s="1" t="s">
        <v>47</v>
      </c>
      <c r="D394" t="s">
        <v>372</v>
      </c>
      <c r="E394" s="301">
        <v>27277.001800000009</v>
      </c>
      <c r="F394" s="301"/>
      <c r="G394" s="301"/>
      <c r="H394" s="301">
        <f>IF(BaseOperacionesReales[[#This Row],[Dato PDF]]&lt;&gt;"",BaseOperacionesReales[[#This Row],[Dato PDF]]-BaseOperacionesReales[[#This Row],[Valor]],0)</f>
        <v>0</v>
      </c>
    </row>
    <row r="395" spans="2:8" x14ac:dyDescent="0.25">
      <c r="B395" s="401">
        <v>46195</v>
      </c>
      <c r="C395" s="401" t="s">
        <v>47</v>
      </c>
      <c r="D395" t="s">
        <v>362</v>
      </c>
      <c r="E395" s="402">
        <v>-352.16</v>
      </c>
      <c r="F395" s="402"/>
      <c r="G395" s="402"/>
      <c r="H395" s="402">
        <f>IF(BaseOperacionesReales[[#This Row],[Dato PDF]]&lt;&gt;"",BaseOperacionesReales[[#This Row],[Dato PDF]]-BaseOperacionesReales[[#This Row],[Valor]],0)</f>
        <v>0</v>
      </c>
    </row>
    <row r="396" spans="2:8" x14ac:dyDescent="0.25">
      <c r="B396" s="401">
        <v>46195</v>
      </c>
      <c r="C396" s="401" t="s">
        <v>47</v>
      </c>
      <c r="D396" t="s">
        <v>362</v>
      </c>
      <c r="E396" s="402">
        <v>-867.2</v>
      </c>
      <c r="F396" s="402"/>
      <c r="G396" s="402"/>
      <c r="H396" s="402">
        <f>IF(BaseOperacionesReales[[#This Row],[Dato PDF]]&lt;&gt;"",BaseOperacionesReales[[#This Row],[Dato PDF]]-BaseOperacionesReales[[#This Row],[Valor]],0)</f>
        <v>0</v>
      </c>
    </row>
    <row r="397" spans="2:8" x14ac:dyDescent="0.25">
      <c r="B397" s="401">
        <v>46195</v>
      </c>
      <c r="C397" s="401" t="s">
        <v>47</v>
      </c>
      <c r="D397" t="s">
        <v>362</v>
      </c>
      <c r="E397" s="402">
        <v>-1204.78</v>
      </c>
      <c r="F397" s="402"/>
      <c r="G397" s="402"/>
      <c r="H397" s="402">
        <f>IF(BaseOperacionesReales[[#This Row],[Dato PDF]]&lt;&gt;"",BaseOperacionesReales[[#This Row],[Dato PDF]]-BaseOperacionesReales[[#This Row],[Valor]],0)</f>
        <v>0</v>
      </c>
    </row>
    <row r="398" spans="2:8" x14ac:dyDescent="0.25">
      <c r="B398" s="401">
        <v>46195</v>
      </c>
      <c r="C398" s="401" t="s">
        <v>47</v>
      </c>
      <c r="D398" t="s">
        <v>362</v>
      </c>
      <c r="E398" s="402">
        <v>-930.5</v>
      </c>
      <c r="F398" s="402"/>
      <c r="G398" s="402"/>
      <c r="H398" s="402">
        <f>IF(BaseOperacionesReales[[#This Row],[Dato PDF]]&lt;&gt;"",BaseOperacionesReales[[#This Row],[Dato PDF]]-BaseOperacionesReales[[#This Row],[Valor]],0)</f>
        <v>0</v>
      </c>
    </row>
    <row r="399" spans="2:8" x14ac:dyDescent="0.25">
      <c r="B399" s="401">
        <v>46195</v>
      </c>
      <c r="C399" s="401" t="s">
        <v>47</v>
      </c>
      <c r="D399" t="s">
        <v>362</v>
      </c>
      <c r="E399" s="402">
        <v>-2097.65</v>
      </c>
      <c r="F399" s="402"/>
      <c r="G399" s="402"/>
      <c r="H399" s="402">
        <f>IF(BaseOperacionesReales[[#This Row],[Dato PDF]]&lt;&gt;"",BaseOperacionesReales[[#This Row],[Dato PDF]]-BaseOperacionesReales[[#This Row],[Valor]],0)</f>
        <v>0</v>
      </c>
    </row>
    <row r="400" spans="2:8" x14ac:dyDescent="0.25">
      <c r="B400" s="401">
        <v>46195</v>
      </c>
      <c r="C400" s="401" t="s">
        <v>47</v>
      </c>
      <c r="D400" t="s">
        <v>362</v>
      </c>
      <c r="E400" s="402">
        <v>-324.86</v>
      </c>
      <c r="F400" s="402"/>
      <c r="G400" s="402"/>
      <c r="H400" s="402">
        <f>IF(BaseOperacionesReales[[#This Row],[Dato PDF]]&lt;&gt;"",BaseOperacionesReales[[#This Row],[Dato PDF]]-BaseOperacionesReales[[#This Row],[Valor]],0)</f>
        <v>0</v>
      </c>
    </row>
    <row r="401" spans="2:8" x14ac:dyDescent="0.25">
      <c r="B401" s="401">
        <v>46196</v>
      </c>
      <c r="C401" s="401" t="s">
        <v>47</v>
      </c>
      <c r="D401" t="s">
        <v>362</v>
      </c>
      <c r="E401" s="402">
        <v>-874.96</v>
      </c>
      <c r="F401" s="402"/>
      <c r="G401" s="402"/>
      <c r="H401" s="402">
        <f>IF(BaseOperacionesReales[[#This Row],[Dato PDF]]&lt;&gt;"",BaseOperacionesReales[[#This Row],[Dato PDF]]-BaseOperacionesReales[[#This Row],[Valor]],0)</f>
        <v>0</v>
      </c>
    </row>
    <row r="402" spans="2:8" x14ac:dyDescent="0.25">
      <c r="B402" s="401">
        <v>46196</v>
      </c>
      <c r="C402" s="401" t="s">
        <v>47</v>
      </c>
      <c r="D402" t="s">
        <v>362</v>
      </c>
      <c r="E402" s="402">
        <v>-386.14</v>
      </c>
      <c r="F402" s="402"/>
      <c r="G402" s="402"/>
      <c r="H402" s="402">
        <f>IF(BaseOperacionesReales[[#This Row],[Dato PDF]]&lt;&gt;"",BaseOperacionesReales[[#This Row],[Dato PDF]]-BaseOperacionesReales[[#This Row],[Valor]],0)</f>
        <v>0</v>
      </c>
    </row>
    <row r="403" spans="2:8" x14ac:dyDescent="0.25">
      <c r="B403" s="401">
        <v>46196</v>
      </c>
      <c r="C403" s="401" t="s">
        <v>47</v>
      </c>
      <c r="D403" t="s">
        <v>362</v>
      </c>
      <c r="E403" s="402">
        <v>-4389.58</v>
      </c>
      <c r="F403" s="402"/>
      <c r="G403" s="402"/>
      <c r="H403" s="402">
        <f>IF(BaseOperacionesReales[[#This Row],[Dato PDF]]&lt;&gt;"",BaseOperacionesReales[[#This Row],[Dato PDF]]-BaseOperacionesReales[[#This Row],[Valor]],0)</f>
        <v>0</v>
      </c>
    </row>
    <row r="404" spans="2:8" x14ac:dyDescent="0.25">
      <c r="B404" s="401">
        <v>46196</v>
      </c>
      <c r="C404" s="401" t="s">
        <v>47</v>
      </c>
      <c r="D404" t="s">
        <v>367</v>
      </c>
      <c r="E404" s="301">
        <v>2900</v>
      </c>
      <c r="F404" s="301"/>
      <c r="G404" s="301"/>
      <c r="H404" s="301">
        <f>IF(BaseOperacionesReales[[#This Row],[Dato PDF]]&lt;&gt;"",BaseOperacionesReales[[#This Row],[Dato PDF]]-BaseOperacionesReales[[#This Row],[Valor]],0)</f>
        <v>0</v>
      </c>
    </row>
    <row r="405" spans="2:8" x14ac:dyDescent="0.25">
      <c r="B405" s="401">
        <v>46197</v>
      </c>
      <c r="C405" s="401" t="s">
        <v>47</v>
      </c>
      <c r="D405" t="s">
        <v>362</v>
      </c>
      <c r="E405" s="402">
        <v>-1526.04</v>
      </c>
      <c r="F405" s="402"/>
      <c r="G405" s="402"/>
      <c r="H405" s="402">
        <f>IF(BaseOperacionesReales[[#This Row],[Dato PDF]]&lt;&gt;"",BaseOperacionesReales[[#This Row],[Dato PDF]]-BaseOperacionesReales[[#This Row],[Valor]],0)</f>
        <v>0</v>
      </c>
    </row>
    <row r="406" spans="2:8" x14ac:dyDescent="0.25">
      <c r="B406" s="401">
        <v>46197</v>
      </c>
      <c r="C406" s="401" t="s">
        <v>47</v>
      </c>
      <c r="D406" t="s">
        <v>362</v>
      </c>
      <c r="E406" s="402">
        <v>-1262.29</v>
      </c>
      <c r="F406" s="402"/>
      <c r="G406" s="402"/>
      <c r="H406" s="402">
        <f>IF(BaseOperacionesReales[[#This Row],[Dato PDF]]&lt;&gt;"",BaseOperacionesReales[[#This Row],[Dato PDF]]-BaseOperacionesReales[[#This Row],[Valor]],0)</f>
        <v>0</v>
      </c>
    </row>
    <row r="407" spans="2:8" x14ac:dyDescent="0.25">
      <c r="B407" s="401">
        <v>46197</v>
      </c>
      <c r="C407" s="401" t="s">
        <v>47</v>
      </c>
      <c r="D407" t="s">
        <v>362</v>
      </c>
      <c r="E407" s="402">
        <v>-1542.35</v>
      </c>
      <c r="F407" s="402"/>
      <c r="G407" s="402"/>
      <c r="H407" s="402">
        <f>IF(BaseOperacionesReales[[#This Row],[Dato PDF]]&lt;&gt;"",BaseOperacionesReales[[#This Row],[Dato PDF]]-BaseOperacionesReales[[#This Row],[Valor]],0)</f>
        <v>0</v>
      </c>
    </row>
    <row r="408" spans="2:8" x14ac:dyDescent="0.25">
      <c r="B408" s="401">
        <v>46197</v>
      </c>
      <c r="C408" s="401" t="s">
        <v>47</v>
      </c>
      <c r="D408" t="s">
        <v>362</v>
      </c>
      <c r="E408" s="402">
        <v>-324.14999999999998</v>
      </c>
      <c r="F408" s="402"/>
      <c r="G408" s="402"/>
      <c r="H408" s="402">
        <f>IF(BaseOperacionesReales[[#This Row],[Dato PDF]]&lt;&gt;"",BaseOperacionesReales[[#This Row],[Dato PDF]]-BaseOperacionesReales[[#This Row],[Valor]],0)</f>
        <v>0</v>
      </c>
    </row>
    <row r="409" spans="2:8" x14ac:dyDescent="0.25">
      <c r="B409" s="401">
        <v>46197</v>
      </c>
      <c r="C409" s="401" t="s">
        <v>47</v>
      </c>
      <c r="D409" t="s">
        <v>362</v>
      </c>
      <c r="E409" s="402">
        <v>-1679.4</v>
      </c>
      <c r="F409" s="402"/>
      <c r="G409" s="402"/>
      <c r="H409" s="402">
        <f>IF(BaseOperacionesReales[[#This Row],[Dato PDF]]&lt;&gt;"",BaseOperacionesReales[[#This Row],[Dato PDF]]-BaseOperacionesReales[[#This Row],[Valor]],0)</f>
        <v>0</v>
      </c>
    </row>
    <row r="410" spans="2:8" x14ac:dyDescent="0.25">
      <c r="B410" s="401">
        <v>46198</v>
      </c>
      <c r="C410" s="401" t="s">
        <v>47</v>
      </c>
      <c r="D410" t="s">
        <v>362</v>
      </c>
      <c r="E410" s="402">
        <v>-5178</v>
      </c>
      <c r="F410" s="402"/>
      <c r="G410" s="402"/>
      <c r="H410" s="402">
        <f>IF(BaseOperacionesReales[[#This Row],[Dato PDF]]&lt;&gt;"",BaseOperacionesReales[[#This Row],[Dato PDF]]-BaseOperacionesReales[[#This Row],[Valor]],0)</f>
        <v>0</v>
      </c>
    </row>
    <row r="411" spans="2:8" x14ac:dyDescent="0.25">
      <c r="B411" s="401">
        <v>46198</v>
      </c>
      <c r="C411" s="401" t="s">
        <v>47</v>
      </c>
      <c r="D411" t="s">
        <v>362</v>
      </c>
      <c r="E411" s="402">
        <v>-4827.47</v>
      </c>
      <c r="F411" s="402"/>
      <c r="G411" s="402"/>
      <c r="H411" s="402">
        <f>IF(BaseOperacionesReales[[#This Row],[Dato PDF]]&lt;&gt;"",BaseOperacionesReales[[#This Row],[Dato PDF]]-BaseOperacionesReales[[#This Row],[Valor]],0)</f>
        <v>0</v>
      </c>
    </row>
    <row r="412" spans="2:8" x14ac:dyDescent="0.25">
      <c r="B412" s="401">
        <v>46198</v>
      </c>
      <c r="C412" s="401" t="s">
        <v>47</v>
      </c>
      <c r="D412" t="s">
        <v>362</v>
      </c>
      <c r="E412" s="402">
        <v>-4609.3999999999996</v>
      </c>
      <c r="F412" s="402"/>
      <c r="G412" s="402"/>
      <c r="H412" s="402">
        <f>IF(BaseOperacionesReales[[#This Row],[Dato PDF]]&lt;&gt;"",BaseOperacionesReales[[#This Row],[Dato PDF]]-BaseOperacionesReales[[#This Row],[Valor]],0)</f>
        <v>0</v>
      </c>
    </row>
    <row r="413" spans="2:8" x14ac:dyDescent="0.25">
      <c r="B413" s="401">
        <v>46198</v>
      </c>
      <c r="C413" s="1" t="s">
        <v>47</v>
      </c>
      <c r="D413" t="s">
        <v>353</v>
      </c>
      <c r="E413" s="301">
        <v>25688.03</v>
      </c>
      <c r="F413" s="301"/>
      <c r="G413" s="301"/>
      <c r="H413" s="301">
        <f>IF(BaseOperacionesReales[[#This Row],[Dato PDF]]&lt;&gt;"",BaseOperacionesReales[[#This Row],[Dato PDF]]-BaseOperacionesReales[[#This Row],[Valor]],0)</f>
        <v>0</v>
      </c>
    </row>
    <row r="414" spans="2:8" x14ac:dyDescent="0.25">
      <c r="B414" s="401">
        <v>46198</v>
      </c>
      <c r="C414" s="1" t="s">
        <v>47</v>
      </c>
      <c r="D414" t="s">
        <v>371</v>
      </c>
      <c r="E414" s="301">
        <v>300</v>
      </c>
      <c r="F414" s="301"/>
      <c r="G414" s="301"/>
      <c r="H414" s="301">
        <f>IF(BaseOperacionesReales[[#This Row],[Dato PDF]]&lt;&gt;"",BaseOperacionesReales[[#This Row],[Dato PDF]]-BaseOperacionesReales[[#This Row],[Valor]],0)</f>
        <v>0</v>
      </c>
    </row>
    <row r="415" spans="2:8" x14ac:dyDescent="0.25">
      <c r="B415" s="401">
        <v>46199</v>
      </c>
      <c r="C415" s="401" t="s">
        <v>47</v>
      </c>
      <c r="D415" t="s">
        <v>362</v>
      </c>
      <c r="E415" s="402">
        <v>-5402.15</v>
      </c>
      <c r="F415" s="402"/>
      <c r="G415" s="402"/>
      <c r="H415" s="402">
        <f>IF(BaseOperacionesReales[[#This Row],[Dato PDF]]&lt;&gt;"",BaseOperacionesReales[[#This Row],[Dato PDF]]-BaseOperacionesReales[[#This Row],[Valor]],0)</f>
        <v>0</v>
      </c>
    </row>
    <row r="416" spans="2:8" x14ac:dyDescent="0.25">
      <c r="B416" s="401">
        <v>46202</v>
      </c>
      <c r="C416" s="401" t="s">
        <v>47</v>
      </c>
      <c r="D416" t="s">
        <v>362</v>
      </c>
      <c r="E416" s="402">
        <v>-6365.95</v>
      </c>
      <c r="F416" s="402"/>
      <c r="G416" s="402"/>
      <c r="H416" s="402">
        <f>IF(BaseOperacionesReales[[#This Row],[Dato PDF]]&lt;&gt;"",BaseOperacionesReales[[#This Row],[Dato PDF]]-BaseOperacionesReales[[#This Row],[Valor]],0)</f>
        <v>0</v>
      </c>
    </row>
    <row r="417" spans="2:8" x14ac:dyDescent="0.25">
      <c r="B417" s="401">
        <v>46204</v>
      </c>
      <c r="C417" s="401" t="s">
        <v>47</v>
      </c>
      <c r="D417" t="s">
        <v>364</v>
      </c>
      <c r="E417" s="402">
        <v>-3103.02</v>
      </c>
      <c r="F417" s="402"/>
      <c r="G417" s="402"/>
      <c r="H417" s="402">
        <f>IF(BaseOperacionesReales[[#This Row],[Dato PDF]]&lt;&gt;"",BaseOperacionesReales[[#This Row],[Dato PDF]]-BaseOperacionesReales[[#This Row],[Valor]],0)</f>
        <v>0</v>
      </c>
    </row>
    <row r="418" spans="2:8" x14ac:dyDescent="0.25">
      <c r="B418" s="401">
        <v>46204</v>
      </c>
      <c r="C418" s="401" t="s">
        <v>47</v>
      </c>
      <c r="D418" t="s">
        <v>372</v>
      </c>
      <c r="E418" s="301">
        <v>44360</v>
      </c>
      <c r="F418" s="301"/>
      <c r="G418" s="301"/>
      <c r="H418" s="301">
        <f>IF(BaseOperacionesReales[[#This Row],[Dato PDF]]&lt;&gt;"",BaseOperacionesReales[[#This Row],[Dato PDF]]-BaseOperacionesReales[[#This Row],[Valor]],0)</f>
        <v>0</v>
      </c>
    </row>
    <row r="419" spans="2:8" x14ac:dyDescent="0.25">
      <c r="B419" s="401">
        <v>46205</v>
      </c>
      <c r="C419" s="401" t="s">
        <v>47</v>
      </c>
      <c r="D419" t="s">
        <v>362</v>
      </c>
      <c r="E419" s="402">
        <v>-6180.03</v>
      </c>
      <c r="F419" s="402"/>
      <c r="G419" s="402"/>
      <c r="H419" s="402">
        <f>IF(BaseOperacionesReales[[#This Row],[Dato PDF]]&lt;&gt;"",BaseOperacionesReales[[#This Row],[Dato PDF]]-BaseOperacionesReales[[#This Row],[Valor]],0)</f>
        <v>0</v>
      </c>
    </row>
    <row r="420" spans="2:8" x14ac:dyDescent="0.25">
      <c r="B420" s="401">
        <v>46209</v>
      </c>
      <c r="C420" s="401" t="s">
        <v>47</v>
      </c>
      <c r="D420" t="s">
        <v>362</v>
      </c>
      <c r="E420" s="402">
        <v>-404.09</v>
      </c>
      <c r="F420" s="402"/>
      <c r="G420" s="402"/>
      <c r="H420" s="402">
        <f>IF(BaseOperacionesReales[[#This Row],[Dato PDF]]&lt;&gt;"",BaseOperacionesReales[[#This Row],[Dato PDF]]-BaseOperacionesReales[[#This Row],[Valor]],0)</f>
        <v>0</v>
      </c>
    </row>
    <row r="421" spans="2:8" x14ac:dyDescent="0.25">
      <c r="B421" s="401">
        <v>46209</v>
      </c>
      <c r="C421" s="401" t="s">
        <v>47</v>
      </c>
      <c r="D421" t="s">
        <v>362</v>
      </c>
      <c r="E421" s="402">
        <v>-378.44</v>
      </c>
      <c r="F421" s="402"/>
      <c r="G421" s="402"/>
      <c r="H421" s="402">
        <f>IF(BaseOperacionesReales[[#This Row],[Dato PDF]]&lt;&gt;"",BaseOperacionesReales[[#This Row],[Dato PDF]]-BaseOperacionesReales[[#This Row],[Valor]],0)</f>
        <v>0</v>
      </c>
    </row>
    <row r="422" spans="2:8" x14ac:dyDescent="0.25">
      <c r="B422" s="401">
        <v>46209</v>
      </c>
      <c r="C422" s="1" t="s">
        <v>47</v>
      </c>
      <c r="D422" t="s">
        <v>370</v>
      </c>
      <c r="E422" s="301">
        <v>1500</v>
      </c>
      <c r="F422" s="301"/>
      <c r="G422" s="301"/>
      <c r="H422" s="301">
        <f>IF(BaseOperacionesReales[[#This Row],[Dato PDF]]&lt;&gt;"",BaseOperacionesReales[[#This Row],[Dato PDF]]-BaseOperacionesReales[[#This Row],[Valor]],0)</f>
        <v>0</v>
      </c>
    </row>
    <row r="423" spans="2:8" x14ac:dyDescent="0.25">
      <c r="B423" s="401">
        <v>46210</v>
      </c>
      <c r="C423" s="401" t="s">
        <v>47</v>
      </c>
      <c r="D423" t="s">
        <v>362</v>
      </c>
      <c r="E423" s="402">
        <v>-143.32</v>
      </c>
      <c r="F423" s="402"/>
      <c r="G423" s="402"/>
      <c r="H423" s="402">
        <f>IF(BaseOperacionesReales[[#This Row],[Dato PDF]]&lt;&gt;"",BaseOperacionesReales[[#This Row],[Dato PDF]]-BaseOperacionesReales[[#This Row],[Valor]],0)</f>
        <v>0</v>
      </c>
    </row>
    <row r="424" spans="2:8" x14ac:dyDescent="0.25">
      <c r="B424" s="401">
        <v>46210</v>
      </c>
      <c r="C424" s="401" t="s">
        <v>47</v>
      </c>
      <c r="D424" t="s">
        <v>362</v>
      </c>
      <c r="E424" s="402">
        <v>-395.85</v>
      </c>
      <c r="F424" s="402"/>
      <c r="G424" s="402"/>
      <c r="H424" s="402">
        <f>IF(BaseOperacionesReales[[#This Row],[Dato PDF]]&lt;&gt;"",BaseOperacionesReales[[#This Row],[Dato PDF]]-BaseOperacionesReales[[#This Row],[Valor]],0)</f>
        <v>0</v>
      </c>
    </row>
    <row r="425" spans="2:8" x14ac:dyDescent="0.25">
      <c r="B425" s="401">
        <v>46211</v>
      </c>
      <c r="C425" s="401" t="s">
        <v>47</v>
      </c>
      <c r="D425" t="s">
        <v>362</v>
      </c>
      <c r="E425" s="402">
        <v>-199.72</v>
      </c>
      <c r="F425" s="402"/>
      <c r="G425" s="402"/>
      <c r="H425" s="402">
        <f>IF(BaseOperacionesReales[[#This Row],[Dato PDF]]&lt;&gt;"",BaseOperacionesReales[[#This Row],[Dato PDF]]-BaseOperacionesReales[[#This Row],[Valor]],0)</f>
        <v>0</v>
      </c>
    </row>
    <row r="426" spans="2:8" x14ac:dyDescent="0.25">
      <c r="B426" s="401">
        <v>46211</v>
      </c>
      <c r="C426" s="1" t="s">
        <v>47</v>
      </c>
      <c r="D426" t="s">
        <v>357</v>
      </c>
      <c r="E426" s="301">
        <v>-44873</v>
      </c>
      <c r="F426" s="301"/>
      <c r="G426" s="301"/>
      <c r="H426" s="301">
        <f>IF(BaseOperacionesReales[[#This Row],[Dato PDF]]&lt;&gt;"",BaseOperacionesReales[[#This Row],[Dato PDF]]-BaseOperacionesReales[[#This Row],[Valor]],0)</f>
        <v>0</v>
      </c>
    </row>
    <row r="427" spans="2:8" x14ac:dyDescent="0.25">
      <c r="B427" s="401">
        <v>46211</v>
      </c>
      <c r="C427" s="1" t="s">
        <v>47</v>
      </c>
      <c r="D427" t="s">
        <v>357</v>
      </c>
      <c r="E427" s="301">
        <v>-2202.5300000000002</v>
      </c>
      <c r="F427" s="301"/>
      <c r="G427" s="301"/>
      <c r="H427" s="301">
        <f>IF(BaseOperacionesReales[[#This Row],[Dato PDF]]&lt;&gt;"",BaseOperacionesReales[[#This Row],[Dato PDF]]-BaseOperacionesReales[[#This Row],[Valor]],0)</f>
        <v>0</v>
      </c>
    </row>
    <row r="428" spans="2:8" x14ac:dyDescent="0.25">
      <c r="B428" s="401">
        <v>46211</v>
      </c>
      <c r="C428" s="1" t="s">
        <v>47</v>
      </c>
      <c r="D428" t="s">
        <v>358</v>
      </c>
      <c r="E428" s="301">
        <v>-1754.1</v>
      </c>
      <c r="F428" s="301"/>
      <c r="G428" s="301"/>
      <c r="H428" s="301">
        <f>IF(BaseOperacionesReales[[#This Row],[Dato PDF]]&lt;&gt;"",BaseOperacionesReales[[#This Row],[Dato PDF]]-BaseOperacionesReales[[#This Row],[Valor]],0)</f>
        <v>0</v>
      </c>
    </row>
    <row r="429" spans="2:8" x14ac:dyDescent="0.25">
      <c r="B429" s="401">
        <v>46211</v>
      </c>
      <c r="C429" s="1" t="s">
        <v>47</v>
      </c>
      <c r="D429" t="s">
        <v>371</v>
      </c>
      <c r="E429" s="301">
        <v>1754.1</v>
      </c>
      <c r="F429" s="301"/>
      <c r="G429" s="301"/>
      <c r="H429" s="301">
        <f>IF(BaseOperacionesReales[[#This Row],[Dato PDF]]&lt;&gt;"",BaseOperacionesReales[[#This Row],[Dato PDF]]-BaseOperacionesReales[[#This Row],[Valor]],0)</f>
        <v>0</v>
      </c>
    </row>
    <row r="430" spans="2:8" x14ac:dyDescent="0.25">
      <c r="B430" s="1">
        <v>46212</v>
      </c>
      <c r="C430" s="1" t="s">
        <v>47</v>
      </c>
      <c r="D430" t="s">
        <v>371</v>
      </c>
      <c r="E430" s="301">
        <v>480</v>
      </c>
      <c r="F430" s="301"/>
      <c r="G430" s="301"/>
      <c r="H430" s="301">
        <f>IF(BaseOperacionesReales[[#This Row],[Dato PDF]]&lt;&gt;"",BaseOperacionesReales[[#This Row],[Dato PDF]]-BaseOperacionesReales[[#This Row],[Valor]],0)</f>
        <v>0</v>
      </c>
    </row>
    <row r="431" spans="2:8" x14ac:dyDescent="0.25">
      <c r="B431" s="1">
        <v>46212</v>
      </c>
      <c r="C431" s="1" t="s">
        <v>47</v>
      </c>
      <c r="D431" t="s">
        <v>370</v>
      </c>
      <c r="E431" s="301">
        <v>1000</v>
      </c>
      <c r="F431" s="301"/>
      <c r="G431" s="301"/>
      <c r="H431" s="301">
        <f>IF(BaseOperacionesReales[[#This Row],[Dato PDF]]&lt;&gt;"",BaseOperacionesReales[[#This Row],[Dato PDF]]-BaseOperacionesReales[[#This Row],[Valor]],0)</f>
        <v>0</v>
      </c>
    </row>
    <row r="432" spans="2:8" x14ac:dyDescent="0.25">
      <c r="B432" s="1">
        <v>46212</v>
      </c>
      <c r="C432" s="1" t="s">
        <v>47</v>
      </c>
      <c r="D432" t="s">
        <v>370</v>
      </c>
      <c r="E432" s="301">
        <v>650</v>
      </c>
      <c r="F432" s="301"/>
      <c r="G432" s="301"/>
      <c r="H432" s="301">
        <f>IF(BaseOperacionesReales[[#This Row],[Dato PDF]]&lt;&gt;"",BaseOperacionesReales[[#This Row],[Dato PDF]]-BaseOperacionesReales[[#This Row],[Valor]],0)</f>
        <v>0</v>
      </c>
    </row>
    <row r="433" spans="2:8" x14ac:dyDescent="0.25">
      <c r="B433" s="1">
        <v>46212</v>
      </c>
      <c r="C433" s="1" t="s">
        <v>47</v>
      </c>
      <c r="D433" t="s">
        <v>381</v>
      </c>
      <c r="E433" s="301">
        <v>220</v>
      </c>
      <c r="F433" s="301"/>
      <c r="G433" s="301"/>
      <c r="H433" s="301">
        <f>IF(BaseOperacionesReales[[#This Row],[Dato PDF]]&lt;&gt;"",BaseOperacionesReales[[#This Row],[Dato PDF]]-BaseOperacionesReales[[#This Row],[Valor]],0)</f>
        <v>0</v>
      </c>
    </row>
    <row r="434" spans="2:8" x14ac:dyDescent="0.25">
      <c r="B434" s="401">
        <v>46212</v>
      </c>
      <c r="C434" s="401" t="s">
        <v>47</v>
      </c>
      <c r="D434" t="s">
        <v>362</v>
      </c>
      <c r="E434" s="402">
        <v>-510.63</v>
      </c>
      <c r="F434" s="402"/>
      <c r="G434" s="402"/>
      <c r="H434" s="402">
        <f>IF(BaseOperacionesReales[[#This Row],[Dato PDF]]&lt;&gt;"",BaseOperacionesReales[[#This Row],[Dato PDF]]-BaseOperacionesReales[[#This Row],[Valor]],0)</f>
        <v>0</v>
      </c>
    </row>
    <row r="435" spans="2:8" x14ac:dyDescent="0.25">
      <c r="B435" s="401">
        <v>46212</v>
      </c>
      <c r="C435" s="401" t="s">
        <v>47</v>
      </c>
      <c r="D435" t="s">
        <v>362</v>
      </c>
      <c r="E435" s="402">
        <v>-663.1</v>
      </c>
      <c r="F435" s="402"/>
      <c r="G435" s="402"/>
      <c r="H435" s="402">
        <f>IF(BaseOperacionesReales[[#This Row],[Dato PDF]]&lt;&gt;"",BaseOperacionesReales[[#This Row],[Dato PDF]]-BaseOperacionesReales[[#This Row],[Valor]],0)</f>
        <v>0</v>
      </c>
    </row>
    <row r="436" spans="2:8" x14ac:dyDescent="0.25">
      <c r="B436" s="401">
        <v>46213</v>
      </c>
      <c r="C436" s="401" t="s">
        <v>47</v>
      </c>
      <c r="D436" t="s">
        <v>362</v>
      </c>
      <c r="E436" s="402">
        <v>-1376.54</v>
      </c>
      <c r="F436" s="402"/>
      <c r="G436" s="402"/>
      <c r="H436" s="402">
        <f>IF(BaseOperacionesReales[[#This Row],[Dato PDF]]&lt;&gt;"",BaseOperacionesReales[[#This Row],[Dato PDF]]-BaseOperacionesReales[[#This Row],[Valor]],0)</f>
        <v>0</v>
      </c>
    </row>
    <row r="437" spans="2:8" x14ac:dyDescent="0.25">
      <c r="B437" s="1">
        <v>46213</v>
      </c>
      <c r="C437" s="1" t="s">
        <v>47</v>
      </c>
      <c r="D437" t="s">
        <v>372</v>
      </c>
      <c r="E437" s="301">
        <v>8913.24</v>
      </c>
      <c r="F437" s="301"/>
      <c r="G437" s="301"/>
      <c r="H437" s="301">
        <f>IF(BaseOperacionesReales[[#This Row],[Dato PDF]]&lt;&gt;"",BaseOperacionesReales[[#This Row],[Dato PDF]]-BaseOperacionesReales[[#This Row],[Valor]],0)</f>
        <v>0</v>
      </c>
    </row>
    <row r="438" spans="2:8" x14ac:dyDescent="0.25">
      <c r="B438" s="1">
        <v>46216</v>
      </c>
      <c r="C438" s="1" t="s">
        <v>47</v>
      </c>
      <c r="D438" t="s">
        <v>371</v>
      </c>
      <c r="E438" s="301">
        <v>1700</v>
      </c>
      <c r="F438" s="301"/>
      <c r="G438" s="301"/>
      <c r="H438" s="301">
        <f>IF(BaseOperacionesReales[[#This Row],[Dato PDF]]&lt;&gt;"",BaseOperacionesReales[[#This Row],[Dato PDF]]-BaseOperacionesReales[[#This Row],[Valor]],0)</f>
        <v>0</v>
      </c>
    </row>
    <row r="439" spans="2:8" x14ac:dyDescent="0.25">
      <c r="B439" s="401">
        <v>46216</v>
      </c>
      <c r="C439" s="401" t="s">
        <v>47</v>
      </c>
      <c r="D439" t="s">
        <v>362</v>
      </c>
      <c r="E439" s="402">
        <v>-2444.9499999999998</v>
      </c>
      <c r="F439" s="402"/>
      <c r="G439" s="402"/>
      <c r="H439" s="402">
        <f>IF(BaseOperacionesReales[[#This Row],[Dato PDF]]&lt;&gt;"",BaseOperacionesReales[[#This Row],[Dato PDF]]-BaseOperacionesReales[[#This Row],[Valor]],0)</f>
        <v>0</v>
      </c>
    </row>
    <row r="440" spans="2:8" x14ac:dyDescent="0.25">
      <c r="B440" s="401">
        <v>46216</v>
      </c>
      <c r="C440" s="401" t="s">
        <v>47</v>
      </c>
      <c r="D440" t="s">
        <v>362</v>
      </c>
      <c r="E440" s="402">
        <v>-1640.12</v>
      </c>
      <c r="F440" s="402"/>
      <c r="G440" s="402"/>
      <c r="H440" s="402">
        <f>IF(BaseOperacionesReales[[#This Row],[Dato PDF]]&lt;&gt;"",BaseOperacionesReales[[#This Row],[Dato PDF]]-BaseOperacionesReales[[#This Row],[Valor]],0)</f>
        <v>0</v>
      </c>
    </row>
    <row r="441" spans="2:8" x14ac:dyDescent="0.25">
      <c r="B441" s="401">
        <v>46217</v>
      </c>
      <c r="C441" s="401" t="s">
        <v>47</v>
      </c>
      <c r="D441" t="s">
        <v>362</v>
      </c>
      <c r="E441" s="402">
        <v>-319.79000000000002</v>
      </c>
      <c r="F441" s="402"/>
      <c r="G441" s="402"/>
      <c r="H441" s="402">
        <f>IF(BaseOperacionesReales[[#This Row],[Dato PDF]]&lt;&gt;"",BaseOperacionesReales[[#This Row],[Dato PDF]]-BaseOperacionesReales[[#This Row],[Valor]],0)</f>
        <v>0</v>
      </c>
    </row>
    <row r="442" spans="2:8" x14ac:dyDescent="0.25">
      <c r="B442" s="401">
        <v>46218</v>
      </c>
      <c r="C442" s="401" t="s">
        <v>47</v>
      </c>
      <c r="D442" t="s">
        <v>362</v>
      </c>
      <c r="E442" s="402">
        <v>-558.58000000000004</v>
      </c>
      <c r="F442" s="402"/>
      <c r="G442" s="402"/>
      <c r="H442" s="402">
        <f>IF(BaseOperacionesReales[[#This Row],[Dato PDF]]&lt;&gt;"",BaseOperacionesReales[[#This Row],[Dato PDF]]-BaseOperacionesReales[[#This Row],[Valor]],0)</f>
        <v>0</v>
      </c>
    </row>
    <row r="443" spans="2:8" x14ac:dyDescent="0.25">
      <c r="B443" s="401">
        <v>46218</v>
      </c>
      <c r="C443" s="1" t="s">
        <v>47</v>
      </c>
      <c r="D443" t="s">
        <v>357</v>
      </c>
      <c r="E443" s="301">
        <v>-2897.51</v>
      </c>
      <c r="F443" s="301"/>
      <c r="G443" s="301"/>
      <c r="H443" s="301">
        <f>IF(BaseOperacionesReales[[#This Row],[Dato PDF]]&lt;&gt;"",BaseOperacionesReales[[#This Row],[Dato PDF]]-BaseOperacionesReales[[#This Row],[Valor]],0)</f>
        <v>0</v>
      </c>
    </row>
    <row r="444" spans="2:8" x14ac:dyDescent="0.25">
      <c r="B444" s="401">
        <v>46219</v>
      </c>
      <c r="C444" s="401" t="s">
        <v>47</v>
      </c>
      <c r="D444" t="s">
        <v>362</v>
      </c>
      <c r="E444" s="402">
        <v>-1520.34</v>
      </c>
      <c r="F444" s="402"/>
      <c r="G444" s="402"/>
      <c r="H444" s="402">
        <f>IF(BaseOperacionesReales[[#This Row],[Dato PDF]]&lt;&gt;"",BaseOperacionesReales[[#This Row],[Dato PDF]]-BaseOperacionesReales[[#This Row],[Valor]],0)</f>
        <v>0</v>
      </c>
    </row>
    <row r="445" spans="2:8" x14ac:dyDescent="0.25">
      <c r="B445" s="401">
        <v>46219</v>
      </c>
      <c r="C445" s="401" t="s">
        <v>47</v>
      </c>
      <c r="D445" t="s">
        <v>362</v>
      </c>
      <c r="E445" s="402">
        <v>-642.27</v>
      </c>
      <c r="F445" s="402"/>
      <c r="G445" s="402"/>
      <c r="H445" s="402">
        <f>IF(BaseOperacionesReales[[#This Row],[Dato PDF]]&lt;&gt;"",BaseOperacionesReales[[#This Row],[Dato PDF]]-BaseOperacionesReales[[#This Row],[Valor]],0)</f>
        <v>0</v>
      </c>
    </row>
    <row r="446" spans="2:8" x14ac:dyDescent="0.25">
      <c r="B446" s="401">
        <v>46219</v>
      </c>
      <c r="C446" s="401" t="s">
        <v>47</v>
      </c>
      <c r="D446" t="s">
        <v>362</v>
      </c>
      <c r="E446" s="402">
        <v>-410.85</v>
      </c>
      <c r="F446" s="402"/>
      <c r="G446" s="402"/>
      <c r="H446" s="402">
        <f>IF(BaseOperacionesReales[[#This Row],[Dato PDF]]&lt;&gt;"",BaseOperacionesReales[[#This Row],[Dato PDF]]-BaseOperacionesReales[[#This Row],[Valor]],0)</f>
        <v>0</v>
      </c>
    </row>
    <row r="447" spans="2:8" x14ac:dyDescent="0.25">
      <c r="B447" s="401">
        <v>46219</v>
      </c>
      <c r="C447" s="401" t="s">
        <v>47</v>
      </c>
      <c r="D447" t="s">
        <v>362</v>
      </c>
      <c r="E447" s="402">
        <v>-356.98</v>
      </c>
      <c r="F447" s="402"/>
      <c r="G447" s="402"/>
      <c r="H447" s="402">
        <f>IF(BaseOperacionesReales[[#This Row],[Dato PDF]]&lt;&gt;"",BaseOperacionesReales[[#This Row],[Dato PDF]]-BaseOperacionesReales[[#This Row],[Valor]],0)</f>
        <v>0</v>
      </c>
    </row>
    <row r="448" spans="2:8" x14ac:dyDescent="0.25">
      <c r="B448" s="401">
        <v>46219</v>
      </c>
      <c r="C448" s="1" t="s">
        <v>47</v>
      </c>
      <c r="D448" t="s">
        <v>381</v>
      </c>
      <c r="E448" s="301">
        <v>378.42</v>
      </c>
      <c r="F448" s="301"/>
      <c r="G448" s="301"/>
      <c r="H448" s="301">
        <f>IF(BaseOperacionesReales[[#This Row],[Dato PDF]]&lt;&gt;"",BaseOperacionesReales[[#This Row],[Dato PDF]]-BaseOperacionesReales[[#This Row],[Valor]],0)</f>
        <v>0</v>
      </c>
    </row>
    <row r="449" spans="2:8" x14ac:dyDescent="0.25">
      <c r="B449" s="1">
        <v>46223</v>
      </c>
      <c r="C449" s="1" t="s">
        <v>47</v>
      </c>
      <c r="D449" t="s">
        <v>372</v>
      </c>
      <c r="E449" s="301">
        <v>9318.42</v>
      </c>
      <c r="F449" s="301"/>
      <c r="G449" s="301"/>
      <c r="H449" s="301">
        <f>IF(BaseOperacionesReales[[#This Row],[Dato PDF]]&lt;&gt;"",BaseOperacionesReales[[#This Row],[Dato PDF]]-BaseOperacionesReales[[#This Row],[Valor]],0)</f>
        <v>0</v>
      </c>
    </row>
    <row r="450" spans="2:8" x14ac:dyDescent="0.25">
      <c r="B450" s="401">
        <v>46223</v>
      </c>
      <c r="C450" s="401" t="s">
        <v>47</v>
      </c>
      <c r="D450" t="s">
        <v>362</v>
      </c>
      <c r="E450" s="402">
        <v>-756.62</v>
      </c>
      <c r="F450" s="402"/>
      <c r="G450" s="402"/>
      <c r="H450" s="402">
        <f>IF(BaseOperacionesReales[[#This Row],[Dato PDF]]&lt;&gt;"",BaseOperacionesReales[[#This Row],[Dato PDF]]-BaseOperacionesReales[[#This Row],[Valor]],0)</f>
        <v>0</v>
      </c>
    </row>
    <row r="451" spans="2:8" x14ac:dyDescent="0.25">
      <c r="B451" s="401">
        <v>46223</v>
      </c>
      <c r="C451" s="401" t="s">
        <v>47</v>
      </c>
      <c r="D451" t="s">
        <v>362</v>
      </c>
      <c r="E451" s="402">
        <v>-1148.19</v>
      </c>
      <c r="F451" s="402"/>
      <c r="G451" s="402"/>
      <c r="H451" s="402">
        <f>IF(BaseOperacionesReales[[#This Row],[Dato PDF]]&lt;&gt;"",BaseOperacionesReales[[#This Row],[Dato PDF]]-BaseOperacionesReales[[#This Row],[Valor]],0)</f>
        <v>0</v>
      </c>
    </row>
    <row r="452" spans="2:8" x14ac:dyDescent="0.25">
      <c r="B452" s="401">
        <v>46223</v>
      </c>
      <c r="C452" s="401" t="s">
        <v>47</v>
      </c>
      <c r="D452" t="s">
        <v>362</v>
      </c>
      <c r="E452" s="402">
        <v>-1253.25</v>
      </c>
      <c r="F452" s="402"/>
      <c r="G452" s="402"/>
      <c r="H452" s="402">
        <f>IF(BaseOperacionesReales[[#This Row],[Dato PDF]]&lt;&gt;"",BaseOperacionesReales[[#This Row],[Dato PDF]]-BaseOperacionesReales[[#This Row],[Valor]],0)</f>
        <v>0</v>
      </c>
    </row>
    <row r="453" spans="2:8" x14ac:dyDescent="0.25">
      <c r="B453" s="401">
        <v>46224</v>
      </c>
      <c r="C453" s="401" t="s">
        <v>47</v>
      </c>
      <c r="D453" t="s">
        <v>362</v>
      </c>
      <c r="E453" s="402">
        <v>-105.21</v>
      </c>
      <c r="F453" s="402"/>
      <c r="G453" s="402"/>
      <c r="H453" s="402">
        <f>IF(BaseOperacionesReales[[#This Row],[Dato PDF]]&lt;&gt;"",BaseOperacionesReales[[#This Row],[Dato PDF]]-BaseOperacionesReales[[#This Row],[Valor]],0)</f>
        <v>0</v>
      </c>
    </row>
    <row r="454" spans="2:8" x14ac:dyDescent="0.25">
      <c r="B454" s="401">
        <v>46224</v>
      </c>
      <c r="C454" s="401" t="s">
        <v>47</v>
      </c>
      <c r="D454" t="s">
        <v>362</v>
      </c>
      <c r="E454" s="402">
        <v>-838.57</v>
      </c>
      <c r="F454" s="402"/>
      <c r="G454" s="402"/>
      <c r="H454" s="402">
        <f>IF(BaseOperacionesReales[[#This Row],[Dato PDF]]&lt;&gt;"",BaseOperacionesReales[[#This Row],[Dato PDF]]-BaseOperacionesReales[[#This Row],[Valor]],0)</f>
        <v>0</v>
      </c>
    </row>
    <row r="455" spans="2:8" x14ac:dyDescent="0.25">
      <c r="B455" s="401">
        <v>46224</v>
      </c>
      <c r="C455" s="1" t="s">
        <v>47</v>
      </c>
      <c r="D455" t="s">
        <v>362</v>
      </c>
      <c r="E455" s="301">
        <v>-641.45000000000005</v>
      </c>
      <c r="F455" s="301"/>
      <c r="G455" s="301"/>
      <c r="H455" s="301">
        <f>IF(BaseOperacionesReales[[#This Row],[Dato PDF]]&lt;&gt;"",BaseOperacionesReales[[#This Row],[Dato PDF]]-BaseOperacionesReales[[#This Row],[Valor]],0)</f>
        <v>0</v>
      </c>
    </row>
    <row r="456" spans="2:8" x14ac:dyDescent="0.25">
      <c r="B456" s="401">
        <v>46225</v>
      </c>
      <c r="C456" s="1" t="s">
        <v>47</v>
      </c>
      <c r="D456" t="s">
        <v>362</v>
      </c>
      <c r="E456" s="402">
        <v>-802.85</v>
      </c>
      <c r="F456" s="402"/>
      <c r="G456" s="402"/>
      <c r="H456" s="402">
        <f>IF(BaseOperacionesReales[[#This Row],[Dato PDF]]&lt;&gt;"",BaseOperacionesReales[[#This Row],[Dato PDF]]-BaseOperacionesReales[[#This Row],[Valor]],0)</f>
        <v>0</v>
      </c>
    </row>
    <row r="457" spans="2:8" x14ac:dyDescent="0.25">
      <c r="B457" s="401">
        <v>46225</v>
      </c>
      <c r="C457" s="1" t="s">
        <v>47</v>
      </c>
      <c r="D457" t="s">
        <v>362</v>
      </c>
      <c r="E457" s="402">
        <v>-626.54</v>
      </c>
      <c r="F457" s="402"/>
      <c r="G457" s="402"/>
      <c r="H457" s="402">
        <f>IF(BaseOperacionesReales[[#This Row],[Dato PDF]]&lt;&gt;"",BaseOperacionesReales[[#This Row],[Dato PDF]]-BaseOperacionesReales[[#This Row],[Valor]],0)</f>
        <v>0</v>
      </c>
    </row>
    <row r="458" spans="2:8" x14ac:dyDescent="0.25">
      <c r="B458" s="401">
        <v>46225</v>
      </c>
      <c r="C458" s="1" t="s">
        <v>47</v>
      </c>
      <c r="D458" t="s">
        <v>362</v>
      </c>
      <c r="E458" s="402">
        <v>-494.66</v>
      </c>
      <c r="F458" s="402"/>
      <c r="G458" s="402"/>
      <c r="H458" s="402">
        <f>IF(BaseOperacionesReales[[#This Row],[Dato PDF]]&lt;&gt;"",BaseOperacionesReales[[#This Row],[Dato PDF]]-BaseOperacionesReales[[#This Row],[Valor]],0)</f>
        <v>0</v>
      </c>
    </row>
    <row r="459" spans="2:8" x14ac:dyDescent="0.25">
      <c r="B459" s="401">
        <v>46225</v>
      </c>
      <c r="C459" s="1" t="s">
        <v>47</v>
      </c>
      <c r="D459" t="s">
        <v>362</v>
      </c>
      <c r="E459" s="402">
        <v>-382.41</v>
      </c>
      <c r="F459" s="402"/>
      <c r="G459" s="402"/>
      <c r="H459" s="402">
        <f>IF(BaseOperacionesReales[[#This Row],[Dato PDF]]&lt;&gt;"",BaseOperacionesReales[[#This Row],[Dato PDF]]-BaseOperacionesReales[[#This Row],[Valor]],0)</f>
        <v>0</v>
      </c>
    </row>
    <row r="460" spans="2:8" x14ac:dyDescent="0.25">
      <c r="B460" s="401">
        <v>46225</v>
      </c>
      <c r="C460" s="1" t="s">
        <v>47</v>
      </c>
      <c r="D460" t="s">
        <v>371</v>
      </c>
      <c r="E460" s="301">
        <v>1000</v>
      </c>
      <c r="F460" s="301"/>
      <c r="G460" s="301"/>
      <c r="H460" s="301">
        <f>IF(BaseOperacionesReales[[#This Row],[Dato PDF]]&lt;&gt;"",BaseOperacionesReales[[#This Row],[Dato PDF]]-BaseOperacionesReales[[#This Row],[Valor]],0)</f>
        <v>0</v>
      </c>
    </row>
    <row r="461" spans="2:8" x14ac:dyDescent="0.25">
      <c r="B461" s="401">
        <v>46226</v>
      </c>
      <c r="C461" s="401" t="s">
        <v>47</v>
      </c>
      <c r="D461" t="s">
        <v>362</v>
      </c>
      <c r="E461" s="402">
        <v>-633.28</v>
      </c>
      <c r="F461" s="402"/>
      <c r="G461" s="402"/>
      <c r="H461" s="402">
        <f>IF(BaseOperacionesReales[[#This Row],[Dato PDF]]&lt;&gt;"",BaseOperacionesReales[[#This Row],[Dato PDF]]-BaseOperacionesReales[[#This Row],[Valor]],0)</f>
        <v>0</v>
      </c>
    </row>
    <row r="462" spans="2:8" x14ac:dyDescent="0.25">
      <c r="B462" s="401">
        <v>46226</v>
      </c>
      <c r="C462" s="401" t="s">
        <v>47</v>
      </c>
      <c r="D462" t="s">
        <v>362</v>
      </c>
      <c r="E462" s="402">
        <v>-353.37</v>
      </c>
      <c r="F462" s="402"/>
      <c r="G462" s="402"/>
      <c r="H462" s="402">
        <f>IF(BaseOperacionesReales[[#This Row],[Dato PDF]]&lt;&gt;"",BaseOperacionesReales[[#This Row],[Dato PDF]]-BaseOperacionesReales[[#This Row],[Valor]],0)</f>
        <v>0</v>
      </c>
    </row>
    <row r="463" spans="2:8" x14ac:dyDescent="0.25">
      <c r="B463" s="1">
        <v>46226</v>
      </c>
      <c r="C463" s="1" t="s">
        <v>47</v>
      </c>
      <c r="D463" t="s">
        <v>372</v>
      </c>
      <c r="E463" s="301">
        <v>7111.18</v>
      </c>
      <c r="F463" s="301"/>
      <c r="G463" s="301"/>
      <c r="H463" s="301">
        <f>IF(BaseOperacionesReales[[#This Row],[Dato PDF]]&lt;&gt;"",BaseOperacionesReales[[#This Row],[Dato PDF]]-BaseOperacionesReales[[#This Row],[Valor]],0)</f>
        <v>0</v>
      </c>
    </row>
    <row r="464" spans="2:8" x14ac:dyDescent="0.25">
      <c r="B464" s="401">
        <v>46227</v>
      </c>
      <c r="C464" s="401" t="s">
        <v>47</v>
      </c>
      <c r="D464" t="s">
        <v>362</v>
      </c>
      <c r="E464" s="402">
        <v>-3575.89</v>
      </c>
      <c r="F464" s="402"/>
      <c r="G464" s="402"/>
      <c r="H464" s="402">
        <f>IF(BaseOperacionesReales[[#This Row],[Dato PDF]]&lt;&gt;"",BaseOperacionesReales[[#This Row],[Dato PDF]]-BaseOperacionesReales[[#This Row],[Valor]],0)</f>
        <v>0</v>
      </c>
    </row>
    <row r="465" spans="2:8" x14ac:dyDescent="0.25">
      <c r="B465" s="401">
        <v>46230</v>
      </c>
      <c r="C465" s="401" t="s">
        <v>47</v>
      </c>
      <c r="D465" t="s">
        <v>362</v>
      </c>
      <c r="E465" s="402">
        <v>-131.58000000000001</v>
      </c>
      <c r="F465" s="402"/>
      <c r="G465" s="402"/>
      <c r="H465" s="402">
        <f>IF(BaseOperacionesReales[[#This Row],[Dato PDF]]&lt;&gt;"",BaseOperacionesReales[[#This Row],[Dato PDF]]-BaseOperacionesReales[[#This Row],[Valor]],0)</f>
        <v>0</v>
      </c>
    </row>
    <row r="466" spans="2:8" x14ac:dyDescent="0.25">
      <c r="B466" s="401">
        <v>46230</v>
      </c>
      <c r="C466" s="401" t="s">
        <v>47</v>
      </c>
      <c r="D466" t="s">
        <v>362</v>
      </c>
      <c r="E466" s="402">
        <v>-654</v>
      </c>
      <c r="F466" s="402"/>
      <c r="G466" s="402"/>
      <c r="H466" s="402">
        <f>IF(BaseOperacionesReales[[#This Row],[Dato PDF]]&lt;&gt;"",BaseOperacionesReales[[#This Row],[Dato PDF]]-BaseOperacionesReales[[#This Row],[Valor]],0)</f>
        <v>0</v>
      </c>
    </row>
    <row r="467" spans="2:8" x14ac:dyDescent="0.25">
      <c r="B467" s="401">
        <v>46230</v>
      </c>
      <c r="C467" s="401" t="s">
        <v>47</v>
      </c>
      <c r="D467" t="s">
        <v>362</v>
      </c>
      <c r="E467" s="402">
        <v>-2055.33</v>
      </c>
      <c r="F467" s="402"/>
      <c r="G467" s="402"/>
      <c r="H467" s="402">
        <f>IF(BaseOperacionesReales[[#This Row],[Dato PDF]]&lt;&gt;"",BaseOperacionesReales[[#This Row],[Dato PDF]]-BaseOperacionesReales[[#This Row],[Valor]],0)</f>
        <v>0</v>
      </c>
    </row>
    <row r="468" spans="2:8" x14ac:dyDescent="0.25">
      <c r="B468" s="401">
        <v>46230</v>
      </c>
      <c r="C468" s="401" t="s">
        <v>47</v>
      </c>
      <c r="D468" t="s">
        <v>362</v>
      </c>
      <c r="E468" s="402">
        <v>-434.47</v>
      </c>
      <c r="F468" s="402"/>
      <c r="G468" s="402"/>
      <c r="H468" s="402">
        <f>IF(BaseOperacionesReales[[#This Row],[Dato PDF]]&lt;&gt;"",BaseOperacionesReales[[#This Row],[Dato PDF]]-BaseOperacionesReales[[#This Row],[Valor]],0)</f>
        <v>0</v>
      </c>
    </row>
    <row r="469" spans="2:8" x14ac:dyDescent="0.25">
      <c r="B469" s="401">
        <v>46230</v>
      </c>
      <c r="C469" s="1" t="s">
        <v>47</v>
      </c>
      <c r="D469" t="s">
        <v>371</v>
      </c>
      <c r="E469" s="301">
        <v>500</v>
      </c>
      <c r="F469" s="301"/>
      <c r="G469" s="301"/>
      <c r="H469" s="301">
        <f>IF(BaseOperacionesReales[[#This Row],[Dato PDF]]&lt;&gt;"",BaseOperacionesReales[[#This Row],[Dato PDF]]-BaseOperacionesReales[[#This Row],[Valor]],0)</f>
        <v>0</v>
      </c>
    </row>
    <row r="470" spans="2:8" x14ac:dyDescent="0.25">
      <c r="B470" s="1">
        <v>46231</v>
      </c>
      <c r="C470" s="1" t="s">
        <v>47</v>
      </c>
      <c r="D470" t="s">
        <v>360</v>
      </c>
      <c r="E470" s="301">
        <v>-6500</v>
      </c>
      <c r="F470" s="301"/>
      <c r="G470" s="301"/>
      <c r="H470" s="301">
        <f>IF(BaseOperacionesReales[[#This Row],[Dato PDF]]&lt;&gt;"",BaseOperacionesReales[[#This Row],[Dato PDF]]-BaseOperacionesReales[[#This Row],[Valor]],0)</f>
        <v>0</v>
      </c>
    </row>
    <row r="471" spans="2:8" x14ac:dyDescent="0.25">
      <c r="B471" s="1">
        <v>46232</v>
      </c>
      <c r="C471" s="1" t="s">
        <v>47</v>
      </c>
      <c r="D471" t="s">
        <v>372</v>
      </c>
      <c r="E471" s="301">
        <v>7886.7</v>
      </c>
      <c r="F471" s="301"/>
      <c r="G471" s="301"/>
      <c r="H471" s="301">
        <f>IF(BaseOperacionesReales[[#This Row],[Dato PDF]]&lt;&gt;"",BaseOperacionesReales[[#This Row],[Dato PDF]]-BaseOperacionesReales[[#This Row],[Valor]],0)</f>
        <v>0</v>
      </c>
    </row>
    <row r="472" spans="2:8" x14ac:dyDescent="0.25">
      <c r="B472" s="401">
        <v>46232</v>
      </c>
      <c r="C472" s="401" t="s">
        <v>47</v>
      </c>
      <c r="D472" t="s">
        <v>362</v>
      </c>
      <c r="E472" s="301">
        <v>-731.68999997103799</v>
      </c>
      <c r="F472" s="402"/>
      <c r="G472" s="402"/>
      <c r="H472" s="301">
        <f>IF(BaseOperacionesReales[[#This Row],[Dato PDF]]&lt;&gt;"",BaseOperacionesReales[[#This Row],[Dato PDF]]-BaseOperacionesReales[[#This Row],[Valor]],0)</f>
        <v>0</v>
      </c>
    </row>
    <row r="473" spans="2:8" x14ac:dyDescent="0.25">
      <c r="B473" s="401">
        <v>46232</v>
      </c>
      <c r="C473" s="401" t="s">
        <v>47</v>
      </c>
      <c r="D473" t="s">
        <v>358</v>
      </c>
      <c r="E473" s="301">
        <v>-1972.53</v>
      </c>
      <c r="F473" s="301"/>
      <c r="G473" s="301"/>
      <c r="H473" s="301">
        <f>IF(BaseOperacionesReales[[#This Row],[Dato PDF]]&lt;&gt;"",BaseOperacionesReales[[#This Row],[Dato PDF]]-BaseOperacionesReales[[#This Row],[Valor]],0)</f>
        <v>0</v>
      </c>
    </row>
    <row r="474" spans="2:8" x14ac:dyDescent="0.25">
      <c r="B474" s="401">
        <v>46232</v>
      </c>
      <c r="C474" s="401" t="s">
        <v>47</v>
      </c>
      <c r="D474" t="s">
        <v>358</v>
      </c>
      <c r="E474" s="301">
        <v>-3922.92</v>
      </c>
      <c r="F474" s="301"/>
      <c r="G474" s="301"/>
      <c r="H474" s="301">
        <f>IF(BaseOperacionesReales[[#This Row],[Dato PDF]]&lt;&gt;"",BaseOperacionesReales[[#This Row],[Dato PDF]]-BaseOperacionesReales[[#This Row],[Valor]],0)</f>
        <v>0</v>
      </c>
    </row>
    <row r="475" spans="2:8" x14ac:dyDescent="0.25">
      <c r="B475" s="401">
        <v>46232</v>
      </c>
      <c r="C475" s="401" t="s">
        <v>47</v>
      </c>
      <c r="D475" t="s">
        <v>360</v>
      </c>
      <c r="E475" s="301">
        <v>-1157.1500000000001</v>
      </c>
      <c r="F475" s="301"/>
      <c r="G475" s="301"/>
      <c r="H475" s="301">
        <f>IF(BaseOperacionesReales[[#This Row],[Dato PDF]]&lt;&gt;"",BaseOperacionesReales[[#This Row],[Dato PDF]]-BaseOperacionesReales[[#This Row],[Valor]],0)</f>
        <v>0</v>
      </c>
    </row>
    <row r="476" spans="2:8" x14ac:dyDescent="0.25">
      <c r="B476" s="401">
        <v>46233</v>
      </c>
      <c r="C476" s="401" t="s">
        <v>47</v>
      </c>
      <c r="D476" t="s">
        <v>360</v>
      </c>
      <c r="E476" s="301">
        <v>-5529.99</v>
      </c>
      <c r="F476" s="301"/>
      <c r="G476" s="301"/>
      <c r="H476" s="301">
        <f>IF(BaseOperacionesReales[[#This Row],[Dato PDF]]&lt;&gt;"",BaseOperacionesReales[[#This Row],[Dato PDF]]-BaseOperacionesReales[[#This Row],[Valor]],0)</f>
        <v>0</v>
      </c>
    </row>
    <row r="477" spans="2:8" x14ac:dyDescent="0.25">
      <c r="B477" s="401">
        <v>46233</v>
      </c>
      <c r="C477" s="401" t="s">
        <v>47</v>
      </c>
      <c r="D477" t="s">
        <v>382</v>
      </c>
      <c r="E477" s="301">
        <v>-7751.75</v>
      </c>
      <c r="F477" s="301"/>
      <c r="G477" s="301"/>
      <c r="H477" s="301">
        <f>IF(BaseOperacionesReales[[#This Row],[Dato PDF]]&lt;&gt;"",BaseOperacionesReales[[#This Row],[Dato PDF]]-BaseOperacionesReales[[#This Row],[Valor]],0)</f>
        <v>0</v>
      </c>
    </row>
    <row r="478" spans="2:8" x14ac:dyDescent="0.25">
      <c r="B478" s="1">
        <v>46237</v>
      </c>
      <c r="C478" s="401" t="s">
        <v>47</v>
      </c>
      <c r="D478" t="s">
        <v>371</v>
      </c>
      <c r="E478" s="301">
        <v>750</v>
      </c>
      <c r="F478" s="301"/>
      <c r="G478" s="301"/>
      <c r="H478" s="301">
        <f>IF(BaseOperacionesReales[[#This Row],[Dato PDF]]&lt;&gt;"",BaseOperacionesReales[[#This Row],[Dato PDF]]-BaseOperacionesReales[[#This Row],[Valor]],0)</f>
        <v>0</v>
      </c>
    </row>
    <row r="479" spans="2:8" x14ac:dyDescent="0.25">
      <c r="B479" s="1">
        <v>46237</v>
      </c>
      <c r="C479" s="401" t="s">
        <v>47</v>
      </c>
      <c r="D479" t="s">
        <v>381</v>
      </c>
      <c r="E479" s="301">
        <v>250</v>
      </c>
      <c r="F479" s="301"/>
      <c r="G479" s="301"/>
      <c r="H479" s="301">
        <f>IF(BaseOperacionesReales[[#This Row],[Dato PDF]]&lt;&gt;"",BaseOperacionesReales[[#This Row],[Dato PDF]]-BaseOperacionesReales[[#This Row],[Valor]],0)</f>
        <v>0</v>
      </c>
    </row>
    <row r="480" spans="2:8" x14ac:dyDescent="0.25">
      <c r="B480" s="1">
        <v>46237</v>
      </c>
      <c r="C480" s="401" t="s">
        <v>47</v>
      </c>
      <c r="D480" t="s">
        <v>381</v>
      </c>
      <c r="E480" s="301">
        <v>7000</v>
      </c>
      <c r="F480" s="301"/>
      <c r="G480" s="301"/>
      <c r="H480" s="301">
        <f>IF(BaseOperacionesReales[[#This Row],[Dato PDF]]&lt;&gt;"",BaseOperacionesReales[[#This Row],[Dato PDF]]-BaseOperacionesReales[[#This Row],[Valor]],0)</f>
        <v>0</v>
      </c>
    </row>
    <row r="481" spans="2:8" x14ac:dyDescent="0.25">
      <c r="B481" s="1">
        <v>46237</v>
      </c>
      <c r="C481" s="401" t="s">
        <v>47</v>
      </c>
      <c r="D481" t="s">
        <v>383</v>
      </c>
      <c r="E481" s="301">
        <v>2840.3</v>
      </c>
      <c r="F481" s="301"/>
      <c r="G481" s="301"/>
      <c r="H481" s="301">
        <f>IF(BaseOperacionesReales[[#This Row],[Dato PDF]]&lt;&gt;"",BaseOperacionesReales[[#This Row],[Dato PDF]]-BaseOperacionesReales[[#This Row],[Valor]],0)</f>
        <v>0</v>
      </c>
    </row>
    <row r="482" spans="2:8" x14ac:dyDescent="0.25">
      <c r="B482" s="1">
        <v>46237</v>
      </c>
      <c r="C482" s="401" t="s">
        <v>47</v>
      </c>
      <c r="D482" t="s">
        <v>383</v>
      </c>
      <c r="E482" s="301">
        <v>1243.5</v>
      </c>
      <c r="F482" s="301"/>
      <c r="G482" s="301"/>
      <c r="H482" s="301">
        <f>IF(BaseOperacionesReales[[#This Row],[Dato PDF]]&lt;&gt;"",BaseOperacionesReales[[#This Row],[Dato PDF]]-BaseOperacionesReales[[#This Row],[Valor]],0)</f>
        <v>0</v>
      </c>
    </row>
    <row r="483" spans="2:8" x14ac:dyDescent="0.25">
      <c r="B483" s="1">
        <v>46237</v>
      </c>
      <c r="C483" s="401" t="s">
        <v>47</v>
      </c>
      <c r="D483" t="s">
        <v>374</v>
      </c>
      <c r="E483" s="301">
        <v>28374.3</v>
      </c>
      <c r="F483" s="301"/>
      <c r="G483" s="301"/>
      <c r="H483" s="301">
        <f>IF(BaseOperacionesReales[[#This Row],[Dato PDF]]&lt;&gt;"",BaseOperacionesReales[[#This Row],[Dato PDF]]-BaseOperacionesReales[[#This Row],[Valor]],0)</f>
        <v>0</v>
      </c>
    </row>
    <row r="484" spans="2:8" x14ac:dyDescent="0.25">
      <c r="B484" s="401">
        <v>46238</v>
      </c>
      <c r="C484" s="401" t="s">
        <v>47</v>
      </c>
      <c r="D484" t="s">
        <v>362</v>
      </c>
      <c r="E484" s="402">
        <v>-484.26</v>
      </c>
      <c r="F484" s="402"/>
      <c r="G484" s="402"/>
      <c r="H484" s="402">
        <f>IF(BaseOperacionesReales[[#This Row],[Dato PDF]]&lt;&gt;"",BaseOperacionesReales[[#This Row],[Dato PDF]]-BaseOperacionesReales[[#This Row],[Valor]],0)</f>
        <v>0</v>
      </c>
    </row>
    <row r="485" spans="2:8" x14ac:dyDescent="0.25">
      <c r="B485" s="401">
        <v>46238</v>
      </c>
      <c r="C485" s="401" t="s">
        <v>47</v>
      </c>
      <c r="D485" t="s">
        <v>360</v>
      </c>
      <c r="E485" s="301">
        <v>-146.5</v>
      </c>
      <c r="F485" s="301"/>
      <c r="G485" s="301"/>
      <c r="H485" s="301">
        <f>IF(BaseOperacionesReales[[#This Row],[Dato PDF]]&lt;&gt;"",BaseOperacionesReales[[#This Row],[Dato PDF]]-BaseOperacionesReales[[#This Row],[Valor]],0)</f>
        <v>0</v>
      </c>
    </row>
    <row r="486" spans="2:8" x14ac:dyDescent="0.25">
      <c r="B486" s="401">
        <v>46238</v>
      </c>
      <c r="C486" s="401" t="s">
        <v>47</v>
      </c>
      <c r="D486" t="s">
        <v>360</v>
      </c>
      <c r="E486" s="301">
        <v>-3061.18</v>
      </c>
      <c r="F486" s="301"/>
      <c r="G486" s="301"/>
      <c r="H486" s="301">
        <f>IF(BaseOperacionesReales[[#This Row],[Dato PDF]]&lt;&gt;"",BaseOperacionesReales[[#This Row],[Dato PDF]]-BaseOperacionesReales[[#This Row],[Valor]],0)</f>
        <v>0</v>
      </c>
    </row>
    <row r="487" spans="2:8" x14ac:dyDescent="0.25">
      <c r="B487" s="401">
        <v>46239</v>
      </c>
      <c r="C487" s="401" t="s">
        <v>47</v>
      </c>
      <c r="D487" t="s">
        <v>362</v>
      </c>
      <c r="E487" s="402">
        <v>-523.01</v>
      </c>
      <c r="F487" s="402"/>
      <c r="G487" s="402"/>
      <c r="H487" s="402">
        <f>IF(BaseOperacionesReales[[#This Row],[Dato PDF]]&lt;&gt;"",BaseOperacionesReales[[#This Row],[Dato PDF]]-BaseOperacionesReales[[#This Row],[Valor]],0)</f>
        <v>0</v>
      </c>
    </row>
    <row r="488" spans="2:8" x14ac:dyDescent="0.25">
      <c r="B488" s="401">
        <v>46239</v>
      </c>
      <c r="C488" s="401" t="s">
        <v>47</v>
      </c>
      <c r="D488" t="s">
        <v>358</v>
      </c>
      <c r="E488" s="301">
        <v>-2041.67</v>
      </c>
      <c r="F488" s="301"/>
      <c r="G488" s="301"/>
      <c r="H488" s="301">
        <f>IF(BaseOperacionesReales[[#This Row],[Dato PDF]]&lt;&gt;"",BaseOperacionesReales[[#This Row],[Dato PDF]]-BaseOperacionesReales[[#This Row],[Valor]],0)</f>
        <v>0</v>
      </c>
    </row>
    <row r="489" spans="2:8" x14ac:dyDescent="0.25">
      <c r="B489" s="401">
        <v>46239</v>
      </c>
      <c r="C489" s="401" t="s">
        <v>47</v>
      </c>
      <c r="D489" t="s">
        <v>382</v>
      </c>
      <c r="E489" s="301">
        <v>-2439.04</v>
      </c>
      <c r="F489" s="301"/>
      <c r="G489" s="301"/>
      <c r="H489" s="301">
        <f>IF(BaseOperacionesReales[[#This Row],[Dato PDF]]&lt;&gt;"",BaseOperacionesReales[[#This Row],[Dato PDF]]-BaseOperacionesReales[[#This Row],[Valor]],0)</f>
        <v>0</v>
      </c>
    </row>
    <row r="490" spans="2:8" x14ac:dyDescent="0.25">
      <c r="B490" s="401">
        <v>46239</v>
      </c>
      <c r="C490" s="401" t="s">
        <v>47</v>
      </c>
      <c r="D490" t="s">
        <v>382</v>
      </c>
      <c r="E490" s="301">
        <v>-13600</v>
      </c>
      <c r="F490" s="301"/>
      <c r="G490" s="301"/>
      <c r="H490" s="301">
        <f>IF(BaseOperacionesReales[[#This Row],[Dato PDF]]&lt;&gt;"",BaseOperacionesReales[[#This Row],[Dato PDF]]-BaseOperacionesReales[[#This Row],[Valor]],0)</f>
        <v>0</v>
      </c>
    </row>
    <row r="491" spans="2:8" x14ac:dyDescent="0.25">
      <c r="B491" s="401">
        <v>46240</v>
      </c>
      <c r="C491" s="401" t="s">
        <v>47</v>
      </c>
      <c r="D491" t="s">
        <v>362</v>
      </c>
      <c r="E491" s="402">
        <v>-560.17999999999995</v>
      </c>
      <c r="F491" s="402"/>
      <c r="G491" s="402"/>
      <c r="H491" s="402">
        <f>IF(BaseOperacionesReales[[#This Row],[Dato PDF]]&lt;&gt;"",BaseOperacionesReales[[#This Row],[Dato PDF]]-BaseOperacionesReales[[#This Row],[Valor]],0)</f>
        <v>0</v>
      </c>
    </row>
    <row r="492" spans="2:8" x14ac:dyDescent="0.25">
      <c r="B492" s="401">
        <v>46240</v>
      </c>
      <c r="C492" s="401" t="s">
        <v>47</v>
      </c>
      <c r="D492" t="s">
        <v>362</v>
      </c>
      <c r="E492" s="402">
        <v>-493.58</v>
      </c>
      <c r="F492" s="402"/>
      <c r="G492" s="402"/>
      <c r="H492" s="402">
        <f>IF(BaseOperacionesReales[[#This Row],[Dato PDF]]&lt;&gt;"",BaseOperacionesReales[[#This Row],[Dato PDF]]-BaseOperacionesReales[[#This Row],[Valor]],0)</f>
        <v>0</v>
      </c>
    </row>
    <row r="493" spans="2:8" x14ac:dyDescent="0.25">
      <c r="B493" s="1">
        <v>46240</v>
      </c>
      <c r="C493" s="401" t="s">
        <v>47</v>
      </c>
      <c r="D493" t="s">
        <v>381</v>
      </c>
      <c r="E493" s="301">
        <v>2200</v>
      </c>
      <c r="F493" s="301"/>
      <c r="G493" s="301"/>
      <c r="H493" s="301">
        <f>IF(BaseOperacionesReales[[#This Row],[Dato PDF]]&lt;&gt;"",BaseOperacionesReales[[#This Row],[Dato PDF]]-BaseOperacionesReales[[#This Row],[Valor]],0)</f>
        <v>0</v>
      </c>
    </row>
    <row r="494" spans="2:8" x14ac:dyDescent="0.25">
      <c r="B494" s="1">
        <v>46240</v>
      </c>
      <c r="C494" s="401" t="s">
        <v>47</v>
      </c>
      <c r="D494" t="s">
        <v>371</v>
      </c>
      <c r="E494" s="301">
        <v>1000</v>
      </c>
      <c r="F494" s="301"/>
      <c r="G494" s="301"/>
      <c r="H494" s="301">
        <f>IF(BaseOperacionesReales[[#This Row],[Dato PDF]]&lt;&gt;"",BaseOperacionesReales[[#This Row],[Dato PDF]]-BaseOperacionesReales[[#This Row],[Valor]],0)</f>
        <v>0</v>
      </c>
    </row>
    <row r="495" spans="2:8" x14ac:dyDescent="0.25">
      <c r="B495" s="401">
        <v>46241</v>
      </c>
      <c r="C495" s="401" t="s">
        <v>47</v>
      </c>
      <c r="D495" t="s">
        <v>362</v>
      </c>
      <c r="E495" s="402">
        <v>-1582.23</v>
      </c>
      <c r="F495" s="402"/>
      <c r="G495" s="402"/>
      <c r="H495" s="402">
        <f>IF(BaseOperacionesReales[[#This Row],[Dato PDF]]&lt;&gt;"",BaseOperacionesReales[[#This Row],[Dato PDF]]-BaseOperacionesReales[[#This Row],[Valor]],0)</f>
        <v>0</v>
      </c>
    </row>
    <row r="496" spans="2:8" x14ac:dyDescent="0.25">
      <c r="B496" s="401">
        <v>46241</v>
      </c>
      <c r="C496" s="401" t="s">
        <v>47</v>
      </c>
      <c r="D496" t="s">
        <v>362</v>
      </c>
      <c r="E496" s="402">
        <v>-2227.5100000000002</v>
      </c>
      <c r="F496" s="402"/>
      <c r="G496" s="402"/>
      <c r="H496" s="402">
        <f>IF(BaseOperacionesReales[[#This Row],[Dato PDF]]&lt;&gt;"",BaseOperacionesReales[[#This Row],[Dato PDF]]-BaseOperacionesReales[[#This Row],[Valor]],0)</f>
        <v>0</v>
      </c>
    </row>
    <row r="497" spans="2:8" x14ac:dyDescent="0.25">
      <c r="B497" s="401">
        <v>46241</v>
      </c>
      <c r="C497" s="401" t="s">
        <v>47</v>
      </c>
      <c r="D497" t="s">
        <v>371</v>
      </c>
      <c r="E497" s="301">
        <v>250</v>
      </c>
      <c r="F497" s="301"/>
      <c r="G497" s="301"/>
      <c r="H497" s="301">
        <f>IF(BaseOperacionesReales[[#This Row],[Dato PDF]]&lt;&gt;"",BaseOperacionesReales[[#This Row],[Dato PDF]]-BaseOperacionesReales[[#This Row],[Valor]],0)</f>
        <v>0</v>
      </c>
    </row>
    <row r="498" spans="2:8" x14ac:dyDescent="0.25">
      <c r="B498" s="401">
        <v>46241</v>
      </c>
      <c r="C498" s="401" t="s">
        <v>47</v>
      </c>
      <c r="D498" t="s">
        <v>370</v>
      </c>
      <c r="E498" s="301">
        <v>1980</v>
      </c>
      <c r="F498" s="301"/>
      <c r="G498" s="301"/>
      <c r="H498" s="301">
        <f>IF(BaseOperacionesReales[[#This Row],[Dato PDF]]&lt;&gt;"",BaseOperacionesReales[[#This Row],[Dato PDF]]-BaseOperacionesReales[[#This Row],[Valor]],0)</f>
        <v>0</v>
      </c>
    </row>
    <row r="499" spans="2:8" x14ac:dyDescent="0.25">
      <c r="B499" s="401">
        <v>46245</v>
      </c>
      <c r="C499" s="401" t="s">
        <v>47</v>
      </c>
      <c r="D499" t="s">
        <v>362</v>
      </c>
      <c r="E499" s="402">
        <v>-1586.41</v>
      </c>
      <c r="F499" s="402"/>
      <c r="G499" s="402"/>
      <c r="H499" s="402">
        <f>IF(BaseOperacionesReales[[#This Row],[Dato PDF]]&lt;&gt;"",BaseOperacionesReales[[#This Row],[Dato PDF]]-BaseOperacionesReales[[#This Row],[Valor]],0)</f>
        <v>0</v>
      </c>
    </row>
    <row r="500" spans="2:8" x14ac:dyDescent="0.25">
      <c r="B500" s="401">
        <v>46246</v>
      </c>
      <c r="C500" s="401" t="s">
        <v>47</v>
      </c>
      <c r="D500" t="s">
        <v>372</v>
      </c>
      <c r="E500" s="402">
        <v>8232.9599999999991</v>
      </c>
      <c r="F500" s="402"/>
      <c r="G500" s="402"/>
      <c r="H500" s="402">
        <f>IF(BaseOperacionesReales[[#This Row],[Dato PDF]]&lt;&gt;"",BaseOperacionesReales[[#This Row],[Dato PDF]]-BaseOperacionesReales[[#This Row],[Valor]],0)</f>
        <v>0</v>
      </c>
    </row>
    <row r="501" spans="2:8" x14ac:dyDescent="0.25">
      <c r="B501" s="401">
        <v>46246</v>
      </c>
      <c r="C501" s="401" t="s">
        <v>47</v>
      </c>
      <c r="D501" t="s">
        <v>362</v>
      </c>
      <c r="E501" s="402">
        <v>-958.98</v>
      </c>
      <c r="F501" s="402"/>
      <c r="G501" s="402"/>
      <c r="H501" s="402">
        <f>IF(BaseOperacionesReales[[#This Row],[Dato PDF]]&lt;&gt;"",BaseOperacionesReales[[#This Row],[Dato PDF]]-BaseOperacionesReales[[#This Row],[Valor]],0)</f>
        <v>0</v>
      </c>
    </row>
    <row r="502" spans="2:8" x14ac:dyDescent="0.25">
      <c r="B502" s="401">
        <v>46246</v>
      </c>
      <c r="C502" s="401" t="s">
        <v>47</v>
      </c>
      <c r="D502" t="s">
        <v>362</v>
      </c>
      <c r="E502" s="402">
        <v>-795.99</v>
      </c>
      <c r="F502" s="402"/>
      <c r="G502" s="402"/>
      <c r="H502" s="402">
        <f>IF(BaseOperacionesReales[[#This Row],[Dato PDF]]&lt;&gt;"",BaseOperacionesReales[[#This Row],[Dato PDF]]-BaseOperacionesReales[[#This Row],[Valor]],0)</f>
        <v>0</v>
      </c>
    </row>
    <row r="503" spans="2:8" x14ac:dyDescent="0.25">
      <c r="B503" s="401">
        <v>46247</v>
      </c>
      <c r="C503" s="401" t="s">
        <v>47</v>
      </c>
      <c r="D503" t="s">
        <v>362</v>
      </c>
      <c r="E503" s="402">
        <v>-1743.12</v>
      </c>
      <c r="F503" s="402"/>
      <c r="G503" s="402"/>
      <c r="H503" s="402">
        <f>IF(BaseOperacionesReales[[#This Row],[Dato PDF]]&lt;&gt;"",BaseOperacionesReales[[#This Row],[Dato PDF]]-BaseOperacionesReales[[#This Row],[Valor]],0)</f>
        <v>0</v>
      </c>
    </row>
    <row r="504" spans="2:8" x14ac:dyDescent="0.25">
      <c r="B504" s="401">
        <v>46248</v>
      </c>
      <c r="C504" s="401" t="s">
        <v>47</v>
      </c>
      <c r="D504" t="s">
        <v>362</v>
      </c>
      <c r="E504" s="402">
        <v>-872.73</v>
      </c>
      <c r="F504" s="402"/>
      <c r="G504" s="402"/>
      <c r="H504" s="402">
        <f>IF(BaseOperacionesReales[[#This Row],[Dato PDF]]&lt;&gt;"",BaseOperacionesReales[[#This Row],[Dato PDF]]-BaseOperacionesReales[[#This Row],[Valor]],0)</f>
        <v>0</v>
      </c>
    </row>
    <row r="505" spans="2:8" x14ac:dyDescent="0.25">
      <c r="B505" s="401">
        <v>46248</v>
      </c>
      <c r="C505" s="1" t="s">
        <v>47</v>
      </c>
      <c r="D505" t="s">
        <v>370</v>
      </c>
      <c r="E505" s="301">
        <v>200</v>
      </c>
      <c r="F505" s="301"/>
      <c r="G505" s="301"/>
      <c r="H505" s="301">
        <f>IF(BaseOperacionesReales[[#This Row],[Dato PDF]]&lt;&gt;"",BaseOperacionesReales[[#This Row],[Dato PDF]]-BaseOperacionesReales[[#This Row],[Valor]],0)</f>
        <v>0</v>
      </c>
    </row>
    <row r="506" spans="2:8" x14ac:dyDescent="0.25">
      <c r="B506" s="401">
        <v>46251</v>
      </c>
      <c r="C506" s="401" t="s">
        <v>47</v>
      </c>
      <c r="D506" t="s">
        <v>362</v>
      </c>
      <c r="E506" s="402">
        <v>-2954.62</v>
      </c>
      <c r="F506" s="402"/>
      <c r="G506" s="402"/>
      <c r="H506" s="402">
        <f>IF(BaseOperacionesReales[[#This Row],[Dato PDF]]&lt;&gt;"",BaseOperacionesReales[[#This Row],[Dato PDF]]-BaseOperacionesReales[[#This Row],[Valor]],0)</f>
        <v>0</v>
      </c>
    </row>
    <row r="507" spans="2:8" x14ac:dyDescent="0.25">
      <c r="B507" s="401">
        <v>46252</v>
      </c>
      <c r="C507" s="401" t="s">
        <v>47</v>
      </c>
      <c r="D507" t="s">
        <v>372</v>
      </c>
      <c r="E507" s="402">
        <v>7346.19</v>
      </c>
      <c r="F507" s="301"/>
      <c r="G507" s="301"/>
      <c r="H507" s="301">
        <f>IF(BaseOperacionesReales[[#This Row],[Dato PDF]]&lt;&gt;"",BaseOperacionesReales[[#This Row],[Dato PDF]]-BaseOperacionesReales[[#This Row],[Valor]],0)</f>
        <v>0</v>
      </c>
    </row>
    <row r="508" spans="2:8" x14ac:dyDescent="0.25">
      <c r="B508" s="401">
        <v>46252</v>
      </c>
      <c r="C508" s="401" t="s">
        <v>47</v>
      </c>
      <c r="D508" t="s">
        <v>362</v>
      </c>
      <c r="E508" s="402">
        <v>-613.99</v>
      </c>
      <c r="F508" s="402"/>
      <c r="G508" s="402"/>
      <c r="H508" s="402">
        <f>IF(BaseOperacionesReales[[#This Row],[Dato PDF]]&lt;&gt;"",BaseOperacionesReales[[#This Row],[Dato PDF]]-BaseOperacionesReales[[#This Row],[Valor]],0)</f>
        <v>0</v>
      </c>
    </row>
    <row r="509" spans="2:8" x14ac:dyDescent="0.25">
      <c r="B509" s="401">
        <v>46252</v>
      </c>
      <c r="C509" s="401" t="s">
        <v>47</v>
      </c>
      <c r="D509" t="s">
        <v>362</v>
      </c>
      <c r="E509" s="402">
        <v>-1507.01</v>
      </c>
      <c r="F509" s="402"/>
      <c r="G509" s="402"/>
      <c r="H509" s="402">
        <f>IF(BaseOperacionesReales[[#This Row],[Dato PDF]]&lt;&gt;"",BaseOperacionesReales[[#This Row],[Dato PDF]]-BaseOperacionesReales[[#This Row],[Valor]],0)</f>
        <v>0</v>
      </c>
    </row>
    <row r="510" spans="2:8" x14ac:dyDescent="0.25">
      <c r="B510" s="401">
        <v>46252</v>
      </c>
      <c r="C510" s="401" t="s">
        <v>47</v>
      </c>
      <c r="D510" t="s">
        <v>362</v>
      </c>
      <c r="E510" s="402">
        <v>-4518.04</v>
      </c>
      <c r="F510" s="402"/>
      <c r="G510" s="402"/>
      <c r="H510" s="402">
        <f>IF(BaseOperacionesReales[[#This Row],[Dato PDF]]&lt;&gt;"",BaseOperacionesReales[[#This Row],[Dato PDF]]-BaseOperacionesReales[[#This Row],[Valor]],0)</f>
        <v>0</v>
      </c>
    </row>
    <row r="511" spans="2:8" x14ac:dyDescent="0.25">
      <c r="B511" s="401">
        <v>46253</v>
      </c>
      <c r="C511" s="401" t="s">
        <v>47</v>
      </c>
      <c r="D511" t="s">
        <v>362</v>
      </c>
      <c r="E511" s="402">
        <v>-1388.65</v>
      </c>
      <c r="F511" s="402"/>
      <c r="G511" s="402"/>
      <c r="H511" s="402">
        <f>IF(BaseOperacionesReales[[#This Row],[Dato PDF]]&lt;&gt;"",BaseOperacionesReales[[#This Row],[Dato PDF]]-BaseOperacionesReales[[#This Row],[Valor]],0)</f>
        <v>0</v>
      </c>
    </row>
    <row r="512" spans="2:8" x14ac:dyDescent="0.25">
      <c r="B512" s="401">
        <v>46253</v>
      </c>
      <c r="C512" s="401" t="s">
        <v>47</v>
      </c>
      <c r="D512" t="s">
        <v>362</v>
      </c>
      <c r="E512" s="402">
        <v>-640.39</v>
      </c>
      <c r="F512" s="402"/>
      <c r="G512" s="402"/>
      <c r="H512" s="402">
        <f>IF(BaseOperacionesReales[[#This Row],[Dato PDF]]&lt;&gt;"",BaseOperacionesReales[[#This Row],[Dato PDF]]-BaseOperacionesReales[[#This Row],[Valor]],0)</f>
        <v>0</v>
      </c>
    </row>
    <row r="513" spans="2:8" x14ac:dyDescent="0.25">
      <c r="B513" s="401">
        <v>46253</v>
      </c>
      <c r="C513" s="401" t="s">
        <v>47</v>
      </c>
      <c r="D513" t="s">
        <v>371</v>
      </c>
      <c r="E513" s="301">
        <v>300</v>
      </c>
      <c r="F513" s="301"/>
      <c r="G513" s="301"/>
      <c r="H513" s="301">
        <f>IF(BaseOperacionesReales[[#This Row],[Dato PDF]]&lt;&gt;"",BaseOperacionesReales[[#This Row],[Dato PDF]]-BaseOperacionesReales[[#This Row],[Valor]],0)</f>
        <v>0</v>
      </c>
    </row>
    <row r="514" spans="2:8" x14ac:dyDescent="0.25">
      <c r="B514" s="1">
        <v>46254</v>
      </c>
      <c r="C514" s="1" t="s">
        <v>47</v>
      </c>
      <c r="D514" t="s">
        <v>372</v>
      </c>
      <c r="E514" s="301">
        <v>8705.2516350000005</v>
      </c>
      <c r="F514" s="301"/>
      <c r="G514" s="301"/>
      <c r="H514" s="301">
        <v>0</v>
      </c>
    </row>
    <row r="515" spans="2:8" x14ac:dyDescent="0.25">
      <c r="B515" s="401">
        <v>46255</v>
      </c>
      <c r="C515" s="401" t="s">
        <v>47</v>
      </c>
      <c r="D515" t="s">
        <v>362</v>
      </c>
      <c r="E515" s="402">
        <v>-381.63</v>
      </c>
      <c r="F515" s="402"/>
      <c r="G515" s="402"/>
      <c r="H515" s="301">
        <v>0</v>
      </c>
    </row>
    <row r="516" spans="2:8" x14ac:dyDescent="0.25">
      <c r="B516" s="401">
        <v>46255</v>
      </c>
      <c r="C516" s="401" t="s">
        <v>47</v>
      </c>
      <c r="D516" t="s">
        <v>362</v>
      </c>
      <c r="E516" s="402">
        <v>-980.92</v>
      </c>
      <c r="F516" s="402"/>
      <c r="G516" s="402"/>
      <c r="H516" s="301">
        <v>0</v>
      </c>
    </row>
    <row r="517" spans="2:8" x14ac:dyDescent="0.25">
      <c r="B517" s="401">
        <v>46258</v>
      </c>
      <c r="C517" s="401" t="s">
        <v>47</v>
      </c>
      <c r="D517" t="s">
        <v>362</v>
      </c>
      <c r="E517" s="402">
        <v>-466.49</v>
      </c>
      <c r="F517" s="402"/>
      <c r="G517" s="402"/>
      <c r="H517" s="301">
        <v>0</v>
      </c>
    </row>
    <row r="518" spans="2:8" x14ac:dyDescent="0.25">
      <c r="B518" s="401">
        <v>46258</v>
      </c>
      <c r="C518" s="401" t="s">
        <v>47</v>
      </c>
      <c r="D518" t="s">
        <v>362</v>
      </c>
      <c r="E518" s="402">
        <v>-323.26</v>
      </c>
      <c r="F518" s="402"/>
      <c r="G518" s="402"/>
      <c r="H518" s="301">
        <v>0</v>
      </c>
    </row>
    <row r="519" spans="2:8" x14ac:dyDescent="0.25">
      <c r="B519" s="401">
        <v>46258</v>
      </c>
      <c r="C519" s="401" t="s">
        <v>47</v>
      </c>
      <c r="D519" t="s">
        <v>371</v>
      </c>
      <c r="E519" s="301">
        <v>3500</v>
      </c>
      <c r="F519" s="301"/>
      <c r="G519" s="301"/>
      <c r="H519" s="301">
        <f>IF(BaseOperacionesReales[[#This Row],[Dato PDF]]&lt;&gt;"",BaseOperacionesReales[[#This Row],[Dato PDF]]-BaseOperacionesReales[[#This Row],[Valor]],0)</f>
        <v>0</v>
      </c>
    </row>
    <row r="520" spans="2:8" x14ac:dyDescent="0.25">
      <c r="B520" s="401">
        <v>46259</v>
      </c>
      <c r="C520" s="401" t="s">
        <v>47</v>
      </c>
      <c r="D520" t="s">
        <v>362</v>
      </c>
      <c r="E520" s="402">
        <v>-933.18</v>
      </c>
      <c r="F520" s="402"/>
      <c r="G520" s="402"/>
      <c r="H520" s="402">
        <f>IF(BaseOperacionesReales[[#This Row],[Dato PDF]]&lt;&gt;"",BaseOperacionesReales[[#This Row],[Dato PDF]]-BaseOperacionesReales[[#This Row],[Valor]],0)</f>
        <v>0</v>
      </c>
    </row>
    <row r="521" spans="2:8" x14ac:dyDescent="0.25">
      <c r="B521" s="401">
        <v>46260</v>
      </c>
      <c r="C521" s="401" t="s">
        <v>47</v>
      </c>
      <c r="D521" t="s">
        <v>362</v>
      </c>
      <c r="E521" s="402">
        <v>-587.89</v>
      </c>
      <c r="F521" s="402"/>
      <c r="G521" s="402"/>
      <c r="H521" s="402">
        <f>IF(BaseOperacionesReales[[#This Row],[Dato PDF]]&lt;&gt;"",BaseOperacionesReales[[#This Row],[Dato PDF]]-BaseOperacionesReales[[#This Row],[Valor]],0)</f>
        <v>0</v>
      </c>
    </row>
    <row r="522" spans="2:8" x14ac:dyDescent="0.25">
      <c r="B522" s="401">
        <v>46261</v>
      </c>
      <c r="C522" s="401" t="s">
        <v>47</v>
      </c>
      <c r="D522" t="s">
        <v>362</v>
      </c>
      <c r="E522" s="402">
        <v>-538.79</v>
      </c>
      <c r="F522" s="402"/>
      <c r="G522" s="402"/>
      <c r="H522" s="402">
        <f>IF(BaseOperacionesReales[[#This Row],[Dato PDF]]&lt;&gt;"",BaseOperacionesReales[[#This Row],[Dato PDF]]-BaseOperacionesReales[[#This Row],[Valor]],0)</f>
        <v>0</v>
      </c>
    </row>
    <row r="523" spans="2:8" x14ac:dyDescent="0.25">
      <c r="B523" s="401">
        <v>46261</v>
      </c>
      <c r="C523" s="401" t="s">
        <v>47</v>
      </c>
      <c r="D523" t="s">
        <v>362</v>
      </c>
      <c r="E523" s="402">
        <v>-508.76</v>
      </c>
      <c r="F523" s="402"/>
      <c r="G523" s="402"/>
      <c r="H523" s="402">
        <f>IF(BaseOperacionesReales[[#This Row],[Dato PDF]]&lt;&gt;"",BaseOperacionesReales[[#This Row],[Dato PDF]]-BaseOperacionesReales[[#This Row],[Valor]],0)</f>
        <v>0</v>
      </c>
    </row>
    <row r="524" spans="2:8" x14ac:dyDescent="0.25">
      <c r="B524" s="401">
        <v>46261</v>
      </c>
      <c r="C524" s="401" t="s">
        <v>47</v>
      </c>
      <c r="D524" t="s">
        <v>372</v>
      </c>
      <c r="E524" s="301">
        <v>3695.02</v>
      </c>
      <c r="F524" s="301"/>
      <c r="G524" s="301"/>
      <c r="H524" s="301">
        <f>IF(BaseOperacionesReales[[#This Row],[Dato PDF]]&lt;&gt;"",BaseOperacionesReales[[#This Row],[Dato PDF]]-BaseOperacionesReales[[#This Row],[Valor]],0)</f>
        <v>0</v>
      </c>
    </row>
    <row r="525" spans="2:8" x14ac:dyDescent="0.25">
      <c r="B525" s="401">
        <v>46262</v>
      </c>
      <c r="C525" s="401" t="s">
        <v>47</v>
      </c>
      <c r="D525" t="s">
        <v>362</v>
      </c>
      <c r="E525" s="402">
        <v>-768.34</v>
      </c>
      <c r="F525" s="402"/>
      <c r="G525" s="402"/>
      <c r="H525" s="402">
        <f>IF(BaseOperacionesReales[[#This Row],[Dato PDF]]&lt;&gt;"",BaseOperacionesReales[[#This Row],[Dato PDF]]-BaseOperacionesReales[[#This Row],[Valor]],0)</f>
        <v>0</v>
      </c>
    </row>
    <row r="526" spans="2:8" x14ac:dyDescent="0.25">
      <c r="B526" s="401">
        <v>46265</v>
      </c>
      <c r="C526" s="401" t="s">
        <v>47</v>
      </c>
      <c r="D526" t="s">
        <v>362</v>
      </c>
      <c r="E526" s="402">
        <v>-4945.76</v>
      </c>
      <c r="F526" s="402"/>
      <c r="G526" s="402"/>
      <c r="H526" s="402">
        <f>IF(BaseOperacionesReales[[#This Row],[Dato PDF]]&lt;&gt;"",BaseOperacionesReales[[#This Row],[Dato PDF]]-BaseOperacionesReales[[#This Row],[Valor]],0)</f>
        <v>0</v>
      </c>
    </row>
    <row r="527" spans="2:8" x14ac:dyDescent="0.25">
      <c r="B527" s="401">
        <v>46265</v>
      </c>
      <c r="C527" s="401" t="s">
        <v>47</v>
      </c>
      <c r="D527" t="s">
        <v>362</v>
      </c>
      <c r="E527" s="402">
        <v>-615.64</v>
      </c>
      <c r="F527" s="402"/>
      <c r="G527" s="402"/>
      <c r="H527" s="402">
        <f>IF(BaseOperacionesReales[[#This Row],[Dato PDF]]&lt;&gt;"",BaseOperacionesReales[[#This Row],[Dato PDF]]-BaseOperacionesReales[[#This Row],[Valor]],0)</f>
        <v>0</v>
      </c>
    </row>
    <row r="528" spans="2:8" x14ac:dyDescent="0.25">
      <c r="B528" s="401">
        <v>46266</v>
      </c>
      <c r="C528" s="401" t="s">
        <v>47</v>
      </c>
      <c r="D528" t="s">
        <v>382</v>
      </c>
      <c r="E528" s="301">
        <v>-4792.97</v>
      </c>
      <c r="F528" s="301"/>
      <c r="G528" s="301"/>
      <c r="H528" s="301">
        <f>IF(BaseOperacionesReales[[#This Row],[Dato PDF]]&lt;&gt;"",BaseOperacionesReales[[#This Row],[Dato PDF]]-BaseOperacionesReales[[#This Row],[Valor]],0)</f>
        <v>0</v>
      </c>
    </row>
    <row r="529" spans="2:8" x14ac:dyDescent="0.25">
      <c r="B529" s="401">
        <v>46266</v>
      </c>
      <c r="C529" s="401" t="s">
        <v>47</v>
      </c>
      <c r="D529" t="s">
        <v>371</v>
      </c>
      <c r="E529" s="301">
        <v>3250</v>
      </c>
      <c r="F529" s="301"/>
      <c r="G529" s="301"/>
      <c r="H529" s="301">
        <f>IF(BaseOperacionesReales[[#This Row],[Dato PDF]]&lt;&gt;"",BaseOperacionesReales[[#This Row],[Dato PDF]]-BaseOperacionesReales[[#This Row],[Valor]],0)</f>
        <v>0</v>
      </c>
    </row>
    <row r="530" spans="2:8" x14ac:dyDescent="0.25">
      <c r="B530" s="401">
        <v>46266</v>
      </c>
      <c r="C530" s="1" t="s">
        <v>47</v>
      </c>
      <c r="D530" t="s">
        <v>381</v>
      </c>
      <c r="E530" s="301">
        <v>750</v>
      </c>
      <c r="F530" s="301"/>
      <c r="G530" s="301"/>
      <c r="H530" s="301">
        <v>0</v>
      </c>
    </row>
    <row r="531" spans="2:8" x14ac:dyDescent="0.25">
      <c r="B531" s="401">
        <v>46267</v>
      </c>
      <c r="C531" s="401" t="s">
        <v>47</v>
      </c>
      <c r="D531" t="s">
        <v>371</v>
      </c>
      <c r="E531" s="301">
        <v>300</v>
      </c>
      <c r="F531" s="301"/>
      <c r="G531" s="301"/>
      <c r="H531" s="301">
        <f>IF(BaseOperacionesReales[[#This Row],[Dato PDF]]&lt;&gt;"",BaseOperacionesReales[[#This Row],[Dato PDF]]-BaseOperacionesReales[[#This Row],[Valor]],0)</f>
        <v>0</v>
      </c>
    </row>
    <row r="532" spans="2:8" x14ac:dyDescent="0.25">
      <c r="B532" s="401">
        <v>46267</v>
      </c>
      <c r="C532" s="1" t="s">
        <v>47</v>
      </c>
      <c r="D532" t="s">
        <v>372</v>
      </c>
      <c r="E532" s="301">
        <v>7411.58</v>
      </c>
      <c r="F532" s="301"/>
      <c r="G532" s="301"/>
      <c r="H532" s="301">
        <v>0</v>
      </c>
    </row>
    <row r="533" spans="2:8" x14ac:dyDescent="0.25">
      <c r="B533" s="401">
        <v>46268</v>
      </c>
      <c r="C533" s="401" t="s">
        <v>47</v>
      </c>
      <c r="D533" t="s">
        <v>362</v>
      </c>
      <c r="E533" s="402">
        <v>-1623.68</v>
      </c>
      <c r="F533" s="402"/>
      <c r="G533" s="402"/>
      <c r="H533" s="301">
        <v>0</v>
      </c>
    </row>
    <row r="534" spans="2:8" x14ac:dyDescent="0.25">
      <c r="B534" s="401">
        <v>46268</v>
      </c>
      <c r="C534" s="1" t="s">
        <v>47</v>
      </c>
      <c r="D534" t="s">
        <v>360</v>
      </c>
      <c r="E534" s="301">
        <v>-6654.45</v>
      </c>
      <c r="F534" s="301"/>
      <c r="G534" s="301"/>
      <c r="H534" s="301">
        <f>IF(BaseOperacionesReales[[#This Row],[Dato PDF]]&lt;&gt;"",BaseOperacionesReales[[#This Row],[Dato PDF]]-BaseOperacionesReales[[#This Row],[Valor]],0)</f>
        <v>0</v>
      </c>
    </row>
    <row r="535" spans="2:8" x14ac:dyDescent="0.25">
      <c r="B535" s="1">
        <v>46268</v>
      </c>
      <c r="C535" s="1" t="s">
        <v>47</v>
      </c>
      <c r="D535" t="s">
        <v>371</v>
      </c>
      <c r="E535" s="301">
        <v>300</v>
      </c>
      <c r="F535" s="301"/>
      <c r="G535" s="301"/>
      <c r="H535" s="301">
        <f>IF(BaseOperacionesReales[[#This Row],[Dato PDF]]&lt;&gt;"",BaseOperacionesReales[[#This Row],[Dato PDF]]-BaseOperacionesReales[[#This Row],[Valor]],0)</f>
        <v>0</v>
      </c>
    </row>
    <row r="536" spans="2:8" x14ac:dyDescent="0.25">
      <c r="B536" s="401">
        <v>46269</v>
      </c>
      <c r="C536" s="1" t="s">
        <v>47</v>
      </c>
      <c r="D536" t="s">
        <v>370</v>
      </c>
      <c r="E536" s="301">
        <v>500</v>
      </c>
      <c r="F536" s="301"/>
      <c r="G536" s="301"/>
      <c r="H536" s="301">
        <f>IF(BaseOperacionesReales[[#This Row],[Dato PDF]]&lt;&gt;"",BaseOperacionesReales[[#This Row],[Dato PDF]]-BaseOperacionesReales[[#This Row],[Valor]],0)</f>
        <v>0</v>
      </c>
    </row>
    <row r="537" spans="2:8" x14ac:dyDescent="0.25">
      <c r="B537" s="401">
        <v>46269</v>
      </c>
      <c r="C537" s="401" t="s">
        <v>47</v>
      </c>
      <c r="D537" t="s">
        <v>362</v>
      </c>
      <c r="E537" s="402">
        <v>-3330.68</v>
      </c>
      <c r="F537" s="402"/>
      <c r="G537" s="402"/>
      <c r="H537" s="402">
        <f>IF(BaseOperacionesReales[[#This Row],[Dato PDF]]&lt;&gt;"",BaseOperacionesReales[[#This Row],[Dato PDF]]-BaseOperacionesReales[[#This Row],[Valor]],0)</f>
        <v>0</v>
      </c>
    </row>
    <row r="538" spans="2:8" x14ac:dyDescent="0.25">
      <c r="B538" s="1">
        <v>46272</v>
      </c>
      <c r="C538" s="1" t="s">
        <v>47</v>
      </c>
      <c r="D538" t="s">
        <v>372</v>
      </c>
      <c r="E538" s="301">
        <v>4954.3717800000013</v>
      </c>
      <c r="F538" s="301"/>
      <c r="G538" s="301"/>
      <c r="H538" s="301">
        <f>IF(BaseOperacionesReales[[#This Row],[Dato PDF]]&lt;&gt;"",BaseOperacionesReales[[#This Row],[Dato PDF]]-BaseOperacionesReales[[#This Row],[Valor]],0)</f>
        <v>0</v>
      </c>
    </row>
    <row r="539" spans="2:8" x14ac:dyDescent="0.25">
      <c r="B539" s="1">
        <v>46272</v>
      </c>
      <c r="C539" s="1" t="s">
        <v>47</v>
      </c>
      <c r="D539" t="s">
        <v>371</v>
      </c>
      <c r="E539" s="301">
        <v>600</v>
      </c>
      <c r="F539" s="301"/>
      <c r="G539" s="301"/>
      <c r="H539" s="301">
        <f>IF(BaseOperacionesReales[[#This Row],[Dato PDF]]&lt;&gt;"",BaseOperacionesReales[[#This Row],[Dato PDF]]-BaseOperacionesReales[[#This Row],[Valor]],0)</f>
        <v>0</v>
      </c>
    </row>
    <row r="540" spans="2:8" x14ac:dyDescent="0.25">
      <c r="B540" s="401">
        <v>46274</v>
      </c>
      <c r="C540" s="1" t="s">
        <v>47</v>
      </c>
      <c r="D540" t="s">
        <v>362</v>
      </c>
      <c r="E540" s="402">
        <v>-659.38</v>
      </c>
      <c r="F540" s="402"/>
      <c r="G540" s="402"/>
      <c r="H540" s="402">
        <f>IF(BaseOperacionesReales[[#This Row],[Dato PDF]]&lt;&gt;"",BaseOperacionesReales[[#This Row],[Dato PDF]]-BaseOperacionesReales[[#This Row],[Valor]],0)</f>
        <v>0</v>
      </c>
    </row>
    <row r="541" spans="2:8" x14ac:dyDescent="0.25">
      <c r="B541" s="401">
        <v>46274</v>
      </c>
      <c r="C541" s="1" t="s">
        <v>47</v>
      </c>
      <c r="D541" t="s">
        <v>362</v>
      </c>
      <c r="E541" s="402">
        <v>-952.95</v>
      </c>
      <c r="F541" s="402"/>
      <c r="G541" s="402"/>
      <c r="H541" s="402">
        <f>IF(BaseOperacionesReales[[#This Row],[Dato PDF]]&lt;&gt;"",BaseOperacionesReales[[#This Row],[Dato PDF]]-BaseOperacionesReales[[#This Row],[Valor]],0)</f>
        <v>0</v>
      </c>
    </row>
    <row r="542" spans="2:8" x14ac:dyDescent="0.25">
      <c r="B542" s="401">
        <v>46275</v>
      </c>
      <c r="C542" s="401" t="s">
        <v>47</v>
      </c>
      <c r="D542" t="s">
        <v>362</v>
      </c>
      <c r="E542" s="402">
        <v>-563.63</v>
      </c>
      <c r="F542" s="402"/>
      <c r="G542" s="402"/>
      <c r="H542" s="402">
        <f>IF(BaseOperacionesReales[[#This Row],[Dato PDF]]&lt;&gt;"",BaseOperacionesReales[[#This Row],[Dato PDF]]-BaseOperacionesReales[[#This Row],[Valor]],0)</f>
        <v>0</v>
      </c>
    </row>
    <row r="543" spans="2:8" x14ac:dyDescent="0.25">
      <c r="B543" s="401">
        <v>46275</v>
      </c>
      <c r="C543" s="401" t="s">
        <v>47</v>
      </c>
      <c r="D543" t="s">
        <v>362</v>
      </c>
      <c r="E543" s="402">
        <v>-309.26</v>
      </c>
      <c r="F543" s="402"/>
      <c r="G543" s="402"/>
      <c r="H543" s="402">
        <f>IF(BaseOperacionesReales[[#This Row],[Dato PDF]]&lt;&gt;"",BaseOperacionesReales[[#This Row],[Dato PDF]]-BaseOperacionesReales[[#This Row],[Valor]],0)</f>
        <v>0</v>
      </c>
    </row>
    <row r="544" spans="2:8" x14ac:dyDescent="0.25">
      <c r="B544" s="401">
        <v>46275</v>
      </c>
      <c r="C544" s="401" t="s">
        <v>47</v>
      </c>
      <c r="D544" t="s">
        <v>362</v>
      </c>
      <c r="E544" s="402">
        <v>-513.35</v>
      </c>
      <c r="F544" s="402"/>
      <c r="G544" s="402"/>
      <c r="H544" s="402">
        <f>IF(BaseOperacionesReales[[#This Row],[Dato PDF]]&lt;&gt;"",BaseOperacionesReales[[#This Row],[Dato PDF]]-BaseOperacionesReales[[#This Row],[Valor]],0)</f>
        <v>0</v>
      </c>
    </row>
    <row r="545" spans="2:8" x14ac:dyDescent="0.25">
      <c r="B545" s="401">
        <v>46275</v>
      </c>
      <c r="C545" s="401" t="s">
        <v>47</v>
      </c>
      <c r="D545" t="s">
        <v>362</v>
      </c>
      <c r="E545" s="402">
        <v>-1232.31</v>
      </c>
      <c r="F545" s="402"/>
      <c r="G545" s="402"/>
      <c r="H545" s="402">
        <f>IF(BaseOperacionesReales[[#This Row],[Dato PDF]]&lt;&gt;"",BaseOperacionesReales[[#This Row],[Dato PDF]]-BaseOperacionesReales[[#This Row],[Valor]],0)</f>
        <v>0</v>
      </c>
    </row>
    <row r="546" spans="2:8" x14ac:dyDescent="0.25">
      <c r="B546" s="401">
        <v>46275</v>
      </c>
      <c r="C546" s="1" t="s">
        <v>47</v>
      </c>
      <c r="D546" t="s">
        <v>371</v>
      </c>
      <c r="E546" s="301">
        <v>2900</v>
      </c>
      <c r="F546" s="301"/>
      <c r="G546" s="301"/>
      <c r="H546" s="301">
        <f>IF(BaseOperacionesReales[[#This Row],[Dato PDF]]&lt;&gt;"",BaseOperacionesReales[[#This Row],[Dato PDF]]-BaseOperacionesReales[[#This Row],[Valor]],0)</f>
        <v>0</v>
      </c>
    </row>
    <row r="547" spans="2:8" x14ac:dyDescent="0.25">
      <c r="B547" s="401">
        <v>46275</v>
      </c>
      <c r="C547" s="1" t="s">
        <v>47</v>
      </c>
      <c r="D547" t="s">
        <v>370</v>
      </c>
      <c r="E547" s="301">
        <v>2000</v>
      </c>
      <c r="F547" s="301"/>
      <c r="G547" s="301"/>
      <c r="H547" s="301">
        <f>IF(BaseOperacionesReales[[#This Row],[Dato PDF]]&lt;&gt;"",BaseOperacionesReales[[#This Row],[Dato PDF]]-BaseOperacionesReales[[#This Row],[Valor]],0)</f>
        <v>0</v>
      </c>
    </row>
    <row r="548" spans="2:8" x14ac:dyDescent="0.25">
      <c r="B548" s="401">
        <v>46276</v>
      </c>
      <c r="C548" s="401" t="s">
        <v>47</v>
      </c>
      <c r="D548" t="s">
        <v>362</v>
      </c>
      <c r="E548" s="402">
        <v>-205.9</v>
      </c>
      <c r="F548" s="402"/>
      <c r="G548" s="402"/>
      <c r="H548" s="402">
        <f>IF(BaseOperacionesReales[[#This Row],[Dato PDF]]&lt;&gt;"",BaseOperacionesReales[[#This Row],[Dato PDF]]-BaseOperacionesReales[[#This Row],[Valor]],0)</f>
        <v>0</v>
      </c>
    </row>
    <row r="549" spans="2:8" x14ac:dyDescent="0.25">
      <c r="B549" s="401">
        <v>46276</v>
      </c>
      <c r="C549" s="401" t="s">
        <v>47</v>
      </c>
      <c r="D549" t="s">
        <v>362</v>
      </c>
      <c r="E549" s="402">
        <v>-3813.79</v>
      </c>
      <c r="F549" s="402"/>
      <c r="G549" s="402"/>
      <c r="H549" s="402">
        <f>IF(BaseOperacionesReales[[#This Row],[Dato PDF]]&lt;&gt;"",BaseOperacionesReales[[#This Row],[Dato PDF]]-BaseOperacionesReales[[#This Row],[Valor]],0)</f>
        <v>0</v>
      </c>
    </row>
    <row r="550" spans="2:8" x14ac:dyDescent="0.25">
      <c r="B550" s="401">
        <v>46276</v>
      </c>
      <c r="C550" s="401" t="s">
        <v>47</v>
      </c>
      <c r="D550" t="s">
        <v>362</v>
      </c>
      <c r="E550" s="402">
        <v>-1315.26</v>
      </c>
      <c r="F550" s="402"/>
      <c r="G550" s="402"/>
      <c r="H550" s="402">
        <f>IF(BaseOperacionesReales[[#This Row],[Dato PDF]]&lt;&gt;"",BaseOperacionesReales[[#This Row],[Dato PDF]]-BaseOperacionesReales[[#This Row],[Valor]],0)</f>
        <v>0</v>
      </c>
    </row>
    <row r="551" spans="2:8" x14ac:dyDescent="0.25">
      <c r="B551" s="401">
        <v>46276</v>
      </c>
      <c r="C551" s="401" t="s">
        <v>47</v>
      </c>
      <c r="D551" t="s">
        <v>362</v>
      </c>
      <c r="E551" s="402">
        <v>-2247.63</v>
      </c>
      <c r="F551" s="402"/>
      <c r="G551" s="402"/>
      <c r="H551" s="402">
        <f>IF(BaseOperacionesReales[[#This Row],[Dato PDF]]&lt;&gt;"",BaseOperacionesReales[[#This Row],[Dato PDF]]-BaseOperacionesReales[[#This Row],[Valor]],0)</f>
        <v>0</v>
      </c>
    </row>
    <row r="552" spans="2:8" x14ac:dyDescent="0.25">
      <c r="B552" s="401">
        <v>46276</v>
      </c>
      <c r="C552" s="401" t="s">
        <v>47</v>
      </c>
      <c r="D552" t="s">
        <v>358</v>
      </c>
      <c r="E552" s="301">
        <v>-323.60000000000002</v>
      </c>
      <c r="F552" s="301"/>
      <c r="G552" s="301"/>
      <c r="H552" s="301">
        <f>IF(BaseOperacionesReales[[#This Row],[Dato PDF]]&lt;&gt;"",BaseOperacionesReales[[#This Row],[Dato PDF]]-BaseOperacionesReales[[#This Row],[Valor]],0)</f>
        <v>0</v>
      </c>
    </row>
    <row r="553" spans="2:8" x14ac:dyDescent="0.25">
      <c r="B553" s="401">
        <v>46276</v>
      </c>
      <c r="C553" s="1" t="s">
        <v>47</v>
      </c>
      <c r="D553" t="s">
        <v>382</v>
      </c>
      <c r="E553" s="301">
        <v>-802.65</v>
      </c>
      <c r="F553" s="301"/>
      <c r="G553" s="301"/>
      <c r="H553" s="301">
        <f>IF(BaseOperacionesReales[[#This Row],[Dato PDF]]&lt;&gt;"",BaseOperacionesReales[[#This Row],[Dato PDF]]-BaseOperacionesReales[[#This Row],[Valor]],0)</f>
        <v>0</v>
      </c>
    </row>
    <row r="554" spans="2:8" x14ac:dyDescent="0.25">
      <c r="B554" s="401">
        <v>46276</v>
      </c>
      <c r="C554" s="1" t="s">
        <v>47</v>
      </c>
      <c r="D554" t="s">
        <v>371</v>
      </c>
      <c r="E554" s="301">
        <v>3000</v>
      </c>
      <c r="F554" s="301"/>
      <c r="G554" s="301"/>
      <c r="H554" s="301">
        <f>IF(BaseOperacionesReales[[#This Row],[Dato PDF]]&lt;&gt;"",BaseOperacionesReales[[#This Row],[Dato PDF]]-BaseOperacionesReales[[#This Row],[Valor]],0)</f>
        <v>0</v>
      </c>
    </row>
    <row r="555" spans="2:8" x14ac:dyDescent="0.25">
      <c r="B555" s="1">
        <v>46279</v>
      </c>
      <c r="C555" s="1" t="s">
        <v>47</v>
      </c>
      <c r="D555" t="s">
        <v>382</v>
      </c>
      <c r="E555" s="301">
        <v>-376.13</v>
      </c>
      <c r="F555" s="301"/>
      <c r="G555" s="301"/>
      <c r="H555" s="301">
        <f>IF(BaseOperacionesReales[[#This Row],[Dato PDF]]&lt;&gt;"",BaseOperacionesReales[[#This Row],[Dato PDF]]-BaseOperacionesReales[[#This Row],[Valor]],0)</f>
        <v>0</v>
      </c>
    </row>
    <row r="556" spans="2:8" x14ac:dyDescent="0.25">
      <c r="B556" s="1">
        <v>46280</v>
      </c>
      <c r="C556" s="1" t="s">
        <v>47</v>
      </c>
      <c r="D556" t="s">
        <v>382</v>
      </c>
      <c r="E556" s="301">
        <v>-12486.2</v>
      </c>
      <c r="F556" s="301"/>
      <c r="G556" s="301"/>
      <c r="H556" s="301">
        <f>IF(BaseOperacionesReales[[#This Row],[Dato PDF]]&lt;&gt;"",BaseOperacionesReales[[#This Row],[Dato PDF]]-BaseOperacionesReales[[#This Row],[Valor]],0)</f>
        <v>0</v>
      </c>
    </row>
    <row r="557" spans="2:8" x14ac:dyDescent="0.25">
      <c r="B557" s="1">
        <v>46280</v>
      </c>
      <c r="C557" s="1" t="s">
        <v>47</v>
      </c>
      <c r="D557" t="s">
        <v>372</v>
      </c>
      <c r="E557" s="301">
        <v>11815.02</v>
      </c>
      <c r="F557" s="301"/>
      <c r="G557" s="301"/>
      <c r="H557" s="301">
        <f>IF(BaseOperacionesReales[[#This Row],[Dato PDF]]&lt;&gt;"",BaseOperacionesReales[[#This Row],[Dato PDF]]-BaseOperacionesReales[[#This Row],[Valor]],0)</f>
        <v>0</v>
      </c>
    </row>
    <row r="558" spans="2:8" x14ac:dyDescent="0.25">
      <c r="B558" s="401">
        <v>46280</v>
      </c>
      <c r="C558" s="1" t="s">
        <v>47</v>
      </c>
      <c r="D558" t="s">
        <v>371</v>
      </c>
      <c r="E558" s="301">
        <v>1000</v>
      </c>
      <c r="F558" s="301"/>
      <c r="G558" s="301"/>
      <c r="H558" s="301">
        <f>IF(BaseOperacionesReales[[#This Row],[Dato PDF]]&lt;&gt;"",BaseOperacionesReales[[#This Row],[Dato PDF]]-BaseOperacionesReales[[#This Row],[Valor]],0)</f>
        <v>0</v>
      </c>
    </row>
    <row r="559" spans="2:8" x14ac:dyDescent="0.25">
      <c r="B559" s="1">
        <v>46281</v>
      </c>
      <c r="C559" s="1" t="s">
        <v>47</v>
      </c>
      <c r="D559" t="s">
        <v>382</v>
      </c>
      <c r="E559" s="301">
        <v>-2017.5224324999899</v>
      </c>
      <c r="F559" s="301"/>
      <c r="G559" s="301"/>
      <c r="H559" s="301">
        <f>IF(BaseOperacionesReales[[#This Row],[Dato PDF]]&lt;&gt;"",BaseOperacionesReales[[#This Row],[Dato PDF]]-BaseOperacionesReales[[#This Row],[Valor]],0)</f>
        <v>0</v>
      </c>
    </row>
    <row r="560" spans="2:8" x14ac:dyDescent="0.25">
      <c r="B560" s="1">
        <v>46283</v>
      </c>
      <c r="C560" s="1" t="s">
        <v>47</v>
      </c>
      <c r="D560" t="s">
        <v>353</v>
      </c>
      <c r="E560" s="301">
        <v>18405</v>
      </c>
      <c r="F560" s="301"/>
      <c r="G560" s="301"/>
      <c r="H560" s="301">
        <f>IF(BaseOperacionesReales[[#This Row],[Dato PDF]]&lt;&gt;"",BaseOperacionesReales[[#This Row],[Dato PDF]]-BaseOperacionesReales[[#This Row],[Valor]],0)</f>
        <v>0</v>
      </c>
    </row>
    <row r="561" spans="2:8" x14ac:dyDescent="0.25">
      <c r="B561" s="1">
        <v>46283</v>
      </c>
      <c r="C561" s="1" t="s">
        <v>47</v>
      </c>
      <c r="D561" t="s">
        <v>353</v>
      </c>
      <c r="E561" s="301">
        <v>28095</v>
      </c>
      <c r="F561" s="301"/>
      <c r="G561" s="301"/>
      <c r="H561" s="301">
        <f>IF(BaseOperacionesReales[[#This Row],[Dato PDF]]&lt;&gt;"",BaseOperacionesReales[[#This Row],[Dato PDF]]-BaseOperacionesReales[[#This Row],[Valor]],0)</f>
        <v>0</v>
      </c>
    </row>
    <row r="562" spans="2:8" x14ac:dyDescent="0.25">
      <c r="B562" s="1">
        <v>46283</v>
      </c>
      <c r="C562" s="1" t="s">
        <v>47</v>
      </c>
      <c r="D562" t="s">
        <v>382</v>
      </c>
      <c r="E562" s="301">
        <v>-11146.52</v>
      </c>
      <c r="F562" s="301"/>
      <c r="G562" s="301"/>
      <c r="H562" s="301">
        <f>IF(BaseOperacionesReales[[#This Row],[Dato PDF]]&lt;&gt;"",BaseOperacionesReales[[#This Row],[Dato PDF]]-BaseOperacionesReales[[#This Row],[Valor]],0)</f>
        <v>0</v>
      </c>
    </row>
    <row r="563" spans="2:8" x14ac:dyDescent="0.25">
      <c r="B563" s="401">
        <v>46286</v>
      </c>
      <c r="C563" s="401" t="s">
        <v>47</v>
      </c>
      <c r="D563" t="s">
        <v>362</v>
      </c>
      <c r="E563" s="402">
        <v>-210.04</v>
      </c>
      <c r="F563" s="402"/>
      <c r="G563" s="402"/>
      <c r="H563" s="402">
        <f>IF(BaseOperacionesReales[[#This Row],[Dato PDF]]&lt;&gt;"",BaseOperacionesReales[[#This Row],[Dato PDF]]-BaseOperacionesReales[[#This Row],[Valor]],0)</f>
        <v>0</v>
      </c>
    </row>
    <row r="564" spans="2:8" x14ac:dyDescent="0.25">
      <c r="B564" s="401">
        <v>46286</v>
      </c>
      <c r="C564" s="401" t="s">
        <v>47</v>
      </c>
      <c r="D564" t="s">
        <v>581</v>
      </c>
      <c r="E564" s="402">
        <v>-263.75</v>
      </c>
      <c r="F564" s="402"/>
      <c r="G564" s="402"/>
      <c r="H564" s="402">
        <f>IF(BaseOperacionesReales[[#This Row],[Dato PDF]]&lt;&gt;"",BaseOperacionesReales[[#This Row],[Dato PDF]]-BaseOperacionesReales[[#This Row],[Valor]],0)</f>
        <v>0</v>
      </c>
    </row>
    <row r="565" spans="2:8" x14ac:dyDescent="0.25">
      <c r="B565" s="401">
        <v>46286</v>
      </c>
      <c r="C565" s="401" t="s">
        <v>47</v>
      </c>
      <c r="D565" t="s">
        <v>380</v>
      </c>
      <c r="E565" s="301">
        <v>-2000</v>
      </c>
      <c r="F565" s="301"/>
      <c r="G565" s="301"/>
      <c r="H565" s="301">
        <f>IF(BaseOperacionesReales[[#This Row],[Dato PDF]]&lt;&gt;"",BaseOperacionesReales[[#This Row],[Dato PDF]]-BaseOperacionesReales[[#This Row],[Valor]],0)</f>
        <v>0</v>
      </c>
    </row>
    <row r="566" spans="2:8" x14ac:dyDescent="0.25">
      <c r="B566" s="401">
        <v>46287</v>
      </c>
      <c r="C566" s="401" t="s">
        <v>47</v>
      </c>
      <c r="D566" t="s">
        <v>358</v>
      </c>
      <c r="E566" s="301">
        <v>-12126.78</v>
      </c>
      <c r="F566" s="301"/>
      <c r="G566" s="301"/>
      <c r="H566" s="301">
        <f>IF(BaseOperacionesReales[[#This Row],[Dato PDF]]&lt;&gt;"",BaseOperacionesReales[[#This Row],[Dato PDF]]-BaseOperacionesReales[[#This Row],[Valor]],0)</f>
        <v>0</v>
      </c>
    </row>
    <row r="567" spans="2:8" x14ac:dyDescent="0.25">
      <c r="B567" s="401">
        <v>46288</v>
      </c>
      <c r="C567" s="401" t="s">
        <v>47</v>
      </c>
      <c r="D567" t="s">
        <v>368</v>
      </c>
      <c r="E567" s="301">
        <v>-1559.8</v>
      </c>
      <c r="F567" s="301"/>
      <c r="G567" s="301"/>
      <c r="H567" s="301">
        <f>IF(BaseOperacionesReales[[#This Row],[Dato PDF]]&lt;&gt;"",BaseOperacionesReales[[#This Row],[Dato PDF]]-BaseOperacionesReales[[#This Row],[Valor]],0)</f>
        <v>0</v>
      </c>
    </row>
    <row r="568" spans="2:8" x14ac:dyDescent="0.25">
      <c r="B568" s="1">
        <v>46289</v>
      </c>
      <c r="C568" s="401" t="s">
        <v>47</v>
      </c>
      <c r="D568" t="s">
        <v>588</v>
      </c>
      <c r="E568" s="479">
        <v>-6095.47</v>
      </c>
      <c r="F568" s="301"/>
      <c r="G568" s="301"/>
      <c r="H568" s="301">
        <f>IF(BaseOperacionesReales[[#This Row],[Dato PDF]]&lt;&gt;"",BaseOperacionesReales[[#This Row],[Dato PDF]]-BaseOperacionesReales[[#This Row],[Valor]],0)</f>
        <v>0</v>
      </c>
    </row>
    <row r="569" spans="2:8" x14ac:dyDescent="0.25">
      <c r="B569" s="1">
        <v>46289</v>
      </c>
      <c r="C569" s="401" t="s">
        <v>47</v>
      </c>
      <c r="D569" t="s">
        <v>382</v>
      </c>
      <c r="E569" s="479">
        <v>-6064.12</v>
      </c>
      <c r="F569" s="301"/>
      <c r="G569" s="301"/>
      <c r="H569" s="301">
        <f>IF(BaseOperacionesReales[[#This Row],[Dato PDF]]&lt;&gt;"",BaseOperacionesReales[[#This Row],[Dato PDF]]-BaseOperacionesReales[[#This Row],[Valor]],0)</f>
        <v>0</v>
      </c>
    </row>
    <row r="570" spans="2:8" x14ac:dyDescent="0.25">
      <c r="B570" s="1">
        <v>46289</v>
      </c>
      <c r="C570" s="401" t="s">
        <v>47</v>
      </c>
      <c r="D570" t="s">
        <v>368</v>
      </c>
      <c r="E570" s="479">
        <v>-2431.85</v>
      </c>
      <c r="F570" s="301"/>
      <c r="G570" s="301"/>
      <c r="H570" s="301">
        <f>IF(BaseOperacionesReales[[#This Row],[Dato PDF]]&lt;&gt;"",BaseOperacionesReales[[#This Row],[Dato PDF]]-BaseOperacionesReales[[#This Row],[Valor]],0)</f>
        <v>0</v>
      </c>
    </row>
    <row r="571" spans="2:8" x14ac:dyDescent="0.25">
      <c r="B571" s="1">
        <v>46290</v>
      </c>
      <c r="C571" s="401" t="s">
        <v>47</v>
      </c>
      <c r="D571" t="s">
        <v>368</v>
      </c>
      <c r="E571" s="301">
        <v>-4601.67</v>
      </c>
      <c r="F571" s="301"/>
      <c r="G571" s="301"/>
      <c r="H571" s="301">
        <f>IF(BaseOperacionesReales[[#This Row],[Dato PDF]]&lt;&gt;"",BaseOperacionesReales[[#This Row],[Dato PDF]]-BaseOperacionesReales[[#This Row],[Valor]],0)</f>
        <v>0</v>
      </c>
    </row>
    <row r="572" spans="2:8" x14ac:dyDescent="0.25">
      <c r="B572" s="1">
        <v>46301</v>
      </c>
      <c r="C572" s="1" t="s">
        <v>47</v>
      </c>
      <c r="D572" t="s">
        <v>591</v>
      </c>
      <c r="E572" s="301">
        <v>7915.45</v>
      </c>
      <c r="F572" s="301"/>
      <c r="G572" s="301"/>
      <c r="H572" s="301">
        <f>IF(BaseOperacionesReales[[#This Row],[Dato PDF]]&lt;&gt;"",BaseOperacionesReales[[#This Row],[Dato PDF]]-BaseOperacionesReales[[#This Row],[Valor]],0)</f>
        <v>0</v>
      </c>
    </row>
    <row r="573" spans="2:8" x14ac:dyDescent="0.25">
      <c r="B573" s="401">
        <v>46272</v>
      </c>
      <c r="C573" s="1" t="s">
        <v>47</v>
      </c>
      <c r="D573" t="s">
        <v>371</v>
      </c>
      <c r="E573" s="301">
        <v>400</v>
      </c>
      <c r="F573" s="301"/>
      <c r="G573" s="301"/>
      <c r="H573" s="301">
        <f>IF(BaseOperacionesReales[[#This Row],[Dato PDF]]&lt;&gt;"",BaseOperacionesReales[[#This Row],[Dato PDF]]-BaseOperacionesReales[[#This Row],[Valor]],0)</f>
        <v>0</v>
      </c>
    </row>
    <row r="574" spans="2:8" x14ac:dyDescent="0.25">
      <c r="B574" s="401">
        <v>46273</v>
      </c>
      <c r="C574" s="1" t="s">
        <v>47</v>
      </c>
      <c r="D574" t="s">
        <v>368</v>
      </c>
      <c r="E574" s="301">
        <v>-5521.57</v>
      </c>
      <c r="F574" s="301"/>
      <c r="G574" s="301"/>
      <c r="H574" s="301">
        <f>IF(BaseOperacionesReales[[#This Row],[Dato PDF]]&lt;&gt;"",BaseOperacionesReales[[#This Row],[Dato PDF]]-BaseOperacionesReales[[#This Row],[Valor]],0)</f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AD9"/>
  <sheetViews>
    <sheetView workbookViewId="0">
      <selection activeCell="U9" sqref="U9"/>
    </sheetView>
  </sheetViews>
  <sheetFormatPr baseColWidth="10" defaultRowHeight="15" x14ac:dyDescent="0.25"/>
  <sheetData>
    <row r="1" spans="2:30" s="343" customFormat="1" ht="43.15" customHeight="1" x14ac:dyDescent="0.25">
      <c r="B1" s="342" t="s">
        <v>249</v>
      </c>
      <c r="C1" s="342" t="s">
        <v>3</v>
      </c>
      <c r="D1" s="343" t="s">
        <v>62</v>
      </c>
      <c r="E1" s="342" t="s">
        <v>250</v>
      </c>
      <c r="F1" s="342" t="s">
        <v>251</v>
      </c>
      <c r="G1" s="342" t="s">
        <v>252</v>
      </c>
      <c r="H1" s="342" t="s">
        <v>253</v>
      </c>
      <c r="I1" s="343" t="s">
        <v>254</v>
      </c>
      <c r="J1" s="343" t="s">
        <v>255</v>
      </c>
      <c r="K1" s="343" t="s">
        <v>256</v>
      </c>
      <c r="L1" s="343" t="s">
        <v>257</v>
      </c>
      <c r="M1" s="343" t="s">
        <v>258</v>
      </c>
      <c r="N1" s="343" t="s">
        <v>259</v>
      </c>
      <c r="O1" s="343" t="s">
        <v>260</v>
      </c>
      <c r="P1" s="344" t="s">
        <v>261</v>
      </c>
      <c r="Q1" s="345" t="s">
        <v>262</v>
      </c>
      <c r="R1" s="343" t="s">
        <v>263</v>
      </c>
      <c r="S1" s="343" t="s">
        <v>264</v>
      </c>
      <c r="T1" s="343" t="s">
        <v>265</v>
      </c>
      <c r="U1" s="351" t="s">
        <v>266</v>
      </c>
      <c r="V1" s="343" t="s">
        <v>267</v>
      </c>
      <c r="W1" s="343" t="s">
        <v>268</v>
      </c>
      <c r="X1" s="343" t="s">
        <v>269</v>
      </c>
      <c r="Y1" s="343" t="s">
        <v>270</v>
      </c>
      <c r="Z1" s="343" t="s">
        <v>271</v>
      </c>
      <c r="AA1" s="343" t="s">
        <v>72</v>
      </c>
      <c r="AB1" s="343" t="s">
        <v>316</v>
      </c>
      <c r="AC1" s="343" t="s">
        <v>272</v>
      </c>
      <c r="AD1" s="343" t="s">
        <v>288</v>
      </c>
    </row>
    <row r="2" spans="2:30" x14ac:dyDescent="0.25">
      <c r="B2" s="328">
        <f ca="1">TODAY()</f>
        <v>46306</v>
      </c>
      <c r="C2" s="328" t="s">
        <v>123</v>
      </c>
      <c r="D2" t="s">
        <v>47</v>
      </c>
      <c r="E2" s="328">
        <v>45897</v>
      </c>
      <c r="F2" s="328"/>
      <c r="G2" s="328"/>
      <c r="H2" s="328">
        <v>46255</v>
      </c>
      <c r="J2" s="3">
        <f>L2*12/U2*100</f>
        <v>0</v>
      </c>
      <c r="K2" s="3"/>
      <c r="L2" s="325">
        <f>Q2*I2/100/12</f>
        <v>0</v>
      </c>
      <c r="M2" s="325">
        <v>0</v>
      </c>
      <c r="N2">
        <f>IF(F2="", 0, IF(B2&gt;F2,INT((B2-F2)/30),0))</f>
        <v>0</v>
      </c>
      <c r="O2" s="325">
        <v>304.18</v>
      </c>
      <c r="P2" s="325">
        <f ca="1">L2*N2+M2+IF(B2&gt;H2,O2,0)</f>
        <v>304.18</v>
      </c>
      <c r="Q2" s="325"/>
      <c r="R2" s="3"/>
      <c r="S2" s="3"/>
      <c r="T2" s="325">
        <f>Q2*R2/100</f>
        <v>0</v>
      </c>
      <c r="U2" s="325">
        <v>3195.82</v>
      </c>
      <c r="V2" s="325">
        <f>U2+W2</f>
        <v>3195.82</v>
      </c>
      <c r="W2" s="325">
        <v>0</v>
      </c>
      <c r="X2" s="325"/>
      <c r="Y2" s="325"/>
      <c r="Z2" s="325">
        <f>X2+Y2</f>
        <v>0</v>
      </c>
      <c r="AA2" s="185"/>
      <c r="AB2" s="185" t="s">
        <v>241</v>
      </c>
      <c r="AC2" s="328"/>
      <c r="AD2" s="185"/>
    </row>
    <row r="9" spans="2:30" x14ac:dyDescent="0.25">
      <c r="B9" s="328">
        <f ca="1">TODAY()</f>
        <v>46306</v>
      </c>
      <c r="C9" s="328" t="s">
        <v>233</v>
      </c>
      <c r="D9" t="s">
        <v>47</v>
      </c>
      <c r="E9" s="328">
        <v>46211</v>
      </c>
      <c r="F9" s="328">
        <v>46236</v>
      </c>
      <c r="G9" s="328">
        <v>46205</v>
      </c>
      <c r="H9" s="328">
        <v>49492</v>
      </c>
      <c r="I9">
        <v>7.93</v>
      </c>
      <c r="J9" s="3">
        <f>L9*12/U9*100</f>
        <v>53.587308795346487</v>
      </c>
      <c r="K9" s="3">
        <v>9.6999999999999993</v>
      </c>
      <c r="L9" s="325">
        <f>Q9*I9/100/12</f>
        <v>330.41666666666669</v>
      </c>
      <c r="M9" s="325">
        <f>L9-W9</f>
        <v>264.3366666666667</v>
      </c>
      <c r="N9">
        <f ca="1">IF(F9="", 0, IF(B9&gt;F9,INT((B9-F9)/30),0))</f>
        <v>2</v>
      </c>
      <c r="O9" s="325"/>
      <c r="P9" s="325">
        <f ca="1">L9*N9+M9+IF(B9&gt;F9,O9,0)</f>
        <v>925.17000000000007</v>
      </c>
      <c r="Q9" s="325">
        <v>50000</v>
      </c>
      <c r="R9" s="367">
        <v>89.413159419999999</v>
      </c>
      <c r="S9" s="367">
        <v>89.745999999999995</v>
      </c>
      <c r="T9" s="325">
        <f>Q9*R9/100</f>
        <v>44706.579709999998</v>
      </c>
      <c r="U9" s="325">
        <f>ROUND(TitulosActivos[[#This Row],[Valor 
Comprado Sin Comisión]]+TitulosActivos[[#This Row],[Total 
Comisiones]],2)</f>
        <v>7399.14</v>
      </c>
      <c r="V9" s="325">
        <f>U9+W9</f>
        <v>7465.22</v>
      </c>
      <c r="W9" s="325">
        <v>66.08</v>
      </c>
      <c r="X9" s="325">
        <v>77.989999999999995</v>
      </c>
      <c r="Y9" s="325">
        <v>22.35</v>
      </c>
      <c r="Z9" s="325">
        <f>X9+Y9</f>
        <v>100.34</v>
      </c>
      <c r="AA9" s="185">
        <v>370501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"/>
  <sheetViews>
    <sheetView workbookViewId="0">
      <selection activeCell="T30" sqref="T30"/>
    </sheetView>
  </sheetViews>
  <sheetFormatPr baseColWidth="10" defaultRowHeight="15" x14ac:dyDescent="0.25"/>
  <cols>
    <col min="1" max="1" width="2.7109375" customWidth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B2:K322"/>
  <sheetViews>
    <sheetView zoomScale="120" zoomScaleNormal="120" workbookViewId="0">
      <pane ySplit="2" topLeftCell="A303" activePane="bottomLeft" state="frozen"/>
      <selection pane="bottomLeft" activeCell="J313" sqref="J313"/>
    </sheetView>
  </sheetViews>
  <sheetFormatPr baseColWidth="10" defaultRowHeight="15" x14ac:dyDescent="0.25"/>
  <cols>
    <col min="1" max="1" width="2.7109375" customWidth="1"/>
    <col min="2" max="2" width="11.5703125" style="1" customWidth="1"/>
    <col min="3" max="5" width="11.85546875" style="325" bestFit="1" customWidth="1"/>
    <col min="6" max="6" width="13.42578125" style="325" bestFit="1" customWidth="1"/>
    <col min="7" max="7" width="14.42578125" style="325" bestFit="1" customWidth="1"/>
    <col min="8" max="8" width="14.28515625" style="325" bestFit="1" customWidth="1"/>
    <col min="10" max="10" width="12" bestFit="1" customWidth="1"/>
  </cols>
  <sheetData>
    <row r="2" spans="2:8" s="32" customFormat="1" x14ac:dyDescent="0.25">
      <c r="B2" s="302" t="s">
        <v>344</v>
      </c>
      <c r="C2" s="326" t="s">
        <v>44</v>
      </c>
      <c r="D2" s="326" t="s">
        <v>138</v>
      </c>
      <c r="E2" s="326" t="s">
        <v>46</v>
      </c>
      <c r="F2" s="326" t="s">
        <v>384</v>
      </c>
      <c r="G2" s="326" t="s">
        <v>385</v>
      </c>
      <c r="H2" s="396" t="s">
        <v>386</v>
      </c>
    </row>
    <row r="3" spans="2:8" x14ac:dyDescent="0.25">
      <c r="B3" s="1">
        <v>43906</v>
      </c>
      <c r="C3" s="325">
        <v>50000</v>
      </c>
      <c r="F3" s="325">
        <v>329199.44</v>
      </c>
      <c r="G3" s="325">
        <v>1279.22</v>
      </c>
      <c r="H3" s="325">
        <f>Clasificados[[#This Row],[Saldo Total]]-Clasificados[[#This Row],[Jaime]]-Clasificados[[#This Row],[Argentina]]-Clasificados[[#This Row],[Cristian]]+Clasificados[[#This Row],[Importación]]</f>
        <v>280478.65999999997</v>
      </c>
    </row>
    <row r="4" spans="2:8" x14ac:dyDescent="0.25">
      <c r="B4" s="1">
        <v>43982</v>
      </c>
      <c r="C4" s="325">
        <v>50000</v>
      </c>
      <c r="F4" s="325">
        <v>328764.98</v>
      </c>
      <c r="G4" s="325">
        <v>3500</v>
      </c>
      <c r="H4" s="325">
        <f>Clasificados[[#This Row],[Saldo Total]]-Clasificados[[#This Row],[Jaime]]-Clasificados[[#This Row],[Argentina]]-Clasificados[[#This Row],[Cristian]]+Clasificados[[#This Row],[Importación]]</f>
        <v>282264.98</v>
      </c>
    </row>
    <row r="5" spans="2:8" x14ac:dyDescent="0.25">
      <c r="B5" s="1">
        <v>43997</v>
      </c>
      <c r="C5" s="325">
        <v>53000</v>
      </c>
      <c r="F5" s="325">
        <v>332092.68</v>
      </c>
      <c r="G5" s="325">
        <v>3500</v>
      </c>
      <c r="H5" s="325">
        <f>Clasificados[[#This Row],[Saldo Total]]-Clasificados[[#This Row],[Jaime]]-Clasificados[[#This Row],[Argentina]]-Clasificados[[#This Row],[Cristian]]+Clasificados[[#This Row],[Importación]]</f>
        <v>282592.68</v>
      </c>
    </row>
    <row r="6" spans="2:8" x14ac:dyDescent="0.25">
      <c r="B6" s="1">
        <v>44015</v>
      </c>
      <c r="C6" s="325">
        <v>53000</v>
      </c>
      <c r="F6" s="325">
        <v>336010.36</v>
      </c>
      <c r="G6" s="325">
        <v>3500</v>
      </c>
      <c r="H6" s="325">
        <f>Clasificados[[#This Row],[Saldo Total]]-Clasificados[[#This Row],[Jaime]]-Clasificados[[#This Row],[Argentina]]-Clasificados[[#This Row],[Cristian]]+Clasificados[[#This Row],[Importación]]</f>
        <v>286510.36</v>
      </c>
    </row>
    <row r="7" spans="2:8" x14ac:dyDescent="0.25">
      <c r="B7" s="1">
        <v>44026</v>
      </c>
      <c r="C7" s="325">
        <v>53000</v>
      </c>
      <c r="F7" s="325">
        <v>337822.16</v>
      </c>
      <c r="G7" s="325">
        <v>3500</v>
      </c>
      <c r="H7" s="325">
        <f>Clasificados[[#This Row],[Saldo Total]]-Clasificados[[#This Row],[Jaime]]-Clasificados[[#This Row],[Argentina]]-Clasificados[[#This Row],[Cristian]]+Clasificados[[#This Row],[Importación]]</f>
        <v>288322.15999999997</v>
      </c>
    </row>
    <row r="8" spans="2:8" x14ac:dyDescent="0.25">
      <c r="B8" s="1">
        <v>44032</v>
      </c>
      <c r="C8" s="325">
        <v>53000</v>
      </c>
      <c r="F8" s="325">
        <v>338396.35</v>
      </c>
      <c r="G8" s="325">
        <v>3500</v>
      </c>
      <c r="H8" s="325">
        <f>Clasificados[[#This Row],[Saldo Total]]-Clasificados[[#This Row],[Jaime]]-Clasificados[[#This Row],[Argentina]]-Clasificados[[#This Row],[Cristian]]+Clasificados[[#This Row],[Importación]]</f>
        <v>288896.34999999998</v>
      </c>
    </row>
    <row r="9" spans="2:8" x14ac:dyDescent="0.25">
      <c r="B9" s="1">
        <v>44039</v>
      </c>
      <c r="C9" s="325">
        <v>53000</v>
      </c>
      <c r="F9" s="325">
        <v>334804.67</v>
      </c>
      <c r="G9" s="325">
        <v>7090.84</v>
      </c>
      <c r="H9" s="325">
        <f>Clasificados[[#This Row],[Saldo Total]]-Clasificados[[#This Row],[Jaime]]-Clasificados[[#This Row],[Argentina]]-Clasificados[[#This Row],[Cristian]]+Clasificados[[#This Row],[Importación]]</f>
        <v>288895.51</v>
      </c>
    </row>
    <row r="10" spans="2:8" x14ac:dyDescent="0.25">
      <c r="B10" s="1">
        <v>44041</v>
      </c>
      <c r="C10" s="325">
        <v>53000</v>
      </c>
      <c r="F10" s="325">
        <v>335608.93</v>
      </c>
      <c r="G10" s="325">
        <v>7090.84</v>
      </c>
      <c r="H10" s="325">
        <f>Clasificados[[#This Row],[Saldo Total]]-Clasificados[[#This Row],[Jaime]]-Clasificados[[#This Row],[Argentina]]-Clasificados[[#This Row],[Cristian]]+Clasificados[[#This Row],[Importación]]</f>
        <v>289699.77</v>
      </c>
    </row>
    <row r="11" spans="2:8" x14ac:dyDescent="0.25">
      <c r="B11" s="1">
        <v>44045</v>
      </c>
      <c r="C11" s="325">
        <v>53000</v>
      </c>
      <c r="F11" s="325">
        <v>335113.71999999997</v>
      </c>
      <c r="G11" s="325">
        <v>6690.84</v>
      </c>
      <c r="H11" s="325">
        <f>Clasificados[[#This Row],[Saldo Total]]-Clasificados[[#This Row],[Jaime]]-Clasificados[[#This Row],[Argentina]]-Clasificados[[#This Row],[Cristian]]+Clasificados[[#This Row],[Importación]]</f>
        <v>288804.56</v>
      </c>
    </row>
    <row r="12" spans="2:8" x14ac:dyDescent="0.25">
      <c r="B12" s="1">
        <v>44061</v>
      </c>
      <c r="C12" s="325">
        <v>53000</v>
      </c>
      <c r="F12" s="325">
        <v>334451.94</v>
      </c>
      <c r="G12" s="325">
        <v>6690.84</v>
      </c>
      <c r="H12" s="325">
        <f>Clasificados[[#This Row],[Saldo Total]]-Clasificados[[#This Row],[Jaime]]-Clasificados[[#This Row],[Argentina]]-Clasificados[[#This Row],[Cristian]]+Clasificados[[#This Row],[Importación]]</f>
        <v>288142.78000000003</v>
      </c>
    </row>
    <row r="13" spans="2:8" x14ac:dyDescent="0.25">
      <c r="B13" s="1">
        <v>44074</v>
      </c>
      <c r="C13" s="325">
        <v>53000</v>
      </c>
      <c r="F13" s="325">
        <v>337850.35</v>
      </c>
      <c r="G13" s="325">
        <v>6190.84</v>
      </c>
      <c r="H13" s="325">
        <f>Clasificados[[#This Row],[Saldo Total]]-Clasificados[[#This Row],[Jaime]]-Clasificados[[#This Row],[Argentina]]-Clasificados[[#This Row],[Cristian]]+Clasificados[[#This Row],[Importación]]</f>
        <v>291041.19</v>
      </c>
    </row>
    <row r="14" spans="2:8" x14ac:dyDescent="0.25">
      <c r="B14" s="1">
        <v>44076</v>
      </c>
      <c r="C14" s="325">
        <v>53000</v>
      </c>
      <c r="F14" s="325">
        <v>339308.28</v>
      </c>
      <c r="G14" s="325">
        <v>6090.84</v>
      </c>
      <c r="H14" s="325">
        <f>Clasificados[[#This Row],[Saldo Total]]-Clasificados[[#This Row],[Jaime]]-Clasificados[[#This Row],[Argentina]]-Clasificados[[#This Row],[Cristian]]+Clasificados[[#This Row],[Importación]]</f>
        <v>292399.12000000005</v>
      </c>
    </row>
    <row r="15" spans="2:8" x14ac:dyDescent="0.25">
      <c r="B15" s="1">
        <v>44092</v>
      </c>
      <c r="C15" s="325">
        <v>53000</v>
      </c>
      <c r="F15" s="325">
        <v>339886.21</v>
      </c>
      <c r="G15" s="325">
        <v>6090.84</v>
      </c>
      <c r="H15" s="325">
        <f>Clasificados[[#This Row],[Saldo Total]]-Clasificados[[#This Row],[Jaime]]-Clasificados[[#This Row],[Argentina]]-Clasificados[[#This Row],[Cristian]]+Clasificados[[#This Row],[Importación]]</f>
        <v>292977.05000000005</v>
      </c>
    </row>
    <row r="16" spans="2:8" x14ac:dyDescent="0.25">
      <c r="B16" s="1">
        <v>44105</v>
      </c>
      <c r="C16" s="325">
        <v>53000</v>
      </c>
      <c r="F16" s="325">
        <v>342281.82</v>
      </c>
      <c r="G16" s="325">
        <v>6090.84</v>
      </c>
      <c r="H16" s="325">
        <f>Clasificados[[#This Row],[Saldo Total]]-Clasificados[[#This Row],[Jaime]]-Clasificados[[#This Row],[Argentina]]-Clasificados[[#This Row],[Cristian]]+Clasificados[[#This Row],[Importación]]</f>
        <v>295372.66000000003</v>
      </c>
    </row>
    <row r="17" spans="2:8" x14ac:dyDescent="0.25">
      <c r="B17" s="1">
        <v>44119</v>
      </c>
      <c r="C17" s="325">
        <v>53000</v>
      </c>
      <c r="F17" s="325">
        <v>342116.55</v>
      </c>
      <c r="G17" s="325">
        <v>6090.84</v>
      </c>
      <c r="H17" s="325">
        <f>Clasificados[[#This Row],[Saldo Total]]-Clasificados[[#This Row],[Jaime]]-Clasificados[[#This Row],[Argentina]]-Clasificados[[#This Row],[Cristian]]+Clasificados[[#This Row],[Importación]]</f>
        <v>295207.39</v>
      </c>
    </row>
    <row r="18" spans="2:8" x14ac:dyDescent="0.25">
      <c r="B18" s="1">
        <v>44127</v>
      </c>
      <c r="C18" s="325">
        <v>53000</v>
      </c>
      <c r="F18" s="325">
        <v>337992</v>
      </c>
      <c r="G18" s="325">
        <v>6090.84</v>
      </c>
      <c r="H18" s="325">
        <f>Clasificados[[#This Row],[Saldo Total]]-Clasificados[[#This Row],[Jaime]]-Clasificados[[#This Row],[Argentina]]-Clasificados[[#This Row],[Cristian]]+Clasificados[[#This Row],[Importación]]</f>
        <v>291082.84000000003</v>
      </c>
    </row>
    <row r="19" spans="2:8" x14ac:dyDescent="0.25">
      <c r="B19" s="1">
        <v>44132</v>
      </c>
      <c r="C19" s="325">
        <v>53000</v>
      </c>
      <c r="F19" s="325">
        <v>337510</v>
      </c>
      <c r="G19" s="325">
        <v>6090.84</v>
      </c>
      <c r="H19" s="325">
        <f>Clasificados[[#This Row],[Saldo Total]]-Clasificados[[#This Row],[Jaime]]-Clasificados[[#This Row],[Argentina]]-Clasificados[[#This Row],[Cristian]]+Clasificados[[#This Row],[Importación]]</f>
        <v>290600.84000000003</v>
      </c>
    </row>
    <row r="20" spans="2:8" x14ac:dyDescent="0.25">
      <c r="B20" s="1">
        <v>44137</v>
      </c>
      <c r="C20" s="325">
        <v>53000</v>
      </c>
      <c r="F20" s="325">
        <v>337736.6</v>
      </c>
      <c r="G20" s="325">
        <v>6090.84</v>
      </c>
      <c r="H20" s="325">
        <f>Clasificados[[#This Row],[Saldo Total]]-Clasificados[[#This Row],[Jaime]]-Clasificados[[#This Row],[Argentina]]-Clasificados[[#This Row],[Cristian]]+Clasificados[[#This Row],[Importación]]</f>
        <v>290827.44</v>
      </c>
    </row>
    <row r="21" spans="2:8" x14ac:dyDescent="0.25">
      <c r="B21" s="1">
        <v>44139</v>
      </c>
      <c r="C21" s="325">
        <v>53000</v>
      </c>
      <c r="F21" s="325">
        <v>339108.82</v>
      </c>
      <c r="G21" s="325">
        <v>6090.84</v>
      </c>
      <c r="H21" s="325">
        <f>Clasificados[[#This Row],[Saldo Total]]-Clasificados[[#This Row],[Jaime]]-Clasificados[[#This Row],[Argentina]]-Clasificados[[#This Row],[Cristian]]+Clasificados[[#This Row],[Importación]]</f>
        <v>292199.66000000003</v>
      </c>
    </row>
    <row r="22" spans="2:8" x14ac:dyDescent="0.25">
      <c r="B22" s="1">
        <v>44163</v>
      </c>
      <c r="C22" s="325">
        <v>53000</v>
      </c>
      <c r="F22" s="325">
        <v>336216.86</v>
      </c>
      <c r="G22" s="325">
        <v>6090.84</v>
      </c>
      <c r="H22" s="325">
        <f>Clasificados[[#This Row],[Saldo Total]]-Clasificados[[#This Row],[Jaime]]-Clasificados[[#This Row],[Argentina]]-Clasificados[[#This Row],[Cristian]]+Clasificados[[#This Row],[Importación]]</f>
        <v>289307.7</v>
      </c>
    </row>
    <row r="23" spans="2:8" x14ac:dyDescent="0.25">
      <c r="B23" s="1">
        <v>44170</v>
      </c>
      <c r="C23" s="325">
        <v>53000</v>
      </c>
      <c r="F23" s="325">
        <v>345020.52</v>
      </c>
      <c r="G23" s="325">
        <v>6090.84</v>
      </c>
      <c r="H23" s="325">
        <f>Clasificados[[#This Row],[Saldo Total]]-Clasificados[[#This Row],[Jaime]]-Clasificados[[#This Row],[Argentina]]-Clasificados[[#This Row],[Cristian]]+Clasificados[[#This Row],[Importación]]</f>
        <v>298111.36000000004</v>
      </c>
    </row>
    <row r="24" spans="2:8" x14ac:dyDescent="0.25">
      <c r="B24" s="1">
        <v>44181</v>
      </c>
      <c r="C24" s="325">
        <v>53000</v>
      </c>
      <c r="F24" s="325">
        <v>348940.93</v>
      </c>
      <c r="G24" s="325">
        <v>6090.84</v>
      </c>
      <c r="H24" s="325">
        <f>Clasificados[[#This Row],[Saldo Total]]-Clasificados[[#This Row],[Jaime]]-Clasificados[[#This Row],[Argentina]]-Clasificados[[#This Row],[Cristian]]+Clasificados[[#This Row],[Importación]]</f>
        <v>302031.77</v>
      </c>
    </row>
    <row r="25" spans="2:8" x14ac:dyDescent="0.25">
      <c r="B25" s="1">
        <v>44194</v>
      </c>
      <c r="C25" s="325">
        <v>53000</v>
      </c>
      <c r="F25" s="325">
        <v>349865.61</v>
      </c>
      <c r="G25" s="325">
        <v>6090.84</v>
      </c>
      <c r="H25" s="325">
        <f>Clasificados[[#This Row],[Saldo Total]]-Clasificados[[#This Row],[Jaime]]-Clasificados[[#This Row],[Argentina]]-Clasificados[[#This Row],[Cristian]]+Clasificados[[#This Row],[Importación]]</f>
        <v>302956.45</v>
      </c>
    </row>
    <row r="26" spans="2:8" x14ac:dyDescent="0.25">
      <c r="B26" s="1">
        <v>44196</v>
      </c>
      <c r="C26" s="325">
        <v>53000</v>
      </c>
      <c r="F26" s="325">
        <v>350794.8</v>
      </c>
      <c r="G26" s="325">
        <v>6070.84</v>
      </c>
      <c r="H26" s="325">
        <f>Clasificados[[#This Row],[Saldo Total]]-Clasificados[[#This Row],[Jaime]]-Clasificados[[#This Row],[Argentina]]-Clasificados[[#This Row],[Cristian]]+Clasificados[[#This Row],[Importación]]</f>
        <v>303865.64</v>
      </c>
    </row>
    <row r="27" spans="2:8" x14ac:dyDescent="0.25">
      <c r="B27" s="1">
        <v>44207</v>
      </c>
      <c r="C27" s="325">
        <v>53000</v>
      </c>
      <c r="F27" s="325">
        <v>350321.65</v>
      </c>
      <c r="G27" s="325">
        <v>5970.84</v>
      </c>
      <c r="H27" s="325">
        <f>Clasificados[[#This Row],[Saldo Total]]-Clasificados[[#This Row],[Jaime]]-Clasificados[[#This Row],[Argentina]]-Clasificados[[#This Row],[Cristian]]+Clasificados[[#This Row],[Importación]]</f>
        <v>303292.49000000005</v>
      </c>
    </row>
    <row r="28" spans="2:8" x14ac:dyDescent="0.25">
      <c r="B28" s="1">
        <v>44215</v>
      </c>
      <c r="C28" s="325">
        <v>57000</v>
      </c>
      <c r="F28" s="325">
        <v>358641.04</v>
      </c>
      <c r="G28" s="325">
        <v>5970.84</v>
      </c>
      <c r="H28" s="325">
        <f>Clasificados[[#This Row],[Saldo Total]]-Clasificados[[#This Row],[Jaime]]-Clasificados[[#This Row],[Argentina]]-Clasificados[[#This Row],[Cristian]]+Clasificados[[#This Row],[Importación]]</f>
        <v>307611.88</v>
      </c>
    </row>
    <row r="29" spans="2:8" x14ac:dyDescent="0.25">
      <c r="B29" s="1">
        <v>44231</v>
      </c>
      <c r="C29" s="325">
        <v>57000</v>
      </c>
      <c r="F29" s="325">
        <v>351109.25</v>
      </c>
      <c r="G29" s="325">
        <v>5950.84</v>
      </c>
      <c r="H29" s="325">
        <f>Clasificados[[#This Row],[Saldo Total]]-Clasificados[[#This Row],[Jaime]]-Clasificados[[#This Row],[Argentina]]-Clasificados[[#This Row],[Cristian]]+Clasificados[[#This Row],[Importación]]</f>
        <v>300060.09000000003</v>
      </c>
    </row>
    <row r="30" spans="2:8" x14ac:dyDescent="0.25">
      <c r="B30" s="1">
        <v>44250</v>
      </c>
      <c r="C30" s="325">
        <v>57000</v>
      </c>
      <c r="F30" s="325">
        <v>352032.65</v>
      </c>
      <c r="G30" s="325">
        <v>5950.84</v>
      </c>
      <c r="H30" s="325">
        <f>Clasificados[[#This Row],[Saldo Total]]-Clasificados[[#This Row],[Jaime]]-Clasificados[[#This Row],[Argentina]]-Clasificados[[#This Row],[Cristian]]+Clasificados[[#This Row],[Importación]]</f>
        <v>300983.49000000005</v>
      </c>
    </row>
    <row r="31" spans="2:8" x14ac:dyDescent="0.25">
      <c r="B31" s="1">
        <v>44255</v>
      </c>
      <c r="C31" s="325">
        <v>57000</v>
      </c>
      <c r="F31" s="325">
        <v>352623.05</v>
      </c>
      <c r="G31" s="325">
        <v>5890.84</v>
      </c>
      <c r="H31" s="325">
        <f>Clasificados[[#This Row],[Saldo Total]]-Clasificados[[#This Row],[Jaime]]-Clasificados[[#This Row],[Argentina]]-Clasificados[[#This Row],[Cristian]]+Clasificados[[#This Row],[Importación]]</f>
        <v>301513.89</v>
      </c>
    </row>
    <row r="32" spans="2:8" x14ac:dyDescent="0.25">
      <c r="B32" s="1">
        <v>44259</v>
      </c>
      <c r="C32" s="325">
        <v>57000</v>
      </c>
      <c r="F32" s="325">
        <v>354590.34</v>
      </c>
      <c r="G32" s="325">
        <v>5890.84</v>
      </c>
      <c r="H32" s="325">
        <f>Clasificados[[#This Row],[Saldo Total]]-Clasificados[[#This Row],[Jaime]]-Clasificados[[#This Row],[Argentina]]-Clasificados[[#This Row],[Cristian]]+Clasificados[[#This Row],[Importación]]</f>
        <v>303481.18000000005</v>
      </c>
    </row>
    <row r="33" spans="2:8" x14ac:dyDescent="0.25">
      <c r="B33" s="1">
        <v>44281</v>
      </c>
      <c r="C33" s="325">
        <v>57000</v>
      </c>
      <c r="F33" s="325">
        <v>353803.74</v>
      </c>
      <c r="G33" s="325">
        <v>5870.84</v>
      </c>
      <c r="H33" s="325">
        <f>Clasificados[[#This Row],[Saldo Total]]-Clasificados[[#This Row],[Jaime]]-Clasificados[[#This Row],[Argentina]]-Clasificados[[#This Row],[Cristian]]+Clasificados[[#This Row],[Importación]]</f>
        <v>302674.58</v>
      </c>
    </row>
    <row r="34" spans="2:8" x14ac:dyDescent="0.25">
      <c r="B34" s="1">
        <v>44291</v>
      </c>
      <c r="C34" s="325">
        <v>57000</v>
      </c>
      <c r="F34" s="325">
        <v>354691.48</v>
      </c>
      <c r="G34" s="325">
        <v>5870.84</v>
      </c>
      <c r="H34" s="325">
        <f>Clasificados[[#This Row],[Saldo Total]]-Clasificados[[#This Row],[Jaime]]-Clasificados[[#This Row],[Argentina]]-Clasificados[[#This Row],[Cristian]]+Clasificados[[#This Row],[Importación]]</f>
        <v>303562.32</v>
      </c>
    </row>
    <row r="35" spans="2:8" x14ac:dyDescent="0.25">
      <c r="B35" s="1">
        <v>44306</v>
      </c>
      <c r="C35" s="325">
        <v>57000</v>
      </c>
      <c r="F35" s="325">
        <v>355369.7</v>
      </c>
      <c r="G35" s="325">
        <v>5870.84</v>
      </c>
      <c r="H35" s="325">
        <f>Clasificados[[#This Row],[Saldo Total]]-Clasificados[[#This Row],[Jaime]]-Clasificados[[#This Row],[Argentina]]-Clasificados[[#This Row],[Cristian]]+Clasificados[[#This Row],[Importación]]</f>
        <v>304240.54000000004</v>
      </c>
    </row>
    <row r="36" spans="2:8" x14ac:dyDescent="0.25">
      <c r="B36" s="1">
        <v>44319</v>
      </c>
      <c r="C36" s="325">
        <v>57000</v>
      </c>
      <c r="F36" s="325">
        <v>356625.96</v>
      </c>
      <c r="G36" s="325">
        <v>5850.84</v>
      </c>
      <c r="H36" s="325">
        <f>Clasificados[[#This Row],[Saldo Total]]-Clasificados[[#This Row],[Jaime]]-Clasificados[[#This Row],[Argentina]]-Clasificados[[#This Row],[Cristian]]+Clasificados[[#This Row],[Importación]]</f>
        <v>305476.80000000005</v>
      </c>
    </row>
    <row r="37" spans="2:8" x14ac:dyDescent="0.25">
      <c r="B37" s="1">
        <v>44330</v>
      </c>
      <c r="C37" s="325">
        <v>57000</v>
      </c>
      <c r="F37" s="325">
        <v>358865.27</v>
      </c>
      <c r="G37" s="325">
        <v>5850.84</v>
      </c>
      <c r="H37" s="325">
        <f>Clasificados[[#This Row],[Saldo Total]]-Clasificados[[#This Row],[Jaime]]-Clasificados[[#This Row],[Argentina]]-Clasificados[[#This Row],[Cristian]]+Clasificados[[#This Row],[Importación]]</f>
        <v>307716.11000000004</v>
      </c>
    </row>
    <row r="38" spans="2:8" x14ac:dyDescent="0.25">
      <c r="B38" s="1">
        <v>44340</v>
      </c>
      <c r="C38" s="325">
        <v>57000</v>
      </c>
      <c r="F38" s="325">
        <v>360273.95</v>
      </c>
      <c r="G38" s="325">
        <v>5850.84</v>
      </c>
      <c r="H38" s="325">
        <f>Clasificados[[#This Row],[Saldo Total]]-Clasificados[[#This Row],[Jaime]]-Clasificados[[#This Row],[Argentina]]-Clasificados[[#This Row],[Cristian]]+Clasificados[[#This Row],[Importación]]</f>
        <v>309124.79000000004</v>
      </c>
    </row>
    <row r="39" spans="2:8" x14ac:dyDescent="0.25">
      <c r="B39" s="1">
        <v>44362</v>
      </c>
      <c r="C39" s="325">
        <v>57000</v>
      </c>
      <c r="F39" s="325">
        <v>365306.55</v>
      </c>
      <c r="G39" s="325">
        <v>5850.84</v>
      </c>
      <c r="H39" s="325">
        <f>Clasificados[[#This Row],[Saldo Total]]-Clasificados[[#This Row],[Jaime]]-Clasificados[[#This Row],[Argentina]]-Clasificados[[#This Row],[Cristian]]+Clasificados[[#This Row],[Importación]]</f>
        <v>314157.39</v>
      </c>
    </row>
    <row r="40" spans="2:8" x14ac:dyDescent="0.25">
      <c r="B40" s="1">
        <v>44365</v>
      </c>
      <c r="C40" s="325">
        <v>57000</v>
      </c>
      <c r="F40" s="325">
        <v>366758.40000000002</v>
      </c>
      <c r="G40" s="325">
        <v>5850.84</v>
      </c>
      <c r="H40" s="325">
        <f>Clasificados[[#This Row],[Saldo Total]]-Clasificados[[#This Row],[Jaime]]-Clasificados[[#This Row],[Argentina]]-Clasificados[[#This Row],[Cristian]]+Clasificados[[#This Row],[Importación]]</f>
        <v>315609.24000000005</v>
      </c>
    </row>
    <row r="41" spans="2:8" x14ac:dyDescent="0.25">
      <c r="B41" s="1">
        <v>44365</v>
      </c>
      <c r="C41" s="325">
        <v>57000</v>
      </c>
      <c r="F41" s="325">
        <v>366758.40000000002</v>
      </c>
      <c r="G41" s="325">
        <v>5850.84</v>
      </c>
      <c r="H41" s="325">
        <f>Clasificados[[#This Row],[Saldo Total]]-Clasificados[[#This Row],[Jaime]]-Clasificados[[#This Row],[Argentina]]-Clasificados[[#This Row],[Cristian]]+Clasificados[[#This Row],[Importación]]</f>
        <v>315609.24000000005</v>
      </c>
    </row>
    <row r="42" spans="2:8" x14ac:dyDescent="0.25">
      <c r="B42" s="1">
        <v>44377</v>
      </c>
      <c r="C42" s="325">
        <v>57000</v>
      </c>
      <c r="F42" s="325">
        <v>361532.38500000013</v>
      </c>
      <c r="G42" s="325">
        <v>5830.84</v>
      </c>
      <c r="H42" s="325">
        <f>Clasificados[[#This Row],[Saldo Total]]-Clasificados[[#This Row],[Jaime]]-Clasificados[[#This Row],[Argentina]]-Clasificados[[#This Row],[Cristian]]+Clasificados[[#This Row],[Importación]]</f>
        <v>310363.22500000015</v>
      </c>
    </row>
    <row r="43" spans="2:8" x14ac:dyDescent="0.25">
      <c r="B43" s="1">
        <v>44378</v>
      </c>
      <c r="C43" s="325">
        <v>57000</v>
      </c>
      <c r="F43" s="325">
        <v>362679.05</v>
      </c>
      <c r="G43" s="325">
        <v>5830.84</v>
      </c>
      <c r="H43" s="325">
        <f>Clasificados[[#This Row],[Saldo Total]]-Clasificados[[#This Row],[Jaime]]-Clasificados[[#This Row],[Argentina]]-Clasificados[[#This Row],[Cristian]]+Clasificados[[#This Row],[Importación]]</f>
        <v>311509.89</v>
      </c>
    </row>
    <row r="44" spans="2:8" x14ac:dyDescent="0.25">
      <c r="B44" s="1">
        <v>44384</v>
      </c>
      <c r="C44" s="325">
        <v>57000</v>
      </c>
      <c r="F44" s="325">
        <v>365187.33</v>
      </c>
      <c r="G44" s="325">
        <v>5830.84</v>
      </c>
      <c r="H44" s="325">
        <f>Clasificados[[#This Row],[Saldo Total]]-Clasificados[[#This Row],[Jaime]]-Clasificados[[#This Row],[Argentina]]-Clasificados[[#This Row],[Cristian]]+Clasificados[[#This Row],[Importación]]</f>
        <v>314018.17000000004</v>
      </c>
    </row>
    <row r="45" spans="2:8" x14ac:dyDescent="0.25">
      <c r="B45" s="1">
        <v>44387</v>
      </c>
      <c r="C45" s="325">
        <v>57000</v>
      </c>
      <c r="F45" s="325">
        <v>370432.57</v>
      </c>
      <c r="G45" s="325">
        <v>5830.84</v>
      </c>
      <c r="H45" s="325">
        <f>Clasificados[[#This Row],[Saldo Total]]-Clasificados[[#This Row],[Jaime]]-Clasificados[[#This Row],[Argentina]]-Clasificados[[#This Row],[Cristian]]+Clasificados[[#This Row],[Importación]]</f>
        <v>319263.41000000003</v>
      </c>
    </row>
    <row r="46" spans="2:8" x14ac:dyDescent="0.25">
      <c r="B46" s="1">
        <v>44393</v>
      </c>
      <c r="C46" s="325">
        <v>57000</v>
      </c>
      <c r="F46" s="325">
        <v>370832.57</v>
      </c>
      <c r="G46" s="325">
        <v>5830.84</v>
      </c>
      <c r="H46" s="325">
        <f>Clasificados[[#This Row],[Saldo Total]]-Clasificados[[#This Row],[Jaime]]-Clasificados[[#This Row],[Argentina]]-Clasificados[[#This Row],[Cristian]]+Clasificados[[#This Row],[Importación]]</f>
        <v>319663.41000000003</v>
      </c>
    </row>
    <row r="47" spans="2:8" x14ac:dyDescent="0.25">
      <c r="B47" s="1">
        <v>44398</v>
      </c>
      <c r="C47" s="325">
        <v>58000</v>
      </c>
      <c r="F47" s="325">
        <v>372331.67</v>
      </c>
      <c r="G47" s="325">
        <v>5830.84</v>
      </c>
      <c r="H47" s="325">
        <f>Clasificados[[#This Row],[Saldo Total]]-Clasificados[[#This Row],[Jaime]]-Clasificados[[#This Row],[Argentina]]-Clasificados[[#This Row],[Cristian]]+Clasificados[[#This Row],[Importación]]</f>
        <v>320162.51</v>
      </c>
    </row>
    <row r="48" spans="2:8" x14ac:dyDescent="0.25">
      <c r="B48" s="1">
        <v>44406</v>
      </c>
      <c r="C48" s="325">
        <v>58000</v>
      </c>
      <c r="F48" s="325">
        <v>374365.34</v>
      </c>
      <c r="G48" s="325">
        <v>5830.84</v>
      </c>
      <c r="H48" s="325">
        <f>Clasificados[[#This Row],[Saldo Total]]-Clasificados[[#This Row],[Jaime]]-Clasificados[[#This Row],[Argentina]]-Clasificados[[#This Row],[Cristian]]+Clasificados[[#This Row],[Importación]]</f>
        <v>322196.18000000005</v>
      </c>
    </row>
    <row r="49" spans="2:8" x14ac:dyDescent="0.25">
      <c r="B49" s="1">
        <v>44408</v>
      </c>
      <c r="C49" s="325">
        <v>58000</v>
      </c>
      <c r="F49" s="325">
        <v>375732.04</v>
      </c>
      <c r="G49" s="325">
        <v>5830.84</v>
      </c>
      <c r="H49" s="325">
        <f>Clasificados[[#This Row],[Saldo Total]]-Clasificados[[#This Row],[Jaime]]-Clasificados[[#This Row],[Argentina]]-Clasificados[[#This Row],[Cristian]]+Clasificados[[#This Row],[Importación]]</f>
        <v>323562.88</v>
      </c>
    </row>
    <row r="50" spans="2:8" x14ac:dyDescent="0.25">
      <c r="B50" s="1">
        <v>44434</v>
      </c>
      <c r="C50" s="325">
        <v>58000</v>
      </c>
      <c r="F50" s="325">
        <v>377418.38</v>
      </c>
      <c r="G50" s="325">
        <v>5830.84</v>
      </c>
      <c r="H50" s="325">
        <f>Clasificados[[#This Row],[Saldo Total]]-Clasificados[[#This Row],[Jaime]]-Clasificados[[#This Row],[Argentina]]-Clasificados[[#This Row],[Cristian]]+Clasificados[[#This Row],[Importación]]</f>
        <v>325249.22000000003</v>
      </c>
    </row>
    <row r="51" spans="2:8" x14ac:dyDescent="0.25">
      <c r="B51" s="1">
        <v>44434</v>
      </c>
      <c r="C51" s="325">
        <v>58000</v>
      </c>
      <c r="F51" s="325">
        <v>377418.38</v>
      </c>
      <c r="G51" s="325">
        <v>5830.84</v>
      </c>
      <c r="H51" s="325">
        <f>Clasificados[[#This Row],[Saldo Total]]-Clasificados[[#This Row],[Jaime]]-Clasificados[[#This Row],[Argentina]]-Clasificados[[#This Row],[Cristian]]+Clasificados[[#This Row],[Importación]]</f>
        <v>325249.22000000003</v>
      </c>
    </row>
    <row r="52" spans="2:8" x14ac:dyDescent="0.25">
      <c r="B52" s="1">
        <v>44438</v>
      </c>
      <c r="C52" s="325">
        <v>58000</v>
      </c>
      <c r="F52" s="325">
        <v>374170.3</v>
      </c>
      <c r="G52" s="325">
        <v>5830.84</v>
      </c>
      <c r="H52" s="325">
        <f>Clasificados[[#This Row],[Saldo Total]]-Clasificados[[#This Row],[Jaime]]-Clasificados[[#This Row],[Argentina]]-Clasificados[[#This Row],[Cristian]]+Clasificados[[#This Row],[Importación]]</f>
        <v>322001.14</v>
      </c>
    </row>
    <row r="53" spans="2:8" x14ac:dyDescent="0.25">
      <c r="B53" s="1">
        <v>44440</v>
      </c>
      <c r="C53" s="325">
        <v>58000</v>
      </c>
      <c r="F53" s="325">
        <v>375893.87</v>
      </c>
      <c r="G53" s="325">
        <v>5830.84</v>
      </c>
      <c r="H53" s="325">
        <f>Clasificados[[#This Row],[Saldo Total]]-Clasificados[[#This Row],[Jaime]]-Clasificados[[#This Row],[Argentina]]-Clasificados[[#This Row],[Cristian]]+Clasificados[[#This Row],[Importación]]</f>
        <v>323724.71000000002</v>
      </c>
    </row>
    <row r="54" spans="2:8" x14ac:dyDescent="0.25">
      <c r="B54" s="1">
        <v>44462</v>
      </c>
      <c r="C54" s="325">
        <v>58000</v>
      </c>
      <c r="F54" s="325">
        <v>377202.37</v>
      </c>
      <c r="G54" s="325">
        <v>5810.84</v>
      </c>
      <c r="H54" s="325">
        <f>Clasificados[[#This Row],[Saldo Total]]-Clasificados[[#This Row],[Jaime]]-Clasificados[[#This Row],[Argentina]]-Clasificados[[#This Row],[Cristian]]+Clasificados[[#This Row],[Importación]]</f>
        <v>325013.21000000002</v>
      </c>
    </row>
    <row r="55" spans="2:8" x14ac:dyDescent="0.25">
      <c r="B55" s="1">
        <v>44469</v>
      </c>
      <c r="C55" s="325">
        <v>58000</v>
      </c>
      <c r="F55" s="325">
        <v>379125.05</v>
      </c>
      <c r="G55" s="325">
        <v>5810.84</v>
      </c>
      <c r="H55" s="325">
        <f>Clasificados[[#This Row],[Saldo Total]]-Clasificados[[#This Row],[Jaime]]-Clasificados[[#This Row],[Argentina]]-Clasificados[[#This Row],[Cristian]]+Clasificados[[#This Row],[Importación]]</f>
        <v>326935.89</v>
      </c>
    </row>
    <row r="56" spans="2:8" x14ac:dyDescent="0.25">
      <c r="B56" s="1">
        <v>44486</v>
      </c>
      <c r="C56" s="325">
        <v>61000</v>
      </c>
      <c r="F56" s="325">
        <v>383622.31000000011</v>
      </c>
      <c r="G56" s="325">
        <v>5810.84</v>
      </c>
      <c r="H56" s="325">
        <f>Clasificados[[#This Row],[Saldo Total]]-Clasificados[[#This Row],[Jaime]]-Clasificados[[#This Row],[Argentina]]-Clasificados[[#This Row],[Cristian]]+Clasificados[[#This Row],[Importación]]</f>
        <v>328433.15000000014</v>
      </c>
    </row>
    <row r="57" spans="2:8" x14ac:dyDescent="0.25">
      <c r="B57" s="1">
        <v>44491</v>
      </c>
      <c r="C57" s="325">
        <v>61000</v>
      </c>
      <c r="F57" s="325">
        <v>383964.72000000009</v>
      </c>
      <c r="G57" s="325">
        <v>5790.84</v>
      </c>
      <c r="H57" s="325">
        <f>Clasificados[[#This Row],[Saldo Total]]-Clasificados[[#This Row],[Jaime]]-Clasificados[[#This Row],[Argentina]]-Clasificados[[#This Row],[Cristian]]+Clasificados[[#This Row],[Importación]]</f>
        <v>328755.56000000011</v>
      </c>
    </row>
    <row r="58" spans="2:8" x14ac:dyDescent="0.25">
      <c r="B58" s="1">
        <v>44501</v>
      </c>
      <c r="C58" s="325">
        <v>61000</v>
      </c>
      <c r="F58" s="325">
        <v>385905.16000000009</v>
      </c>
      <c r="G58" s="325">
        <v>5790.84</v>
      </c>
      <c r="H58" s="325">
        <f>Clasificados[[#This Row],[Saldo Total]]-Clasificados[[#This Row],[Jaime]]-Clasificados[[#This Row],[Argentina]]-Clasificados[[#This Row],[Cristian]]+Clasificados[[#This Row],[Importación]]</f>
        <v>330696.00000000012</v>
      </c>
    </row>
    <row r="59" spans="2:8" x14ac:dyDescent="0.25">
      <c r="B59" s="1">
        <v>44521</v>
      </c>
      <c r="C59" s="325">
        <v>61000</v>
      </c>
      <c r="F59" s="325">
        <v>386237.55</v>
      </c>
      <c r="G59" s="325">
        <v>5790.84</v>
      </c>
      <c r="H59" s="325">
        <f>Clasificados[[#This Row],[Saldo Total]]-Clasificados[[#This Row],[Jaime]]-Clasificados[[#This Row],[Argentina]]-Clasificados[[#This Row],[Cristian]]+Clasificados[[#This Row],[Importación]]</f>
        <v>331028.39</v>
      </c>
    </row>
    <row r="60" spans="2:8" x14ac:dyDescent="0.25">
      <c r="B60" s="1">
        <v>44531</v>
      </c>
      <c r="C60" s="325">
        <v>61000</v>
      </c>
      <c r="F60" s="325">
        <v>389121.66</v>
      </c>
      <c r="G60" s="325">
        <v>5790.84</v>
      </c>
      <c r="H60" s="325">
        <f>Clasificados[[#This Row],[Saldo Total]]-Clasificados[[#This Row],[Jaime]]-Clasificados[[#This Row],[Argentina]]-Clasificados[[#This Row],[Cristian]]+Clasificados[[#This Row],[Importación]]</f>
        <v>333912.5</v>
      </c>
    </row>
    <row r="61" spans="2:8" x14ac:dyDescent="0.25">
      <c r="B61" s="1">
        <v>44551</v>
      </c>
      <c r="C61" s="325">
        <v>61000</v>
      </c>
      <c r="F61" s="325">
        <v>383602.11</v>
      </c>
      <c r="G61" s="325">
        <v>5790.84</v>
      </c>
      <c r="H61" s="325">
        <f>Clasificados[[#This Row],[Saldo Total]]-Clasificados[[#This Row],[Jaime]]-Clasificados[[#This Row],[Argentina]]-Clasificados[[#This Row],[Cristian]]+Clasificados[[#This Row],[Importación]]</f>
        <v>328392.95</v>
      </c>
    </row>
    <row r="62" spans="2:8" x14ac:dyDescent="0.25">
      <c r="B62" s="1">
        <v>44552</v>
      </c>
      <c r="C62" s="325">
        <v>61000</v>
      </c>
      <c r="F62" s="325">
        <v>385037.88</v>
      </c>
      <c r="G62" s="325">
        <v>5790.84</v>
      </c>
      <c r="H62" s="325">
        <f>Clasificados[[#This Row],[Saldo Total]]-Clasificados[[#This Row],[Jaime]]-Clasificados[[#This Row],[Argentina]]-Clasificados[[#This Row],[Cristian]]+Clasificados[[#This Row],[Importación]]</f>
        <v>329828.72000000003</v>
      </c>
    </row>
    <row r="63" spans="2:8" x14ac:dyDescent="0.25">
      <c r="B63" s="1">
        <v>44553</v>
      </c>
      <c r="C63" s="325">
        <v>63000</v>
      </c>
      <c r="F63" s="325">
        <v>387629.85</v>
      </c>
      <c r="G63" s="325">
        <v>5790.84</v>
      </c>
      <c r="H63" s="325">
        <f>Clasificados[[#This Row],[Saldo Total]]-Clasificados[[#This Row],[Jaime]]-Clasificados[[#This Row],[Argentina]]-Clasificados[[#This Row],[Cristian]]+Clasificados[[#This Row],[Importación]]</f>
        <v>330420.69</v>
      </c>
    </row>
    <row r="64" spans="2:8" x14ac:dyDescent="0.25">
      <c r="B64" s="1">
        <v>44561</v>
      </c>
      <c r="C64" s="325">
        <v>63000</v>
      </c>
      <c r="F64" s="325">
        <v>388652.68</v>
      </c>
      <c r="G64" s="325">
        <v>5790.84</v>
      </c>
      <c r="H64" s="325">
        <f>Clasificados[[#This Row],[Saldo Total]]-Clasificados[[#This Row],[Jaime]]-Clasificados[[#This Row],[Argentina]]-Clasificados[[#This Row],[Cristian]]+Clasificados[[#This Row],[Importación]]</f>
        <v>331443.52</v>
      </c>
    </row>
    <row r="65" spans="2:8" x14ac:dyDescent="0.25">
      <c r="B65" s="1">
        <v>44574</v>
      </c>
      <c r="C65" s="325">
        <v>63000</v>
      </c>
      <c r="F65" s="325">
        <v>388314.89</v>
      </c>
      <c r="G65" s="325">
        <v>5790.84</v>
      </c>
      <c r="H65" s="325">
        <f>Clasificados[[#This Row],[Saldo Total]]-Clasificados[[#This Row],[Jaime]]-Clasificados[[#This Row],[Argentina]]-Clasificados[[#This Row],[Cristian]]+Clasificados[[#This Row],[Importación]]</f>
        <v>331105.73000000004</v>
      </c>
    </row>
    <row r="66" spans="2:8" x14ac:dyDescent="0.25">
      <c r="B66" s="1">
        <v>44578</v>
      </c>
      <c r="C66" s="325">
        <v>63000</v>
      </c>
      <c r="F66" s="325">
        <v>392518.3</v>
      </c>
      <c r="G66" s="325">
        <v>5770.84</v>
      </c>
      <c r="H66" s="325">
        <f>Clasificados[[#This Row],[Saldo Total]]-Clasificados[[#This Row],[Jaime]]-Clasificados[[#This Row],[Argentina]]-Clasificados[[#This Row],[Cristian]]+Clasificados[[#This Row],[Importación]]</f>
        <v>335289.14</v>
      </c>
    </row>
    <row r="67" spans="2:8" x14ac:dyDescent="0.25">
      <c r="B67" s="1">
        <v>44593</v>
      </c>
      <c r="C67" s="325">
        <v>63000</v>
      </c>
      <c r="F67" s="325">
        <v>394427.19</v>
      </c>
      <c r="G67" s="325">
        <v>5770.84</v>
      </c>
      <c r="H67" s="325">
        <f>Clasificados[[#This Row],[Saldo Total]]-Clasificados[[#This Row],[Jaime]]-Clasificados[[#This Row],[Argentina]]-Clasificados[[#This Row],[Cristian]]+Clasificados[[#This Row],[Importación]]</f>
        <v>337198.03</v>
      </c>
    </row>
    <row r="68" spans="2:8" x14ac:dyDescent="0.25">
      <c r="B68" s="1">
        <v>44605</v>
      </c>
      <c r="C68" s="325">
        <v>63000</v>
      </c>
      <c r="F68" s="325">
        <v>393918.8</v>
      </c>
      <c r="G68" s="325">
        <v>5770.84</v>
      </c>
      <c r="H68" s="325">
        <f>Clasificados[[#This Row],[Saldo Total]]-Clasificados[[#This Row],[Jaime]]-Clasificados[[#This Row],[Argentina]]-Clasificados[[#This Row],[Cristian]]+Clasificados[[#This Row],[Importación]]</f>
        <v>336689.64</v>
      </c>
    </row>
    <row r="69" spans="2:8" x14ac:dyDescent="0.25">
      <c r="B69" s="1">
        <v>44620</v>
      </c>
      <c r="C69" s="325">
        <v>63000</v>
      </c>
      <c r="F69" s="325">
        <v>394466.96</v>
      </c>
      <c r="G69" s="325">
        <v>5770.84</v>
      </c>
      <c r="H69" s="325">
        <f>Clasificados[[#This Row],[Saldo Total]]-Clasificados[[#This Row],[Jaime]]-Clasificados[[#This Row],[Argentina]]-Clasificados[[#This Row],[Cristian]]+Clasificados[[#This Row],[Importación]]</f>
        <v>337237.80000000005</v>
      </c>
    </row>
    <row r="70" spans="2:8" x14ac:dyDescent="0.25">
      <c r="B70" s="1">
        <v>44621</v>
      </c>
      <c r="C70" s="325">
        <v>63000</v>
      </c>
      <c r="F70" s="325">
        <v>397268.75</v>
      </c>
      <c r="G70" s="325">
        <v>5770.84</v>
      </c>
      <c r="H70" s="325">
        <f>Clasificados[[#This Row],[Saldo Total]]-Clasificados[[#This Row],[Jaime]]-Clasificados[[#This Row],[Argentina]]-Clasificados[[#This Row],[Cristian]]+Clasificados[[#This Row],[Importación]]</f>
        <v>340039.59</v>
      </c>
    </row>
    <row r="71" spans="2:8" x14ac:dyDescent="0.25">
      <c r="B71" s="1">
        <v>44627</v>
      </c>
      <c r="C71" s="325">
        <v>63000</v>
      </c>
      <c r="F71" s="325">
        <v>398053.76</v>
      </c>
      <c r="G71" s="325">
        <v>5770.84</v>
      </c>
      <c r="H71" s="325">
        <f>Clasificados[[#This Row],[Saldo Total]]-Clasificados[[#This Row],[Jaime]]-Clasificados[[#This Row],[Argentina]]-Clasificados[[#This Row],[Cristian]]+Clasificados[[#This Row],[Importación]]</f>
        <v>340824.60000000003</v>
      </c>
    </row>
    <row r="72" spans="2:8" x14ac:dyDescent="0.25">
      <c r="B72" s="1">
        <v>44634</v>
      </c>
      <c r="C72" s="325">
        <v>63000</v>
      </c>
      <c r="F72" s="325">
        <v>395312.16100500012</v>
      </c>
      <c r="G72" s="325">
        <v>5770.84</v>
      </c>
      <c r="H72" s="325">
        <f>Clasificados[[#This Row],[Saldo Total]]-Clasificados[[#This Row],[Jaime]]-Clasificados[[#This Row],[Argentina]]-Clasificados[[#This Row],[Cristian]]+Clasificados[[#This Row],[Importación]]</f>
        <v>338083.00100500014</v>
      </c>
    </row>
    <row r="73" spans="2:8" x14ac:dyDescent="0.25">
      <c r="B73" s="1">
        <v>44645</v>
      </c>
      <c r="C73" s="325">
        <v>63000</v>
      </c>
      <c r="F73" s="325">
        <v>396849.38</v>
      </c>
      <c r="G73" s="325">
        <v>5770.84</v>
      </c>
      <c r="H73" s="325">
        <f>Clasificados[[#This Row],[Saldo Total]]-Clasificados[[#This Row],[Jaime]]-Clasificados[[#This Row],[Argentina]]-Clasificados[[#This Row],[Cristian]]+Clasificados[[#This Row],[Importación]]</f>
        <v>339620.22000000003</v>
      </c>
    </row>
    <row r="74" spans="2:8" x14ac:dyDescent="0.25">
      <c r="B74" s="1">
        <v>44648</v>
      </c>
      <c r="C74" s="325">
        <v>63000</v>
      </c>
      <c r="F74" s="325">
        <v>400541.5</v>
      </c>
      <c r="G74" s="325">
        <v>5770.84</v>
      </c>
      <c r="H74" s="325">
        <f>Clasificados[[#This Row],[Saldo Total]]-Clasificados[[#This Row],[Jaime]]-Clasificados[[#This Row],[Argentina]]-Clasificados[[#This Row],[Cristian]]+Clasificados[[#This Row],[Importación]]</f>
        <v>343312.34</v>
      </c>
    </row>
    <row r="75" spans="2:8" x14ac:dyDescent="0.25">
      <c r="B75" s="1">
        <v>44650</v>
      </c>
      <c r="C75" s="325">
        <v>63000</v>
      </c>
      <c r="D75" s="325">
        <v>27500</v>
      </c>
      <c r="F75" s="325">
        <v>428041.45332799997</v>
      </c>
      <c r="G75" s="325">
        <v>5730.84</v>
      </c>
      <c r="H75" s="325">
        <f>Clasificados[[#This Row],[Saldo Total]]-Clasificados[[#This Row],[Jaime]]-Clasificados[[#This Row],[Argentina]]-Clasificados[[#This Row],[Cristian]]+Clasificados[[#This Row],[Importación]]</f>
        <v>343272.293328</v>
      </c>
    </row>
    <row r="76" spans="2:8" x14ac:dyDescent="0.25">
      <c r="B76" s="1">
        <v>44651</v>
      </c>
      <c r="C76" s="325">
        <v>63000</v>
      </c>
      <c r="D76" s="325">
        <v>27500</v>
      </c>
      <c r="F76" s="325">
        <v>430082.39</v>
      </c>
      <c r="G76" s="325">
        <v>5730.84</v>
      </c>
      <c r="H76" s="325">
        <f>Clasificados[[#This Row],[Saldo Total]]-Clasificados[[#This Row],[Jaime]]-Clasificados[[#This Row],[Argentina]]-Clasificados[[#This Row],[Cristian]]+Clasificados[[#This Row],[Importación]]</f>
        <v>345313.23000000004</v>
      </c>
    </row>
    <row r="77" spans="2:8" x14ac:dyDescent="0.25">
      <c r="B77" s="1">
        <v>44652</v>
      </c>
      <c r="C77" s="325">
        <v>63000</v>
      </c>
      <c r="D77" s="325">
        <v>27500</v>
      </c>
      <c r="F77" s="325">
        <v>434418</v>
      </c>
      <c r="G77" s="325">
        <v>5730.84</v>
      </c>
      <c r="H77" s="325">
        <f>Clasificados[[#This Row],[Saldo Total]]-Clasificados[[#This Row],[Jaime]]-Clasificados[[#This Row],[Argentina]]-Clasificados[[#This Row],[Cristian]]+Clasificados[[#This Row],[Importación]]</f>
        <v>349648.84</v>
      </c>
    </row>
    <row r="78" spans="2:8" x14ac:dyDescent="0.25">
      <c r="B78" s="1">
        <v>44653</v>
      </c>
      <c r="C78" s="325">
        <v>63000</v>
      </c>
      <c r="D78" s="325">
        <v>27500</v>
      </c>
      <c r="F78" s="325">
        <v>435596</v>
      </c>
      <c r="G78" s="325">
        <v>5730.84</v>
      </c>
      <c r="H78" s="325">
        <f>Clasificados[[#This Row],[Saldo Total]]-Clasificados[[#This Row],[Jaime]]-Clasificados[[#This Row],[Argentina]]-Clasificados[[#This Row],[Cristian]]+Clasificados[[#This Row],[Importación]]</f>
        <v>350826.84</v>
      </c>
    </row>
    <row r="79" spans="2:8" x14ac:dyDescent="0.25">
      <c r="B79" s="1">
        <v>44658</v>
      </c>
      <c r="C79" s="325">
        <v>65000</v>
      </c>
      <c r="D79" s="325">
        <v>27500</v>
      </c>
      <c r="F79" s="325">
        <v>433092.80000000022</v>
      </c>
      <c r="G79" s="325">
        <v>5710.84</v>
      </c>
      <c r="H79" s="325">
        <f>Clasificados[[#This Row],[Saldo Total]]-Clasificados[[#This Row],[Jaime]]-Clasificados[[#This Row],[Argentina]]-Clasificados[[#This Row],[Cristian]]+Clasificados[[#This Row],[Importación]]</f>
        <v>346303.64000000025</v>
      </c>
    </row>
    <row r="80" spans="2:8" x14ac:dyDescent="0.25">
      <c r="B80" s="1">
        <v>44681</v>
      </c>
      <c r="C80" s="325">
        <v>65000</v>
      </c>
      <c r="D80" s="325">
        <v>27500</v>
      </c>
      <c r="F80" s="325">
        <v>434237.75</v>
      </c>
      <c r="G80" s="325">
        <v>5710.84</v>
      </c>
      <c r="H80" s="325">
        <f>Clasificados[[#This Row],[Saldo Total]]-Clasificados[[#This Row],[Jaime]]-Clasificados[[#This Row],[Argentina]]-Clasificados[[#This Row],[Cristian]]+Clasificados[[#This Row],[Importación]]</f>
        <v>347448.59</v>
      </c>
    </row>
    <row r="81" spans="2:8" x14ac:dyDescent="0.25">
      <c r="B81" s="1">
        <v>44697</v>
      </c>
      <c r="C81" s="325">
        <v>65000</v>
      </c>
      <c r="D81" s="325">
        <v>28000</v>
      </c>
      <c r="F81" s="325">
        <v>435016.25</v>
      </c>
      <c r="G81" s="325">
        <v>5710.84</v>
      </c>
      <c r="H81" s="325">
        <f>Clasificados[[#This Row],[Saldo Total]]-Clasificados[[#This Row],[Jaime]]-Clasificados[[#This Row],[Argentina]]-Clasificados[[#This Row],[Cristian]]+Clasificados[[#This Row],[Importación]]</f>
        <v>347727.09</v>
      </c>
    </row>
    <row r="82" spans="2:8" x14ac:dyDescent="0.25">
      <c r="B82" s="1">
        <v>44700</v>
      </c>
      <c r="C82" s="325">
        <v>65000</v>
      </c>
      <c r="D82" s="325">
        <v>28000</v>
      </c>
      <c r="F82" s="325">
        <v>434956.01555000019</v>
      </c>
      <c r="G82" s="325">
        <v>5710.84</v>
      </c>
      <c r="H82" s="325">
        <f>Clasificados[[#This Row],[Saldo Total]]-Clasificados[[#This Row],[Jaime]]-Clasificados[[#This Row],[Argentina]]-Clasificados[[#This Row],[Cristian]]+Clasificados[[#This Row],[Importación]]</f>
        <v>347666.85555000021</v>
      </c>
    </row>
    <row r="83" spans="2:8" x14ac:dyDescent="0.25">
      <c r="B83" s="1">
        <v>44711</v>
      </c>
      <c r="C83" s="325">
        <v>65000</v>
      </c>
      <c r="D83" s="325">
        <v>28000</v>
      </c>
      <c r="F83" s="325">
        <v>436069.82</v>
      </c>
      <c r="G83" s="325">
        <v>5710.84</v>
      </c>
      <c r="H83" s="325">
        <f>Clasificados[[#This Row],[Saldo Total]]-Clasificados[[#This Row],[Jaime]]-Clasificados[[#This Row],[Argentina]]-Clasificados[[#This Row],[Cristian]]+Clasificados[[#This Row],[Importación]]</f>
        <v>348780.66000000003</v>
      </c>
    </row>
    <row r="84" spans="2:8" x14ac:dyDescent="0.25">
      <c r="B84" s="1">
        <v>44712</v>
      </c>
      <c r="C84" s="325">
        <v>65000</v>
      </c>
      <c r="D84" s="325">
        <v>28000</v>
      </c>
      <c r="F84" s="325">
        <v>437998.94305000029</v>
      </c>
      <c r="G84" s="325">
        <v>5710.84</v>
      </c>
      <c r="H84" s="325">
        <f>Clasificados[[#This Row],[Saldo Total]]-Clasificados[[#This Row],[Jaime]]-Clasificados[[#This Row],[Argentina]]-Clasificados[[#This Row],[Cristian]]+Clasificados[[#This Row],[Importación]]</f>
        <v>350709.78305000032</v>
      </c>
    </row>
    <row r="85" spans="2:8" x14ac:dyDescent="0.25">
      <c r="B85" s="1">
        <v>44719</v>
      </c>
      <c r="C85" s="325">
        <v>65000</v>
      </c>
      <c r="D85" s="325">
        <v>28000</v>
      </c>
      <c r="F85" s="325">
        <v>437668.90305000031</v>
      </c>
      <c r="G85" s="325">
        <v>5710.84</v>
      </c>
      <c r="H85" s="325">
        <f>Clasificados[[#This Row],[Saldo Total]]-Clasificados[[#This Row],[Jaime]]-Clasificados[[#This Row],[Argentina]]-Clasificados[[#This Row],[Cristian]]+Clasificados[[#This Row],[Importación]]</f>
        <v>350379.74305000034</v>
      </c>
    </row>
    <row r="86" spans="2:8" x14ac:dyDescent="0.25">
      <c r="B86" s="1">
        <v>44721</v>
      </c>
      <c r="C86" s="325">
        <v>65000</v>
      </c>
      <c r="D86" s="325">
        <v>28000</v>
      </c>
      <c r="F86" s="325">
        <v>436684.79305000021</v>
      </c>
      <c r="G86" s="325">
        <v>5710.84</v>
      </c>
      <c r="H86" s="325">
        <f>Clasificados[[#This Row],[Saldo Total]]-Clasificados[[#This Row],[Jaime]]-Clasificados[[#This Row],[Argentina]]-Clasificados[[#This Row],[Cristian]]+Clasificados[[#This Row],[Importación]]</f>
        <v>349395.63305000024</v>
      </c>
    </row>
    <row r="87" spans="2:8" x14ac:dyDescent="0.25">
      <c r="B87" s="1">
        <v>44733</v>
      </c>
      <c r="C87" s="325">
        <v>65000</v>
      </c>
      <c r="D87" s="325">
        <v>28000</v>
      </c>
      <c r="F87" s="325">
        <v>439884.29482500022</v>
      </c>
      <c r="G87" s="325">
        <v>5710.84</v>
      </c>
      <c r="H87" s="325">
        <f>Clasificados[[#This Row],[Saldo Total]]-Clasificados[[#This Row],[Jaime]]-Clasificados[[#This Row],[Argentina]]-Clasificados[[#This Row],[Cristian]]+Clasificados[[#This Row],[Importación]]</f>
        <v>352595.13482500025</v>
      </c>
    </row>
    <row r="88" spans="2:8" x14ac:dyDescent="0.25">
      <c r="B88" s="1">
        <v>44741</v>
      </c>
      <c r="C88" s="325">
        <v>65000</v>
      </c>
      <c r="D88" s="325">
        <v>28000</v>
      </c>
      <c r="F88" s="325">
        <v>441594.07</v>
      </c>
      <c r="G88" s="325">
        <v>5710.84</v>
      </c>
      <c r="H88" s="325">
        <f>Clasificados[[#This Row],[Saldo Total]]-Clasificados[[#This Row],[Jaime]]-Clasificados[[#This Row],[Argentina]]-Clasificados[[#This Row],[Cristian]]+Clasificados[[#This Row],[Importación]]</f>
        <v>354304.91000000003</v>
      </c>
    </row>
    <row r="89" spans="2:8" x14ac:dyDescent="0.25">
      <c r="B89" s="1">
        <v>44743</v>
      </c>
      <c r="C89" s="325">
        <v>65000</v>
      </c>
      <c r="D89" s="325">
        <v>28000</v>
      </c>
      <c r="F89" s="325">
        <v>443137.83482500009</v>
      </c>
      <c r="G89" s="325">
        <v>5710.84</v>
      </c>
      <c r="H89" s="325">
        <f>Clasificados[[#This Row],[Saldo Total]]-Clasificados[[#This Row],[Jaime]]-Clasificados[[#This Row],[Argentina]]-Clasificados[[#This Row],[Cristian]]+Clasificados[[#This Row],[Importación]]</f>
        <v>355848.67482500011</v>
      </c>
    </row>
    <row r="90" spans="2:8" x14ac:dyDescent="0.25">
      <c r="B90" s="1">
        <v>44772</v>
      </c>
      <c r="C90" s="325">
        <v>65000</v>
      </c>
      <c r="D90" s="325">
        <v>28000</v>
      </c>
      <c r="F90" s="325">
        <v>445588.79305000021</v>
      </c>
      <c r="G90" s="325">
        <v>5710.84</v>
      </c>
      <c r="H90" s="325">
        <f>Clasificados[[#This Row],[Saldo Total]]-Clasificados[[#This Row],[Jaime]]-Clasificados[[#This Row],[Argentina]]-Clasificados[[#This Row],[Cristian]]+Clasificados[[#This Row],[Importación]]</f>
        <v>358299.63305000024</v>
      </c>
    </row>
    <row r="91" spans="2:8" x14ac:dyDescent="0.25">
      <c r="B91" s="1">
        <v>44786</v>
      </c>
      <c r="C91" s="325">
        <v>65000</v>
      </c>
      <c r="D91" s="325">
        <v>28000</v>
      </c>
      <c r="F91" s="325">
        <v>438502.93354499998</v>
      </c>
      <c r="G91" s="325">
        <v>5710.84</v>
      </c>
      <c r="H91" s="325">
        <f>Clasificados[[#This Row],[Saldo Total]]-Clasificados[[#This Row],[Jaime]]-Clasificados[[#This Row],[Argentina]]-Clasificados[[#This Row],[Cristian]]+Clasificados[[#This Row],[Importación]]</f>
        <v>351213.773545</v>
      </c>
    </row>
    <row r="92" spans="2:8" x14ac:dyDescent="0.25">
      <c r="B92" s="1">
        <v>44792</v>
      </c>
      <c r="C92" s="325">
        <v>65000</v>
      </c>
      <c r="D92" s="325">
        <v>28000</v>
      </c>
      <c r="F92" s="325">
        <v>443905.48501733353</v>
      </c>
      <c r="G92" s="325">
        <v>5710.84</v>
      </c>
      <c r="H92" s="325">
        <f>Clasificados[[#This Row],[Saldo Total]]-Clasificados[[#This Row],[Jaime]]-Clasificados[[#This Row],[Argentina]]-Clasificados[[#This Row],[Cristian]]+Clasificados[[#This Row],[Importación]]</f>
        <v>356616.32501733355</v>
      </c>
    </row>
    <row r="93" spans="2:8" x14ac:dyDescent="0.25">
      <c r="B93" s="1">
        <v>44796</v>
      </c>
      <c r="C93" s="325">
        <v>65000</v>
      </c>
      <c r="D93" s="325">
        <v>28000</v>
      </c>
      <c r="F93" s="325">
        <v>441262.35501733352</v>
      </c>
      <c r="G93" s="325">
        <v>5710.84</v>
      </c>
      <c r="H93" s="325">
        <f>Clasificados[[#This Row],[Saldo Total]]-Clasificados[[#This Row],[Jaime]]-Clasificados[[#This Row],[Argentina]]-Clasificados[[#This Row],[Cristian]]+Clasificados[[#This Row],[Importación]]</f>
        <v>353973.19501733355</v>
      </c>
    </row>
    <row r="94" spans="2:8" x14ac:dyDescent="0.25">
      <c r="B94" s="1">
        <v>44802</v>
      </c>
      <c r="C94" s="325">
        <v>65000</v>
      </c>
      <c r="D94" s="325">
        <v>30000</v>
      </c>
      <c r="F94" s="325">
        <v>444805.24092800007</v>
      </c>
      <c r="G94" s="325">
        <v>5710.84</v>
      </c>
      <c r="H94" s="325">
        <f>Clasificados[[#This Row],[Saldo Total]]-Clasificados[[#This Row],[Jaime]]-Clasificados[[#This Row],[Argentina]]-Clasificados[[#This Row],[Cristian]]+Clasificados[[#This Row],[Importación]]</f>
        <v>355516.0809280001</v>
      </c>
    </row>
    <row r="95" spans="2:8" x14ac:dyDescent="0.25">
      <c r="B95" s="1">
        <v>44805</v>
      </c>
      <c r="C95" s="325">
        <v>65000</v>
      </c>
      <c r="D95" s="325">
        <v>30000</v>
      </c>
      <c r="F95" s="325">
        <v>447010.17</v>
      </c>
      <c r="G95" s="325">
        <v>5710.84</v>
      </c>
      <c r="H95" s="325">
        <f>Clasificados[[#This Row],[Saldo Total]]-Clasificados[[#This Row],[Jaime]]-Clasificados[[#This Row],[Argentina]]-Clasificados[[#This Row],[Cristian]]+Clasificados[[#This Row],[Importación]]</f>
        <v>357721.01</v>
      </c>
    </row>
    <row r="96" spans="2:8" x14ac:dyDescent="0.25">
      <c r="B96" s="1">
        <v>44811</v>
      </c>
      <c r="C96" s="325">
        <v>65000</v>
      </c>
      <c r="D96" s="325">
        <v>30000</v>
      </c>
      <c r="F96" s="325">
        <v>447593.77092800022</v>
      </c>
      <c r="G96" s="325">
        <v>5710.84</v>
      </c>
      <c r="H96" s="325">
        <f>Clasificados[[#This Row],[Saldo Total]]-Clasificados[[#This Row],[Jaime]]-Clasificados[[#This Row],[Argentina]]-Clasificados[[#This Row],[Cristian]]+Clasificados[[#This Row],[Importación]]</f>
        <v>358304.61092800024</v>
      </c>
    </row>
    <row r="97" spans="2:8" x14ac:dyDescent="0.25">
      <c r="B97" s="1">
        <v>44826</v>
      </c>
      <c r="C97" s="325">
        <v>65000</v>
      </c>
      <c r="D97" s="325">
        <v>30000</v>
      </c>
      <c r="F97" s="325">
        <v>449698.88253369363</v>
      </c>
      <c r="G97" s="325">
        <v>5710.84</v>
      </c>
      <c r="H97" s="325">
        <f>Clasificados[[#This Row],[Saldo Total]]-Clasificados[[#This Row],[Jaime]]-Clasificados[[#This Row],[Argentina]]-Clasificados[[#This Row],[Cristian]]+Clasificados[[#This Row],[Importación]]</f>
        <v>360409.72253369365</v>
      </c>
    </row>
    <row r="98" spans="2:8" x14ac:dyDescent="0.25">
      <c r="B98" s="1">
        <v>44830</v>
      </c>
      <c r="C98" s="325">
        <v>65000</v>
      </c>
      <c r="D98" s="325">
        <v>30000</v>
      </c>
      <c r="F98" s="325">
        <v>450091.44253369363</v>
      </c>
      <c r="G98" s="325">
        <v>5710.84</v>
      </c>
      <c r="H98" s="325">
        <f>Clasificados[[#This Row],[Saldo Total]]-Clasificados[[#This Row],[Jaime]]-Clasificados[[#This Row],[Argentina]]-Clasificados[[#This Row],[Cristian]]+Clasificados[[#This Row],[Importación]]</f>
        <v>360802.28253369365</v>
      </c>
    </row>
    <row r="99" spans="2:8" x14ac:dyDescent="0.25">
      <c r="B99" s="1">
        <v>44832</v>
      </c>
      <c r="C99" s="325">
        <v>65000</v>
      </c>
      <c r="D99" s="325">
        <v>30000</v>
      </c>
      <c r="F99" s="325">
        <v>452332.31253369362</v>
      </c>
      <c r="G99" s="325">
        <v>5710.84</v>
      </c>
      <c r="H99" s="325">
        <f>Clasificados[[#This Row],[Saldo Total]]-Clasificados[[#This Row],[Jaime]]-Clasificados[[#This Row],[Argentina]]-Clasificados[[#This Row],[Cristian]]+Clasificados[[#This Row],[Importación]]</f>
        <v>363043.15253369365</v>
      </c>
    </row>
    <row r="100" spans="2:8" x14ac:dyDescent="0.25">
      <c r="B100" s="1">
        <v>44862</v>
      </c>
      <c r="C100" s="325">
        <v>65000</v>
      </c>
      <c r="D100" s="325">
        <v>30000</v>
      </c>
      <c r="F100" s="325">
        <v>455869.78501559352</v>
      </c>
      <c r="G100" s="325">
        <v>5630.84</v>
      </c>
      <c r="H100" s="325">
        <f>Clasificados[[#This Row],[Saldo Total]]-Clasificados[[#This Row],[Jaime]]-Clasificados[[#This Row],[Argentina]]-Clasificados[[#This Row],[Cristian]]+Clasificados[[#This Row],[Importación]]</f>
        <v>366500.62501559354</v>
      </c>
    </row>
    <row r="101" spans="2:8" x14ac:dyDescent="0.25">
      <c r="B101" s="1">
        <v>44867</v>
      </c>
      <c r="C101" s="325">
        <v>65000</v>
      </c>
      <c r="D101" s="325">
        <v>32000</v>
      </c>
      <c r="F101" s="325">
        <v>459993.4675844434</v>
      </c>
      <c r="G101" s="325">
        <v>5630.84</v>
      </c>
      <c r="H101" s="325">
        <f>Clasificados[[#This Row],[Saldo Total]]-Clasificados[[#This Row],[Jaime]]-Clasificados[[#This Row],[Argentina]]-Clasificados[[#This Row],[Cristian]]+Clasificados[[#This Row],[Importación]]</f>
        <v>368624.30758444342</v>
      </c>
    </row>
    <row r="102" spans="2:8" x14ac:dyDescent="0.25">
      <c r="B102" s="1">
        <v>44891</v>
      </c>
      <c r="C102" s="325">
        <v>65000</v>
      </c>
      <c r="D102" s="325">
        <v>32000</v>
      </c>
      <c r="F102" s="325">
        <v>458124.18060922832</v>
      </c>
      <c r="G102" s="325">
        <v>5630.84</v>
      </c>
      <c r="H102" s="325">
        <f>Clasificados[[#This Row],[Saldo Total]]-Clasificados[[#This Row],[Jaime]]-Clasificados[[#This Row],[Argentina]]-Clasificados[[#This Row],[Cristian]]+Clasificados[[#This Row],[Importación]]</f>
        <v>366755.02060922835</v>
      </c>
    </row>
    <row r="103" spans="2:8" x14ac:dyDescent="0.25">
      <c r="B103" s="1">
        <v>44894</v>
      </c>
      <c r="C103" s="325">
        <v>65000</v>
      </c>
      <c r="D103" s="325">
        <v>32000</v>
      </c>
      <c r="F103" s="325">
        <v>460048.89623422828</v>
      </c>
      <c r="G103" s="325">
        <v>5630.84</v>
      </c>
      <c r="H103" s="325">
        <f>Clasificados[[#This Row],[Saldo Total]]-Clasificados[[#This Row],[Jaime]]-Clasificados[[#This Row],[Argentina]]-Clasificados[[#This Row],[Cristian]]+Clasificados[[#This Row],[Importación]]</f>
        <v>368679.7362342283</v>
      </c>
    </row>
    <row r="104" spans="2:8" x14ac:dyDescent="0.25">
      <c r="B104" s="1">
        <v>44895</v>
      </c>
      <c r="C104" s="325">
        <v>65000</v>
      </c>
      <c r="D104" s="325">
        <v>32000</v>
      </c>
      <c r="F104" s="325">
        <v>460848.9090485308</v>
      </c>
      <c r="G104" s="325">
        <v>5630.84</v>
      </c>
      <c r="H104" s="325">
        <f>Clasificados[[#This Row],[Saldo Total]]-Clasificados[[#This Row],[Jaime]]-Clasificados[[#This Row],[Argentina]]-Clasificados[[#This Row],[Cristian]]+Clasificados[[#This Row],[Importación]]</f>
        <v>369479.74904853082</v>
      </c>
    </row>
    <row r="105" spans="2:8" x14ac:dyDescent="0.25">
      <c r="B105" s="1">
        <v>44896</v>
      </c>
      <c r="C105" s="325">
        <v>65000</v>
      </c>
      <c r="D105" s="325">
        <v>32000</v>
      </c>
      <c r="F105" s="325">
        <v>462986.88904853078</v>
      </c>
      <c r="G105" s="325">
        <v>5630.84</v>
      </c>
      <c r="H105" s="325">
        <f>Clasificados[[#This Row],[Saldo Total]]-Clasificados[[#This Row],[Jaime]]-Clasificados[[#This Row],[Argentina]]-Clasificados[[#This Row],[Cristian]]+Clasificados[[#This Row],[Importación]]</f>
        <v>371617.7290485308</v>
      </c>
    </row>
    <row r="106" spans="2:8" x14ac:dyDescent="0.25">
      <c r="B106" s="1">
        <v>44897</v>
      </c>
      <c r="C106" s="325">
        <v>65000</v>
      </c>
      <c r="D106" s="325">
        <v>32000</v>
      </c>
      <c r="F106" s="325">
        <v>467412.64904853102</v>
      </c>
      <c r="G106" s="325">
        <v>5630.84</v>
      </c>
      <c r="H106" s="325">
        <f>Clasificados[[#This Row],[Saldo Total]]-Clasificados[[#This Row],[Jaime]]-Clasificados[[#This Row],[Argentina]]-Clasificados[[#This Row],[Cristian]]+Clasificados[[#This Row],[Importación]]</f>
        <v>376043.48904853105</v>
      </c>
    </row>
    <row r="107" spans="2:8" x14ac:dyDescent="0.25">
      <c r="B107" s="1">
        <v>44902</v>
      </c>
      <c r="C107" s="325">
        <v>65000</v>
      </c>
      <c r="D107" s="325">
        <v>32000</v>
      </c>
      <c r="F107" s="325">
        <v>469366.24125474069</v>
      </c>
      <c r="G107" s="325">
        <v>5630.84</v>
      </c>
      <c r="H107" s="325">
        <f>Clasificados[[#This Row],[Saldo Total]]-Clasificados[[#This Row],[Jaime]]-Clasificados[[#This Row],[Argentina]]-Clasificados[[#This Row],[Cristian]]+Clasificados[[#This Row],[Importación]]</f>
        <v>377997.08125474071</v>
      </c>
    </row>
    <row r="108" spans="2:8" x14ac:dyDescent="0.25">
      <c r="B108" s="1">
        <v>44908</v>
      </c>
      <c r="C108" s="325">
        <v>65000</v>
      </c>
      <c r="D108" s="325">
        <v>32000</v>
      </c>
      <c r="F108" s="325">
        <v>469916.72123448999</v>
      </c>
      <c r="G108" s="325">
        <v>5630.84</v>
      </c>
      <c r="H108" s="325">
        <f>Clasificados[[#This Row],[Saldo Total]]-Clasificados[[#This Row],[Jaime]]-Clasificados[[#This Row],[Argentina]]-Clasificados[[#This Row],[Cristian]]+Clasificados[[#This Row],[Importación]]</f>
        <v>378547.56123449001</v>
      </c>
    </row>
    <row r="109" spans="2:8" x14ac:dyDescent="0.25">
      <c r="B109" s="1">
        <v>44917</v>
      </c>
      <c r="C109" s="325">
        <v>65000</v>
      </c>
      <c r="D109" s="325">
        <v>32000</v>
      </c>
      <c r="F109" s="325">
        <v>471160.96659114439</v>
      </c>
      <c r="G109" s="325">
        <v>5630.84</v>
      </c>
      <c r="H109" s="325">
        <f>Clasificados[[#This Row],[Saldo Total]]-Clasificados[[#This Row],[Jaime]]-Clasificados[[#This Row],[Argentina]]-Clasificados[[#This Row],[Cristian]]+Clasificados[[#This Row],[Importación]]</f>
        <v>379791.80659114441</v>
      </c>
    </row>
    <row r="110" spans="2:8" x14ac:dyDescent="0.25">
      <c r="B110" s="1">
        <v>44918</v>
      </c>
      <c r="C110" s="325">
        <v>65000</v>
      </c>
      <c r="D110" s="325">
        <v>32000</v>
      </c>
      <c r="F110" s="325">
        <v>471452.99123449001</v>
      </c>
      <c r="G110" s="325">
        <v>5630.84</v>
      </c>
      <c r="H110" s="325">
        <f>Clasificados[[#This Row],[Saldo Total]]-Clasificados[[#This Row],[Jaime]]-Clasificados[[#This Row],[Argentina]]-Clasificados[[#This Row],[Cristian]]+Clasificados[[#This Row],[Importación]]</f>
        <v>380083.83123449003</v>
      </c>
    </row>
    <row r="111" spans="2:8" x14ac:dyDescent="0.25">
      <c r="B111" s="1">
        <v>44918</v>
      </c>
      <c r="C111" s="325">
        <v>65000</v>
      </c>
      <c r="D111" s="325">
        <v>32000</v>
      </c>
      <c r="F111" s="325">
        <v>471452.99123449001</v>
      </c>
      <c r="G111" s="325">
        <v>5630.84</v>
      </c>
      <c r="H111" s="325">
        <f>Clasificados[[#This Row],[Saldo Total]]-Clasificados[[#This Row],[Jaime]]-Clasificados[[#This Row],[Argentina]]-Clasificados[[#This Row],[Cristian]]+Clasificados[[#This Row],[Importación]]</f>
        <v>380083.83123449003</v>
      </c>
    </row>
    <row r="112" spans="2:8" x14ac:dyDescent="0.25">
      <c r="B112" s="1">
        <v>44923</v>
      </c>
      <c r="C112" s="325">
        <v>65000</v>
      </c>
      <c r="D112" s="325">
        <v>32000</v>
      </c>
      <c r="F112" s="325">
        <v>473549.57397849002</v>
      </c>
      <c r="G112" s="325">
        <v>5630.84</v>
      </c>
      <c r="H112" s="325">
        <f>Clasificados[[#This Row],[Saldo Total]]-Clasificados[[#This Row],[Jaime]]-Clasificados[[#This Row],[Argentina]]-Clasificados[[#This Row],[Cristian]]+Clasificados[[#This Row],[Importación]]</f>
        <v>382180.41397849005</v>
      </c>
    </row>
    <row r="113" spans="2:8" x14ac:dyDescent="0.25">
      <c r="B113" s="1">
        <v>44925</v>
      </c>
      <c r="C113" s="325">
        <v>65000</v>
      </c>
      <c r="D113" s="325">
        <v>32000</v>
      </c>
      <c r="F113" s="325">
        <v>476775.18194010062</v>
      </c>
      <c r="G113" s="325">
        <v>5630.84</v>
      </c>
      <c r="H113" s="325">
        <f>Clasificados[[#This Row],[Saldo Total]]-Clasificados[[#This Row],[Jaime]]-Clasificados[[#This Row],[Argentina]]-Clasificados[[#This Row],[Cristian]]+Clasificados[[#This Row],[Importación]]</f>
        <v>385406.02194010065</v>
      </c>
    </row>
    <row r="114" spans="2:8" x14ac:dyDescent="0.25">
      <c r="B114" s="1">
        <v>44926</v>
      </c>
      <c r="C114" s="325">
        <v>65000</v>
      </c>
      <c r="D114" s="325">
        <v>32000</v>
      </c>
      <c r="F114" s="325">
        <v>477695.45194010058</v>
      </c>
      <c r="G114" s="325">
        <v>5630.84</v>
      </c>
      <c r="H114" s="325">
        <f>Clasificados[[#This Row],[Saldo Total]]-Clasificados[[#This Row],[Jaime]]-Clasificados[[#This Row],[Argentina]]-Clasificados[[#This Row],[Cristian]]+Clasificados[[#This Row],[Importación]]</f>
        <v>386326.29194010061</v>
      </c>
    </row>
    <row r="115" spans="2:8" x14ac:dyDescent="0.25">
      <c r="B115" s="1">
        <v>44929</v>
      </c>
      <c r="C115" s="325">
        <v>65000</v>
      </c>
      <c r="D115" s="325">
        <v>35000</v>
      </c>
      <c r="F115" s="325">
        <v>480615.7219401006</v>
      </c>
      <c r="G115" s="325">
        <v>5630.84</v>
      </c>
      <c r="H115" s="325">
        <f>Clasificados[[#This Row],[Saldo Total]]-Clasificados[[#This Row],[Jaime]]-Clasificados[[#This Row],[Argentina]]-Clasificados[[#This Row],[Cristian]]+Clasificados[[#This Row],[Importación]]</f>
        <v>386246.56194010063</v>
      </c>
    </row>
    <row r="116" spans="2:8" x14ac:dyDescent="0.25">
      <c r="B116" s="1">
        <v>44930</v>
      </c>
      <c r="C116" s="325">
        <v>65000</v>
      </c>
      <c r="D116" s="325">
        <v>35000</v>
      </c>
      <c r="F116" s="325">
        <v>480881.82194010058</v>
      </c>
      <c r="G116" s="325">
        <v>5630.84</v>
      </c>
      <c r="H116" s="325">
        <f>Clasificados[[#This Row],[Saldo Total]]-Clasificados[[#This Row],[Jaime]]-Clasificados[[#This Row],[Argentina]]-Clasificados[[#This Row],[Cristian]]+Clasificados[[#This Row],[Importación]]</f>
        <v>386512.6619401006</v>
      </c>
    </row>
    <row r="117" spans="2:8" x14ac:dyDescent="0.25">
      <c r="B117" s="1">
        <v>44954</v>
      </c>
      <c r="C117" s="325">
        <v>65000</v>
      </c>
      <c r="D117" s="325">
        <v>35000</v>
      </c>
      <c r="F117" s="325">
        <v>480895.94191077841</v>
      </c>
      <c r="G117" s="325">
        <v>5630.84</v>
      </c>
      <c r="H117" s="325">
        <f>Clasificados[[#This Row],[Saldo Total]]-Clasificados[[#This Row],[Jaime]]-Clasificados[[#This Row],[Argentina]]-Clasificados[[#This Row],[Cristian]]+Clasificados[[#This Row],[Importación]]</f>
        <v>386526.78191077843</v>
      </c>
    </row>
    <row r="118" spans="2:8" x14ac:dyDescent="0.25">
      <c r="B118" s="1">
        <v>44958</v>
      </c>
      <c r="C118" s="325">
        <v>65000</v>
      </c>
      <c r="D118" s="325">
        <v>35000</v>
      </c>
      <c r="F118" s="325">
        <v>482573.48583272839</v>
      </c>
      <c r="G118" s="325">
        <v>5630.84</v>
      </c>
      <c r="H118" s="325">
        <f>Clasificados[[#This Row],[Saldo Total]]-Clasificados[[#This Row],[Jaime]]-Clasificados[[#This Row],[Argentina]]-Clasificados[[#This Row],[Cristian]]+Clasificados[[#This Row],[Importación]]</f>
        <v>388204.32583272841</v>
      </c>
    </row>
    <row r="119" spans="2:8" x14ac:dyDescent="0.25">
      <c r="B119" s="1">
        <v>44964</v>
      </c>
      <c r="C119" s="325">
        <v>65000</v>
      </c>
      <c r="D119" s="325">
        <v>35000</v>
      </c>
      <c r="F119" s="325">
        <v>483907.10284366843</v>
      </c>
      <c r="G119" s="325">
        <v>5630.84</v>
      </c>
      <c r="H119" s="325">
        <f>Clasificados[[#This Row],[Saldo Total]]-Clasificados[[#This Row],[Jaime]]-Clasificados[[#This Row],[Argentina]]-Clasificados[[#This Row],[Cristian]]+Clasificados[[#This Row],[Importación]]</f>
        <v>389537.94284366845</v>
      </c>
    </row>
    <row r="120" spans="2:8" x14ac:dyDescent="0.25">
      <c r="B120" s="1">
        <v>44973</v>
      </c>
      <c r="C120" s="325">
        <v>65000</v>
      </c>
      <c r="D120" s="325">
        <v>35000</v>
      </c>
      <c r="F120" s="325">
        <v>483650.1064561769</v>
      </c>
      <c r="G120" s="325">
        <v>5630.84</v>
      </c>
      <c r="H120" s="325">
        <f>Clasificados[[#This Row],[Saldo Total]]-Clasificados[[#This Row],[Jaime]]-Clasificados[[#This Row],[Argentina]]-Clasificados[[#This Row],[Cristian]]+Clasificados[[#This Row],[Importación]]</f>
        <v>389280.94645617693</v>
      </c>
    </row>
    <row r="121" spans="2:8" x14ac:dyDescent="0.25">
      <c r="B121" s="1">
        <v>44979</v>
      </c>
      <c r="C121" s="325">
        <v>65000</v>
      </c>
      <c r="D121" s="325">
        <v>35000</v>
      </c>
      <c r="F121" s="325">
        <v>483772.75285617693</v>
      </c>
      <c r="G121" s="325">
        <v>5630.84</v>
      </c>
      <c r="H121" s="325">
        <f>Clasificados[[#This Row],[Saldo Total]]-Clasificados[[#This Row],[Jaime]]-Clasificados[[#This Row],[Argentina]]-Clasificados[[#This Row],[Cristian]]+Clasificados[[#This Row],[Importación]]</f>
        <v>389403.59285617695</v>
      </c>
    </row>
    <row r="122" spans="2:8" x14ac:dyDescent="0.25">
      <c r="B122" s="1">
        <v>44981</v>
      </c>
      <c r="C122" s="325">
        <v>65000</v>
      </c>
      <c r="D122" s="325">
        <v>35000</v>
      </c>
      <c r="F122" s="325">
        <v>484049.59434189118</v>
      </c>
      <c r="G122" s="325">
        <v>5630.84</v>
      </c>
      <c r="H122" s="325">
        <f>Clasificados[[#This Row],[Saldo Total]]-Clasificados[[#This Row],[Jaime]]-Clasificados[[#This Row],[Argentina]]-Clasificados[[#This Row],[Cristian]]+Clasificados[[#This Row],[Importación]]</f>
        <v>389680.4343418912</v>
      </c>
    </row>
    <row r="123" spans="2:8" x14ac:dyDescent="0.25">
      <c r="B123" s="1">
        <v>44985</v>
      </c>
      <c r="C123" s="325">
        <v>65000</v>
      </c>
      <c r="D123" s="325">
        <v>35000</v>
      </c>
      <c r="F123" s="325">
        <v>484984.39434189122</v>
      </c>
      <c r="G123" s="325">
        <v>5630.84</v>
      </c>
      <c r="H123" s="325">
        <f>Clasificados[[#This Row],[Saldo Total]]-Clasificados[[#This Row],[Jaime]]-Clasificados[[#This Row],[Argentina]]-Clasificados[[#This Row],[Cristian]]+Clasificados[[#This Row],[Importación]]</f>
        <v>390615.23434189125</v>
      </c>
    </row>
    <row r="124" spans="2:8" x14ac:dyDescent="0.25">
      <c r="B124" s="1">
        <v>44986</v>
      </c>
      <c r="C124" s="325">
        <v>65000</v>
      </c>
      <c r="D124" s="325">
        <v>35000</v>
      </c>
      <c r="F124" s="325">
        <v>488388.0543418912</v>
      </c>
      <c r="G124" s="325">
        <v>5630.84</v>
      </c>
      <c r="H124" s="325">
        <f>Clasificados[[#This Row],[Saldo Total]]-Clasificados[[#This Row],[Jaime]]-Clasificados[[#This Row],[Argentina]]-Clasificados[[#This Row],[Cristian]]+Clasificados[[#This Row],[Importación]]</f>
        <v>394018.89434189122</v>
      </c>
    </row>
    <row r="125" spans="2:8" x14ac:dyDescent="0.25">
      <c r="B125" s="1">
        <v>44987</v>
      </c>
      <c r="C125" s="325">
        <v>65000</v>
      </c>
      <c r="D125" s="325">
        <v>35000</v>
      </c>
      <c r="F125" s="325">
        <v>489988.79482605978</v>
      </c>
      <c r="G125" s="325">
        <v>5630.84</v>
      </c>
      <c r="H125" s="325">
        <f>Clasificados[[#This Row],[Saldo Total]]-Clasificados[[#This Row],[Jaime]]-Clasificados[[#This Row],[Argentina]]-Clasificados[[#This Row],[Cristian]]+Clasificados[[#This Row],[Importación]]</f>
        <v>395619.6348260598</v>
      </c>
    </row>
    <row r="126" spans="2:8" x14ac:dyDescent="0.25">
      <c r="B126" s="1">
        <v>44988</v>
      </c>
      <c r="C126" s="325">
        <v>65000</v>
      </c>
      <c r="D126" s="325">
        <v>35000</v>
      </c>
      <c r="F126" s="325">
        <v>492263.52482605982</v>
      </c>
      <c r="G126" s="325">
        <v>5630.84</v>
      </c>
      <c r="H126" s="325">
        <f>Clasificados[[#This Row],[Saldo Total]]-Clasificados[[#This Row],[Jaime]]-Clasificados[[#This Row],[Argentina]]-Clasificados[[#This Row],[Cristian]]+Clasificados[[#This Row],[Importación]]</f>
        <v>397894.36482605984</v>
      </c>
    </row>
    <row r="127" spans="2:8" x14ac:dyDescent="0.25">
      <c r="B127" s="1">
        <v>44991</v>
      </c>
      <c r="C127" s="325">
        <v>65000</v>
      </c>
      <c r="D127" s="325">
        <v>35000</v>
      </c>
      <c r="F127" s="325">
        <v>491646.4926198498</v>
      </c>
      <c r="G127" s="325">
        <v>5630.84</v>
      </c>
      <c r="H127" s="325">
        <f>Clasificados[[#This Row],[Saldo Total]]-Clasificados[[#This Row],[Jaime]]-Clasificados[[#This Row],[Argentina]]-Clasificados[[#This Row],[Cristian]]+Clasificados[[#This Row],[Importación]]</f>
        <v>397277.33261984983</v>
      </c>
    </row>
    <row r="128" spans="2:8" x14ac:dyDescent="0.25">
      <c r="B128" s="1">
        <v>44992</v>
      </c>
      <c r="C128" s="325">
        <v>65000</v>
      </c>
      <c r="D128" s="325">
        <v>35000</v>
      </c>
      <c r="F128" s="325">
        <v>494707.82460118987</v>
      </c>
      <c r="G128" s="325">
        <v>5630.84</v>
      </c>
      <c r="H128" s="325">
        <f>Clasificados[[#This Row],[Saldo Total]]-Clasificados[[#This Row],[Jaime]]-Clasificados[[#This Row],[Argentina]]-Clasificados[[#This Row],[Cristian]]+Clasificados[[#This Row],[Importación]]</f>
        <v>400338.6646011899</v>
      </c>
    </row>
    <row r="129" spans="2:8" x14ac:dyDescent="0.25">
      <c r="B129" s="1">
        <v>44997</v>
      </c>
      <c r="C129" s="325">
        <v>65000</v>
      </c>
      <c r="D129" s="325">
        <v>35000</v>
      </c>
      <c r="F129" s="325">
        <v>494130.59460118978</v>
      </c>
      <c r="G129" s="325">
        <v>5630.84</v>
      </c>
      <c r="H129" s="325">
        <f>Clasificados[[#This Row],[Saldo Total]]-Clasificados[[#This Row],[Jaime]]-Clasificados[[#This Row],[Argentina]]-Clasificados[[#This Row],[Cristian]]+Clasificados[[#This Row],[Importación]]</f>
        <v>399761.4346011898</v>
      </c>
    </row>
    <row r="130" spans="2:8" x14ac:dyDescent="0.25">
      <c r="B130" s="1">
        <v>44999</v>
      </c>
      <c r="C130" s="325">
        <v>65000</v>
      </c>
      <c r="D130" s="325">
        <v>35000</v>
      </c>
      <c r="F130" s="325">
        <v>493782.68460118992</v>
      </c>
      <c r="G130" s="325">
        <v>5630.84</v>
      </c>
      <c r="H130" s="325">
        <f>Clasificados[[#This Row],[Saldo Total]]-Clasificados[[#This Row],[Jaime]]-Clasificados[[#This Row],[Argentina]]-Clasificados[[#This Row],[Cristian]]+Clasificados[[#This Row],[Importación]]</f>
        <v>399413.52460118994</v>
      </c>
    </row>
    <row r="131" spans="2:8" x14ac:dyDescent="0.25">
      <c r="B131" s="1">
        <v>45001</v>
      </c>
      <c r="C131" s="325">
        <v>65000</v>
      </c>
      <c r="D131" s="325">
        <v>35000</v>
      </c>
      <c r="F131" s="325">
        <v>494522.89330118982</v>
      </c>
      <c r="G131" s="325">
        <v>5630.84</v>
      </c>
      <c r="H131" s="325">
        <f>Clasificados[[#This Row],[Saldo Total]]-Clasificados[[#This Row],[Jaime]]-Clasificados[[#This Row],[Argentina]]-Clasificados[[#This Row],[Cristian]]+Clasificados[[#This Row],[Importación]]</f>
        <v>400153.73330118984</v>
      </c>
    </row>
    <row r="132" spans="2:8" x14ac:dyDescent="0.25">
      <c r="B132" s="1">
        <v>45009</v>
      </c>
      <c r="C132" s="325">
        <v>65000</v>
      </c>
      <c r="D132" s="325">
        <v>35000</v>
      </c>
      <c r="F132" s="325">
        <v>494803.3133011898</v>
      </c>
      <c r="G132" s="325">
        <v>5630.84</v>
      </c>
      <c r="H132" s="325">
        <f>Clasificados[[#This Row],[Saldo Total]]-Clasificados[[#This Row],[Jaime]]-Clasificados[[#This Row],[Argentina]]-Clasificados[[#This Row],[Cristian]]+Clasificados[[#This Row],[Importación]]</f>
        <v>400434.15330118983</v>
      </c>
    </row>
    <row r="133" spans="2:8" x14ac:dyDescent="0.25">
      <c r="B133" s="1">
        <v>45010</v>
      </c>
      <c r="C133" s="325">
        <v>65000</v>
      </c>
      <c r="D133" s="325">
        <v>35000</v>
      </c>
      <c r="F133" s="325">
        <v>494844.17330118979</v>
      </c>
      <c r="G133" s="325">
        <v>5630.84</v>
      </c>
      <c r="H133" s="325">
        <f>Clasificados[[#This Row],[Saldo Total]]-Clasificados[[#This Row],[Jaime]]-Clasificados[[#This Row],[Argentina]]-Clasificados[[#This Row],[Cristian]]+Clasificados[[#This Row],[Importación]]</f>
        <v>400475.01330118981</v>
      </c>
    </row>
    <row r="134" spans="2:8" x14ac:dyDescent="0.25">
      <c r="B134" s="1">
        <v>45012</v>
      </c>
      <c r="C134" s="325">
        <v>65000</v>
      </c>
      <c r="D134" s="325">
        <v>35000</v>
      </c>
      <c r="F134" s="325">
        <v>495286.41330118978</v>
      </c>
      <c r="G134" s="325">
        <v>5630.84</v>
      </c>
      <c r="H134" s="325">
        <f>Clasificados[[#This Row],[Saldo Total]]-Clasificados[[#This Row],[Jaime]]-Clasificados[[#This Row],[Argentina]]-Clasificados[[#This Row],[Cristian]]+Clasificados[[#This Row],[Importación]]</f>
        <v>400917.2533011898</v>
      </c>
    </row>
    <row r="135" spans="2:8" x14ac:dyDescent="0.25">
      <c r="B135" s="1">
        <v>45014</v>
      </c>
      <c r="C135" s="325">
        <v>65000</v>
      </c>
      <c r="D135" s="325">
        <v>35000</v>
      </c>
      <c r="F135" s="325">
        <v>496190.22330118978</v>
      </c>
      <c r="G135" s="325">
        <v>5630.84</v>
      </c>
      <c r="H135" s="325">
        <f>Clasificados[[#This Row],[Saldo Total]]-Clasificados[[#This Row],[Jaime]]-Clasificados[[#This Row],[Argentina]]-Clasificados[[#This Row],[Cristian]]+Clasificados[[#This Row],[Importación]]</f>
        <v>401821.0633011898</v>
      </c>
    </row>
    <row r="136" spans="2:8" x14ac:dyDescent="0.25">
      <c r="B136" s="1">
        <v>45017</v>
      </c>
      <c r="C136" s="325">
        <v>65000</v>
      </c>
      <c r="D136" s="325">
        <v>36694.223124999997</v>
      </c>
      <c r="F136" s="325">
        <v>501639.73330118979</v>
      </c>
      <c r="G136" s="325">
        <v>5630.84</v>
      </c>
      <c r="H136" s="325">
        <f>Clasificados[[#This Row],[Saldo Total]]-Clasificados[[#This Row],[Jaime]]-Clasificados[[#This Row],[Argentina]]-Clasificados[[#This Row],[Cristian]]+Clasificados[[#This Row],[Importación]]</f>
        <v>405576.35017618979</v>
      </c>
    </row>
    <row r="137" spans="2:8" x14ac:dyDescent="0.25">
      <c r="B137" s="1">
        <v>45047</v>
      </c>
      <c r="C137" s="325">
        <v>65000</v>
      </c>
      <c r="D137" s="325">
        <v>36877.69</v>
      </c>
      <c r="F137" s="325">
        <v>504758.75</v>
      </c>
      <c r="G137" s="325">
        <v>5630.84</v>
      </c>
      <c r="H137" s="325">
        <f>Clasificados[[#This Row],[Saldo Total]]-Clasificados[[#This Row],[Jaime]]-Clasificados[[#This Row],[Argentina]]-Clasificados[[#This Row],[Cristian]]+Clasificados[[#This Row],[Importación]]</f>
        <v>408511.9</v>
      </c>
    </row>
    <row r="138" spans="2:8" x14ac:dyDescent="0.25">
      <c r="B138" s="1">
        <v>45049</v>
      </c>
      <c r="C138" s="325">
        <v>65000</v>
      </c>
      <c r="D138" s="325">
        <v>36877.69</v>
      </c>
      <c r="F138" s="325">
        <v>504814.75330118969</v>
      </c>
      <c r="G138" s="325">
        <v>5630.84</v>
      </c>
      <c r="H138" s="325">
        <f>Clasificados[[#This Row],[Saldo Total]]-Clasificados[[#This Row],[Jaime]]-Clasificados[[#This Row],[Argentina]]-Clasificados[[#This Row],[Cristian]]+Clasificados[[#This Row],[Importación]]</f>
        <v>408567.90330118971</v>
      </c>
    </row>
    <row r="139" spans="2:8" x14ac:dyDescent="0.25">
      <c r="B139" s="1">
        <v>45062</v>
      </c>
      <c r="C139" s="325">
        <v>67000</v>
      </c>
      <c r="D139" s="325">
        <v>36877.69</v>
      </c>
      <c r="F139" s="325">
        <v>512544.2948011898</v>
      </c>
      <c r="G139" s="325">
        <v>5630.84</v>
      </c>
      <c r="H139" s="325">
        <f>Clasificados[[#This Row],[Saldo Total]]-Clasificados[[#This Row],[Jaime]]-Clasificados[[#This Row],[Argentina]]-Clasificados[[#This Row],[Cristian]]+Clasificados[[#This Row],[Importación]]</f>
        <v>414297.44480118982</v>
      </c>
    </row>
    <row r="140" spans="2:8" x14ac:dyDescent="0.25">
      <c r="B140" s="1">
        <v>45076</v>
      </c>
      <c r="C140" s="325">
        <v>67000</v>
      </c>
      <c r="D140" s="325">
        <v>36877.69</v>
      </c>
      <c r="F140" s="325">
        <v>516246.64480118972</v>
      </c>
      <c r="G140" s="325">
        <v>5630.84</v>
      </c>
      <c r="H140" s="325">
        <f>Clasificados[[#This Row],[Saldo Total]]-Clasificados[[#This Row],[Jaime]]-Clasificados[[#This Row],[Argentina]]-Clasificados[[#This Row],[Cristian]]+Clasificados[[#This Row],[Importación]]</f>
        <v>417999.79480118974</v>
      </c>
    </row>
    <row r="141" spans="2:8" x14ac:dyDescent="0.25">
      <c r="B141" s="1">
        <v>45078</v>
      </c>
      <c r="C141" s="325">
        <v>67000</v>
      </c>
      <c r="D141" s="325">
        <v>37061.160000000003</v>
      </c>
      <c r="E141" s="325">
        <v>750</v>
      </c>
      <c r="F141" s="325">
        <v>520338.39880118979</v>
      </c>
      <c r="G141" s="325">
        <v>5630.84</v>
      </c>
      <c r="H141" s="325">
        <f>Clasificados[[#This Row],[Saldo Total]]-Clasificados[[#This Row],[Jaime]]-Clasificados[[#This Row],[Argentina]]-Clasificados[[#This Row],[Cristian]]+Clasificados[[#This Row],[Importación]]</f>
        <v>421158.07880118984</v>
      </c>
    </row>
    <row r="142" spans="2:8" x14ac:dyDescent="0.25">
      <c r="B142" s="1">
        <v>45079</v>
      </c>
      <c r="C142" s="325">
        <v>67000</v>
      </c>
      <c r="D142" s="325">
        <v>37061.160000000003</v>
      </c>
      <c r="E142" s="325">
        <v>750</v>
      </c>
      <c r="F142" s="325">
        <v>522243.5988011898</v>
      </c>
      <c r="G142" s="325">
        <v>5630.84</v>
      </c>
      <c r="H142" s="325">
        <f>Clasificados[[#This Row],[Saldo Total]]-Clasificados[[#This Row],[Jaime]]-Clasificados[[#This Row],[Argentina]]-Clasificados[[#This Row],[Cristian]]+Clasificados[[#This Row],[Importación]]</f>
        <v>423063.27880118979</v>
      </c>
    </row>
    <row r="143" spans="2:8" x14ac:dyDescent="0.25">
      <c r="B143" s="1">
        <v>45084</v>
      </c>
      <c r="C143" s="325">
        <v>67000</v>
      </c>
      <c r="D143" s="325">
        <v>37061.160000000003</v>
      </c>
      <c r="E143" s="325">
        <v>750</v>
      </c>
      <c r="F143" s="325">
        <v>522393.5988011898</v>
      </c>
      <c r="G143" s="325">
        <v>5630.84</v>
      </c>
      <c r="H143" s="325">
        <f>Clasificados[[#This Row],[Saldo Total]]-Clasificados[[#This Row],[Jaime]]-Clasificados[[#This Row],[Argentina]]-Clasificados[[#This Row],[Cristian]]+Clasificados[[#This Row],[Importación]]</f>
        <v>423213.27880118979</v>
      </c>
    </row>
    <row r="144" spans="2:8" x14ac:dyDescent="0.25">
      <c r="B144" s="1">
        <v>45106</v>
      </c>
      <c r="C144" s="325">
        <v>67000</v>
      </c>
      <c r="D144" s="325">
        <v>37061.160000000003</v>
      </c>
      <c r="E144" s="325">
        <v>750</v>
      </c>
      <c r="F144" s="325">
        <v>524433.53880118974</v>
      </c>
      <c r="G144" s="325">
        <v>5630.84</v>
      </c>
      <c r="H144" s="325">
        <f>Clasificados[[#This Row],[Saldo Total]]-Clasificados[[#This Row],[Jaime]]-Clasificados[[#This Row],[Argentina]]-Clasificados[[#This Row],[Cristian]]+Clasificados[[#This Row],[Importación]]</f>
        <v>425253.21880118974</v>
      </c>
    </row>
    <row r="145" spans="2:8" x14ac:dyDescent="0.25">
      <c r="B145" s="1">
        <v>45108</v>
      </c>
      <c r="C145" s="325">
        <v>67000</v>
      </c>
      <c r="D145" s="325">
        <v>37244.629999999997</v>
      </c>
      <c r="E145" s="325">
        <v>754.5</v>
      </c>
      <c r="F145" s="325">
        <v>526521.74880118971</v>
      </c>
      <c r="G145" s="325">
        <v>5630.84</v>
      </c>
      <c r="H145" s="325">
        <f>Clasificados[[#This Row],[Saldo Total]]-Clasificados[[#This Row],[Jaime]]-Clasificados[[#This Row],[Argentina]]-Clasificados[[#This Row],[Cristian]]+Clasificados[[#This Row],[Importación]]</f>
        <v>427153.45880118973</v>
      </c>
    </row>
    <row r="146" spans="2:8" x14ac:dyDescent="0.25">
      <c r="B146" s="1">
        <v>45109</v>
      </c>
      <c r="C146" s="325">
        <v>67000</v>
      </c>
      <c r="D146" s="325">
        <v>37244.629999999997</v>
      </c>
      <c r="E146" s="325">
        <v>1754.5</v>
      </c>
      <c r="F146" s="325">
        <v>527521.74880118971</v>
      </c>
      <c r="G146" s="325">
        <v>5630.84</v>
      </c>
      <c r="H146" s="325">
        <f>Clasificados[[#This Row],[Saldo Total]]-Clasificados[[#This Row],[Jaime]]-Clasificados[[#This Row],[Argentina]]-Clasificados[[#This Row],[Cristian]]+Clasificados[[#This Row],[Importación]]</f>
        <v>427153.45880118973</v>
      </c>
    </row>
    <row r="147" spans="2:8" x14ac:dyDescent="0.25">
      <c r="B147" s="1">
        <v>45110</v>
      </c>
      <c r="C147" s="325">
        <v>67000</v>
      </c>
      <c r="D147" s="325">
        <v>37244.629999999997</v>
      </c>
      <c r="E147" s="325">
        <v>1754.5</v>
      </c>
      <c r="F147" s="325">
        <v>527776.1393011898</v>
      </c>
      <c r="G147" s="325">
        <v>5630.84</v>
      </c>
      <c r="H147" s="325">
        <f>Clasificados[[#This Row],[Saldo Total]]-Clasificados[[#This Row],[Jaime]]-Clasificados[[#This Row],[Argentina]]-Clasificados[[#This Row],[Cristian]]+Clasificados[[#This Row],[Importación]]</f>
        <v>427407.84930118982</v>
      </c>
    </row>
    <row r="148" spans="2:8" x14ac:dyDescent="0.25">
      <c r="B148" s="1">
        <v>45140</v>
      </c>
      <c r="C148" s="325">
        <v>67000</v>
      </c>
      <c r="D148" s="325">
        <v>37428.1</v>
      </c>
      <c r="E148" s="325">
        <v>2127.6</v>
      </c>
      <c r="F148" s="325">
        <v>532175.58010118967</v>
      </c>
      <c r="G148" s="325">
        <v>5630.84</v>
      </c>
      <c r="H148" s="325">
        <f>Clasificados[[#This Row],[Saldo Total]]-Clasificados[[#This Row],[Jaime]]-Clasificados[[#This Row],[Argentina]]-Clasificados[[#This Row],[Cristian]]+Clasificados[[#This Row],[Importación]]</f>
        <v>431250.72010118974</v>
      </c>
    </row>
    <row r="149" spans="2:8" x14ac:dyDescent="0.25">
      <c r="B149" s="1">
        <v>45167</v>
      </c>
      <c r="C149" s="325">
        <v>67000</v>
      </c>
      <c r="D149" s="325">
        <v>37428.1</v>
      </c>
      <c r="E149" s="325">
        <v>2127.6</v>
      </c>
      <c r="F149" s="325">
        <v>532887.8397913276</v>
      </c>
      <c r="G149" s="325">
        <v>5630.84</v>
      </c>
      <c r="H149" s="325">
        <f>Clasificados[[#This Row],[Saldo Total]]-Clasificados[[#This Row],[Jaime]]-Clasificados[[#This Row],[Argentina]]-Clasificados[[#This Row],[Cristian]]+Clasificados[[#This Row],[Importación]]</f>
        <v>431962.97979132767</v>
      </c>
    </row>
    <row r="150" spans="2:8" x14ac:dyDescent="0.25">
      <c r="B150" s="1">
        <v>45170</v>
      </c>
      <c r="C150" s="325">
        <v>67000</v>
      </c>
      <c r="D150" s="325">
        <v>37611.57</v>
      </c>
      <c r="E150" s="325">
        <v>11311.79</v>
      </c>
      <c r="F150" s="325">
        <v>538462.28979132767</v>
      </c>
      <c r="G150" s="325">
        <v>5630.84</v>
      </c>
      <c r="H150" s="325">
        <f>Clasificados[[#This Row],[Saldo Total]]-Clasificados[[#This Row],[Jaime]]-Clasificados[[#This Row],[Argentina]]-Clasificados[[#This Row],[Cristian]]+Clasificados[[#This Row],[Importación]]</f>
        <v>428169.76979132771</v>
      </c>
    </row>
    <row r="151" spans="2:8" x14ac:dyDescent="0.25">
      <c r="B151" s="1">
        <v>45173</v>
      </c>
      <c r="C151" s="325">
        <v>68000</v>
      </c>
      <c r="D151" s="325">
        <v>37611.57</v>
      </c>
      <c r="E151" s="325">
        <v>11311.79</v>
      </c>
      <c r="F151" s="325">
        <v>541080.14624680416</v>
      </c>
      <c r="G151" s="325">
        <v>5630.84</v>
      </c>
      <c r="H151" s="325">
        <f>Clasificados[[#This Row],[Saldo Total]]-Clasificados[[#This Row],[Jaime]]-Clasificados[[#This Row],[Argentina]]-Clasificados[[#This Row],[Cristian]]+Clasificados[[#This Row],[Importación]]</f>
        <v>429787.6262468042</v>
      </c>
    </row>
    <row r="152" spans="2:8" x14ac:dyDescent="0.25">
      <c r="B152" s="1">
        <v>45191</v>
      </c>
      <c r="C152" s="325">
        <v>68000</v>
      </c>
      <c r="D152" s="325">
        <v>37611.57</v>
      </c>
      <c r="E152" s="325">
        <v>11311.79</v>
      </c>
      <c r="F152" s="325">
        <v>545195.8162468042</v>
      </c>
      <c r="G152" s="325">
        <v>5630.84</v>
      </c>
      <c r="H152" s="325">
        <f>Clasificados[[#This Row],[Saldo Total]]-Clasificados[[#This Row],[Jaime]]-Clasificados[[#This Row],[Argentina]]-Clasificados[[#This Row],[Cristian]]+Clasificados[[#This Row],[Importación]]</f>
        <v>433903.29624680424</v>
      </c>
    </row>
    <row r="153" spans="2:8" x14ac:dyDescent="0.25">
      <c r="B153" s="1">
        <v>45200</v>
      </c>
      <c r="C153" s="325">
        <v>68000</v>
      </c>
      <c r="D153" s="325">
        <v>37795.040000000001</v>
      </c>
      <c r="E153" s="325">
        <v>11376.56</v>
      </c>
      <c r="F153" s="325">
        <v>547851.53624680429</v>
      </c>
      <c r="G153" s="325">
        <v>5630.84</v>
      </c>
      <c r="H153" s="325">
        <f>Clasificados[[#This Row],[Saldo Total]]-Clasificados[[#This Row],[Jaime]]-Clasificados[[#This Row],[Argentina]]-Clasificados[[#This Row],[Cristian]]+Clasificados[[#This Row],[Importación]]</f>
        <v>436310.77624680434</v>
      </c>
    </row>
    <row r="154" spans="2:8" x14ac:dyDescent="0.25">
      <c r="B154" s="1">
        <v>45201</v>
      </c>
      <c r="C154" s="325">
        <v>68000</v>
      </c>
      <c r="D154" s="325">
        <v>37795.040000000001</v>
      </c>
      <c r="E154" s="325">
        <v>11376.56</v>
      </c>
      <c r="F154" s="325">
        <v>548426.58624680422</v>
      </c>
      <c r="G154" s="325">
        <v>5630.84</v>
      </c>
      <c r="H154" s="325">
        <f>Clasificados[[#This Row],[Saldo Total]]-Clasificados[[#This Row],[Jaime]]-Clasificados[[#This Row],[Argentina]]-Clasificados[[#This Row],[Cristian]]+Clasificados[[#This Row],[Importación]]</f>
        <v>436885.82624680427</v>
      </c>
    </row>
    <row r="155" spans="2:8" x14ac:dyDescent="0.25">
      <c r="B155" s="1">
        <v>45214</v>
      </c>
      <c r="C155" s="325">
        <v>68000</v>
      </c>
      <c r="D155" s="325">
        <v>37795.040000000001</v>
      </c>
      <c r="E155" s="325">
        <v>907.62</v>
      </c>
      <c r="F155" s="325">
        <v>537773.55721132795</v>
      </c>
      <c r="G155" s="325">
        <v>5630.84</v>
      </c>
      <c r="H155" s="325">
        <f>Clasificados[[#This Row],[Saldo Total]]-Clasificados[[#This Row],[Jaime]]-Clasificados[[#This Row],[Argentina]]-Clasificados[[#This Row],[Cristian]]+Clasificados[[#This Row],[Importación]]</f>
        <v>436701.737211328</v>
      </c>
    </row>
    <row r="156" spans="2:8" x14ac:dyDescent="0.25">
      <c r="B156" s="1">
        <v>45222</v>
      </c>
      <c r="C156" s="325">
        <v>68000</v>
      </c>
      <c r="D156" s="325">
        <v>37795.040000000001</v>
      </c>
      <c r="E156" s="325">
        <v>907.62</v>
      </c>
      <c r="F156" s="325">
        <v>537686.20721132786</v>
      </c>
      <c r="G156" s="325">
        <v>5630.84</v>
      </c>
      <c r="H156" s="325">
        <f>Clasificados[[#This Row],[Saldo Total]]-Clasificados[[#This Row],[Jaime]]-Clasificados[[#This Row],[Argentina]]-Clasificados[[#This Row],[Cristian]]+Clasificados[[#This Row],[Importación]]</f>
        <v>436614.38721132791</v>
      </c>
    </row>
    <row r="157" spans="2:8" x14ac:dyDescent="0.25">
      <c r="B157" s="1">
        <v>45231</v>
      </c>
      <c r="C157" s="325">
        <v>68000</v>
      </c>
      <c r="D157" s="325">
        <v>37978.51</v>
      </c>
      <c r="E157" s="325">
        <v>907.62</v>
      </c>
      <c r="F157" s="325">
        <v>538852.79721132806</v>
      </c>
      <c r="G157" s="325">
        <v>5630.84</v>
      </c>
      <c r="H157" s="325">
        <f>Clasificados[[#This Row],[Saldo Total]]-Clasificados[[#This Row],[Jaime]]-Clasificados[[#This Row],[Argentina]]-Clasificados[[#This Row],[Cristian]]+Clasificados[[#This Row],[Importación]]</f>
        <v>437597.50721132808</v>
      </c>
    </row>
    <row r="158" spans="2:8" x14ac:dyDescent="0.25">
      <c r="B158" s="1">
        <v>45253</v>
      </c>
      <c r="C158" s="325">
        <v>68000</v>
      </c>
      <c r="D158" s="325">
        <v>37978.51</v>
      </c>
      <c r="E158" s="325">
        <v>907.62</v>
      </c>
      <c r="F158" s="325">
        <v>538023.29721132782</v>
      </c>
      <c r="G158" s="325">
        <v>5630.84</v>
      </c>
      <c r="H158" s="325">
        <f>Clasificados[[#This Row],[Saldo Total]]-Clasificados[[#This Row],[Jaime]]-Clasificados[[#This Row],[Argentina]]-Clasificados[[#This Row],[Cristian]]+Clasificados[[#This Row],[Importación]]</f>
        <v>436768.00721132784</v>
      </c>
    </row>
    <row r="159" spans="2:8" x14ac:dyDescent="0.25">
      <c r="B159" s="1">
        <v>45261</v>
      </c>
      <c r="C159" s="325">
        <v>68000</v>
      </c>
      <c r="D159" s="325">
        <v>38161.980000000003</v>
      </c>
      <c r="E159" s="325">
        <v>2494.9499999999998</v>
      </c>
      <c r="F159" s="325">
        <v>543926.48427254788</v>
      </c>
      <c r="G159" s="325">
        <v>5630.84</v>
      </c>
      <c r="H159" s="325">
        <f>Clasificados[[#This Row],[Saldo Total]]-Clasificados[[#This Row],[Jaime]]-Clasificados[[#This Row],[Argentina]]-Clasificados[[#This Row],[Cristian]]+Clasificados[[#This Row],[Importación]]</f>
        <v>440900.39427254791</v>
      </c>
    </row>
    <row r="160" spans="2:8" x14ac:dyDescent="0.25">
      <c r="B160" s="1">
        <v>45265</v>
      </c>
      <c r="C160" s="325">
        <v>68000</v>
      </c>
      <c r="D160" s="325">
        <v>38161.980000000003</v>
      </c>
      <c r="E160" s="325">
        <v>2494.9499999999998</v>
      </c>
      <c r="F160" s="325">
        <v>545614.63346577284</v>
      </c>
      <c r="G160" s="325">
        <v>5630.84</v>
      </c>
      <c r="H160" s="325">
        <f>Clasificados[[#This Row],[Saldo Total]]-Clasificados[[#This Row],[Jaime]]-Clasificados[[#This Row],[Argentina]]-Clasificados[[#This Row],[Cristian]]+Clasificados[[#This Row],[Importación]]</f>
        <v>442588.54346577288</v>
      </c>
    </row>
    <row r="161" spans="2:8" x14ac:dyDescent="0.25">
      <c r="B161" s="1">
        <v>45277</v>
      </c>
      <c r="C161" s="325">
        <v>68000</v>
      </c>
      <c r="D161" s="325">
        <v>38161.980000000003</v>
      </c>
      <c r="E161" s="325">
        <v>12972.9</v>
      </c>
      <c r="F161" s="325">
        <v>556394.16346577276</v>
      </c>
      <c r="G161" s="325">
        <v>5630.84</v>
      </c>
      <c r="H161" s="325">
        <f>Clasificados[[#This Row],[Saldo Total]]-Clasificados[[#This Row],[Jaime]]-Clasificados[[#This Row],[Argentina]]-Clasificados[[#This Row],[Cristian]]+Clasificados[[#This Row],[Importación]]</f>
        <v>442890.12346577278</v>
      </c>
    </row>
    <row r="162" spans="2:8" x14ac:dyDescent="0.25">
      <c r="B162" s="1">
        <v>45286</v>
      </c>
      <c r="C162" s="325">
        <v>68000</v>
      </c>
      <c r="D162" s="325">
        <v>38161.980000000003</v>
      </c>
      <c r="E162" s="325">
        <v>12972.9</v>
      </c>
      <c r="F162" s="325">
        <v>556830.43510932778</v>
      </c>
      <c r="G162" s="325">
        <v>5630.84</v>
      </c>
      <c r="H162" s="325">
        <f>Clasificados[[#This Row],[Saldo Total]]-Clasificados[[#This Row],[Jaime]]-Clasificados[[#This Row],[Argentina]]-Clasificados[[#This Row],[Cristian]]+Clasificados[[#This Row],[Importación]]</f>
        <v>443326.3951093278</v>
      </c>
    </row>
    <row r="163" spans="2:8" x14ac:dyDescent="0.25">
      <c r="B163" s="1">
        <v>45290</v>
      </c>
      <c r="C163" s="325">
        <v>68000</v>
      </c>
      <c r="D163" s="325">
        <v>38345.449999999997</v>
      </c>
      <c r="E163" s="325">
        <v>13602.27</v>
      </c>
      <c r="F163" s="325">
        <v>560608.80346577265</v>
      </c>
      <c r="G163" s="325">
        <v>5630.84</v>
      </c>
      <c r="H163" s="325">
        <f>Clasificados[[#This Row],[Saldo Total]]-Clasificados[[#This Row],[Jaime]]-Clasificados[[#This Row],[Argentina]]-Clasificados[[#This Row],[Cristian]]+Clasificados[[#This Row],[Importación]]</f>
        <v>446291.92346577265</v>
      </c>
    </row>
    <row r="164" spans="2:8" x14ac:dyDescent="0.25">
      <c r="B164" s="1">
        <v>45302</v>
      </c>
      <c r="C164" s="325">
        <v>68000</v>
      </c>
      <c r="D164" s="325">
        <v>38345.449999999997</v>
      </c>
      <c r="E164" s="325">
        <v>13602.27</v>
      </c>
      <c r="F164" s="325">
        <v>579942.98313966498</v>
      </c>
      <c r="G164" s="325">
        <v>5630.84</v>
      </c>
      <c r="H164" s="325">
        <f>Clasificados[[#This Row],[Saldo Total]]-Clasificados[[#This Row],[Jaime]]-Clasificados[[#This Row],[Argentina]]-Clasificados[[#This Row],[Cristian]]+Clasificados[[#This Row],[Importación]]</f>
        <v>465626.10313966498</v>
      </c>
    </row>
    <row r="165" spans="2:8" x14ac:dyDescent="0.25">
      <c r="B165" s="1">
        <v>45308</v>
      </c>
      <c r="C165" s="325">
        <v>68000</v>
      </c>
      <c r="D165" s="325">
        <v>38345.449999999997</v>
      </c>
      <c r="E165" s="325">
        <v>13602.27</v>
      </c>
      <c r="F165" s="325">
        <v>581034.21313966403</v>
      </c>
      <c r="G165" s="325">
        <v>5630.84</v>
      </c>
      <c r="H165" s="325">
        <f>Clasificados[[#This Row],[Saldo Total]]-Clasificados[[#This Row],[Jaime]]-Clasificados[[#This Row],[Argentina]]-Clasificados[[#This Row],[Cristian]]+Clasificados[[#This Row],[Importación]]</f>
        <v>466717.33313966403</v>
      </c>
    </row>
    <row r="166" spans="2:8" x14ac:dyDescent="0.25">
      <c r="B166" s="1">
        <v>45309</v>
      </c>
      <c r="C166" s="325">
        <v>68000</v>
      </c>
      <c r="D166" s="325">
        <v>38345.449999999997</v>
      </c>
      <c r="E166" s="325">
        <v>13602.27</v>
      </c>
      <c r="F166" s="325">
        <v>580547.54400166636</v>
      </c>
      <c r="G166" s="325">
        <v>5630.84</v>
      </c>
      <c r="H166" s="325">
        <f>Clasificados[[#This Row],[Saldo Total]]-Clasificados[[#This Row],[Jaime]]-Clasificados[[#This Row],[Argentina]]-Clasificados[[#This Row],[Cristian]]+Clasificados[[#This Row],[Importación]]</f>
        <v>466230.66400166636</v>
      </c>
    </row>
    <row r="167" spans="2:8" x14ac:dyDescent="0.25">
      <c r="B167" s="1">
        <v>45323</v>
      </c>
      <c r="C167" s="325">
        <v>68000</v>
      </c>
      <c r="D167" s="325">
        <v>38528.92</v>
      </c>
      <c r="E167" s="325">
        <v>14597.47</v>
      </c>
      <c r="F167" s="325">
        <v>582834.51400166634</v>
      </c>
      <c r="G167" s="325">
        <v>5630.84</v>
      </c>
      <c r="H167" s="325">
        <f>Clasificados[[#This Row],[Saldo Total]]-Clasificados[[#This Row],[Jaime]]-Clasificados[[#This Row],[Argentina]]-Clasificados[[#This Row],[Cristian]]+Clasificados[[#This Row],[Importación]]</f>
        <v>467338.96400166641</v>
      </c>
    </row>
    <row r="168" spans="2:8" x14ac:dyDescent="0.25">
      <c r="B168" s="1">
        <v>45337</v>
      </c>
      <c r="C168" s="325">
        <v>68000</v>
      </c>
      <c r="D168" s="325">
        <v>38528.92</v>
      </c>
      <c r="E168" s="325">
        <v>14597.47</v>
      </c>
      <c r="F168" s="325">
        <v>583822.607312551</v>
      </c>
      <c r="G168" s="325">
        <v>5630.84</v>
      </c>
      <c r="H168" s="325">
        <f>Clasificados[[#This Row],[Saldo Total]]-Clasificados[[#This Row],[Jaime]]-Clasificados[[#This Row],[Argentina]]-Clasificados[[#This Row],[Cristian]]+Clasificados[[#This Row],[Importación]]</f>
        <v>468327.05731255107</v>
      </c>
    </row>
    <row r="169" spans="2:8" x14ac:dyDescent="0.25">
      <c r="B169" s="1">
        <v>45352</v>
      </c>
      <c r="C169" s="325">
        <v>68000</v>
      </c>
      <c r="D169" s="325">
        <v>38712.39</v>
      </c>
      <c r="E169" s="325">
        <v>15321</v>
      </c>
      <c r="F169" s="325">
        <v>588217.04722658906</v>
      </c>
      <c r="G169" s="325">
        <v>5630.84</v>
      </c>
      <c r="H169" s="325">
        <f>Clasificados[[#This Row],[Saldo Total]]-Clasificados[[#This Row],[Jaime]]-Clasificados[[#This Row],[Argentina]]-Clasificados[[#This Row],[Cristian]]+Clasificados[[#This Row],[Importación]]</f>
        <v>471814.49722658907</v>
      </c>
    </row>
    <row r="170" spans="2:8" x14ac:dyDescent="0.25">
      <c r="B170" s="1">
        <v>45356</v>
      </c>
      <c r="C170" s="325">
        <v>68000</v>
      </c>
      <c r="D170" s="325">
        <v>38712.39</v>
      </c>
      <c r="E170" s="325">
        <v>15321</v>
      </c>
      <c r="F170" s="325">
        <v>589326.23722658912</v>
      </c>
      <c r="G170" s="325">
        <v>5630.84</v>
      </c>
      <c r="H170" s="325">
        <f>Clasificados[[#This Row],[Saldo Total]]-Clasificados[[#This Row],[Jaime]]-Clasificados[[#This Row],[Argentina]]-Clasificados[[#This Row],[Cristian]]+Clasificados[[#This Row],[Importación]]</f>
        <v>472923.68722658913</v>
      </c>
    </row>
    <row r="171" spans="2:8" x14ac:dyDescent="0.25">
      <c r="B171" s="1">
        <v>45372</v>
      </c>
      <c r="C171" s="325">
        <v>68000</v>
      </c>
      <c r="D171" s="325">
        <v>38712.39</v>
      </c>
      <c r="E171" s="325">
        <v>15321</v>
      </c>
      <c r="F171" s="325">
        <v>589034.72722658911</v>
      </c>
      <c r="G171" s="325">
        <v>5630.84</v>
      </c>
      <c r="H171" s="325">
        <f>Clasificados[[#This Row],[Saldo Total]]-Clasificados[[#This Row],[Jaime]]-Clasificados[[#This Row],[Argentina]]-Clasificados[[#This Row],[Cristian]]+Clasificados[[#This Row],[Importación]]</f>
        <v>472632.17722658912</v>
      </c>
    </row>
    <row r="172" spans="2:8" x14ac:dyDescent="0.25">
      <c r="B172" s="1">
        <v>45383</v>
      </c>
      <c r="C172" s="325">
        <v>68000</v>
      </c>
      <c r="D172" s="325">
        <v>38895.86</v>
      </c>
      <c r="E172" s="325">
        <v>16096.23</v>
      </c>
      <c r="F172" s="325">
        <v>592706.83722658909</v>
      </c>
      <c r="G172" s="325">
        <v>5630.84</v>
      </c>
      <c r="H172" s="325">
        <f>Clasificados[[#This Row],[Saldo Total]]-Clasificados[[#This Row],[Jaime]]-Clasificados[[#This Row],[Argentina]]-Clasificados[[#This Row],[Cristian]]+Clasificados[[#This Row],[Importación]]</f>
        <v>475345.58722658915</v>
      </c>
    </row>
    <row r="173" spans="2:8" x14ac:dyDescent="0.25">
      <c r="B173" s="1">
        <v>45397</v>
      </c>
      <c r="C173" s="325">
        <v>68000</v>
      </c>
      <c r="D173" s="325">
        <v>38895.86</v>
      </c>
      <c r="E173" s="325">
        <v>16096.23</v>
      </c>
      <c r="F173" s="325">
        <v>593709.25722658914</v>
      </c>
      <c r="G173" s="325">
        <v>5630.84</v>
      </c>
      <c r="H173" s="325">
        <f>Clasificados[[#This Row],[Saldo Total]]-Clasificados[[#This Row],[Jaime]]-Clasificados[[#This Row],[Argentina]]-Clasificados[[#This Row],[Cristian]]+Clasificados[[#This Row],[Importación]]</f>
        <v>476348.00722658919</v>
      </c>
    </row>
    <row r="174" spans="2:8" x14ac:dyDescent="0.25">
      <c r="B174" s="1">
        <v>45398</v>
      </c>
      <c r="C174" s="325">
        <v>73000</v>
      </c>
      <c r="D174" s="325">
        <v>38895.86</v>
      </c>
      <c r="E174" s="325">
        <v>16096.23</v>
      </c>
      <c r="F174" s="325">
        <v>598916.68722658907</v>
      </c>
      <c r="G174" s="325">
        <v>5630.84</v>
      </c>
      <c r="H174" s="325">
        <f>Clasificados[[#This Row],[Saldo Total]]-Clasificados[[#This Row],[Jaime]]-Clasificados[[#This Row],[Argentina]]-Clasificados[[#This Row],[Cristian]]+Clasificados[[#This Row],[Importación]]</f>
        <v>476555.43722658913</v>
      </c>
    </row>
    <row r="175" spans="2:8" x14ac:dyDescent="0.25">
      <c r="B175" s="1">
        <v>45411</v>
      </c>
      <c r="C175" s="325">
        <v>73000</v>
      </c>
      <c r="D175" s="325">
        <v>38895.86</v>
      </c>
      <c r="E175" s="325">
        <v>16096.23</v>
      </c>
      <c r="F175" s="325">
        <v>600763.07722658897</v>
      </c>
      <c r="G175" s="325">
        <v>5630.84</v>
      </c>
      <c r="H175" s="325">
        <f>Clasificados[[#This Row],[Saldo Total]]-Clasificados[[#This Row],[Jaime]]-Clasificados[[#This Row],[Argentina]]-Clasificados[[#This Row],[Cristian]]+Clasificados[[#This Row],[Importación]]</f>
        <v>478401.82722658903</v>
      </c>
    </row>
    <row r="176" spans="2:8" x14ac:dyDescent="0.25">
      <c r="B176" s="1">
        <v>45415</v>
      </c>
      <c r="C176" s="325">
        <v>73000</v>
      </c>
      <c r="D176" s="325">
        <v>39079.33</v>
      </c>
      <c r="E176" s="325">
        <v>17238.13</v>
      </c>
      <c r="F176" s="325">
        <v>601747.58722658898</v>
      </c>
      <c r="G176" s="325">
        <v>5630.84</v>
      </c>
      <c r="H176" s="325">
        <f>Clasificados[[#This Row],[Saldo Total]]-Clasificados[[#This Row],[Jaime]]-Clasificados[[#This Row],[Argentina]]-Clasificados[[#This Row],[Cristian]]+Clasificados[[#This Row],[Importación]]</f>
        <v>478060.96722658898</v>
      </c>
    </row>
    <row r="177" spans="2:8" x14ac:dyDescent="0.25">
      <c r="B177" s="1">
        <v>45419</v>
      </c>
      <c r="C177" s="325">
        <v>73000</v>
      </c>
      <c r="D177" s="325">
        <v>39079.33</v>
      </c>
      <c r="E177" s="325">
        <v>17238.13</v>
      </c>
      <c r="F177" s="325">
        <v>603874.41151692905</v>
      </c>
      <c r="G177" s="325">
        <v>5630.84</v>
      </c>
      <c r="H177" s="325">
        <f>Clasificados[[#This Row],[Saldo Total]]-Clasificados[[#This Row],[Jaime]]-Clasificados[[#This Row],[Argentina]]-Clasificados[[#This Row],[Cristian]]+Clasificados[[#This Row],[Importación]]</f>
        <v>480187.79151692905</v>
      </c>
    </row>
    <row r="178" spans="2:8" x14ac:dyDescent="0.25">
      <c r="B178" s="1">
        <v>45432</v>
      </c>
      <c r="C178" s="325">
        <v>73000</v>
      </c>
      <c r="D178" s="325">
        <v>39079.33</v>
      </c>
      <c r="E178" s="325">
        <v>17238.13</v>
      </c>
      <c r="F178" s="325">
        <v>603739.83151692897</v>
      </c>
      <c r="G178" s="325">
        <v>5630.84</v>
      </c>
      <c r="H178" s="325">
        <f>Clasificados[[#This Row],[Saldo Total]]-Clasificados[[#This Row],[Jaime]]-Clasificados[[#This Row],[Argentina]]-Clasificados[[#This Row],[Cristian]]+Clasificados[[#This Row],[Importación]]</f>
        <v>480053.21151692898</v>
      </c>
    </row>
    <row r="179" spans="2:8" x14ac:dyDescent="0.25">
      <c r="B179" s="1">
        <v>45442</v>
      </c>
      <c r="C179" s="325">
        <v>73000</v>
      </c>
      <c r="D179" s="325">
        <v>39079.33</v>
      </c>
      <c r="E179" s="325">
        <v>17238.13</v>
      </c>
      <c r="F179" s="325">
        <v>608602.80198331014</v>
      </c>
      <c r="G179" s="325">
        <v>5630.84</v>
      </c>
      <c r="H179" s="325">
        <f>Clasificados[[#This Row],[Saldo Total]]-Clasificados[[#This Row],[Jaime]]-Clasificados[[#This Row],[Argentina]]-Clasificados[[#This Row],[Cristian]]+Clasificados[[#This Row],[Importación]]</f>
        <v>484916.18198331015</v>
      </c>
    </row>
    <row r="180" spans="2:8" x14ac:dyDescent="0.25">
      <c r="B180" s="1">
        <v>45444</v>
      </c>
      <c r="C180" s="325">
        <v>73000</v>
      </c>
      <c r="D180" s="325">
        <v>39262.800000000003</v>
      </c>
      <c r="E180" s="325">
        <v>18186.03</v>
      </c>
      <c r="F180" s="325">
        <v>609531.89830531017</v>
      </c>
      <c r="G180" s="325">
        <v>5630.84</v>
      </c>
      <c r="H180" s="325">
        <f>Clasificados[[#This Row],[Saldo Total]]-Clasificados[[#This Row],[Jaime]]-Clasificados[[#This Row],[Argentina]]-Clasificados[[#This Row],[Cristian]]+Clasificados[[#This Row],[Importación]]</f>
        <v>484713.90830531024</v>
      </c>
    </row>
    <row r="181" spans="2:8" x14ac:dyDescent="0.25">
      <c r="B181" s="1">
        <v>45447</v>
      </c>
      <c r="C181" s="325">
        <v>73000</v>
      </c>
      <c r="D181" s="325">
        <v>39262.800000000003</v>
      </c>
      <c r="E181" s="325">
        <v>18186.03</v>
      </c>
      <c r="F181" s="325">
        <v>609868.87830531015</v>
      </c>
      <c r="G181" s="325">
        <v>5630.84</v>
      </c>
      <c r="H181" s="325">
        <f>Clasificados[[#This Row],[Saldo Total]]-Clasificados[[#This Row],[Jaime]]-Clasificados[[#This Row],[Argentina]]-Clasificados[[#This Row],[Cristian]]+Clasificados[[#This Row],[Importación]]</f>
        <v>485050.88830531022</v>
      </c>
    </row>
    <row r="182" spans="2:8" x14ac:dyDescent="0.25">
      <c r="B182" s="1">
        <v>45454</v>
      </c>
      <c r="C182" s="325">
        <v>73000</v>
      </c>
      <c r="D182" s="325">
        <v>39262.800000000003</v>
      </c>
      <c r="E182" s="325">
        <v>18186.03</v>
      </c>
      <c r="F182" s="325">
        <v>611000.40830531018</v>
      </c>
      <c r="G182" s="325">
        <v>5630.84</v>
      </c>
      <c r="H182" s="325">
        <f>Clasificados[[#This Row],[Saldo Total]]-Clasificados[[#This Row],[Jaime]]-Clasificados[[#This Row],[Argentina]]-Clasificados[[#This Row],[Cristian]]+Clasificados[[#This Row],[Importación]]</f>
        <v>486182.41830531025</v>
      </c>
    </row>
    <row r="183" spans="2:8" x14ac:dyDescent="0.25">
      <c r="B183" s="1">
        <v>45462</v>
      </c>
      <c r="C183" s="325">
        <v>73000</v>
      </c>
      <c r="D183" s="325">
        <v>39262.800000000003</v>
      </c>
      <c r="E183" s="325">
        <v>18186.03</v>
      </c>
      <c r="F183" s="325">
        <v>611383.73380781023</v>
      </c>
      <c r="G183" s="325">
        <v>5630.84</v>
      </c>
      <c r="H183" s="325">
        <f>Clasificados[[#This Row],[Saldo Total]]-Clasificados[[#This Row],[Jaime]]-Clasificados[[#This Row],[Argentina]]-Clasificados[[#This Row],[Cristian]]+Clasificados[[#This Row],[Importación]]</f>
        <v>486565.7438078103</v>
      </c>
    </row>
    <row r="184" spans="2:8" x14ac:dyDescent="0.25">
      <c r="B184" s="1">
        <v>45473</v>
      </c>
      <c r="C184" s="325">
        <v>73000</v>
      </c>
      <c r="D184" s="325">
        <v>39446.269999999997</v>
      </c>
      <c r="E184" s="325">
        <v>19138.73</v>
      </c>
      <c r="F184" s="325">
        <v>615033.96380781021</v>
      </c>
      <c r="G184" s="325">
        <v>5630.84</v>
      </c>
      <c r="H184" s="325">
        <f>Clasificados[[#This Row],[Saldo Total]]-Clasificados[[#This Row],[Jaime]]-Clasificados[[#This Row],[Argentina]]-Clasificados[[#This Row],[Cristian]]+Clasificados[[#This Row],[Importación]]</f>
        <v>489079.80380781024</v>
      </c>
    </row>
    <row r="185" spans="2:8" x14ac:dyDescent="0.25">
      <c r="B185" s="1">
        <v>45475</v>
      </c>
      <c r="C185" s="325">
        <v>73000</v>
      </c>
      <c r="D185" s="325">
        <v>39446.269999999997</v>
      </c>
      <c r="E185" s="325">
        <v>19138.73</v>
      </c>
      <c r="F185" s="325">
        <v>614802.99380781024</v>
      </c>
      <c r="G185" s="325">
        <v>5630.84</v>
      </c>
      <c r="H185" s="325">
        <f>Clasificados[[#This Row],[Saldo Total]]-Clasificados[[#This Row],[Jaime]]-Clasificados[[#This Row],[Argentina]]-Clasificados[[#This Row],[Cristian]]+Clasificados[[#This Row],[Importación]]</f>
        <v>488848.83380781027</v>
      </c>
    </row>
    <row r="186" spans="2:8" x14ac:dyDescent="0.25">
      <c r="B186" s="1">
        <v>45483</v>
      </c>
      <c r="C186" s="325">
        <v>73000</v>
      </c>
      <c r="D186" s="325">
        <v>39446.269999999997</v>
      </c>
      <c r="E186" s="325">
        <v>19138.73</v>
      </c>
      <c r="F186" s="325">
        <v>616824.63380781026</v>
      </c>
      <c r="G186" s="325">
        <v>5630.84</v>
      </c>
      <c r="H186" s="325">
        <f>Clasificados[[#This Row],[Saldo Total]]-Clasificados[[#This Row],[Jaime]]-Clasificados[[#This Row],[Argentina]]-Clasificados[[#This Row],[Cristian]]+Clasificados[[#This Row],[Importación]]</f>
        <v>490870.47380781028</v>
      </c>
    </row>
    <row r="187" spans="2:8" x14ac:dyDescent="0.25">
      <c r="B187" s="1">
        <v>45491</v>
      </c>
      <c r="C187" s="325">
        <v>73000</v>
      </c>
      <c r="D187" s="325">
        <v>39446.269999999997</v>
      </c>
      <c r="E187" s="325">
        <v>19138.73</v>
      </c>
      <c r="F187" s="325">
        <v>615276.54936216562</v>
      </c>
      <c r="G187" s="325">
        <v>5630.84</v>
      </c>
      <c r="H187" s="325">
        <f>Clasificados[[#This Row],[Saldo Total]]-Clasificados[[#This Row],[Jaime]]-Clasificados[[#This Row],[Argentina]]-Clasificados[[#This Row],[Cristian]]+Clasificados[[#This Row],[Importación]]</f>
        <v>489322.38936216565</v>
      </c>
    </row>
    <row r="188" spans="2:8" x14ac:dyDescent="0.25">
      <c r="B188" s="1">
        <v>45493</v>
      </c>
      <c r="C188" s="325">
        <v>73000</v>
      </c>
      <c r="D188" s="325">
        <v>39446.269999999997</v>
      </c>
      <c r="E188" s="325">
        <v>19138.73</v>
      </c>
      <c r="F188" s="325">
        <v>618521.13061630738</v>
      </c>
      <c r="G188" s="325">
        <v>5630.84</v>
      </c>
      <c r="H188" s="325">
        <f>Clasificados[[#This Row],[Saldo Total]]-Clasificados[[#This Row],[Jaime]]-Clasificados[[#This Row],[Argentina]]-Clasificados[[#This Row],[Cristian]]+Clasificados[[#This Row],[Importación]]</f>
        <v>492566.9706163074</v>
      </c>
    </row>
    <row r="189" spans="2:8" x14ac:dyDescent="0.25">
      <c r="B189" s="1">
        <v>45501</v>
      </c>
      <c r="C189" s="325">
        <v>73000</v>
      </c>
      <c r="D189" s="325">
        <v>39446.269999999997</v>
      </c>
      <c r="E189" s="325">
        <v>19138.73</v>
      </c>
      <c r="F189" s="325">
        <v>621022.67000000004</v>
      </c>
      <c r="G189" s="325">
        <v>5630.84</v>
      </c>
      <c r="H189" s="325">
        <f>Clasificados[[#This Row],[Saldo Total]]-Clasificados[[#This Row],[Jaime]]-Clasificados[[#This Row],[Argentina]]-Clasificados[[#This Row],[Cristian]]+Clasificados[[#This Row],[Importación]]</f>
        <v>495068.51000000007</v>
      </c>
    </row>
    <row r="190" spans="2:8" x14ac:dyDescent="0.25">
      <c r="B190" s="1">
        <v>45505</v>
      </c>
      <c r="C190" s="325">
        <v>73000</v>
      </c>
      <c r="D190" s="325">
        <v>39629.74</v>
      </c>
      <c r="E190" s="325">
        <v>20096.23</v>
      </c>
      <c r="F190" s="325">
        <v>621672.05061630742</v>
      </c>
      <c r="G190" s="325">
        <v>5630.84</v>
      </c>
      <c r="H190" s="325">
        <f>Clasificados[[#This Row],[Saldo Total]]-Clasificados[[#This Row],[Jaime]]-Clasificados[[#This Row],[Argentina]]-Clasificados[[#This Row],[Cristian]]+Clasificados[[#This Row],[Importación]]</f>
        <v>494576.92061630747</v>
      </c>
    </row>
    <row r="191" spans="2:8" x14ac:dyDescent="0.25">
      <c r="B191" s="1">
        <v>45509</v>
      </c>
      <c r="C191" s="325">
        <v>73000</v>
      </c>
      <c r="D191" s="325">
        <v>39629.74</v>
      </c>
      <c r="E191" s="325">
        <v>20096.23</v>
      </c>
      <c r="F191" s="325">
        <v>622132.7806163074</v>
      </c>
      <c r="G191" s="325">
        <v>5630.84</v>
      </c>
      <c r="H191" s="325">
        <f>Clasificados[[#This Row],[Saldo Total]]-Clasificados[[#This Row],[Jaime]]-Clasificados[[#This Row],[Argentina]]-Clasificados[[#This Row],[Cristian]]+Clasificados[[#This Row],[Importación]]</f>
        <v>495037.65061630745</v>
      </c>
    </row>
    <row r="192" spans="2:8" x14ac:dyDescent="0.25">
      <c r="B192" s="1">
        <v>45516</v>
      </c>
      <c r="C192" s="325">
        <v>73000</v>
      </c>
      <c r="D192" s="325">
        <v>39629.74</v>
      </c>
      <c r="E192" s="325">
        <v>20096.23</v>
      </c>
      <c r="F192" s="325">
        <v>623783.25061630702</v>
      </c>
      <c r="G192" s="325">
        <v>5630.84</v>
      </c>
      <c r="H192" s="325">
        <f>Clasificados[[#This Row],[Saldo Total]]-Clasificados[[#This Row],[Jaime]]-Clasificados[[#This Row],[Argentina]]-Clasificados[[#This Row],[Cristian]]+Clasificados[[#This Row],[Importación]]</f>
        <v>496688.12061630707</v>
      </c>
    </row>
    <row r="193" spans="2:8" x14ac:dyDescent="0.25">
      <c r="B193" s="1">
        <v>45525</v>
      </c>
      <c r="C193" s="325">
        <v>73000</v>
      </c>
      <c r="D193" s="325">
        <v>39629.74</v>
      </c>
      <c r="E193" s="325">
        <v>20096.23</v>
      </c>
      <c r="F193" s="325">
        <v>624342.49061630701</v>
      </c>
      <c r="G193" s="325">
        <v>5630.84</v>
      </c>
      <c r="H193" s="325">
        <f>Clasificados[[#This Row],[Saldo Total]]-Clasificados[[#This Row],[Jaime]]-Clasificados[[#This Row],[Argentina]]-Clasificados[[#This Row],[Cristian]]+Clasificados[[#This Row],[Importación]]</f>
        <v>497247.36061630707</v>
      </c>
    </row>
    <row r="194" spans="2:8" x14ac:dyDescent="0.25">
      <c r="B194" s="1">
        <v>45527</v>
      </c>
      <c r="C194" s="325">
        <v>73000</v>
      </c>
      <c r="D194" s="325">
        <v>39629.74</v>
      </c>
      <c r="E194" s="325">
        <v>20096.23</v>
      </c>
      <c r="F194" s="325">
        <v>624809.19061630731</v>
      </c>
      <c r="G194" s="325">
        <v>5630.84</v>
      </c>
      <c r="H194" s="325">
        <f>Clasificados[[#This Row],[Saldo Total]]-Clasificados[[#This Row],[Jaime]]-Clasificados[[#This Row],[Argentina]]-Clasificados[[#This Row],[Cristian]]+Clasificados[[#This Row],[Importación]]</f>
        <v>497714.06061630737</v>
      </c>
    </row>
    <row r="195" spans="2:8" x14ac:dyDescent="0.25">
      <c r="B195" s="1">
        <v>45533</v>
      </c>
      <c r="C195" s="325">
        <v>73000</v>
      </c>
      <c r="D195" s="325">
        <v>39629.74</v>
      </c>
      <c r="E195" s="325">
        <v>20096.23</v>
      </c>
      <c r="F195" s="325">
        <v>625459.80061630742</v>
      </c>
      <c r="G195" s="325">
        <v>5630.84</v>
      </c>
      <c r="H195" s="325">
        <f>Clasificados[[#This Row],[Saldo Total]]-Clasificados[[#This Row],[Jaime]]-Clasificados[[#This Row],[Argentina]]-Clasificados[[#This Row],[Cristian]]+Clasificados[[#This Row],[Importación]]</f>
        <v>498364.67061630747</v>
      </c>
    </row>
    <row r="196" spans="2:8" x14ac:dyDescent="0.25">
      <c r="B196" s="1">
        <v>45534</v>
      </c>
      <c r="C196" s="325">
        <v>73000</v>
      </c>
      <c r="D196" s="325">
        <v>39813.21</v>
      </c>
      <c r="E196" s="325">
        <v>21058.53</v>
      </c>
      <c r="F196" s="325">
        <v>630448.57061630732</v>
      </c>
      <c r="G196" s="325">
        <v>5630.84</v>
      </c>
      <c r="H196" s="325">
        <f>Clasificados[[#This Row],[Saldo Total]]-Clasificados[[#This Row],[Jaime]]-Clasificados[[#This Row],[Argentina]]-Clasificados[[#This Row],[Cristian]]+Clasificados[[#This Row],[Importación]]</f>
        <v>502207.67061630735</v>
      </c>
    </row>
    <row r="197" spans="2:8" x14ac:dyDescent="0.25">
      <c r="B197" s="1">
        <v>45545</v>
      </c>
      <c r="C197" s="325">
        <v>73000</v>
      </c>
      <c r="D197" s="325">
        <v>39813.21</v>
      </c>
      <c r="E197" s="325">
        <v>21058.53</v>
      </c>
      <c r="F197" s="325">
        <v>631235.18431659741</v>
      </c>
      <c r="G197" s="325">
        <v>5630.84</v>
      </c>
      <c r="H197" s="325">
        <f>Clasificados[[#This Row],[Saldo Total]]-Clasificados[[#This Row],[Jaime]]-Clasificados[[#This Row],[Argentina]]-Clasificados[[#This Row],[Cristian]]+Clasificados[[#This Row],[Importación]]</f>
        <v>502994.28431659745</v>
      </c>
    </row>
    <row r="198" spans="2:8" x14ac:dyDescent="0.25">
      <c r="B198" s="1">
        <v>45546</v>
      </c>
      <c r="C198" s="325">
        <v>73000</v>
      </c>
      <c r="D198" s="325">
        <v>39813.21</v>
      </c>
      <c r="E198" s="325">
        <v>21058.53</v>
      </c>
      <c r="F198" s="325">
        <v>633179.74431659735</v>
      </c>
      <c r="G198" s="325">
        <v>5630.84</v>
      </c>
      <c r="H198" s="325">
        <f>Clasificados[[#This Row],[Saldo Total]]-Clasificados[[#This Row],[Jaime]]-Clasificados[[#This Row],[Argentina]]-Clasificados[[#This Row],[Cristian]]+Clasificados[[#This Row],[Importación]]</f>
        <v>504938.84431659739</v>
      </c>
    </row>
    <row r="199" spans="2:8" x14ac:dyDescent="0.25">
      <c r="B199" s="1">
        <v>45552</v>
      </c>
      <c r="C199" s="325">
        <v>73000</v>
      </c>
      <c r="D199" s="325">
        <v>39813.21</v>
      </c>
      <c r="E199" s="325">
        <v>21058.53</v>
      </c>
      <c r="F199" s="325">
        <v>633147.1179950973</v>
      </c>
      <c r="G199" s="325">
        <v>5630.84</v>
      </c>
      <c r="H199" s="325">
        <f>Clasificados[[#This Row],[Saldo Total]]-Clasificados[[#This Row],[Jaime]]-Clasificados[[#This Row],[Argentina]]-Clasificados[[#This Row],[Cristian]]+Clasificados[[#This Row],[Importación]]</f>
        <v>504906.21799509734</v>
      </c>
    </row>
    <row r="200" spans="2:8" x14ac:dyDescent="0.25">
      <c r="B200" s="1">
        <v>45565</v>
      </c>
      <c r="C200" s="325">
        <v>73000</v>
      </c>
      <c r="D200" s="325">
        <v>39813.21</v>
      </c>
      <c r="E200" s="325">
        <v>21058.53</v>
      </c>
      <c r="F200" s="325">
        <v>645950.27283423732</v>
      </c>
      <c r="G200" s="325">
        <v>5630.84</v>
      </c>
      <c r="H200" s="325">
        <f>Clasificados[[#This Row],[Saldo Total]]-Clasificados[[#This Row],[Jaime]]-Clasificados[[#This Row],[Argentina]]-Clasificados[[#This Row],[Cristian]]+Clasificados[[#This Row],[Importación]]</f>
        <v>517709.37283423735</v>
      </c>
    </row>
    <row r="201" spans="2:8" x14ac:dyDescent="0.25">
      <c r="B201" s="1">
        <v>45566</v>
      </c>
      <c r="C201" s="325">
        <v>73000</v>
      </c>
      <c r="D201" s="325">
        <v>39996.68</v>
      </c>
      <c r="E201" s="325">
        <v>21725.63</v>
      </c>
      <c r="F201" s="325">
        <v>651371.432834237</v>
      </c>
      <c r="G201" s="325">
        <v>5630.84</v>
      </c>
      <c r="H201" s="325">
        <f>Clasificados[[#This Row],[Saldo Total]]-Clasificados[[#This Row],[Jaime]]-Clasificados[[#This Row],[Argentina]]-Clasificados[[#This Row],[Cristian]]+Clasificados[[#This Row],[Importación]]</f>
        <v>522279.96283423697</v>
      </c>
    </row>
    <row r="202" spans="2:8" x14ac:dyDescent="0.25">
      <c r="B202" s="1">
        <v>45572</v>
      </c>
      <c r="C202" s="325">
        <v>73000</v>
      </c>
      <c r="D202" s="325">
        <v>39996.68</v>
      </c>
      <c r="E202" s="325">
        <v>21725.63</v>
      </c>
      <c r="F202" s="325">
        <v>653235.2428342374</v>
      </c>
      <c r="G202" s="325">
        <v>5630.84</v>
      </c>
      <c r="H202" s="325">
        <f>Clasificados[[#This Row],[Saldo Total]]-Clasificados[[#This Row],[Jaime]]-Clasificados[[#This Row],[Argentina]]-Clasificados[[#This Row],[Cristian]]+Clasificados[[#This Row],[Importación]]</f>
        <v>524143.77283423737</v>
      </c>
    </row>
    <row r="203" spans="2:8" x14ac:dyDescent="0.25">
      <c r="B203" s="1">
        <v>45575</v>
      </c>
      <c r="C203" s="325">
        <v>73000</v>
      </c>
      <c r="D203" s="325">
        <v>39996.68</v>
      </c>
      <c r="E203" s="325">
        <v>21725.63</v>
      </c>
      <c r="F203" s="325">
        <v>654076.30913394736</v>
      </c>
      <c r="G203" s="325">
        <v>5630.84</v>
      </c>
      <c r="H203" s="325">
        <f>Clasificados[[#This Row],[Saldo Total]]-Clasificados[[#This Row],[Jaime]]-Clasificados[[#This Row],[Argentina]]-Clasificados[[#This Row],[Cristian]]+Clasificados[[#This Row],[Importación]]</f>
        <v>524984.83913394727</v>
      </c>
    </row>
    <row r="204" spans="2:8" x14ac:dyDescent="0.25">
      <c r="B204" s="1">
        <v>45576</v>
      </c>
      <c r="C204" s="325">
        <v>75500</v>
      </c>
      <c r="D204" s="325">
        <v>39996.68</v>
      </c>
      <c r="E204" s="325">
        <v>21725.63</v>
      </c>
      <c r="F204" s="325">
        <v>658074.14913394733</v>
      </c>
      <c r="G204" s="325">
        <v>5630.84</v>
      </c>
      <c r="H204" s="325">
        <f>Clasificados[[#This Row],[Saldo Total]]-Clasificados[[#This Row],[Jaime]]-Clasificados[[#This Row],[Argentina]]-Clasificados[[#This Row],[Cristian]]+Clasificados[[#This Row],[Importación]]</f>
        <v>526482.67913394724</v>
      </c>
    </row>
    <row r="205" spans="2:8" x14ac:dyDescent="0.25">
      <c r="B205" s="1">
        <v>45590</v>
      </c>
      <c r="C205" s="325">
        <v>75500</v>
      </c>
      <c r="D205" s="325">
        <v>39996.68</v>
      </c>
      <c r="E205" s="325">
        <v>21725.63</v>
      </c>
      <c r="F205" s="325">
        <v>658267.65727354004</v>
      </c>
      <c r="G205" s="325">
        <v>5630.84</v>
      </c>
      <c r="H205" s="325">
        <f>Clasificados[[#This Row],[Saldo Total]]-Clasificados[[#This Row],[Jaime]]-Clasificados[[#This Row],[Argentina]]-Clasificados[[#This Row],[Cristian]]+Clasificados[[#This Row],[Importación]]</f>
        <v>526676.18727353995</v>
      </c>
    </row>
    <row r="206" spans="2:8" x14ac:dyDescent="0.25">
      <c r="B206" s="1">
        <v>45593</v>
      </c>
      <c r="C206" s="325">
        <v>75500</v>
      </c>
      <c r="D206" s="325">
        <v>39996.68</v>
      </c>
      <c r="E206" s="325">
        <v>21725.63</v>
      </c>
      <c r="F206" s="325">
        <v>658311.9620751231</v>
      </c>
      <c r="G206" s="325">
        <v>5630.84</v>
      </c>
      <c r="H206" s="325">
        <f>Clasificados[[#This Row],[Saldo Total]]-Clasificados[[#This Row],[Jaime]]-Clasificados[[#This Row],[Argentina]]-Clasificados[[#This Row],[Cristian]]+Clasificados[[#This Row],[Importación]]</f>
        <v>526720.49207512301</v>
      </c>
    </row>
    <row r="207" spans="2:8" x14ac:dyDescent="0.25">
      <c r="B207" s="1">
        <v>45597</v>
      </c>
      <c r="C207" s="325">
        <v>75500</v>
      </c>
      <c r="D207" s="325">
        <v>40180.15</v>
      </c>
      <c r="E207" s="325">
        <v>22395.73</v>
      </c>
      <c r="F207" s="325">
        <v>661146.12207512301</v>
      </c>
      <c r="G207" s="325">
        <v>5630.84</v>
      </c>
      <c r="H207" s="325">
        <f>Clasificados[[#This Row],[Saldo Total]]-Clasificados[[#This Row],[Jaime]]-Clasificados[[#This Row],[Argentina]]-Clasificados[[#This Row],[Cristian]]+Clasificados[[#This Row],[Importación]]</f>
        <v>528701.08207512298</v>
      </c>
    </row>
    <row r="208" spans="2:8" x14ac:dyDescent="0.25">
      <c r="B208" s="1">
        <v>45608</v>
      </c>
      <c r="C208" s="325">
        <v>75500</v>
      </c>
      <c r="D208" s="325">
        <v>40180.15</v>
      </c>
      <c r="E208" s="325">
        <v>22395.73</v>
      </c>
      <c r="F208" s="325">
        <v>662299.03207512316</v>
      </c>
      <c r="G208" s="325">
        <v>5630.84</v>
      </c>
      <c r="H208" s="325">
        <f>Clasificados[[#This Row],[Saldo Total]]-Clasificados[[#This Row],[Jaime]]-Clasificados[[#This Row],[Argentina]]-Clasificados[[#This Row],[Cristian]]+Clasificados[[#This Row],[Importación]]</f>
        <v>529853.99207512313</v>
      </c>
    </row>
    <row r="209" spans="2:8" x14ac:dyDescent="0.25">
      <c r="B209" s="1">
        <v>45615</v>
      </c>
      <c r="C209" s="325">
        <v>75500</v>
      </c>
      <c r="D209" s="325">
        <v>40180.15</v>
      </c>
      <c r="E209" s="325">
        <v>22395.73</v>
      </c>
      <c r="F209" s="325">
        <v>661383.34282512299</v>
      </c>
      <c r="G209" s="325">
        <v>5630.84</v>
      </c>
      <c r="H209" s="325">
        <f>Clasificados[[#This Row],[Saldo Total]]-Clasificados[[#This Row],[Jaime]]-Clasificados[[#This Row],[Argentina]]-Clasificados[[#This Row],[Cristian]]+Clasificados[[#This Row],[Importación]]</f>
        <v>528938.30282512296</v>
      </c>
    </row>
    <row r="210" spans="2:8" x14ac:dyDescent="0.25">
      <c r="B210" s="1">
        <v>45622</v>
      </c>
      <c r="C210" s="325">
        <v>75500</v>
      </c>
      <c r="D210" s="325">
        <v>40180.15</v>
      </c>
      <c r="E210" s="325">
        <v>22395.73</v>
      </c>
      <c r="F210" s="325">
        <v>661420.58876709838</v>
      </c>
      <c r="G210" s="325">
        <v>5630.84</v>
      </c>
      <c r="H210" s="325">
        <f>Clasificados[[#This Row],[Saldo Total]]-Clasificados[[#This Row],[Jaime]]-Clasificados[[#This Row],[Argentina]]-Clasificados[[#This Row],[Cristian]]+Clasificados[[#This Row],[Importación]]</f>
        <v>528975.54876709834</v>
      </c>
    </row>
    <row r="211" spans="2:8" x14ac:dyDescent="0.25">
      <c r="B211" s="1">
        <v>45628</v>
      </c>
      <c r="C211" s="325">
        <v>75500</v>
      </c>
      <c r="D211" s="325">
        <v>40363.620000000003</v>
      </c>
      <c r="E211" s="325">
        <v>22773.88</v>
      </c>
      <c r="F211" s="325">
        <v>665086.77876709844</v>
      </c>
      <c r="G211" s="325">
        <v>5630.84</v>
      </c>
      <c r="H211" s="325">
        <f>Clasificados[[#This Row],[Saldo Total]]-Clasificados[[#This Row],[Jaime]]-Clasificados[[#This Row],[Argentina]]-Clasificados[[#This Row],[Cristian]]+Clasificados[[#This Row],[Importación]]</f>
        <v>532080.11876709841</v>
      </c>
    </row>
    <row r="212" spans="2:8" x14ac:dyDescent="0.25">
      <c r="B212" s="1">
        <v>45636</v>
      </c>
      <c r="C212" s="325">
        <v>75500</v>
      </c>
      <c r="D212" s="325">
        <v>40363.620000000003</v>
      </c>
      <c r="E212" s="325">
        <v>22773.88</v>
      </c>
      <c r="F212" s="325">
        <v>667055.38876709831</v>
      </c>
      <c r="G212" s="325">
        <v>5630.84</v>
      </c>
      <c r="H212" s="325">
        <f>Clasificados[[#This Row],[Saldo Total]]-Clasificados[[#This Row],[Jaime]]-Clasificados[[#This Row],[Argentina]]-Clasificados[[#This Row],[Cristian]]+Clasificados[[#This Row],[Importación]]</f>
        <v>534048.72876709828</v>
      </c>
    </row>
    <row r="213" spans="2:8" x14ac:dyDescent="0.25">
      <c r="B213" s="1">
        <v>45649</v>
      </c>
      <c r="C213" s="325">
        <v>75500</v>
      </c>
      <c r="D213" s="325">
        <v>40363.620000000003</v>
      </c>
      <c r="E213" s="325">
        <v>22773.88</v>
      </c>
      <c r="F213" s="325">
        <v>660014.92981459654</v>
      </c>
      <c r="G213" s="325">
        <v>5630.84</v>
      </c>
      <c r="H213" s="325">
        <f>Clasificados[[#This Row],[Saldo Total]]-Clasificados[[#This Row],[Jaime]]-Clasificados[[#This Row],[Argentina]]-Clasificados[[#This Row],[Cristian]]+Clasificados[[#This Row],[Importación]]</f>
        <v>527008.26981459651</v>
      </c>
    </row>
    <row r="214" spans="2:8" x14ac:dyDescent="0.25">
      <c r="B214" s="1">
        <v>45656</v>
      </c>
      <c r="C214" s="325">
        <v>75500</v>
      </c>
      <c r="D214" s="325">
        <v>40363.620000000003</v>
      </c>
      <c r="E214" s="325">
        <v>22773.88</v>
      </c>
      <c r="F214" s="325">
        <v>664247.32073283731</v>
      </c>
      <c r="G214" s="325">
        <v>5630.84</v>
      </c>
      <c r="H214" s="325">
        <f>Clasificados[[#This Row],[Saldo Total]]-Clasificados[[#This Row],[Jaime]]-Clasificados[[#This Row],[Argentina]]-Clasificados[[#This Row],[Cristian]]+Clasificados[[#This Row],[Importación]]</f>
        <v>531240.66073283728</v>
      </c>
    </row>
    <row r="215" spans="2:8" x14ac:dyDescent="0.25">
      <c r="B215" s="1">
        <v>45657</v>
      </c>
      <c r="C215" s="325">
        <v>75500</v>
      </c>
      <c r="D215" s="325">
        <v>40547.089999999997</v>
      </c>
      <c r="E215" s="325">
        <v>23648.21</v>
      </c>
      <c r="F215" s="325">
        <v>664902.90073283727</v>
      </c>
      <c r="G215" s="325">
        <v>5630.84</v>
      </c>
      <c r="H215" s="325">
        <f>Clasificados[[#This Row],[Saldo Total]]-Clasificados[[#This Row],[Jaime]]-Clasificados[[#This Row],[Argentina]]-Clasificados[[#This Row],[Cristian]]+Clasificados[[#This Row],[Importación]]</f>
        <v>530838.44073283731</v>
      </c>
    </row>
    <row r="216" spans="2:8" x14ac:dyDescent="0.25">
      <c r="B216" s="1">
        <v>45665</v>
      </c>
      <c r="C216" s="325">
        <v>75500</v>
      </c>
      <c r="D216" s="325">
        <v>40547.089999999997</v>
      </c>
      <c r="E216" s="325">
        <v>23648.21</v>
      </c>
      <c r="F216" s="325">
        <v>666169.09073283733</v>
      </c>
      <c r="G216" s="325">
        <v>5630.84</v>
      </c>
      <c r="H216" s="325">
        <f>Clasificados[[#This Row],[Saldo Total]]-Clasificados[[#This Row],[Jaime]]-Clasificados[[#This Row],[Argentina]]-Clasificados[[#This Row],[Cristian]]+Clasificados[[#This Row],[Importación]]</f>
        <v>532104.63073283737</v>
      </c>
    </row>
    <row r="217" spans="2:8" x14ac:dyDescent="0.25">
      <c r="B217" s="1">
        <v>45679</v>
      </c>
      <c r="C217" s="325">
        <v>75500</v>
      </c>
      <c r="D217" s="325">
        <v>40547.089999999997</v>
      </c>
      <c r="E217" s="325">
        <v>23648.21</v>
      </c>
      <c r="F217" s="325">
        <v>664850.48073283699</v>
      </c>
      <c r="G217" s="325">
        <v>5630.84</v>
      </c>
      <c r="H217" s="325">
        <f>Clasificados[[#This Row],[Saldo Total]]-Clasificados[[#This Row],[Jaime]]-Clasificados[[#This Row],[Argentina]]-Clasificados[[#This Row],[Cristian]]+Clasificados[[#This Row],[Importación]]</f>
        <v>530786.02073283703</v>
      </c>
    </row>
    <row r="218" spans="2:8" x14ac:dyDescent="0.25">
      <c r="B218" s="1">
        <v>45680</v>
      </c>
      <c r="C218" s="325">
        <v>75500</v>
      </c>
      <c r="D218" s="325">
        <v>40547.089999999997</v>
      </c>
      <c r="E218" s="325">
        <v>23648.21</v>
      </c>
      <c r="F218" s="325">
        <v>664360.78194779053</v>
      </c>
      <c r="G218" s="325">
        <v>5630.84</v>
      </c>
      <c r="H218" s="325">
        <f>Clasificados[[#This Row],[Saldo Total]]-Clasificados[[#This Row],[Jaime]]-Clasificados[[#This Row],[Argentina]]-Clasificados[[#This Row],[Cristian]]+Clasificados[[#This Row],[Importación]]</f>
        <v>530296.32194779057</v>
      </c>
    </row>
    <row r="219" spans="2:8" x14ac:dyDescent="0.25">
      <c r="B219" s="1">
        <v>45687</v>
      </c>
      <c r="C219" s="325">
        <v>75500</v>
      </c>
      <c r="D219" s="325">
        <v>40547.089999999997</v>
      </c>
      <c r="E219" s="325">
        <v>23648.21</v>
      </c>
      <c r="F219" s="325">
        <v>665165.14194779051</v>
      </c>
      <c r="G219" s="325">
        <v>5630.84</v>
      </c>
      <c r="H219" s="325">
        <f>Clasificados[[#This Row],[Saldo Total]]-Clasificados[[#This Row],[Jaime]]-Clasificados[[#This Row],[Argentina]]-Clasificados[[#This Row],[Cristian]]+Clasificados[[#This Row],[Importación]]</f>
        <v>531100.68194779055</v>
      </c>
    </row>
    <row r="220" spans="2:8" x14ac:dyDescent="0.25">
      <c r="B220" s="1">
        <v>45688</v>
      </c>
      <c r="C220" s="325">
        <v>75500</v>
      </c>
      <c r="D220" s="325">
        <v>40730.559999999998</v>
      </c>
      <c r="E220" s="325">
        <v>23648.21</v>
      </c>
      <c r="F220" s="325">
        <v>667608.2319477906</v>
      </c>
      <c r="G220" s="325">
        <v>5630.84</v>
      </c>
      <c r="H220" s="325">
        <f>Clasificados[[#This Row],[Saldo Total]]-Clasificados[[#This Row],[Jaime]]-Clasificados[[#This Row],[Argentina]]-Clasificados[[#This Row],[Cristian]]+Clasificados[[#This Row],[Importación]]</f>
        <v>533360.30194779055</v>
      </c>
    </row>
    <row r="221" spans="2:8" x14ac:dyDescent="0.25">
      <c r="B221" s="1">
        <v>45700</v>
      </c>
      <c r="C221" s="325">
        <v>75500</v>
      </c>
      <c r="D221" s="325">
        <v>40730.559999999998</v>
      </c>
      <c r="E221" s="325">
        <v>23648.21</v>
      </c>
      <c r="F221" s="325">
        <v>669418.07194779045</v>
      </c>
      <c r="G221" s="325">
        <v>5630.84</v>
      </c>
      <c r="H221" s="325">
        <f>Clasificados[[#This Row],[Saldo Total]]-Clasificados[[#This Row],[Jaime]]-Clasificados[[#This Row],[Argentina]]-Clasificados[[#This Row],[Cristian]]+Clasificados[[#This Row],[Importación]]</f>
        <v>535170.1419477904</v>
      </c>
    </row>
    <row r="222" spans="2:8" x14ac:dyDescent="0.25">
      <c r="B222" s="1">
        <v>45702</v>
      </c>
      <c r="C222" s="325">
        <v>75500</v>
      </c>
      <c r="D222" s="325">
        <v>40730.559999999998</v>
      </c>
      <c r="E222" s="325">
        <v>23648.21</v>
      </c>
      <c r="F222" s="325">
        <v>668697.56982258137</v>
      </c>
      <c r="G222" s="325">
        <v>5630.84</v>
      </c>
      <c r="H222" s="325">
        <f>Clasificados[[#This Row],[Saldo Total]]-Clasificados[[#This Row],[Jaime]]-Clasificados[[#This Row],[Argentina]]-Clasificados[[#This Row],[Cristian]]+Clasificados[[#This Row],[Importación]]</f>
        <v>534449.63982258143</v>
      </c>
    </row>
    <row r="223" spans="2:8" x14ac:dyDescent="0.25">
      <c r="B223" s="1">
        <v>45706</v>
      </c>
      <c r="C223" s="325">
        <v>75500</v>
      </c>
      <c r="D223" s="325">
        <v>40730.559999999998</v>
      </c>
      <c r="E223" s="325">
        <v>23648.21</v>
      </c>
      <c r="F223" s="325">
        <v>672358.90932258149</v>
      </c>
      <c r="G223" s="325">
        <v>5630.84</v>
      </c>
      <c r="H223" s="325">
        <f>Clasificados[[#This Row],[Saldo Total]]-Clasificados[[#This Row],[Jaime]]-Clasificados[[#This Row],[Argentina]]-Clasificados[[#This Row],[Cristian]]+Clasificados[[#This Row],[Importación]]</f>
        <v>538110.97932258144</v>
      </c>
    </row>
    <row r="224" spans="2:8" x14ac:dyDescent="0.25">
      <c r="B224" s="1">
        <v>45707</v>
      </c>
      <c r="C224" s="325">
        <v>75500</v>
      </c>
      <c r="D224" s="325">
        <v>40730.559999999998</v>
      </c>
      <c r="E224" s="325">
        <v>23648.21</v>
      </c>
      <c r="F224" s="325">
        <v>673089.47057866841</v>
      </c>
      <c r="G224" s="325">
        <v>5630.84</v>
      </c>
      <c r="H224" s="325">
        <f>Clasificados[[#This Row],[Saldo Total]]-Clasificados[[#This Row],[Jaime]]-Clasificados[[#This Row],[Argentina]]-Clasificados[[#This Row],[Cristian]]+Clasificados[[#This Row],[Importación]]</f>
        <v>538841.54057866836</v>
      </c>
    </row>
    <row r="225" spans="2:8" x14ac:dyDescent="0.25">
      <c r="B225" s="1">
        <v>45708</v>
      </c>
      <c r="C225" s="325">
        <v>75500</v>
      </c>
      <c r="D225" s="325">
        <v>40730.559999999998</v>
      </c>
      <c r="E225" s="325">
        <v>23648.21</v>
      </c>
      <c r="F225" s="325">
        <v>673636.17057866848</v>
      </c>
      <c r="G225" s="325">
        <v>5630.84</v>
      </c>
      <c r="H225" s="325">
        <f>Clasificados[[#This Row],[Saldo Total]]-Clasificados[[#This Row],[Jaime]]-Clasificados[[#This Row],[Argentina]]-Clasificados[[#This Row],[Cristian]]+Clasificados[[#This Row],[Importación]]</f>
        <v>539388.24057866854</v>
      </c>
    </row>
    <row r="226" spans="2:8" x14ac:dyDescent="0.25">
      <c r="B226" s="1">
        <v>45709</v>
      </c>
      <c r="C226" s="325">
        <v>75500</v>
      </c>
      <c r="D226" s="325">
        <v>40730.559999999998</v>
      </c>
      <c r="E226" s="325">
        <v>23648.21</v>
      </c>
      <c r="F226" s="325">
        <v>673794.01057866844</v>
      </c>
      <c r="G226" s="325">
        <v>5630.84</v>
      </c>
      <c r="H226" s="325">
        <f>Clasificados[[#This Row],[Saldo Total]]-Clasificados[[#This Row],[Jaime]]-Clasificados[[#This Row],[Argentina]]-Clasificados[[#This Row],[Cristian]]+Clasificados[[#This Row],[Importación]]</f>
        <v>539546.08057866839</v>
      </c>
    </row>
    <row r="227" spans="2:8" x14ac:dyDescent="0.25">
      <c r="B227" s="1">
        <v>45713</v>
      </c>
      <c r="C227" s="325">
        <v>75500</v>
      </c>
      <c r="D227" s="325">
        <v>40730.559999999998</v>
      </c>
      <c r="E227" s="325">
        <v>23648.21</v>
      </c>
      <c r="F227" s="325">
        <v>674455.7297904985</v>
      </c>
      <c r="G227" s="325">
        <v>5630.84</v>
      </c>
      <c r="H227" s="325">
        <f>Clasificados[[#This Row],[Saldo Total]]-Clasificados[[#This Row],[Jaime]]-Clasificados[[#This Row],[Argentina]]-Clasificados[[#This Row],[Cristian]]+Clasificados[[#This Row],[Importación]]</f>
        <v>540207.79979049845</v>
      </c>
    </row>
    <row r="228" spans="2:8" x14ac:dyDescent="0.25">
      <c r="B228" s="1">
        <v>45714</v>
      </c>
      <c r="C228" s="325">
        <v>75500</v>
      </c>
      <c r="D228" s="325">
        <v>40730.559999999998</v>
      </c>
      <c r="E228" s="325">
        <v>23648.21</v>
      </c>
      <c r="F228" s="325">
        <v>673347.8972580689</v>
      </c>
      <c r="G228" s="325">
        <v>5630.84</v>
      </c>
      <c r="H228" s="325">
        <f>Clasificados[[#This Row],[Saldo Total]]-Clasificados[[#This Row],[Jaime]]-Clasificados[[#This Row],[Argentina]]-Clasificados[[#This Row],[Cristian]]+Clasificados[[#This Row],[Importación]]</f>
        <v>539099.96725806885</v>
      </c>
    </row>
    <row r="229" spans="2:8" x14ac:dyDescent="0.25">
      <c r="B229" s="1">
        <v>45715</v>
      </c>
      <c r="C229" s="325">
        <v>75500</v>
      </c>
      <c r="D229" s="325">
        <v>40730.559999999998</v>
      </c>
      <c r="E229" s="325">
        <v>23648.21</v>
      </c>
      <c r="F229" s="325">
        <v>675039.70222114085</v>
      </c>
      <c r="G229" s="325">
        <v>5630.84</v>
      </c>
      <c r="H229" s="325">
        <f>Clasificados[[#This Row],[Saldo Total]]-Clasificados[[#This Row],[Jaime]]-Clasificados[[#This Row],[Argentina]]-Clasificados[[#This Row],[Cristian]]+Clasificados[[#This Row],[Importación]]</f>
        <v>540791.77222114091</v>
      </c>
    </row>
    <row r="230" spans="2:8" x14ac:dyDescent="0.25">
      <c r="B230" s="1">
        <v>45716</v>
      </c>
      <c r="C230" s="325">
        <v>75500</v>
      </c>
      <c r="D230" s="325">
        <v>40730.559999999998</v>
      </c>
      <c r="E230" s="325">
        <v>23648.21</v>
      </c>
      <c r="F230" s="325">
        <v>675589.69222114095</v>
      </c>
      <c r="G230" s="325">
        <v>5630.84</v>
      </c>
      <c r="H230" s="325">
        <f>Clasificados[[#This Row],[Saldo Total]]-Clasificados[[#This Row],[Jaime]]-Clasificados[[#This Row],[Argentina]]-Clasificados[[#This Row],[Cristian]]+Clasificados[[#This Row],[Importación]]</f>
        <v>541341.7622211409</v>
      </c>
    </row>
    <row r="231" spans="2:8" x14ac:dyDescent="0.25">
      <c r="B231" s="1">
        <v>45717</v>
      </c>
      <c r="C231" s="325">
        <v>75500</v>
      </c>
      <c r="D231" s="325">
        <v>40914.03</v>
      </c>
      <c r="E231" s="325">
        <v>24505.27</v>
      </c>
      <c r="F231" s="325">
        <v>679014.68222114095</v>
      </c>
      <c r="G231" s="325">
        <v>5630.84</v>
      </c>
      <c r="H231" s="325">
        <f>Clasificados[[#This Row],[Saldo Total]]-Clasificados[[#This Row],[Jaime]]-Clasificados[[#This Row],[Argentina]]-Clasificados[[#This Row],[Cristian]]+Clasificados[[#This Row],[Importación]]</f>
        <v>543726.22222114087</v>
      </c>
    </row>
    <row r="232" spans="2:8" x14ac:dyDescent="0.25">
      <c r="B232" s="1">
        <v>45721</v>
      </c>
      <c r="C232" s="325">
        <v>75500</v>
      </c>
      <c r="D232" s="325">
        <v>40914.03</v>
      </c>
      <c r="E232" s="325">
        <v>24505.27</v>
      </c>
      <c r="F232" s="325">
        <v>679318.73222114088</v>
      </c>
      <c r="G232" s="325">
        <v>5630.84</v>
      </c>
      <c r="H232" s="325">
        <f>Clasificados[[#This Row],[Saldo Total]]-Clasificados[[#This Row],[Jaime]]-Clasificados[[#This Row],[Argentina]]-Clasificados[[#This Row],[Cristian]]+Clasificados[[#This Row],[Importación]]</f>
        <v>544030.2722211408</v>
      </c>
    </row>
    <row r="233" spans="2:8" x14ac:dyDescent="0.25">
      <c r="B233" s="1">
        <v>45722</v>
      </c>
      <c r="C233" s="325">
        <v>75500</v>
      </c>
      <c r="D233" s="325">
        <v>40914.03</v>
      </c>
      <c r="E233" s="325">
        <v>24505.27</v>
      </c>
      <c r="F233" s="325">
        <v>681094.84222114086</v>
      </c>
      <c r="G233" s="325">
        <v>5630.84</v>
      </c>
      <c r="H233" s="325">
        <f>Clasificados[[#This Row],[Saldo Total]]-Clasificados[[#This Row],[Jaime]]-Clasificados[[#This Row],[Argentina]]-Clasificados[[#This Row],[Cristian]]+Clasificados[[#This Row],[Importación]]</f>
        <v>545806.38222114078</v>
      </c>
    </row>
    <row r="234" spans="2:8" x14ac:dyDescent="0.25">
      <c r="B234" s="1">
        <v>45726</v>
      </c>
      <c r="C234" s="325">
        <v>75500</v>
      </c>
      <c r="D234" s="325">
        <v>40914.03</v>
      </c>
      <c r="E234" s="325">
        <v>24505.27</v>
      </c>
      <c r="F234" s="325">
        <v>681420.32222114084</v>
      </c>
      <c r="G234" s="325">
        <v>5630.84</v>
      </c>
      <c r="H234" s="325">
        <f>Clasificados[[#This Row],[Saldo Total]]-Clasificados[[#This Row],[Jaime]]-Clasificados[[#This Row],[Argentina]]-Clasificados[[#This Row],[Cristian]]+Clasificados[[#This Row],[Importación]]</f>
        <v>546131.86222114076</v>
      </c>
    </row>
    <row r="235" spans="2:8" x14ac:dyDescent="0.25">
      <c r="B235" s="1">
        <v>45729</v>
      </c>
      <c r="C235" s="325">
        <v>75500</v>
      </c>
      <c r="D235" s="325">
        <v>40914.03</v>
      </c>
      <c r="E235" s="325">
        <v>24505.27</v>
      </c>
      <c r="F235" s="325">
        <v>682077.09</v>
      </c>
      <c r="G235" s="325">
        <v>5630.84</v>
      </c>
      <c r="H235" s="325">
        <f>Clasificados[[#This Row],[Saldo Total]]-Clasificados[[#This Row],[Jaime]]-Clasificados[[#This Row],[Argentina]]-Clasificados[[#This Row],[Cristian]]+Clasificados[[#This Row],[Importación]]</f>
        <v>546788.62999999989</v>
      </c>
    </row>
    <row r="236" spans="2:8" x14ac:dyDescent="0.25">
      <c r="B236" s="1">
        <v>45734</v>
      </c>
      <c r="C236" s="325">
        <v>75500</v>
      </c>
      <c r="D236" s="325">
        <v>40914.03</v>
      </c>
      <c r="E236" s="325">
        <v>24505.27</v>
      </c>
      <c r="F236" s="325">
        <v>681902.57156557159</v>
      </c>
      <c r="G236" s="325">
        <v>5630.84</v>
      </c>
      <c r="H236" s="325">
        <f>Clasificados[[#This Row],[Saldo Total]]-Clasificados[[#This Row],[Jaime]]-Clasificados[[#This Row],[Argentina]]-Clasificados[[#This Row],[Cristian]]+Clasificados[[#This Row],[Importación]]</f>
        <v>546614.11156557151</v>
      </c>
    </row>
    <row r="237" spans="2:8" x14ac:dyDescent="0.25">
      <c r="B237" s="1">
        <v>45748</v>
      </c>
      <c r="C237" s="325">
        <v>75500</v>
      </c>
      <c r="D237" s="325">
        <v>41097.5</v>
      </c>
      <c r="E237" s="325">
        <v>25186.799999999999</v>
      </c>
      <c r="F237" s="325">
        <v>678541.04156557168</v>
      </c>
      <c r="G237" s="325">
        <v>5630.84</v>
      </c>
      <c r="H237" s="325">
        <f>Clasificados[[#This Row],[Saldo Total]]-Clasificados[[#This Row],[Jaime]]-Clasificados[[#This Row],[Argentina]]-Clasificados[[#This Row],[Cristian]]+Clasificados[[#This Row],[Importación]]</f>
        <v>542387.5815655716</v>
      </c>
    </row>
    <row r="238" spans="2:8" x14ac:dyDescent="0.25">
      <c r="B238" s="1">
        <v>45749</v>
      </c>
      <c r="C238" s="325">
        <v>75500</v>
      </c>
      <c r="D238" s="325">
        <v>41097.5</v>
      </c>
      <c r="E238" s="325">
        <v>25186.799999999999</v>
      </c>
      <c r="F238" s="325">
        <v>684775.5045105468</v>
      </c>
      <c r="G238" s="325">
        <v>5630.84</v>
      </c>
      <c r="H238" s="325">
        <f>Clasificados[[#This Row],[Saldo Total]]-Clasificados[[#This Row],[Jaime]]-Clasificados[[#This Row],[Argentina]]-Clasificados[[#This Row],[Cristian]]+Clasificados[[#This Row],[Importación]]</f>
        <v>548622.04451054672</v>
      </c>
    </row>
    <row r="239" spans="2:8" x14ac:dyDescent="0.25">
      <c r="B239" s="1">
        <v>45751</v>
      </c>
      <c r="C239" s="325">
        <v>75500</v>
      </c>
      <c r="D239" s="325">
        <v>41097.5</v>
      </c>
      <c r="E239" s="325">
        <v>25186.799999999999</v>
      </c>
      <c r="F239" s="325">
        <v>687837.50451054692</v>
      </c>
      <c r="G239" s="325">
        <v>5630.84</v>
      </c>
      <c r="H239" s="325">
        <f>Clasificados[[#This Row],[Saldo Total]]-Clasificados[[#This Row],[Jaime]]-Clasificados[[#This Row],[Argentina]]-Clasificados[[#This Row],[Cristian]]+Clasificados[[#This Row],[Importación]]</f>
        <v>551684.04451054684</v>
      </c>
    </row>
    <row r="240" spans="2:8" x14ac:dyDescent="0.25">
      <c r="B240" s="1">
        <v>45754</v>
      </c>
      <c r="C240" s="325">
        <v>82500</v>
      </c>
      <c r="D240" s="325">
        <v>41097.5</v>
      </c>
      <c r="E240" s="325">
        <v>25186.799999999999</v>
      </c>
      <c r="F240" s="325">
        <v>695120.32451054698</v>
      </c>
      <c r="G240" s="325">
        <v>5630.84</v>
      </c>
      <c r="H240" s="325">
        <f>Clasificados[[#This Row],[Saldo Total]]-Clasificados[[#This Row],[Jaime]]-Clasificados[[#This Row],[Argentina]]-Clasificados[[#This Row],[Cristian]]+Clasificados[[#This Row],[Importación]]</f>
        <v>551966.8645105469</v>
      </c>
    </row>
    <row r="241" spans="2:8" x14ac:dyDescent="0.25">
      <c r="B241" s="1">
        <v>45755</v>
      </c>
      <c r="C241" s="325">
        <v>82500</v>
      </c>
      <c r="D241" s="325">
        <v>41097.5</v>
      </c>
      <c r="E241" s="325">
        <v>25186.799999999999</v>
      </c>
      <c r="F241" s="325">
        <v>697524.04451054696</v>
      </c>
      <c r="G241" s="325">
        <v>5630.84</v>
      </c>
      <c r="H241" s="325">
        <f>Clasificados[[#This Row],[Saldo Total]]-Clasificados[[#This Row],[Jaime]]-Clasificados[[#This Row],[Argentina]]-Clasificados[[#This Row],[Cristian]]+Clasificados[[#This Row],[Importación]]</f>
        <v>554370.58451054688</v>
      </c>
    </row>
    <row r="242" spans="2:8" x14ac:dyDescent="0.25">
      <c r="B242" s="1">
        <v>45772</v>
      </c>
      <c r="C242" s="325">
        <v>82500</v>
      </c>
      <c r="D242" s="325">
        <v>41097.5</v>
      </c>
      <c r="E242" s="325">
        <v>25186.799999999999</v>
      </c>
      <c r="F242" s="325">
        <v>693720.08252920699</v>
      </c>
      <c r="G242" s="325">
        <v>5630.84</v>
      </c>
      <c r="H242" s="325">
        <f>Clasificados[[#This Row],[Saldo Total]]-Clasificados[[#This Row],[Jaime]]-Clasificados[[#This Row],[Argentina]]-Clasificados[[#This Row],[Cristian]]+Clasificados[[#This Row],[Importación]]</f>
        <v>550566.62252920691</v>
      </c>
    </row>
    <row r="243" spans="2:8" x14ac:dyDescent="0.25">
      <c r="B243" s="1">
        <v>45774</v>
      </c>
      <c r="C243" s="325">
        <v>82500</v>
      </c>
      <c r="D243" s="325">
        <v>41097.5</v>
      </c>
      <c r="E243" s="325">
        <v>25186.799999999999</v>
      </c>
      <c r="F243" s="325">
        <v>695873.45252920687</v>
      </c>
      <c r="G243" s="325">
        <v>5630.84</v>
      </c>
      <c r="H243" s="325">
        <f>Clasificados[[#This Row],[Saldo Total]]-Clasificados[[#This Row],[Jaime]]-Clasificados[[#This Row],[Argentina]]-Clasificados[[#This Row],[Cristian]]+Clasificados[[#This Row],[Importación]]</f>
        <v>552719.99252920679</v>
      </c>
    </row>
    <row r="244" spans="2:8" x14ac:dyDescent="0.25">
      <c r="B244" s="1">
        <v>45776</v>
      </c>
      <c r="C244" s="325">
        <v>82500</v>
      </c>
      <c r="D244" s="325">
        <v>41097.5</v>
      </c>
      <c r="E244" s="325">
        <v>25186.799999999999</v>
      </c>
      <c r="F244" s="325">
        <v>700173.58035424119</v>
      </c>
      <c r="G244" s="325">
        <v>5630.84</v>
      </c>
      <c r="H244" s="325">
        <f>Clasificados[[#This Row],[Saldo Total]]-Clasificados[[#This Row],[Jaime]]-Clasificados[[#This Row],[Argentina]]-Clasificados[[#This Row],[Cristian]]+Clasificados[[#This Row],[Importación]]</f>
        <v>557020.12035424111</v>
      </c>
    </row>
    <row r="245" spans="2:8" x14ac:dyDescent="0.25">
      <c r="B245" s="1">
        <v>45778</v>
      </c>
      <c r="C245" s="325">
        <v>82500</v>
      </c>
      <c r="D245" s="325">
        <v>41280.97</v>
      </c>
      <c r="E245" s="325">
        <v>25871.33</v>
      </c>
      <c r="F245" s="325">
        <v>700211.01035424112</v>
      </c>
      <c r="G245" s="325">
        <v>5630.84</v>
      </c>
      <c r="H245" s="325">
        <f>Clasificados[[#This Row],[Saldo Total]]-Clasificados[[#This Row],[Jaime]]-Clasificados[[#This Row],[Argentina]]-Clasificados[[#This Row],[Cristian]]+Clasificados[[#This Row],[Importación]]</f>
        <v>556189.55035424116</v>
      </c>
    </row>
    <row r="246" spans="2:8" x14ac:dyDescent="0.25">
      <c r="B246" s="1">
        <v>45784</v>
      </c>
      <c r="C246" s="325">
        <v>82500</v>
      </c>
      <c r="D246" s="325">
        <v>41280.97</v>
      </c>
      <c r="E246" s="325">
        <v>25871.33</v>
      </c>
      <c r="F246" s="325">
        <v>702026.66035424115</v>
      </c>
      <c r="G246" s="325">
        <v>5630.84</v>
      </c>
      <c r="H246" s="325">
        <f>Clasificados[[#This Row],[Saldo Total]]-Clasificados[[#This Row],[Jaime]]-Clasificados[[#This Row],[Argentina]]-Clasificados[[#This Row],[Cristian]]+Clasificados[[#This Row],[Importación]]</f>
        <v>558005.20035424118</v>
      </c>
    </row>
    <row r="247" spans="2:8" x14ac:dyDescent="0.25">
      <c r="B247" s="1">
        <v>45787</v>
      </c>
      <c r="C247" s="325">
        <v>82500</v>
      </c>
      <c r="D247" s="325">
        <v>41280.97</v>
      </c>
      <c r="E247" s="325">
        <v>25871.33</v>
      </c>
      <c r="F247" s="325">
        <v>701263.22035424109</v>
      </c>
      <c r="G247" s="325">
        <v>5630.84</v>
      </c>
      <c r="H247" s="325">
        <f>Clasificados[[#This Row],[Saldo Total]]-Clasificados[[#This Row],[Jaime]]-Clasificados[[#This Row],[Argentina]]-Clasificados[[#This Row],[Cristian]]+Clasificados[[#This Row],[Importación]]</f>
        <v>557241.76035424112</v>
      </c>
    </row>
    <row r="248" spans="2:8" x14ac:dyDescent="0.25">
      <c r="B248" s="1">
        <v>45791</v>
      </c>
      <c r="C248" s="325">
        <v>82500</v>
      </c>
      <c r="D248" s="325">
        <v>41280.97</v>
      </c>
      <c r="E248" s="325">
        <v>25871.33</v>
      </c>
      <c r="F248" s="325">
        <v>698214.1340000307</v>
      </c>
      <c r="G248" s="325">
        <v>5630.84</v>
      </c>
      <c r="H248" s="325">
        <f>Clasificados[[#This Row],[Saldo Total]]-Clasificados[[#This Row],[Jaime]]-Clasificados[[#This Row],[Argentina]]-Clasificados[[#This Row],[Cristian]]+Clasificados[[#This Row],[Importación]]</f>
        <v>554192.67400003073</v>
      </c>
    </row>
    <row r="249" spans="2:8" x14ac:dyDescent="0.25">
      <c r="B249" s="1">
        <v>45797</v>
      </c>
      <c r="C249" s="325">
        <v>82500</v>
      </c>
      <c r="D249" s="325">
        <v>41280.97</v>
      </c>
      <c r="E249" s="325">
        <v>25871.33</v>
      </c>
      <c r="F249" s="325">
        <v>701962.02557030693</v>
      </c>
      <c r="G249" s="325">
        <v>5630.84</v>
      </c>
      <c r="H249" s="325">
        <f>Clasificados[[#This Row],[Saldo Total]]-Clasificados[[#This Row],[Jaime]]-Clasificados[[#This Row],[Argentina]]-Clasificados[[#This Row],[Cristian]]+Clasificados[[#This Row],[Importación]]</f>
        <v>557940.56557030696</v>
      </c>
    </row>
    <row r="250" spans="2:8" x14ac:dyDescent="0.25">
      <c r="B250" s="1">
        <v>45798</v>
      </c>
      <c r="C250" s="325">
        <v>82500</v>
      </c>
      <c r="D250" s="325">
        <v>41280.97</v>
      </c>
      <c r="E250" s="325">
        <v>25871.33</v>
      </c>
      <c r="F250" s="325">
        <v>702418.13414330699</v>
      </c>
      <c r="G250" s="325">
        <v>5630.84</v>
      </c>
      <c r="H250" s="325">
        <f>Clasificados[[#This Row],[Saldo Total]]-Clasificados[[#This Row],[Jaime]]-Clasificados[[#This Row],[Argentina]]-Clasificados[[#This Row],[Cristian]]+Clasificados[[#This Row],[Importación]]</f>
        <v>558396.67414330703</v>
      </c>
    </row>
    <row r="251" spans="2:8" x14ac:dyDescent="0.25">
      <c r="B251" s="1">
        <v>45805</v>
      </c>
      <c r="C251" s="325">
        <v>82500</v>
      </c>
      <c r="D251" s="325">
        <v>41280.97</v>
      </c>
      <c r="E251" s="325">
        <v>25871.33</v>
      </c>
      <c r="F251" s="325">
        <v>702126.73464135372</v>
      </c>
      <c r="G251" s="325">
        <v>5630.84</v>
      </c>
      <c r="H251" s="325">
        <f>Clasificados[[#This Row],[Saldo Total]]-Clasificados[[#This Row],[Jaime]]-Clasificados[[#This Row],[Argentina]]-Clasificados[[#This Row],[Cristian]]+Clasificados[[#This Row],[Importación]]</f>
        <v>558105.27464135375</v>
      </c>
    </row>
    <row r="252" spans="2:8" x14ac:dyDescent="0.25">
      <c r="B252" s="1">
        <v>45809</v>
      </c>
      <c r="C252" s="325">
        <v>82500</v>
      </c>
      <c r="D252" s="325">
        <v>41464.44</v>
      </c>
      <c r="E252" s="325">
        <v>26570.86</v>
      </c>
      <c r="F252" s="325">
        <v>706746.4646413537</v>
      </c>
      <c r="G252" s="325">
        <v>5630.84</v>
      </c>
      <c r="H252" s="325">
        <f>Clasificados[[#This Row],[Saldo Total]]-Clasificados[[#This Row],[Jaime]]-Clasificados[[#This Row],[Argentina]]-Clasificados[[#This Row],[Cristian]]+Clasificados[[#This Row],[Importación]]</f>
        <v>561842.00464135362</v>
      </c>
    </row>
    <row r="253" spans="2:8" x14ac:dyDescent="0.25">
      <c r="B253" s="1">
        <v>45813</v>
      </c>
      <c r="C253" s="325">
        <v>82500</v>
      </c>
      <c r="D253" s="325">
        <v>41464.44</v>
      </c>
      <c r="E253" s="325">
        <v>26570.86</v>
      </c>
      <c r="F253" s="325">
        <v>708701.36332800682</v>
      </c>
      <c r="G253" s="325">
        <v>5630.84</v>
      </c>
      <c r="H253" s="325">
        <f>Clasificados[[#This Row],[Saldo Total]]-Clasificados[[#This Row],[Jaime]]-Clasificados[[#This Row],[Argentina]]-Clasificados[[#This Row],[Cristian]]+Clasificados[[#This Row],[Importación]]</f>
        <v>563796.90332800685</v>
      </c>
    </row>
    <row r="254" spans="2:8" x14ac:dyDescent="0.25">
      <c r="B254" s="1">
        <v>45819</v>
      </c>
      <c r="C254" s="325">
        <v>82500</v>
      </c>
      <c r="D254" s="325">
        <v>41464.44</v>
      </c>
      <c r="E254" s="325">
        <v>26570.86</v>
      </c>
      <c r="F254" s="325">
        <v>709255.08016205695</v>
      </c>
      <c r="G254" s="325">
        <v>5630.84</v>
      </c>
      <c r="H254" s="325">
        <f>Clasificados[[#This Row],[Saldo Total]]-Clasificados[[#This Row],[Jaime]]-Clasificados[[#This Row],[Argentina]]-Clasificados[[#This Row],[Cristian]]+Clasificados[[#This Row],[Importación]]</f>
        <v>564350.62016205699</v>
      </c>
    </row>
    <row r="255" spans="2:8" x14ac:dyDescent="0.25">
      <c r="B255" s="1">
        <v>45824</v>
      </c>
      <c r="C255" s="325">
        <v>82500</v>
      </c>
      <c r="D255" s="325">
        <v>41464.44</v>
      </c>
      <c r="E255" s="325">
        <v>26570.86</v>
      </c>
      <c r="F255" s="325">
        <v>709449.55969396466</v>
      </c>
      <c r="G255" s="325">
        <v>5630.84</v>
      </c>
      <c r="H255" s="325">
        <f>Clasificados[[#This Row],[Saldo Total]]-Clasificados[[#This Row],[Jaime]]-Clasificados[[#This Row],[Argentina]]-Clasificados[[#This Row],[Cristian]]+Clasificados[[#This Row],[Importación]]</f>
        <v>564545.0996939647</v>
      </c>
    </row>
    <row r="256" spans="2:8" x14ac:dyDescent="0.25">
      <c r="B256" s="1">
        <v>45827</v>
      </c>
      <c r="C256" s="325">
        <v>82500</v>
      </c>
      <c r="D256" s="325">
        <v>41464.44</v>
      </c>
      <c r="E256" s="325">
        <v>26570.86</v>
      </c>
      <c r="F256" s="325">
        <v>709548.10324383073</v>
      </c>
      <c r="G256" s="325">
        <v>5630.84</v>
      </c>
      <c r="H256" s="325">
        <f>Clasificados[[#This Row],[Saldo Total]]-Clasificados[[#This Row],[Jaime]]-Clasificados[[#This Row],[Argentina]]-Clasificados[[#This Row],[Cristian]]+Clasificados[[#This Row],[Importación]]</f>
        <v>564643.64324383065</v>
      </c>
    </row>
    <row r="257" spans="2:8" x14ac:dyDescent="0.25">
      <c r="B257" s="1">
        <v>45832</v>
      </c>
      <c r="C257" s="325">
        <v>82500</v>
      </c>
      <c r="D257" s="325">
        <v>41464.44</v>
      </c>
      <c r="E257" s="325">
        <v>26570.86</v>
      </c>
      <c r="F257" s="325">
        <v>709798.94074373669</v>
      </c>
      <c r="G257" s="325">
        <v>5630.84</v>
      </c>
      <c r="H257" s="325">
        <f>Clasificados[[#This Row],[Saldo Total]]-Clasificados[[#This Row],[Jaime]]-Clasificados[[#This Row],[Argentina]]-Clasificados[[#This Row],[Cristian]]+Clasificados[[#This Row],[Importación]]</f>
        <v>564894.48074373673</v>
      </c>
    </row>
    <row r="258" spans="2:8" x14ac:dyDescent="0.25">
      <c r="B258" s="1">
        <v>45837</v>
      </c>
      <c r="C258" s="325">
        <v>82500</v>
      </c>
      <c r="D258" s="325">
        <v>41464.44</v>
      </c>
      <c r="E258" s="325">
        <v>26570.86</v>
      </c>
      <c r="F258" s="325">
        <v>714713.04686988378</v>
      </c>
      <c r="G258" s="325">
        <v>5630.84</v>
      </c>
      <c r="H258" s="325">
        <f>Clasificados[[#This Row],[Saldo Total]]-Clasificados[[#This Row],[Jaime]]-Clasificados[[#This Row],[Argentina]]-Clasificados[[#This Row],[Cristian]]+Clasificados[[#This Row],[Importación]]</f>
        <v>569808.58686988382</v>
      </c>
    </row>
    <row r="259" spans="2:8" x14ac:dyDescent="0.25">
      <c r="B259" s="1">
        <v>45839</v>
      </c>
      <c r="C259" s="325">
        <v>82500</v>
      </c>
      <c r="D259" s="325">
        <v>41647.910000000003</v>
      </c>
      <c r="E259" s="325">
        <v>27273.39</v>
      </c>
      <c r="F259" s="325">
        <v>715008.68686988368</v>
      </c>
      <c r="G259" s="325">
        <v>5630.84</v>
      </c>
      <c r="H259" s="325">
        <f>Clasificados[[#This Row],[Saldo Total]]-Clasificados[[#This Row],[Jaime]]-Clasificados[[#This Row],[Argentina]]-Clasificados[[#This Row],[Cristian]]+Clasificados[[#This Row],[Importación]]</f>
        <v>569218.2268698836</v>
      </c>
    </row>
    <row r="260" spans="2:8" x14ac:dyDescent="0.25">
      <c r="B260" s="1">
        <v>45845</v>
      </c>
      <c r="C260" s="325">
        <v>82500</v>
      </c>
      <c r="D260" s="325">
        <v>41647.910000000003</v>
      </c>
      <c r="E260" s="325">
        <v>27273.39</v>
      </c>
      <c r="F260" s="325">
        <v>716412.57686988381</v>
      </c>
      <c r="G260" s="325">
        <v>5630.84</v>
      </c>
      <c r="H260" s="325">
        <f>Clasificados[[#This Row],[Saldo Total]]-Clasificados[[#This Row],[Jaime]]-Clasificados[[#This Row],[Argentina]]-Clasificados[[#This Row],[Cristian]]+Clasificados[[#This Row],[Importación]]</f>
        <v>570622.11686988373</v>
      </c>
    </row>
    <row r="261" spans="2:8" x14ac:dyDescent="0.25">
      <c r="B261" s="1">
        <v>45848</v>
      </c>
      <c r="C261" s="325">
        <v>82500</v>
      </c>
      <c r="D261" s="325">
        <v>41647.910000000003</v>
      </c>
      <c r="E261" s="325">
        <v>27273.39</v>
      </c>
      <c r="F261" s="325">
        <v>716775.55900988379</v>
      </c>
      <c r="G261" s="325">
        <v>5630.84</v>
      </c>
      <c r="H261" s="325">
        <f>Clasificados[[#This Row],[Saldo Total]]-Clasificados[[#This Row],[Jaime]]-Clasificados[[#This Row],[Argentina]]-Clasificados[[#This Row],[Cristian]]+Clasificados[[#This Row],[Importación]]</f>
        <v>570985.09900988371</v>
      </c>
    </row>
    <row r="262" spans="2:8" x14ac:dyDescent="0.25">
      <c r="B262" s="1">
        <v>45862</v>
      </c>
      <c r="C262" s="325">
        <v>82500</v>
      </c>
      <c r="D262" s="325">
        <v>41647.910000000003</v>
      </c>
      <c r="E262" s="325">
        <v>27273.39</v>
      </c>
      <c r="F262" s="325">
        <v>716113.47900988371</v>
      </c>
      <c r="G262" s="325">
        <v>5630.84</v>
      </c>
      <c r="H262" s="325">
        <f>Clasificados[[#This Row],[Saldo Total]]-Clasificados[[#This Row],[Jaime]]-Clasificados[[#This Row],[Argentina]]-Clasificados[[#This Row],[Cristian]]+Clasificados[[#This Row],[Importación]]</f>
        <v>570323.01900988363</v>
      </c>
    </row>
    <row r="263" spans="2:8" x14ac:dyDescent="0.25">
      <c r="B263" s="1">
        <v>45867</v>
      </c>
      <c r="C263" s="325">
        <v>82500</v>
      </c>
      <c r="D263" s="325">
        <v>41647.910000000003</v>
      </c>
      <c r="E263" s="325">
        <v>27273.39</v>
      </c>
      <c r="F263" s="325">
        <v>718744.68900988367</v>
      </c>
      <c r="G263" s="325">
        <v>5630.84</v>
      </c>
      <c r="H263" s="325">
        <f>Clasificados[[#This Row],[Saldo Total]]-Clasificados[[#This Row],[Jaime]]-Clasificados[[#This Row],[Argentina]]-Clasificados[[#This Row],[Cristian]]+Clasificados[[#This Row],[Importación]]</f>
        <v>572954.22900988359</v>
      </c>
    </row>
    <row r="264" spans="2:8" x14ac:dyDescent="0.25">
      <c r="B264" s="1">
        <v>45868</v>
      </c>
      <c r="C264" s="325">
        <v>82500</v>
      </c>
      <c r="D264" s="325">
        <v>41647.910000000003</v>
      </c>
      <c r="E264" s="325">
        <v>27273.39</v>
      </c>
      <c r="F264" s="325">
        <v>717180.43623042759</v>
      </c>
      <c r="G264" s="325">
        <v>5630.84</v>
      </c>
      <c r="H264" s="325">
        <f>Clasificados[[#This Row],[Saldo Total]]-Clasificados[[#This Row],[Jaime]]-Clasificados[[#This Row],[Argentina]]-Clasificados[[#This Row],[Cristian]]+Clasificados[[#This Row],[Importación]]</f>
        <v>571389.97623042751</v>
      </c>
    </row>
    <row r="265" spans="2:8" x14ac:dyDescent="0.25">
      <c r="B265" s="1">
        <v>45877</v>
      </c>
      <c r="C265" s="325">
        <v>82500</v>
      </c>
      <c r="D265" s="325">
        <v>41831.379999999997</v>
      </c>
      <c r="E265" s="325">
        <v>27978.92</v>
      </c>
      <c r="F265" s="325">
        <v>711535.77519256016</v>
      </c>
      <c r="G265" s="325">
        <v>5630.84</v>
      </c>
      <c r="H265" s="325">
        <f>Clasificados[[#This Row],[Saldo Total]]-Clasificados[[#This Row],[Jaime]]-Clasificados[[#This Row],[Argentina]]-Clasificados[[#This Row],[Cristian]]+Clasificados[[#This Row],[Importación]]</f>
        <v>564856.31519256008</v>
      </c>
    </row>
    <row r="266" spans="2:8" x14ac:dyDescent="0.25">
      <c r="B266" s="1">
        <v>45882</v>
      </c>
      <c r="C266" s="325">
        <v>82500</v>
      </c>
      <c r="D266" s="325">
        <v>41831.379999999997</v>
      </c>
      <c r="E266" s="325">
        <v>27978.92</v>
      </c>
      <c r="F266" s="325">
        <v>714391.92439358693</v>
      </c>
      <c r="G266" s="325">
        <v>5630.84</v>
      </c>
      <c r="H266" s="325">
        <f>Clasificados[[#This Row],[Saldo Total]]-Clasificados[[#This Row],[Jaime]]-Clasificados[[#This Row],[Argentina]]-Clasificados[[#This Row],[Cristian]]+Clasificados[[#This Row],[Importación]]</f>
        <v>567712.46439358685</v>
      </c>
    </row>
    <row r="267" spans="2:8" x14ac:dyDescent="0.25">
      <c r="B267" s="1">
        <v>45889</v>
      </c>
      <c r="C267" s="325">
        <v>82500</v>
      </c>
      <c r="D267" s="325">
        <v>41831.379999999997</v>
      </c>
      <c r="E267" s="325">
        <v>27978.92</v>
      </c>
      <c r="F267" s="325">
        <v>714946.31962747779</v>
      </c>
      <c r="G267" s="325">
        <v>5630.84</v>
      </c>
      <c r="H267" s="325">
        <f>Clasificados[[#This Row],[Saldo Total]]-Clasificados[[#This Row],[Jaime]]-Clasificados[[#This Row],[Argentina]]-Clasificados[[#This Row],[Cristian]]+Clasificados[[#This Row],[Importación]]</f>
        <v>568266.85962747771</v>
      </c>
    </row>
    <row r="268" spans="2:8" x14ac:dyDescent="0.25">
      <c r="B268" s="1">
        <v>45897</v>
      </c>
      <c r="C268" s="325">
        <v>82500</v>
      </c>
      <c r="D268" s="325">
        <v>41831.379999999997</v>
      </c>
      <c r="E268" s="325">
        <v>27978.92</v>
      </c>
      <c r="F268" s="325">
        <v>714233.65962747787</v>
      </c>
      <c r="G268" s="325">
        <v>5630.84</v>
      </c>
      <c r="H268" s="325">
        <f>Clasificados[[#This Row],[Saldo Total]]-Clasificados[[#This Row],[Jaime]]-Clasificados[[#This Row],[Argentina]]-Clasificados[[#This Row],[Cristian]]+Clasificados[[#This Row],[Importación]]</f>
        <v>567554.19962747779</v>
      </c>
    </row>
    <row r="269" spans="2:8" x14ac:dyDescent="0.25">
      <c r="B269" s="1">
        <v>45900</v>
      </c>
      <c r="C269" s="325">
        <v>82500</v>
      </c>
      <c r="D269" s="325">
        <v>41831.379999999997</v>
      </c>
      <c r="E269" s="325">
        <v>27978.92</v>
      </c>
      <c r="F269" s="325">
        <v>719212.85666081123</v>
      </c>
      <c r="G269" s="325">
        <v>5630.84</v>
      </c>
      <c r="H269" s="325">
        <f>Clasificados[[#This Row],[Saldo Total]]-Clasificados[[#This Row],[Jaime]]-Clasificados[[#This Row],[Argentina]]-Clasificados[[#This Row],[Cristian]]+Clasificados[[#This Row],[Importación]]</f>
        <v>572533.39666081115</v>
      </c>
    </row>
    <row r="270" spans="2:8" x14ac:dyDescent="0.25">
      <c r="B270" s="1">
        <v>45902</v>
      </c>
      <c r="C270" s="325">
        <v>82500</v>
      </c>
      <c r="D270" s="325">
        <v>42014.85</v>
      </c>
      <c r="E270" s="325">
        <v>28687.45</v>
      </c>
      <c r="F270" s="325">
        <v>719881.48958808719</v>
      </c>
      <c r="G270" s="325">
        <v>5630.84</v>
      </c>
      <c r="H270" s="325">
        <f>Clasificados[[#This Row],[Saldo Total]]-Clasificados[[#This Row],[Jaime]]-Clasificados[[#This Row],[Argentina]]-Clasificados[[#This Row],[Cristian]]+Clasificados[[#This Row],[Importación]]</f>
        <v>572310.02958808723</v>
      </c>
    </row>
    <row r="271" spans="2:8" x14ac:dyDescent="0.25">
      <c r="B271" s="1">
        <v>45903</v>
      </c>
      <c r="C271" s="325">
        <v>82500</v>
      </c>
      <c r="D271" s="325">
        <v>42014.85</v>
      </c>
      <c r="E271" s="325">
        <v>28687.45</v>
      </c>
      <c r="F271" s="325">
        <v>721868.70958808716</v>
      </c>
      <c r="G271" s="325">
        <v>5630.84</v>
      </c>
      <c r="H271" s="325">
        <f>Clasificados[[#This Row],[Saldo Total]]-Clasificados[[#This Row],[Jaime]]-Clasificados[[#This Row],[Argentina]]-Clasificados[[#This Row],[Cristian]]+Clasificados[[#This Row],[Importación]]</f>
        <v>574297.2495880872</v>
      </c>
    </row>
    <row r="272" spans="2:8" x14ac:dyDescent="0.25">
      <c r="B272" s="1">
        <v>45915</v>
      </c>
      <c r="C272" s="325">
        <v>82500</v>
      </c>
      <c r="D272" s="325">
        <v>42014.85</v>
      </c>
      <c r="E272" s="325">
        <v>28687.45</v>
      </c>
      <c r="F272" s="325">
        <v>722532.20144835382</v>
      </c>
      <c r="G272" s="325">
        <v>5630.84</v>
      </c>
      <c r="H272" s="325">
        <f>Clasificados[[#This Row],[Saldo Total]]-Clasificados[[#This Row],[Jaime]]-Clasificados[[#This Row],[Argentina]]-Clasificados[[#This Row],[Cristian]]+Clasificados[[#This Row],[Importación]]</f>
        <v>574960.74144835386</v>
      </c>
    </row>
    <row r="273" spans="2:8" x14ac:dyDescent="0.25">
      <c r="B273" s="1">
        <v>45930</v>
      </c>
      <c r="C273" s="325">
        <v>82500</v>
      </c>
      <c r="D273" s="325">
        <v>42014.85</v>
      </c>
      <c r="E273" s="325">
        <v>28687.45</v>
      </c>
      <c r="F273" s="325">
        <v>722422.7984816872</v>
      </c>
      <c r="G273" s="325">
        <v>5630.84</v>
      </c>
      <c r="H273" s="325">
        <f>Clasificados[[#This Row],[Saldo Total]]-Clasificados[[#This Row],[Jaime]]-Clasificados[[#This Row],[Argentina]]-Clasificados[[#This Row],[Cristian]]+Clasificados[[#This Row],[Importación]]</f>
        <v>574851.33848168724</v>
      </c>
    </row>
    <row r="274" spans="2:8" x14ac:dyDescent="0.25">
      <c r="B274" s="1">
        <v>45933</v>
      </c>
      <c r="C274" s="325">
        <v>82500</v>
      </c>
      <c r="D274" s="325">
        <v>42198.32</v>
      </c>
      <c r="E274" s="325">
        <v>28419.98</v>
      </c>
      <c r="F274" s="325">
        <v>724868.11848168715</v>
      </c>
      <c r="G274" s="325">
        <v>5630.84</v>
      </c>
      <c r="H274" s="325">
        <f>Clasificados[[#This Row],[Saldo Total]]-Clasificados[[#This Row],[Jaime]]-Clasificados[[#This Row],[Argentina]]-Clasificados[[#This Row],[Cristian]]+Clasificados[[#This Row],[Importación]]</f>
        <v>577380.65848168719</v>
      </c>
    </row>
    <row r="275" spans="2:8" x14ac:dyDescent="0.25">
      <c r="B275" s="1">
        <v>45943</v>
      </c>
      <c r="C275" s="325">
        <v>82500</v>
      </c>
      <c r="D275" s="325">
        <v>42198.32</v>
      </c>
      <c r="E275" s="325">
        <v>28419.98</v>
      </c>
      <c r="F275" s="325">
        <v>724727.64793995384</v>
      </c>
      <c r="G275" s="325">
        <v>5630.84</v>
      </c>
      <c r="H275" s="325">
        <f>Clasificados[[#This Row],[Saldo Total]]-Clasificados[[#This Row],[Jaime]]-Clasificados[[#This Row],[Argentina]]-Clasificados[[#This Row],[Cristian]]+Clasificados[[#This Row],[Importación]]</f>
        <v>577240.18793995387</v>
      </c>
    </row>
    <row r="276" spans="2:8" x14ac:dyDescent="0.25">
      <c r="B276" s="1">
        <v>45958</v>
      </c>
      <c r="C276" s="325">
        <v>82500</v>
      </c>
      <c r="D276" s="325">
        <v>42198.32</v>
      </c>
      <c r="E276" s="325">
        <v>28419.98</v>
      </c>
      <c r="F276" s="325">
        <v>726563.32497328718</v>
      </c>
      <c r="G276" s="325">
        <v>5630.84</v>
      </c>
      <c r="H276" s="325">
        <f>Clasificados[[#This Row],[Saldo Total]]-Clasificados[[#This Row],[Jaime]]-Clasificados[[#This Row],[Argentina]]-Clasificados[[#This Row],[Cristian]]+Clasificados[[#This Row],[Importación]]</f>
        <v>579075.86497328721</v>
      </c>
    </row>
    <row r="277" spans="2:8" x14ac:dyDescent="0.25">
      <c r="B277" s="1">
        <v>45963</v>
      </c>
      <c r="C277" s="325">
        <v>82500</v>
      </c>
      <c r="D277" s="325">
        <v>42381.79</v>
      </c>
      <c r="E277" s="325">
        <v>29041.51</v>
      </c>
      <c r="F277" s="325">
        <v>726548.62497328711</v>
      </c>
      <c r="H277" s="325">
        <f>Clasificados[[#This Row],[Saldo Total]]-Clasificados[[#This Row],[Jaime]]-Clasificados[[#This Row],[Argentina]]-Clasificados[[#This Row],[Cristian]]+Clasificados[[#This Row],[Importación]]</f>
        <v>572625.32497328706</v>
      </c>
    </row>
    <row r="278" spans="2:8" x14ac:dyDescent="0.25">
      <c r="B278" s="1">
        <v>45967</v>
      </c>
      <c r="C278" s="325">
        <v>82500</v>
      </c>
      <c r="D278" s="325">
        <v>42381.79</v>
      </c>
      <c r="E278" s="325">
        <v>29041.51</v>
      </c>
      <c r="F278" s="325">
        <v>729201.72730429377</v>
      </c>
      <c r="H278" s="325">
        <f>Clasificados[[#This Row],[Saldo Total]]-Clasificados[[#This Row],[Jaime]]-Clasificados[[#This Row],[Argentina]]-Clasificados[[#This Row],[Cristian]]+Clasificados[[#This Row],[Importación]]</f>
        <v>575278.42730429373</v>
      </c>
    </row>
    <row r="279" spans="2:8" x14ac:dyDescent="0.25">
      <c r="B279" s="1">
        <v>45982</v>
      </c>
      <c r="C279" s="325">
        <v>82500</v>
      </c>
      <c r="D279" s="325">
        <v>42381.79</v>
      </c>
      <c r="E279" s="325">
        <v>29041.51</v>
      </c>
      <c r="F279" s="325">
        <v>729280.6997353218</v>
      </c>
      <c r="H279" s="325">
        <f>Clasificados[[#This Row],[Saldo Total]]-Clasificados[[#This Row],[Jaime]]-Clasificados[[#This Row],[Argentina]]-Clasificados[[#This Row],[Cristian]]+Clasificados[[#This Row],[Importación]]</f>
        <v>575357.39973532176</v>
      </c>
    </row>
    <row r="280" spans="2:8" x14ac:dyDescent="0.25">
      <c r="B280" s="1">
        <v>45987</v>
      </c>
      <c r="C280" s="325">
        <v>82500</v>
      </c>
      <c r="D280" s="325">
        <v>42381.79</v>
      </c>
      <c r="E280" s="325">
        <v>29041.51</v>
      </c>
      <c r="F280" s="325">
        <v>729101.35741132183</v>
      </c>
      <c r="H280" s="325">
        <f>Clasificados[[#This Row],[Saldo Total]]-Clasificados[[#This Row],[Jaime]]-Clasificados[[#This Row],[Argentina]]-Clasificados[[#This Row],[Cristian]]+Clasificados[[#This Row],[Importación]]</f>
        <v>575178.05741132179</v>
      </c>
    </row>
    <row r="281" spans="2:8" x14ac:dyDescent="0.25">
      <c r="B281" s="1">
        <v>45992</v>
      </c>
      <c r="C281" s="325">
        <v>82500</v>
      </c>
      <c r="D281" s="325">
        <v>42565.26</v>
      </c>
      <c r="E281" s="325">
        <v>29666.04</v>
      </c>
      <c r="F281" s="325">
        <v>733367.95444465522</v>
      </c>
      <c r="H281" s="325">
        <f>Clasificados[[#This Row],[Saldo Total]]-Clasificados[[#This Row],[Jaime]]-Clasificados[[#This Row],[Argentina]]-Clasificados[[#This Row],[Cristian]]+Clasificados[[#This Row],[Importación]]</f>
        <v>578636.65444465517</v>
      </c>
    </row>
    <row r="282" spans="2:8" x14ac:dyDescent="0.25">
      <c r="B282" s="1">
        <v>45993</v>
      </c>
      <c r="C282" s="325">
        <v>82500</v>
      </c>
      <c r="D282" s="325">
        <v>42565.26</v>
      </c>
      <c r="E282" s="325">
        <v>29666.04</v>
      </c>
      <c r="F282" s="325">
        <v>734253.67602177011</v>
      </c>
      <c r="H282" s="325">
        <f>Clasificados[[#This Row],[Saldo Total]]-Clasificados[[#This Row],[Jaime]]-Clasificados[[#This Row],[Argentina]]-Clasificados[[#This Row],[Cristian]]+Clasificados[[#This Row],[Importación]]</f>
        <v>579522.37602177006</v>
      </c>
    </row>
    <row r="283" spans="2:8" x14ac:dyDescent="0.25">
      <c r="B283" s="1">
        <v>45995</v>
      </c>
      <c r="C283" s="325">
        <v>87434.74</v>
      </c>
      <c r="D283" s="325">
        <v>42565.26</v>
      </c>
      <c r="E283" s="325">
        <v>29666.04</v>
      </c>
      <c r="F283" s="325">
        <v>739129.42479525506</v>
      </c>
      <c r="H283" s="325">
        <f>Clasificados[[#This Row],[Saldo Total]]-Clasificados[[#This Row],[Jaime]]-Clasificados[[#This Row],[Argentina]]-Clasificados[[#This Row],[Cristian]]+Clasificados[[#This Row],[Importación]]</f>
        <v>579463.38479525503</v>
      </c>
    </row>
    <row r="284" spans="2:8" x14ac:dyDescent="0.25">
      <c r="B284" s="1">
        <v>45997</v>
      </c>
      <c r="C284" s="325">
        <v>87434.74</v>
      </c>
      <c r="D284" s="325">
        <v>42565.26</v>
      </c>
      <c r="E284" s="325">
        <v>29666.04</v>
      </c>
      <c r="F284" s="325">
        <v>741117.25479525514</v>
      </c>
      <c r="H284" s="325">
        <f>Clasificados[[#This Row],[Saldo Total]]-Clasificados[[#This Row],[Jaime]]-Clasificados[[#This Row],[Argentina]]-Clasificados[[#This Row],[Cristian]]+Clasificados[[#This Row],[Importación]]</f>
        <v>581451.2147952551</v>
      </c>
    </row>
    <row r="285" spans="2:8" x14ac:dyDescent="0.25">
      <c r="B285" s="1">
        <v>46001</v>
      </c>
      <c r="C285" s="325">
        <v>87434.74</v>
      </c>
      <c r="D285" s="325">
        <v>42565.26</v>
      </c>
      <c r="E285" s="325">
        <v>29666.04</v>
      </c>
      <c r="F285" s="325">
        <v>741121.26776192198</v>
      </c>
      <c r="H285" s="325">
        <f>Clasificados[[#This Row],[Saldo Total]]-Clasificados[[#This Row],[Jaime]]-Clasificados[[#This Row],[Argentina]]-Clasificados[[#This Row],[Cristian]]+Clasificados[[#This Row],[Importación]]</f>
        <v>581455.22776192194</v>
      </c>
    </row>
    <row r="286" spans="2:8" x14ac:dyDescent="0.25">
      <c r="B286" s="1">
        <v>46006</v>
      </c>
      <c r="C286" s="325">
        <v>87434.74</v>
      </c>
      <c r="D286" s="325">
        <v>42565.26</v>
      </c>
      <c r="E286" s="325">
        <v>29666.04</v>
      </c>
      <c r="F286" s="325">
        <v>741566.55197922175</v>
      </c>
      <c r="H286" s="325">
        <f>Clasificados[[#This Row],[Saldo Total]]-Clasificados[[#This Row],[Jaime]]-Clasificados[[#This Row],[Argentina]]-Clasificados[[#This Row],[Cristian]]+Clasificados[[#This Row],[Importación]]</f>
        <v>581900.51197922172</v>
      </c>
    </row>
    <row r="287" spans="2:8" x14ac:dyDescent="0.25">
      <c r="B287" s="1">
        <v>46014</v>
      </c>
      <c r="C287" s="325">
        <v>87434.74</v>
      </c>
      <c r="D287" s="325">
        <v>42565.26</v>
      </c>
      <c r="E287" s="325">
        <v>29666.04</v>
      </c>
      <c r="F287" s="325">
        <v>741778.24</v>
      </c>
      <c r="H287" s="325">
        <f>Clasificados[[#This Row],[Saldo Total]]-Clasificados[[#This Row],[Jaime]]-Clasificados[[#This Row],[Argentina]]-Clasificados[[#This Row],[Cristian]]+Clasificados[[#This Row],[Importación]]</f>
        <v>582112.19999999995</v>
      </c>
    </row>
    <row r="288" spans="2:8" x14ac:dyDescent="0.25">
      <c r="B288" s="1">
        <v>46020</v>
      </c>
      <c r="C288" s="325">
        <v>87434.74</v>
      </c>
      <c r="D288" s="325">
        <v>42565.26</v>
      </c>
      <c r="E288" s="325">
        <v>29666.04</v>
      </c>
      <c r="F288" s="325">
        <v>744315.84980211523</v>
      </c>
      <c r="H288" s="325">
        <f>Clasificados[[#This Row],[Saldo Total]]-Clasificados[[#This Row],[Jaime]]-Clasificados[[#This Row],[Argentina]]-Clasificados[[#This Row],[Cristian]]+Clasificados[[#This Row],[Importación]]</f>
        <v>584649.8098021152</v>
      </c>
    </row>
    <row r="289" spans="2:8" x14ac:dyDescent="0.25">
      <c r="B289" s="1">
        <v>46021</v>
      </c>
      <c r="C289" s="325">
        <v>87434.74</v>
      </c>
      <c r="D289" s="325">
        <v>42565.26</v>
      </c>
      <c r="E289" s="325">
        <v>29666.04</v>
      </c>
      <c r="F289" s="325">
        <v>744612.00318121514</v>
      </c>
      <c r="H289" s="325">
        <f>Clasificados[[#This Row],[Saldo Total]]-Clasificados[[#This Row],[Jaime]]-Clasificados[[#This Row],[Argentina]]-Clasificados[[#This Row],[Cristian]]+Clasificados[[#This Row],[Importación]]</f>
        <v>584945.96318121511</v>
      </c>
    </row>
    <row r="290" spans="2:8" x14ac:dyDescent="0.25">
      <c r="B290" s="1">
        <v>46030</v>
      </c>
      <c r="C290" s="325">
        <v>87434.74</v>
      </c>
      <c r="D290" s="325">
        <v>42565.26</v>
      </c>
      <c r="E290" s="325">
        <v>30238.57</v>
      </c>
      <c r="F290" s="325">
        <v>747420.75894868188</v>
      </c>
      <c r="H290" s="325">
        <f>Clasificados[[#This Row],[Saldo Total]]-Clasificados[[#This Row],[Jaime]]-Clasificados[[#This Row],[Argentina]]-Clasificados[[#This Row],[Cristian]]+Clasificados[[#This Row],[Importación]]</f>
        <v>587182.18894868193</v>
      </c>
    </row>
    <row r="291" spans="2:8" x14ac:dyDescent="0.25">
      <c r="B291" s="1">
        <v>46037</v>
      </c>
      <c r="C291" s="325">
        <v>87434.74</v>
      </c>
      <c r="D291" s="325">
        <v>42565.26</v>
      </c>
      <c r="E291" s="325">
        <v>30238.57</v>
      </c>
      <c r="F291" s="325">
        <v>747184.3305056463</v>
      </c>
      <c r="H291" s="325">
        <f>Clasificados[[#This Row],[Saldo Total]]-Clasificados[[#This Row],[Jaime]]-Clasificados[[#This Row],[Argentina]]-Clasificados[[#This Row],[Cristian]]+Clasificados[[#This Row],[Importación]]</f>
        <v>586945.76050564635</v>
      </c>
    </row>
    <row r="292" spans="2:8" x14ac:dyDescent="0.25">
      <c r="B292" s="1">
        <v>46043</v>
      </c>
      <c r="C292" s="325">
        <v>87434.74</v>
      </c>
      <c r="D292" s="325">
        <v>42565.26</v>
      </c>
      <c r="E292" s="325">
        <v>30238.57</v>
      </c>
      <c r="F292" s="325">
        <v>747495.47132717085</v>
      </c>
      <c r="H292" s="325">
        <f>Clasificados[[#This Row],[Saldo Total]]-Clasificados[[#This Row],[Jaime]]-Clasificados[[#This Row],[Argentina]]-Clasificados[[#This Row],[Cristian]]+Clasificados[[#This Row],[Importación]]</f>
        <v>587256.9013271709</v>
      </c>
    </row>
    <row r="293" spans="2:8" x14ac:dyDescent="0.25">
      <c r="B293" s="1">
        <v>46050</v>
      </c>
      <c r="C293" s="325">
        <v>87434.74</v>
      </c>
      <c r="D293" s="325">
        <v>42565.26</v>
      </c>
      <c r="E293" s="325">
        <v>30238.57</v>
      </c>
      <c r="F293" s="325">
        <v>749634.25836050406</v>
      </c>
      <c r="H293" s="325">
        <f>Clasificados[[#This Row],[Saldo Total]]-Clasificados[[#This Row],[Jaime]]-Clasificados[[#This Row],[Argentina]]-Clasificados[[#This Row],[Cristian]]+Clasificados[[#This Row],[Importación]]</f>
        <v>589395.68836050411</v>
      </c>
    </row>
    <row r="294" spans="2:8" x14ac:dyDescent="0.25">
      <c r="B294" s="1">
        <v>46057</v>
      </c>
      <c r="C294" s="325">
        <v>87434.74</v>
      </c>
      <c r="D294" s="325">
        <v>42565.26</v>
      </c>
      <c r="E294" s="325">
        <v>30869.1</v>
      </c>
      <c r="F294" s="325">
        <v>751239.41975875106</v>
      </c>
      <c r="H294" s="325">
        <f>Clasificados[[#This Row],[Saldo Total]]-Clasificados[[#This Row],[Jaime]]-Clasificados[[#This Row],[Argentina]]-Clasificados[[#This Row],[Cristian]]+Clasificados[[#This Row],[Importación]]</f>
        <v>590370.31975875108</v>
      </c>
    </row>
    <row r="295" spans="2:8" x14ac:dyDescent="0.25">
      <c r="B295" s="1">
        <v>46058</v>
      </c>
      <c r="C295" s="325">
        <v>87434.74</v>
      </c>
      <c r="D295" s="325">
        <v>42565.26</v>
      </c>
      <c r="E295" s="325">
        <v>30869.1</v>
      </c>
      <c r="F295" s="325">
        <v>753371.70975875109</v>
      </c>
      <c r="H295" s="325">
        <f>Clasificados[[#This Row],[Saldo Total]]-Clasificados[[#This Row],[Jaime]]-Clasificados[[#This Row],[Argentina]]-Clasificados[[#This Row],[Cristian]]+Clasificados[[#This Row],[Importación]]</f>
        <v>592502.60975875112</v>
      </c>
    </row>
    <row r="296" spans="2:8" x14ac:dyDescent="0.25">
      <c r="B296" s="1">
        <v>46065</v>
      </c>
      <c r="C296" s="325">
        <v>87434.74</v>
      </c>
      <c r="D296" s="325">
        <v>42565.26</v>
      </c>
      <c r="E296" s="325">
        <v>30869.1</v>
      </c>
      <c r="F296" s="325">
        <v>751857.56041501777</v>
      </c>
      <c r="H296" s="325">
        <f>Clasificados[[#This Row],[Saldo Total]]-Clasificados[[#This Row],[Jaime]]-Clasificados[[#This Row],[Argentina]]-Clasificados[[#This Row],[Cristian]]+Clasificados[[#This Row],[Importación]]</f>
        <v>590988.46041501779</v>
      </c>
    </row>
    <row r="297" spans="2:8" x14ac:dyDescent="0.25">
      <c r="B297" s="1">
        <v>46072</v>
      </c>
      <c r="C297" s="325">
        <v>87434.74</v>
      </c>
      <c r="D297" s="325">
        <v>42565.26</v>
      </c>
      <c r="E297" s="325">
        <v>30869.1</v>
      </c>
      <c r="F297" s="325">
        <v>754615.39041501796</v>
      </c>
      <c r="H297" s="325">
        <f>Clasificados[[#This Row],[Saldo Total]]-Clasificados[[#This Row],[Jaime]]-Clasificados[[#This Row],[Argentina]]-Clasificados[[#This Row],[Cristian]]+Clasificados[[#This Row],[Importación]]</f>
        <v>593746.29041501798</v>
      </c>
    </row>
    <row r="298" spans="2:8" x14ac:dyDescent="0.25">
      <c r="B298" s="1">
        <v>46076</v>
      </c>
      <c r="C298" s="325">
        <v>87434.74</v>
      </c>
      <c r="D298" s="325">
        <v>42565.26</v>
      </c>
      <c r="E298" s="325">
        <v>30869.1</v>
      </c>
      <c r="F298" s="325">
        <v>755829.6</v>
      </c>
      <c r="H298" s="325">
        <f>Clasificados[[#This Row],[Saldo Total]]-Clasificados[[#This Row],[Jaime]]-Clasificados[[#This Row],[Argentina]]-Clasificados[[#This Row],[Cristian]]+Clasificados[[#This Row],[Importación]]</f>
        <v>594960.5</v>
      </c>
    </row>
    <row r="299" spans="2:8" x14ac:dyDescent="0.25">
      <c r="B299" s="1">
        <v>46078</v>
      </c>
      <c r="C299" s="325">
        <v>87434.74</v>
      </c>
      <c r="D299" s="325">
        <v>42565.26</v>
      </c>
      <c r="E299" s="325">
        <v>30869.1</v>
      </c>
      <c r="F299" s="325">
        <v>757196.9002524789</v>
      </c>
      <c r="H299" s="325">
        <f>Clasificados[[#This Row],[Saldo Total]]-Clasificados[[#This Row],[Jaime]]-Clasificados[[#This Row],[Argentina]]-Clasificados[[#This Row],[Cristian]]+Clasificados[[#This Row],[Importación]]</f>
        <v>596327.80025247892</v>
      </c>
    </row>
    <row r="300" spans="2:8" x14ac:dyDescent="0.25">
      <c r="B300" s="1">
        <v>46081</v>
      </c>
      <c r="C300" s="325">
        <v>87434.74</v>
      </c>
      <c r="D300" s="325">
        <v>42565.26</v>
      </c>
      <c r="E300" s="325">
        <v>31502.63</v>
      </c>
      <c r="F300" s="325">
        <v>760716.33634853223</v>
      </c>
      <c r="H300" s="325">
        <f>Clasificados[[#This Row],[Saldo Total]]-Clasificados[[#This Row],[Jaime]]-Clasificados[[#This Row],[Argentina]]-Clasificados[[#This Row],[Cristian]]+Clasificados[[#This Row],[Importación]]</f>
        <v>599213.70634853223</v>
      </c>
    </row>
    <row r="301" spans="2:8" x14ac:dyDescent="0.25">
      <c r="B301" s="1">
        <v>46083</v>
      </c>
      <c r="C301" s="325">
        <v>87434.74</v>
      </c>
      <c r="D301" s="325">
        <v>42565.26</v>
      </c>
      <c r="E301" s="325">
        <v>31502.63</v>
      </c>
      <c r="F301" s="325">
        <v>763850.69749652699</v>
      </c>
      <c r="H301" s="325">
        <f>Clasificados[[#This Row],[Saldo Total]]-Clasificados[[#This Row],[Jaime]]-Clasificados[[#This Row],[Argentina]]-Clasificados[[#This Row],[Cristian]]+Clasificados[[#This Row],[Importación]]</f>
        <v>602348.06749652699</v>
      </c>
    </row>
    <row r="302" spans="2:8" x14ac:dyDescent="0.25">
      <c r="B302" s="1">
        <v>46084</v>
      </c>
      <c r="C302" s="325">
        <v>87434.74</v>
      </c>
      <c r="D302" s="325">
        <v>42565.26</v>
      </c>
      <c r="E302" s="325">
        <v>31502.63</v>
      </c>
      <c r="F302" s="325">
        <v>766560.84064213885</v>
      </c>
      <c r="H302" s="325">
        <f>Clasificados[[#This Row],[Saldo Total]]-Clasificados[[#This Row],[Jaime]]-Clasificados[[#This Row],[Argentina]]-Clasificados[[#This Row],[Cristian]]+Clasificados[[#This Row],[Importación]]</f>
        <v>605058.21064213885</v>
      </c>
    </row>
    <row r="303" spans="2:8" x14ac:dyDescent="0.25">
      <c r="B303" s="1">
        <v>46086</v>
      </c>
      <c r="C303" s="325">
        <v>87434.74</v>
      </c>
      <c r="D303" s="325">
        <v>42565.26</v>
      </c>
      <c r="E303" s="325">
        <v>31502.63</v>
      </c>
      <c r="F303" s="325">
        <v>768380.74064213876</v>
      </c>
      <c r="H303" s="325">
        <f>Clasificados[[#This Row],[Saldo Total]]-Clasificados[[#This Row],[Jaime]]-Clasificados[[#This Row],[Argentina]]-Clasificados[[#This Row],[Cristian]]+Clasificados[[#This Row],[Importación]]</f>
        <v>606878.11064213875</v>
      </c>
    </row>
    <row r="304" spans="2:8" x14ac:dyDescent="0.25">
      <c r="B304" s="1">
        <v>46093</v>
      </c>
      <c r="C304" s="325">
        <v>87434.74</v>
      </c>
      <c r="D304" s="325">
        <v>42565.26</v>
      </c>
      <c r="E304" s="325">
        <v>31502.63</v>
      </c>
      <c r="F304" s="325">
        <v>773122.87360880559</v>
      </c>
      <c r="H304" s="325">
        <f>Clasificados[[#This Row],[Saldo Total]]-Clasificados[[#This Row],[Jaime]]-Clasificados[[#This Row],[Argentina]]-Clasificados[[#This Row],[Cristian]]+Clasificados[[#This Row],[Importación]]</f>
        <v>611620.24360880558</v>
      </c>
    </row>
    <row r="305" spans="2:11" x14ac:dyDescent="0.25">
      <c r="B305" s="1">
        <v>46097</v>
      </c>
      <c r="C305" s="325">
        <v>87434.74</v>
      </c>
      <c r="D305" s="325">
        <v>42565.26</v>
      </c>
      <c r="E305" s="325">
        <v>31502.63</v>
      </c>
      <c r="F305" s="325">
        <v>774834.563608806</v>
      </c>
      <c r="H305" s="325">
        <f>Clasificados[[#This Row],[Saldo Total]]-Clasificados[[#This Row],[Jaime]]-Clasificados[[#This Row],[Argentina]]-Clasificados[[#This Row],[Cristian]]+Clasificados[[#This Row],[Importación]]</f>
        <v>613331.93360880599</v>
      </c>
    </row>
    <row r="306" spans="2:11" x14ac:dyDescent="0.25">
      <c r="B306" s="1">
        <v>46105</v>
      </c>
      <c r="C306" s="325">
        <v>87434.74</v>
      </c>
      <c r="D306" s="325">
        <v>42565.26</v>
      </c>
      <c r="E306" s="325">
        <v>31502.63</v>
      </c>
      <c r="F306" s="325">
        <v>775214.80360880599</v>
      </c>
      <c r="H306" s="325">
        <f>Clasificados[[#This Row],[Saldo Total]]-Clasificados[[#This Row],[Jaime]]-Clasificados[[#This Row],[Argentina]]-Clasificados[[#This Row],[Cristian]]+Clasificados[[#This Row],[Importación]]</f>
        <v>613712.17360880598</v>
      </c>
    </row>
    <row r="307" spans="2:11" x14ac:dyDescent="0.25">
      <c r="B307" s="1">
        <v>46112</v>
      </c>
      <c r="C307" s="325">
        <v>87434.74</v>
      </c>
      <c r="D307" s="325">
        <v>42565.26</v>
      </c>
      <c r="E307" s="325">
        <v>32139.16</v>
      </c>
      <c r="F307" s="325">
        <v>779038.46064213931</v>
      </c>
      <c r="H307" s="325">
        <f>Clasificados[[#This Row],[Saldo Total]]-Clasificados[[#This Row],[Jaime]]-Clasificados[[#This Row],[Argentina]]-Clasificados[[#This Row],[Cristian]]+Clasificados[[#This Row],[Importación]]</f>
        <v>616899.30064213928</v>
      </c>
    </row>
    <row r="308" spans="2:11" x14ac:dyDescent="0.25">
      <c r="B308" s="1">
        <v>46118</v>
      </c>
      <c r="C308" s="325">
        <v>87434.74</v>
      </c>
      <c r="D308" s="325">
        <v>42565.26</v>
      </c>
      <c r="E308" s="325">
        <v>32139.16</v>
      </c>
      <c r="F308" s="325">
        <v>790518.40065526299</v>
      </c>
      <c r="H308" s="325">
        <f>Clasificados[[#This Row],[Saldo Total]]-Clasificados[[#This Row],[Jaime]]-Clasificados[[#This Row],[Argentina]]-Clasificados[[#This Row],[Cristian]]+Clasificados[[#This Row],[Importación]]</f>
        <v>628379.24065526295</v>
      </c>
    </row>
    <row r="309" spans="2:11" x14ac:dyDescent="0.25">
      <c r="B309" s="1">
        <v>46119</v>
      </c>
      <c r="C309" s="325">
        <v>87434.74</v>
      </c>
      <c r="D309" s="325">
        <v>42565.26</v>
      </c>
      <c r="E309" s="325">
        <v>32139.16</v>
      </c>
      <c r="F309" s="325">
        <v>798660.12031913863</v>
      </c>
      <c r="H309" s="325">
        <f>Clasificados[[#This Row],[Saldo Total]]-Clasificados[[#This Row],[Jaime]]-Clasificados[[#This Row],[Argentina]]-Clasificados[[#This Row],[Cristian]]+Clasificados[[#This Row],[Importación]]</f>
        <v>636520.9603191386</v>
      </c>
    </row>
    <row r="310" spans="2:11" x14ac:dyDescent="0.25">
      <c r="B310" s="1">
        <v>46120</v>
      </c>
      <c r="C310" s="325">
        <v>92434.74</v>
      </c>
      <c r="D310" s="325">
        <v>42565.26</v>
      </c>
      <c r="E310" s="325">
        <v>32139.16</v>
      </c>
      <c r="F310" s="325">
        <v>804039.82149755803</v>
      </c>
      <c r="H310" s="325">
        <f>Clasificados[[#This Row],[Saldo Total]]-Clasificados[[#This Row],[Jaime]]-Clasificados[[#This Row],[Argentina]]-Clasificados[[#This Row],[Cristian]]+Clasificados[[#This Row],[Importación]]</f>
        <v>636900.661497558</v>
      </c>
      <c r="K310" s="49"/>
    </row>
    <row r="311" spans="2:11" x14ac:dyDescent="0.25">
      <c r="B311" s="1">
        <v>46126</v>
      </c>
      <c r="C311" s="325">
        <v>92434.74</v>
      </c>
      <c r="D311" s="325">
        <v>42565.26</v>
      </c>
      <c r="E311" s="325">
        <v>32139.16</v>
      </c>
      <c r="F311" s="325">
        <v>822065.89659236267</v>
      </c>
      <c r="H311" s="325">
        <f>Clasificados[[#This Row],[Saldo Total]]-Clasificados[[#This Row],[Jaime]]-Clasificados[[#This Row],[Argentina]]-Clasificados[[#This Row],[Cristian]]+Clasificados[[#This Row],[Importación]]</f>
        <v>654926.73659236263</v>
      </c>
      <c r="J311" s="325"/>
      <c r="K311" s="49"/>
    </row>
    <row r="312" spans="2:11" x14ac:dyDescent="0.25">
      <c r="B312" s="1">
        <v>46129</v>
      </c>
      <c r="C312" s="325">
        <v>92434.74</v>
      </c>
      <c r="D312" s="325">
        <v>42565.26</v>
      </c>
      <c r="E312" s="325">
        <v>32139.16</v>
      </c>
      <c r="F312" s="325">
        <v>820069.14</v>
      </c>
      <c r="H312" s="325">
        <f>Clasificados[[#This Row],[Saldo Total]]-Clasificados[[#This Row],[Jaime]]-Clasificados[[#This Row],[Argentina]]-Clasificados[[#This Row],[Cristian]]+Clasificados[[#This Row],[Importación]]</f>
        <v>652929.98</v>
      </c>
    </row>
    <row r="313" spans="2:11" x14ac:dyDescent="0.25">
      <c r="B313" s="1">
        <v>46132</v>
      </c>
      <c r="C313" s="325">
        <v>92434.74</v>
      </c>
      <c r="D313" s="325">
        <v>42565.26</v>
      </c>
      <c r="E313" s="325">
        <v>32139.16</v>
      </c>
      <c r="F313" s="325">
        <v>816193.28</v>
      </c>
      <c r="H313" s="325">
        <f>Clasificados[[#This Row],[Saldo Total]]-Clasificados[[#This Row],[Jaime]]-Clasificados[[#This Row],[Argentina]]-Clasificados[[#This Row],[Cristian]]+Clasificados[[#This Row],[Importación]]</f>
        <v>649054.12</v>
      </c>
    </row>
    <row r="314" spans="2:11" x14ac:dyDescent="0.25">
      <c r="B314" s="1">
        <v>46134</v>
      </c>
      <c r="C314" s="325">
        <v>92434.74</v>
      </c>
      <c r="D314" s="325">
        <v>42565.26</v>
      </c>
      <c r="E314" s="325">
        <v>32139.16</v>
      </c>
      <c r="F314" s="325">
        <v>814926.6</v>
      </c>
      <c r="H314" s="325">
        <f>Clasificados[[#This Row],[Saldo Total]]-Clasificados[[#This Row],[Jaime]]-Clasificados[[#This Row],[Argentina]]-Clasificados[[#This Row],[Cristian]]+Clasificados[[#This Row],[Importación]]</f>
        <v>647787.43999999994</v>
      </c>
    </row>
    <row r="315" spans="2:11" x14ac:dyDescent="0.25">
      <c r="B315" s="1">
        <v>46139</v>
      </c>
      <c r="C315" s="325">
        <v>92434.74</v>
      </c>
      <c r="D315" s="325">
        <v>42565.26</v>
      </c>
      <c r="E315" s="325">
        <v>32139.16</v>
      </c>
      <c r="F315" s="325">
        <v>814006.72</v>
      </c>
      <c r="H315" s="325">
        <f>Clasificados[[#This Row],[Saldo Total]]-Clasificados[[#This Row],[Jaime]]-Clasificados[[#This Row],[Argentina]]-Clasificados[[#This Row],[Cristian]]+Clasificados[[#This Row],[Importación]]</f>
        <v>646867.55999999994</v>
      </c>
    </row>
    <row r="316" spans="2:11" x14ac:dyDescent="0.25">
      <c r="B316" s="1">
        <v>46144</v>
      </c>
      <c r="C316" s="325">
        <v>92434.74</v>
      </c>
      <c r="D316" s="325">
        <v>42565.26</v>
      </c>
      <c r="E316" s="325">
        <v>32686.02</v>
      </c>
      <c r="F316" s="325">
        <v>845709.48519466375</v>
      </c>
      <c r="H316" s="325">
        <f>Clasificados[[#This Row],[Saldo Total]]-Clasificados[[#This Row],[Jaime]]-Clasificados[[#This Row],[Argentina]]-Clasificados[[#This Row],[Cristian]]+Clasificados[[#This Row],[Importación]]</f>
        <v>678023.46519466373</v>
      </c>
    </row>
    <row r="317" spans="2:11" x14ac:dyDescent="0.25">
      <c r="B317" s="1">
        <v>46147</v>
      </c>
      <c r="C317" s="325">
        <v>92434.74</v>
      </c>
      <c r="D317" s="325">
        <v>42565.26</v>
      </c>
      <c r="E317" s="325">
        <v>32686.02</v>
      </c>
      <c r="F317" s="325">
        <v>846770.27347661625</v>
      </c>
      <c r="H317" s="325">
        <f>Clasificados[[#This Row],[Saldo Total]]-Clasificados[[#This Row],[Jaime]]-Clasificados[[#This Row],[Argentina]]-Clasificados[[#This Row],[Cristian]]+Clasificados[[#This Row],[Importación]]</f>
        <v>679084.25347661623</v>
      </c>
    </row>
    <row r="318" spans="2:11" x14ac:dyDescent="0.25">
      <c r="B318" s="1">
        <v>46149</v>
      </c>
      <c r="C318" s="325">
        <v>92434.74</v>
      </c>
      <c r="D318" s="325">
        <v>42565.26</v>
      </c>
      <c r="E318" s="325">
        <v>32686.02</v>
      </c>
      <c r="F318" s="325">
        <v>850894.79029618867</v>
      </c>
      <c r="H318" s="325">
        <f>Clasificados[[#This Row],[Saldo Total]]-Clasificados[[#This Row],[Jaime]]-Clasificados[[#This Row],[Argentina]]-Clasificados[[#This Row],[Cristian]]+Clasificados[[#This Row],[Importación]]</f>
        <v>683208.77029618865</v>
      </c>
    </row>
    <row r="319" spans="2:11" x14ac:dyDescent="0.25">
      <c r="B319" s="1">
        <v>46154</v>
      </c>
      <c r="C319" s="325">
        <v>92434.74</v>
      </c>
      <c r="D319" s="325">
        <v>42565.26</v>
      </c>
      <c r="E319" s="325">
        <v>32686.02</v>
      </c>
      <c r="F319" s="325">
        <v>851360.30037618859</v>
      </c>
      <c r="H319" s="325">
        <f>Clasificados[[#This Row],[Saldo Total]]-Clasificados[[#This Row],[Jaime]]-Clasificados[[#This Row],[Argentina]]-Clasificados[[#This Row],[Cristian]]+Clasificados[[#This Row],[Importación]]</f>
        <v>683674.28037618857</v>
      </c>
    </row>
    <row r="320" spans="2:11" x14ac:dyDescent="0.25">
      <c r="B320" s="1">
        <v>46163</v>
      </c>
      <c r="C320" s="325">
        <v>92434.74</v>
      </c>
      <c r="D320" s="325">
        <v>42565.26</v>
      </c>
      <c r="E320" s="325">
        <v>32686.02</v>
      </c>
      <c r="F320" s="325">
        <v>847073.89103255025</v>
      </c>
      <c r="H320" s="325">
        <f>Clasificados[[#This Row],[Saldo Total]]-Clasificados[[#This Row],[Jaime]]-Clasificados[[#This Row],[Argentina]]-Clasificados[[#This Row],[Cristian]]+Clasificados[[#This Row],[Importación]]</f>
        <v>679387.87103255023</v>
      </c>
    </row>
    <row r="321" spans="2:8" x14ac:dyDescent="0.25">
      <c r="B321" s="1">
        <v>46172</v>
      </c>
      <c r="C321" s="325">
        <v>92434.74</v>
      </c>
      <c r="D321" s="325">
        <v>42565.26</v>
      </c>
      <c r="E321" s="325">
        <v>33436.879999999997</v>
      </c>
      <c r="F321" s="325">
        <v>847803.92785105016</v>
      </c>
      <c r="H321" s="325">
        <f>Clasificados[[#This Row],[Saldo Total]]-Clasificados[[#This Row],[Jaime]]-Clasificados[[#This Row],[Argentina]]-Clasificados[[#This Row],[Cristian]]+Clasificados[[#This Row],[Importación]]</f>
        <v>679367.04785105016</v>
      </c>
    </row>
    <row r="322" spans="2:8" x14ac:dyDescent="0.25">
      <c r="B322" s="1">
        <v>46181</v>
      </c>
      <c r="C322" s="325">
        <v>92434.74</v>
      </c>
      <c r="D322" s="325">
        <v>42565.26</v>
      </c>
      <c r="E322" s="325">
        <v>33436.879999999997</v>
      </c>
      <c r="F322" s="325">
        <v>854181.88</v>
      </c>
      <c r="H322" s="325">
        <f>Clasificados[[#This Row],[Saldo Total]]-Clasificados[[#This Row],[Jaime]]-Clasificados[[#This Row],[Argentina]]-Clasificados[[#This Row],[Cristian]]+Clasificados[[#This Row],[Importación]]</f>
        <v>685745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8"/>
  <dimension ref="A1:N46"/>
  <sheetViews>
    <sheetView zoomScale="78" zoomScaleNormal="78" workbookViewId="0">
      <selection activeCell="M45" sqref="M45"/>
    </sheetView>
  </sheetViews>
  <sheetFormatPr baseColWidth="10" defaultRowHeight="15" x14ac:dyDescent="0.25"/>
  <cols>
    <col min="3" max="3" width="13" customWidth="1"/>
    <col min="12" max="12" width="15.42578125" bestFit="1" customWidth="1"/>
    <col min="13" max="13" width="16" bestFit="1" customWidth="1"/>
  </cols>
  <sheetData>
    <row r="1" spans="1:14" x14ac:dyDescent="0.25">
      <c r="C1" t="s">
        <v>387</v>
      </c>
    </row>
    <row r="2" spans="1:14" x14ac:dyDescent="0.25">
      <c r="B2" s="1">
        <v>43791</v>
      </c>
      <c r="C2">
        <v>640</v>
      </c>
    </row>
    <row r="3" spans="1:14" x14ac:dyDescent="0.25">
      <c r="B3" s="1">
        <v>43873</v>
      </c>
      <c r="C3">
        <v>639.22</v>
      </c>
    </row>
    <row r="4" spans="1:14" x14ac:dyDescent="0.25">
      <c r="B4" t="s">
        <v>213</v>
      </c>
      <c r="C4">
        <f>SUM(C2:C3)</f>
        <v>1279.22</v>
      </c>
    </row>
    <row r="6" spans="1:14" x14ac:dyDescent="0.25">
      <c r="A6" s="1">
        <v>43942</v>
      </c>
      <c r="B6" t="s">
        <v>388</v>
      </c>
      <c r="C6">
        <v>342.14</v>
      </c>
    </row>
    <row r="7" spans="1:14" x14ac:dyDescent="0.25">
      <c r="A7" s="1">
        <v>43945</v>
      </c>
      <c r="B7" t="s">
        <v>389</v>
      </c>
      <c r="C7">
        <v>342.14</v>
      </c>
    </row>
    <row r="8" spans="1:14" x14ac:dyDescent="0.25">
      <c r="A8" s="1">
        <v>43945</v>
      </c>
      <c r="B8" t="s">
        <v>390</v>
      </c>
      <c r="C8">
        <v>330</v>
      </c>
    </row>
    <row r="9" spans="1:14" x14ac:dyDescent="0.25">
      <c r="A9" s="1">
        <v>43945</v>
      </c>
      <c r="B9" t="s">
        <v>391</v>
      </c>
      <c r="C9">
        <v>271</v>
      </c>
    </row>
    <row r="10" spans="1:14" x14ac:dyDescent="0.25">
      <c r="A10" s="1">
        <v>43945</v>
      </c>
      <c r="B10" t="s">
        <v>392</v>
      </c>
      <c r="C10">
        <v>42</v>
      </c>
    </row>
    <row r="11" spans="1:14" x14ac:dyDescent="0.25">
      <c r="C11">
        <f>SUM(C6:C10)</f>
        <v>1327.28</v>
      </c>
    </row>
    <row r="16" spans="1:14" x14ac:dyDescent="0.25">
      <c r="G16" s="55" t="s">
        <v>393</v>
      </c>
      <c r="H16" s="55" t="s">
        <v>394</v>
      </c>
      <c r="I16" s="55">
        <v>7</v>
      </c>
      <c r="J16" s="48">
        <v>330</v>
      </c>
      <c r="K16" s="48">
        <f>I16*J16</f>
        <v>2310</v>
      </c>
      <c r="M16" t="s">
        <v>395</v>
      </c>
      <c r="N16" t="s">
        <v>396</v>
      </c>
    </row>
    <row r="17" spans="2:14" x14ac:dyDescent="0.25">
      <c r="G17" s="55" t="s">
        <v>393</v>
      </c>
      <c r="H17" s="55" t="s">
        <v>397</v>
      </c>
      <c r="I17" s="55">
        <v>4</v>
      </c>
      <c r="J17" s="48">
        <v>770</v>
      </c>
      <c r="K17" s="48">
        <f>I17*J17</f>
        <v>3080</v>
      </c>
      <c r="M17" t="s">
        <v>398</v>
      </c>
      <c r="N17" t="s">
        <v>399</v>
      </c>
    </row>
    <row r="18" spans="2:14" x14ac:dyDescent="0.25">
      <c r="B18" s="1">
        <v>43950</v>
      </c>
      <c r="C18">
        <v>3500</v>
      </c>
      <c r="G18" s="55" t="s">
        <v>400</v>
      </c>
      <c r="H18" s="55"/>
      <c r="I18" s="55">
        <v>100</v>
      </c>
      <c r="J18" s="48">
        <v>17</v>
      </c>
      <c r="K18" s="48">
        <f>I18*J18</f>
        <v>1700</v>
      </c>
    </row>
    <row r="19" spans="2:14" x14ac:dyDescent="0.25">
      <c r="B19" s="1">
        <v>44039</v>
      </c>
      <c r="C19">
        <v>3590.84</v>
      </c>
      <c r="K19" s="127">
        <f>SUM(K16:K18)</f>
        <v>7090</v>
      </c>
    </row>
    <row r="20" spans="2:14" x14ac:dyDescent="0.25">
      <c r="C20">
        <f>SUM(C18:C19)</f>
        <v>7090.84</v>
      </c>
    </row>
    <row r="21" spans="2:14" x14ac:dyDescent="0.25">
      <c r="H21" s="485" t="s">
        <v>401</v>
      </c>
      <c r="I21" s="486"/>
      <c r="J21" s="486"/>
      <c r="K21" s="487"/>
      <c r="L21" s="126" t="s">
        <v>402</v>
      </c>
      <c r="M21" s="126" t="s">
        <v>403</v>
      </c>
    </row>
    <row r="22" spans="2:14" x14ac:dyDescent="0.25">
      <c r="B22">
        <v>6</v>
      </c>
      <c r="C22" t="s">
        <v>404</v>
      </c>
      <c r="D22">
        <v>120</v>
      </c>
      <c r="H22" s="4" t="s">
        <v>400</v>
      </c>
      <c r="I22" s="34">
        <v>3</v>
      </c>
      <c r="J22" s="128">
        <v>12</v>
      </c>
      <c r="K22" s="34">
        <f t="shared" ref="K22:K43" si="0">I22*J22</f>
        <v>36</v>
      </c>
      <c r="L22" s="34">
        <f>J22*J18</f>
        <v>204</v>
      </c>
      <c r="M22" s="34">
        <f>K22+L22</f>
        <v>240</v>
      </c>
    </row>
    <row r="23" spans="2:14" x14ac:dyDescent="0.25">
      <c r="B23">
        <v>6</v>
      </c>
      <c r="C23" t="s">
        <v>405</v>
      </c>
      <c r="D23">
        <v>120</v>
      </c>
      <c r="H23" s="4" t="s">
        <v>400</v>
      </c>
      <c r="I23" s="34">
        <v>3</v>
      </c>
      <c r="J23" s="4">
        <v>1</v>
      </c>
      <c r="K23" s="34">
        <f t="shared" si="0"/>
        <v>3</v>
      </c>
      <c r="L23" s="34">
        <f>J23*J18</f>
        <v>17</v>
      </c>
      <c r="M23" s="34">
        <f>K23+L23</f>
        <v>20</v>
      </c>
    </row>
    <row r="24" spans="2:14" x14ac:dyDescent="0.25">
      <c r="B24">
        <v>1</v>
      </c>
      <c r="C24" t="s">
        <v>406</v>
      </c>
      <c r="D24">
        <v>20</v>
      </c>
      <c r="H24" s="4" t="s">
        <v>400</v>
      </c>
      <c r="I24" s="34">
        <v>3</v>
      </c>
      <c r="J24" s="4">
        <v>7</v>
      </c>
      <c r="K24" s="34">
        <f t="shared" si="0"/>
        <v>21</v>
      </c>
      <c r="L24" s="34">
        <f>J24*J18</f>
        <v>119</v>
      </c>
      <c r="M24" s="34">
        <f>K24+L24</f>
        <v>140</v>
      </c>
    </row>
    <row r="25" spans="2:14" x14ac:dyDescent="0.25">
      <c r="B25">
        <v>1</v>
      </c>
      <c r="C25" t="s">
        <v>407</v>
      </c>
      <c r="D25">
        <v>20</v>
      </c>
      <c r="G25" s="1">
        <v>44069</v>
      </c>
      <c r="H25" s="4" t="s">
        <v>408</v>
      </c>
      <c r="I25" s="34">
        <v>70</v>
      </c>
      <c r="J25" s="4">
        <v>1</v>
      </c>
      <c r="K25" s="34">
        <f t="shared" si="0"/>
        <v>70</v>
      </c>
      <c r="L25" s="34">
        <v>330</v>
      </c>
      <c r="M25" s="34">
        <v>400</v>
      </c>
    </row>
    <row r="26" spans="2:14" x14ac:dyDescent="0.25">
      <c r="B26">
        <v>1</v>
      </c>
      <c r="C26" t="s">
        <v>409</v>
      </c>
      <c r="D26">
        <v>20</v>
      </c>
      <c r="G26" s="1">
        <v>44069</v>
      </c>
      <c r="H26" s="4" t="s">
        <v>400</v>
      </c>
      <c r="I26" s="34">
        <v>1</v>
      </c>
      <c r="J26" s="4">
        <v>3</v>
      </c>
      <c r="K26" s="34">
        <f t="shared" si="0"/>
        <v>3</v>
      </c>
      <c r="L26" s="34">
        <v>17</v>
      </c>
      <c r="M26" s="34">
        <v>20</v>
      </c>
    </row>
    <row r="27" spans="2:14" x14ac:dyDescent="0.25">
      <c r="B27">
        <v>1</v>
      </c>
      <c r="C27" t="s">
        <v>410</v>
      </c>
      <c r="D27">
        <v>20</v>
      </c>
      <c r="G27" s="1">
        <v>44070</v>
      </c>
      <c r="H27" s="4" t="s">
        <v>400</v>
      </c>
      <c r="I27" s="34">
        <v>3</v>
      </c>
      <c r="J27" s="4">
        <v>3</v>
      </c>
      <c r="K27" s="34">
        <f t="shared" si="0"/>
        <v>9</v>
      </c>
      <c r="L27" s="34">
        <f>17*3</f>
        <v>51</v>
      </c>
      <c r="M27" s="34">
        <v>60</v>
      </c>
    </row>
    <row r="28" spans="2:14" x14ac:dyDescent="0.25">
      <c r="B28">
        <v>1</v>
      </c>
      <c r="C28" t="s">
        <v>411</v>
      </c>
      <c r="D28">
        <v>20</v>
      </c>
      <c r="G28" s="1">
        <v>44074</v>
      </c>
      <c r="H28" s="4" t="s">
        <v>400</v>
      </c>
      <c r="I28" s="34">
        <v>3</v>
      </c>
      <c r="J28" s="4">
        <v>1</v>
      </c>
      <c r="K28" s="34">
        <f t="shared" si="0"/>
        <v>3</v>
      </c>
      <c r="L28" s="34">
        <v>17</v>
      </c>
      <c r="M28" s="34">
        <v>20</v>
      </c>
    </row>
    <row r="29" spans="2:14" x14ac:dyDescent="0.25">
      <c r="G29" s="1">
        <v>44076</v>
      </c>
      <c r="H29" s="4" t="s">
        <v>400</v>
      </c>
      <c r="I29" s="34">
        <v>2.4</v>
      </c>
      <c r="J29" s="4">
        <v>5</v>
      </c>
      <c r="K29" s="34">
        <f t="shared" si="0"/>
        <v>12</v>
      </c>
      <c r="L29" s="34">
        <f>5*17</f>
        <v>85</v>
      </c>
      <c r="M29" s="34">
        <v>100</v>
      </c>
    </row>
    <row r="30" spans="2:14" x14ac:dyDescent="0.25">
      <c r="G30" s="1">
        <v>44195</v>
      </c>
      <c r="H30" s="4" t="s">
        <v>400</v>
      </c>
      <c r="I30" s="34">
        <v>3</v>
      </c>
      <c r="J30" s="4">
        <v>1</v>
      </c>
      <c r="K30" s="34">
        <f t="shared" si="0"/>
        <v>3</v>
      </c>
      <c r="L30" s="34">
        <f>J30*17</f>
        <v>17</v>
      </c>
      <c r="M30" s="34">
        <v>20</v>
      </c>
    </row>
    <row r="31" spans="2:14" x14ac:dyDescent="0.25">
      <c r="G31" s="1">
        <v>44207</v>
      </c>
      <c r="H31" s="4" t="s">
        <v>400</v>
      </c>
      <c r="I31" s="34">
        <v>3</v>
      </c>
      <c r="J31" s="4">
        <v>5</v>
      </c>
      <c r="K31" s="34">
        <f t="shared" si="0"/>
        <v>15</v>
      </c>
      <c r="L31" s="34">
        <f>J31*17</f>
        <v>85</v>
      </c>
      <c r="M31" s="34">
        <v>100</v>
      </c>
    </row>
    <row r="32" spans="2:14" x14ac:dyDescent="0.25">
      <c r="G32" s="1">
        <v>44211</v>
      </c>
      <c r="H32" s="4" t="s">
        <v>400</v>
      </c>
      <c r="I32" s="34">
        <v>3</v>
      </c>
      <c r="J32" s="4">
        <v>1</v>
      </c>
      <c r="K32" s="34">
        <f t="shared" si="0"/>
        <v>3</v>
      </c>
      <c r="L32" s="34">
        <f>J32*17</f>
        <v>17</v>
      </c>
      <c r="M32" s="34">
        <v>20</v>
      </c>
    </row>
    <row r="33" spans="7:13" x14ac:dyDescent="0.25">
      <c r="G33" s="1">
        <v>44247</v>
      </c>
      <c r="H33" s="4" t="s">
        <v>400</v>
      </c>
      <c r="I33" s="34">
        <v>3</v>
      </c>
      <c r="J33" s="4">
        <v>3</v>
      </c>
      <c r="K33" s="34">
        <f t="shared" si="0"/>
        <v>9</v>
      </c>
      <c r="L33" s="34">
        <f>17*3</f>
        <v>51</v>
      </c>
      <c r="M33" s="34">
        <v>60</v>
      </c>
    </row>
    <row r="34" spans="7:13" x14ac:dyDescent="0.25">
      <c r="G34" s="1">
        <v>44287</v>
      </c>
      <c r="H34" s="4" t="s">
        <v>400</v>
      </c>
      <c r="I34" s="34">
        <v>3</v>
      </c>
      <c r="J34" s="4">
        <v>1</v>
      </c>
      <c r="K34" s="34">
        <f t="shared" si="0"/>
        <v>3</v>
      </c>
      <c r="L34" s="34">
        <f>17*1</f>
        <v>17</v>
      </c>
      <c r="M34" s="34">
        <v>20</v>
      </c>
    </row>
    <row r="35" spans="7:13" x14ac:dyDescent="0.25">
      <c r="G35" s="1">
        <v>44304</v>
      </c>
      <c r="H35" s="4" t="s">
        <v>400</v>
      </c>
      <c r="I35" s="34">
        <v>3</v>
      </c>
      <c r="J35" s="4">
        <v>1</v>
      </c>
      <c r="K35" s="34">
        <f t="shared" si="0"/>
        <v>3</v>
      </c>
      <c r="L35" s="34">
        <f>17*1</f>
        <v>17</v>
      </c>
      <c r="M35" s="34">
        <v>20</v>
      </c>
    </row>
    <row r="36" spans="7:13" x14ac:dyDescent="0.25">
      <c r="G36" s="1">
        <v>44373</v>
      </c>
      <c r="H36" s="4" t="s">
        <v>400</v>
      </c>
      <c r="I36" s="34">
        <v>3</v>
      </c>
      <c r="J36" s="4">
        <v>1</v>
      </c>
      <c r="K36" s="34">
        <f t="shared" si="0"/>
        <v>3</v>
      </c>
      <c r="L36" s="34">
        <v>17</v>
      </c>
      <c r="M36" s="34">
        <v>20</v>
      </c>
    </row>
    <row r="37" spans="7:13" x14ac:dyDescent="0.25">
      <c r="G37" s="1">
        <v>44462</v>
      </c>
      <c r="H37" s="4" t="s">
        <v>400</v>
      </c>
      <c r="I37" s="34">
        <v>3</v>
      </c>
      <c r="J37" s="4">
        <v>1</v>
      </c>
      <c r="K37" s="34">
        <f t="shared" si="0"/>
        <v>3</v>
      </c>
      <c r="L37" s="34">
        <v>17</v>
      </c>
      <c r="M37" s="34">
        <v>20</v>
      </c>
    </row>
    <row r="38" spans="7:13" x14ac:dyDescent="0.25">
      <c r="G38" s="1">
        <v>44492</v>
      </c>
      <c r="H38" s="4" t="s">
        <v>400</v>
      </c>
      <c r="I38" s="34">
        <v>3</v>
      </c>
      <c r="J38" s="4">
        <v>1</v>
      </c>
      <c r="K38" s="34">
        <f t="shared" si="0"/>
        <v>3</v>
      </c>
      <c r="L38" s="34">
        <v>17</v>
      </c>
      <c r="M38" s="34">
        <v>20</v>
      </c>
    </row>
    <row r="39" spans="7:13" x14ac:dyDescent="0.25">
      <c r="G39" s="1">
        <v>44579</v>
      </c>
      <c r="H39" s="4" t="s">
        <v>400</v>
      </c>
      <c r="I39" s="34">
        <v>3</v>
      </c>
      <c r="J39" s="4">
        <v>1</v>
      </c>
      <c r="K39" s="34">
        <f t="shared" si="0"/>
        <v>3</v>
      </c>
      <c r="L39" s="34">
        <v>17</v>
      </c>
      <c r="M39" s="34">
        <v>20</v>
      </c>
    </row>
    <row r="40" spans="7:13" x14ac:dyDescent="0.25">
      <c r="G40" s="1">
        <v>44648</v>
      </c>
      <c r="H40" s="4" t="s">
        <v>400</v>
      </c>
      <c r="I40" s="34">
        <v>3</v>
      </c>
      <c r="J40" s="4">
        <v>2</v>
      </c>
      <c r="K40" s="34">
        <f t="shared" si="0"/>
        <v>6</v>
      </c>
      <c r="L40" s="34">
        <v>34</v>
      </c>
      <c r="M40" s="34">
        <v>40</v>
      </c>
    </row>
    <row r="41" spans="7:13" x14ac:dyDescent="0.25">
      <c r="G41" s="1">
        <v>44666</v>
      </c>
      <c r="H41" s="4" t="s">
        <v>400</v>
      </c>
      <c r="I41" s="34">
        <v>3</v>
      </c>
      <c r="J41" s="4">
        <v>1</v>
      </c>
      <c r="K41" s="34">
        <f t="shared" si="0"/>
        <v>3</v>
      </c>
      <c r="L41" s="34">
        <v>17</v>
      </c>
      <c r="M41" s="34">
        <v>20</v>
      </c>
    </row>
    <row r="42" spans="7:13" x14ac:dyDescent="0.25">
      <c r="G42" s="1">
        <v>44849</v>
      </c>
      <c r="H42" s="4" t="s">
        <v>400</v>
      </c>
      <c r="I42" s="34">
        <v>3</v>
      </c>
      <c r="J42" s="4">
        <v>2</v>
      </c>
      <c r="K42" s="34">
        <f t="shared" si="0"/>
        <v>6</v>
      </c>
      <c r="L42" s="34">
        <v>34</v>
      </c>
      <c r="M42" s="34">
        <v>40</v>
      </c>
    </row>
    <row r="43" spans="7:13" x14ac:dyDescent="0.25">
      <c r="G43" s="1" t="s">
        <v>412</v>
      </c>
      <c r="H43" s="4" t="s">
        <v>400</v>
      </c>
      <c r="I43" s="34">
        <v>3</v>
      </c>
      <c r="J43" s="4">
        <v>2</v>
      </c>
      <c r="K43" s="34">
        <f t="shared" si="0"/>
        <v>6</v>
      </c>
      <c r="L43" s="34">
        <v>34</v>
      </c>
      <c r="M43" s="34">
        <v>40</v>
      </c>
    </row>
    <row r="44" spans="7:13" x14ac:dyDescent="0.25">
      <c r="H44" s="4"/>
      <c r="I44" s="34"/>
      <c r="J44" s="4"/>
      <c r="K44" s="34"/>
      <c r="L44" s="4"/>
      <c r="M44" s="4"/>
    </row>
    <row r="45" spans="7:13" x14ac:dyDescent="0.25">
      <c r="H45" s="4"/>
      <c r="I45" s="34"/>
      <c r="J45" s="4"/>
      <c r="K45" s="34"/>
      <c r="L45" s="4"/>
      <c r="M45" s="4"/>
    </row>
    <row r="46" spans="7:13" x14ac:dyDescent="0.25">
      <c r="J46" s="33" t="s">
        <v>413</v>
      </c>
      <c r="K46" s="52">
        <f>SUM(K22:K45)</f>
        <v>226</v>
      </c>
      <c r="L46" s="52">
        <f>SUM(L22:L45)</f>
        <v>1231</v>
      </c>
      <c r="M46" s="52">
        <f>SUM(M22:M45)</f>
        <v>1460</v>
      </c>
    </row>
  </sheetData>
  <mergeCells count="1">
    <mergeCell ref="H21:K2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9"/>
  <dimension ref="B2:C85"/>
  <sheetViews>
    <sheetView topLeftCell="A52" workbookViewId="0">
      <selection activeCell="B82" sqref="B82:B85"/>
    </sheetView>
  </sheetViews>
  <sheetFormatPr baseColWidth="10" defaultRowHeight="15" x14ac:dyDescent="0.25"/>
  <cols>
    <col min="3" max="3" width="20.28515625" customWidth="1"/>
  </cols>
  <sheetData>
    <row r="2" spans="2:3" x14ac:dyDescent="0.25">
      <c r="B2" s="7" t="s">
        <v>414</v>
      </c>
      <c r="C2" s="8" t="s">
        <v>415</v>
      </c>
    </row>
    <row r="3" spans="2:3" x14ac:dyDescent="0.25">
      <c r="B3" s="9">
        <v>41275</v>
      </c>
      <c r="C3" s="10">
        <v>4.0999999999999996</v>
      </c>
    </row>
    <row r="4" spans="2:3" x14ac:dyDescent="0.25">
      <c r="B4" s="11">
        <v>41306</v>
      </c>
      <c r="C4" s="10">
        <v>4.3</v>
      </c>
    </row>
    <row r="5" spans="2:3" x14ac:dyDescent="0.25">
      <c r="B5" s="9">
        <v>41334</v>
      </c>
      <c r="C5" s="10">
        <v>4.9000000000000004</v>
      </c>
    </row>
    <row r="6" spans="2:3" x14ac:dyDescent="0.25">
      <c r="B6" s="11">
        <v>41365</v>
      </c>
      <c r="C6" s="10">
        <v>4</v>
      </c>
    </row>
    <row r="7" spans="2:3" x14ac:dyDescent="0.25">
      <c r="B7" s="9">
        <v>41395</v>
      </c>
      <c r="C7" s="10">
        <v>4.0199999999999996</v>
      </c>
    </row>
    <row r="8" spans="2:3" x14ac:dyDescent="0.25">
      <c r="B8" s="11">
        <v>41426</v>
      </c>
      <c r="C8" s="10">
        <v>4.03</v>
      </c>
    </row>
    <row r="9" spans="2:3" x14ac:dyDescent="0.25">
      <c r="B9" s="9">
        <v>41456</v>
      </c>
      <c r="C9" s="10">
        <v>4.05</v>
      </c>
    </row>
    <row r="10" spans="2:3" x14ac:dyDescent="0.25">
      <c r="B10" s="11">
        <v>41487</v>
      </c>
      <c r="C10" s="10">
        <v>4.1100000000000003</v>
      </c>
    </row>
    <row r="11" spans="2:3" x14ac:dyDescent="0.25">
      <c r="B11" s="9">
        <v>41518</v>
      </c>
      <c r="C11" s="10">
        <v>4.0999999999999996</v>
      </c>
    </row>
    <row r="12" spans="2:3" x14ac:dyDescent="0.25">
      <c r="B12" s="11">
        <v>41548</v>
      </c>
      <c r="C12" s="10">
        <v>4.1100000000000003</v>
      </c>
    </row>
    <row r="13" spans="2:3" x14ac:dyDescent="0.25">
      <c r="B13" s="9">
        <v>41579</v>
      </c>
      <c r="C13" s="10">
        <v>4.29</v>
      </c>
    </row>
    <row r="14" spans="2:3" x14ac:dyDescent="0.25">
      <c r="B14" s="11">
        <v>41609</v>
      </c>
      <c r="C14" s="10">
        <v>4.5999999999999996</v>
      </c>
    </row>
    <row r="15" spans="2:3" x14ac:dyDescent="0.25">
      <c r="B15" s="9">
        <v>41640</v>
      </c>
      <c r="C15" s="10">
        <v>4.7</v>
      </c>
    </row>
    <row r="16" spans="2:3" x14ac:dyDescent="0.25">
      <c r="B16" s="11">
        <v>41671</v>
      </c>
      <c r="C16" s="10">
        <v>4.72</v>
      </c>
    </row>
    <row r="17" spans="2:3" x14ac:dyDescent="0.25">
      <c r="B17" s="9">
        <v>41699</v>
      </c>
      <c r="C17" s="10">
        <v>4.04</v>
      </c>
    </row>
    <row r="18" spans="2:3" x14ac:dyDescent="0.25">
      <c r="B18" s="11">
        <v>41730</v>
      </c>
      <c r="C18" s="10">
        <v>4</v>
      </c>
    </row>
    <row r="19" spans="2:3" x14ac:dyDescent="0.25">
      <c r="B19" s="9">
        <v>41760</v>
      </c>
      <c r="C19" s="10">
        <v>3.98</v>
      </c>
    </row>
    <row r="20" spans="2:3" x14ac:dyDescent="0.25">
      <c r="B20" s="11">
        <v>41791</v>
      </c>
      <c r="C20" s="10">
        <v>4</v>
      </c>
    </row>
    <row r="21" spans="2:3" x14ac:dyDescent="0.25">
      <c r="B21" s="9">
        <v>41821</v>
      </c>
      <c r="C21" s="10">
        <v>4.09</v>
      </c>
    </row>
    <row r="22" spans="2:3" x14ac:dyDescent="0.25">
      <c r="B22" s="11">
        <v>41852</v>
      </c>
      <c r="C22" s="10">
        <v>4.1500000000000004</v>
      </c>
    </row>
    <row r="23" spans="2:3" x14ac:dyDescent="0.25">
      <c r="B23" s="9">
        <v>41883</v>
      </c>
      <c r="C23" s="10">
        <v>4.1500000000000004</v>
      </c>
    </row>
    <row r="24" spans="2:3" x14ac:dyDescent="0.25">
      <c r="B24" s="11">
        <v>41913</v>
      </c>
      <c r="C24" s="10">
        <v>4.1500000000000004</v>
      </c>
    </row>
    <row r="25" spans="2:3" x14ac:dyDescent="0.25">
      <c r="B25" s="9">
        <v>41944</v>
      </c>
      <c r="C25" s="10">
        <v>4.1900000000000004</v>
      </c>
    </row>
    <row r="26" spans="2:3" x14ac:dyDescent="0.25">
      <c r="B26" s="11">
        <v>41974</v>
      </c>
      <c r="C26" s="10">
        <v>4.1900000000000004</v>
      </c>
    </row>
    <row r="27" spans="2:3" x14ac:dyDescent="0.25">
      <c r="B27" s="9">
        <v>42005</v>
      </c>
      <c r="C27" s="10">
        <v>4.1100000000000003</v>
      </c>
    </row>
    <row r="28" spans="2:3" x14ac:dyDescent="0.25">
      <c r="B28" s="11">
        <v>42036</v>
      </c>
      <c r="C28" s="10">
        <v>4.0999999999999996</v>
      </c>
    </row>
    <row r="29" spans="2:3" x14ac:dyDescent="0.25">
      <c r="B29" s="9">
        <v>42064</v>
      </c>
      <c r="C29" s="10">
        <v>4.78</v>
      </c>
    </row>
    <row r="30" spans="2:3" x14ac:dyDescent="0.25">
      <c r="B30" s="11">
        <v>42095</v>
      </c>
      <c r="C30" s="10">
        <v>3.3</v>
      </c>
    </row>
    <row r="31" spans="2:3" x14ac:dyDescent="0.25">
      <c r="B31" s="9">
        <v>42125</v>
      </c>
      <c r="C31" s="10">
        <v>3.1</v>
      </c>
    </row>
    <row r="32" spans="2:3" x14ac:dyDescent="0.25">
      <c r="B32" s="11">
        <v>42156</v>
      </c>
      <c r="C32" s="10">
        <v>3</v>
      </c>
    </row>
    <row r="33" spans="2:3" x14ac:dyDescent="0.25">
      <c r="B33" s="9">
        <v>42186</v>
      </c>
      <c r="C33" s="10">
        <v>2.95</v>
      </c>
    </row>
    <row r="34" spans="2:3" x14ac:dyDescent="0.25">
      <c r="B34" s="11">
        <v>42217</v>
      </c>
      <c r="C34" s="10">
        <v>2.68</v>
      </c>
    </row>
    <row r="35" spans="2:3" x14ac:dyDescent="0.25">
      <c r="B35" s="9">
        <v>42248</v>
      </c>
      <c r="C35" s="10">
        <v>2.1</v>
      </c>
    </row>
    <row r="36" spans="2:3" x14ac:dyDescent="0.25">
      <c r="B36" s="11">
        <v>42278</v>
      </c>
      <c r="C36" s="10">
        <v>2.37</v>
      </c>
    </row>
    <row r="37" spans="2:3" x14ac:dyDescent="0.25">
      <c r="B37" s="9">
        <v>42309</v>
      </c>
      <c r="C37" s="10">
        <v>2.39</v>
      </c>
    </row>
    <row r="38" spans="2:3" x14ac:dyDescent="0.25">
      <c r="B38" s="11">
        <v>42339</v>
      </c>
      <c r="C38" s="10">
        <v>2.2999999999999998</v>
      </c>
    </row>
    <row r="39" spans="2:3" x14ac:dyDescent="0.25">
      <c r="B39" s="9">
        <v>42370</v>
      </c>
      <c r="C39" s="12">
        <v>2.1</v>
      </c>
    </row>
    <row r="40" spans="2:3" x14ac:dyDescent="0.25">
      <c r="B40" s="11">
        <v>42401</v>
      </c>
      <c r="C40" s="13">
        <v>2.0699999999999998</v>
      </c>
    </row>
    <row r="41" spans="2:3" x14ac:dyDescent="0.25">
      <c r="B41" s="9">
        <v>42430</v>
      </c>
      <c r="C41" s="12">
        <v>1.97</v>
      </c>
    </row>
    <row r="42" spans="2:3" x14ac:dyDescent="0.25">
      <c r="B42" s="11">
        <v>42461</v>
      </c>
      <c r="C42" s="13">
        <v>1.98</v>
      </c>
    </row>
    <row r="43" spans="2:3" x14ac:dyDescent="0.25">
      <c r="B43" s="9">
        <v>42491</v>
      </c>
      <c r="C43" s="12">
        <v>1.87</v>
      </c>
    </row>
    <row r="44" spans="2:3" x14ac:dyDescent="0.25">
      <c r="B44" s="11">
        <v>42522</v>
      </c>
      <c r="C44" s="13">
        <v>1.71</v>
      </c>
    </row>
    <row r="45" spans="2:3" x14ac:dyDescent="0.25">
      <c r="B45" s="9">
        <v>42552</v>
      </c>
      <c r="C45" s="12">
        <v>1.59</v>
      </c>
    </row>
    <row r="46" spans="2:3" x14ac:dyDescent="0.25">
      <c r="B46" s="11">
        <v>42583</v>
      </c>
      <c r="C46" s="13">
        <v>1.73</v>
      </c>
    </row>
    <row r="47" spans="2:3" x14ac:dyDescent="0.25">
      <c r="B47" s="9">
        <v>42614</v>
      </c>
      <c r="C47" s="12">
        <v>1.76</v>
      </c>
    </row>
    <row r="48" spans="2:3" x14ac:dyDescent="0.25">
      <c r="B48" s="11">
        <v>42644</v>
      </c>
      <c r="C48" s="13">
        <v>1.77</v>
      </c>
    </row>
    <row r="49" spans="2:3" x14ac:dyDescent="0.25">
      <c r="B49" s="9">
        <v>42675</v>
      </c>
      <c r="C49" s="12">
        <v>1.79</v>
      </c>
    </row>
    <row r="50" spans="2:3" x14ac:dyDescent="0.25">
      <c r="B50" s="11">
        <v>42705</v>
      </c>
      <c r="C50" s="13">
        <v>1.8</v>
      </c>
    </row>
    <row r="51" spans="2:3" x14ac:dyDescent="0.25">
      <c r="B51" s="9">
        <v>42736</v>
      </c>
      <c r="C51" s="10">
        <v>2.17</v>
      </c>
    </row>
    <row r="52" spans="2:3" x14ac:dyDescent="0.25">
      <c r="B52" s="11">
        <v>42767</v>
      </c>
      <c r="C52" s="10">
        <v>2.12</v>
      </c>
    </row>
    <row r="53" spans="2:3" x14ac:dyDescent="0.25">
      <c r="B53" s="9">
        <v>42795</v>
      </c>
      <c r="C53" s="10">
        <v>1.95</v>
      </c>
    </row>
    <row r="54" spans="2:3" x14ac:dyDescent="0.25">
      <c r="B54" s="11">
        <v>42826</v>
      </c>
      <c r="C54" s="10">
        <v>1.7</v>
      </c>
    </row>
    <row r="55" spans="2:3" x14ac:dyDescent="0.25">
      <c r="B55" s="9">
        <v>42856</v>
      </c>
      <c r="C55" s="10">
        <v>1.59</v>
      </c>
    </row>
    <row r="56" spans="2:3" x14ac:dyDescent="0.25">
      <c r="B56" s="11">
        <v>42887</v>
      </c>
      <c r="C56" s="10">
        <v>1.9</v>
      </c>
    </row>
    <row r="57" spans="2:3" x14ac:dyDescent="0.25">
      <c r="B57" s="9">
        <v>42917</v>
      </c>
      <c r="C57" s="10">
        <v>1.86</v>
      </c>
    </row>
    <row r="58" spans="2:3" x14ac:dyDescent="0.25">
      <c r="B58" s="11">
        <v>42948</v>
      </c>
      <c r="C58" s="10">
        <v>1.79</v>
      </c>
    </row>
    <row r="59" spans="2:3" x14ac:dyDescent="0.25">
      <c r="B59" s="9">
        <v>42979</v>
      </c>
      <c r="C59" s="10">
        <v>1.82</v>
      </c>
    </row>
    <row r="60" spans="2:3" x14ac:dyDescent="0.25">
      <c r="B60" s="11">
        <v>43009</v>
      </c>
      <c r="C60" s="10">
        <v>1.88</v>
      </c>
    </row>
    <row r="61" spans="2:3" x14ac:dyDescent="0.25">
      <c r="B61" s="9">
        <v>43040</v>
      </c>
      <c r="C61" s="10">
        <v>1.89</v>
      </c>
    </row>
    <row r="62" spans="2:3" x14ac:dyDescent="0.25">
      <c r="B62" s="11">
        <v>43070</v>
      </c>
      <c r="C62" s="10">
        <v>1.95</v>
      </c>
    </row>
    <row r="63" spans="2:3" x14ac:dyDescent="0.25">
      <c r="B63" s="9">
        <v>43101</v>
      </c>
      <c r="C63" s="10">
        <v>2.17</v>
      </c>
    </row>
    <row r="64" spans="2:3" x14ac:dyDescent="0.25">
      <c r="B64" s="11">
        <v>43132</v>
      </c>
      <c r="C64" s="10">
        <v>2.2000000000000002</v>
      </c>
    </row>
    <row r="65" spans="2:3" x14ac:dyDescent="0.25">
      <c r="B65" s="9">
        <v>43160</v>
      </c>
      <c r="C65" s="10">
        <v>2.19</v>
      </c>
    </row>
    <row r="66" spans="2:3" x14ac:dyDescent="0.25">
      <c r="B66" s="11">
        <v>43191</v>
      </c>
      <c r="C66" s="10">
        <v>1.98</v>
      </c>
    </row>
    <row r="67" spans="2:3" x14ac:dyDescent="0.25">
      <c r="B67" s="9">
        <v>43221</v>
      </c>
      <c r="C67" s="10">
        <v>2.31</v>
      </c>
    </row>
    <row r="68" spans="2:3" x14ac:dyDescent="0.25">
      <c r="B68" s="11">
        <v>43252</v>
      </c>
      <c r="C68" s="10">
        <v>1.9</v>
      </c>
    </row>
    <row r="69" spans="2:3" x14ac:dyDescent="0.25">
      <c r="B69" s="9">
        <v>43282</v>
      </c>
      <c r="C69" s="10">
        <v>2.39</v>
      </c>
    </row>
    <row r="70" spans="2:3" x14ac:dyDescent="0.25">
      <c r="B70" s="11">
        <v>43313</v>
      </c>
      <c r="C70" s="10">
        <v>2.5</v>
      </c>
    </row>
    <row r="71" spans="2:3" x14ac:dyDescent="0.25">
      <c r="B71" s="9">
        <v>43344</v>
      </c>
      <c r="C71" s="10">
        <v>2.4900000000000002</v>
      </c>
    </row>
    <row r="72" spans="2:3" x14ac:dyDescent="0.25">
      <c r="B72" s="11">
        <v>43374</v>
      </c>
      <c r="C72" s="10">
        <v>2.44</v>
      </c>
    </row>
    <row r="73" spans="2:3" x14ac:dyDescent="0.25">
      <c r="B73" s="9">
        <v>43405</v>
      </c>
      <c r="C73" s="10">
        <v>2.44</v>
      </c>
    </row>
    <row r="74" spans="2:3" x14ac:dyDescent="0.25">
      <c r="B74" s="11">
        <v>43435</v>
      </c>
      <c r="C74" s="10">
        <v>2.44</v>
      </c>
    </row>
    <row r="75" spans="2:3" x14ac:dyDescent="0.25">
      <c r="B75" s="9">
        <v>43466</v>
      </c>
      <c r="C75" s="10">
        <v>2.64</v>
      </c>
    </row>
    <row r="76" spans="2:3" x14ac:dyDescent="0.25">
      <c r="B76" s="11">
        <v>43497</v>
      </c>
      <c r="C76" s="10">
        <v>2.65</v>
      </c>
    </row>
    <row r="77" spans="2:3" x14ac:dyDescent="0.25">
      <c r="B77" s="9">
        <v>43525</v>
      </c>
      <c r="C77" s="10">
        <v>2.59</v>
      </c>
    </row>
    <row r="78" spans="2:3" x14ac:dyDescent="0.25">
      <c r="B78" s="11">
        <v>43556</v>
      </c>
      <c r="C78" s="10">
        <v>2.4500000000000002</v>
      </c>
    </row>
    <row r="79" spans="2:3" x14ac:dyDescent="0.25">
      <c r="B79" s="9">
        <v>43586</v>
      </c>
      <c r="C79" s="10">
        <v>2.5499999999999998</v>
      </c>
    </row>
    <row r="80" spans="2:3" x14ac:dyDescent="0.25">
      <c r="B80" s="11">
        <v>43617</v>
      </c>
      <c r="C80" s="10">
        <v>2.4900000000000002</v>
      </c>
    </row>
    <row r="81" spans="2:3" x14ac:dyDescent="0.25">
      <c r="B81" s="9">
        <v>43647</v>
      </c>
      <c r="C81" s="10">
        <v>2.48</v>
      </c>
    </row>
    <row r="82" spans="2:3" x14ac:dyDescent="0.25">
      <c r="B82" s="11">
        <v>43678</v>
      </c>
      <c r="C82" s="10">
        <v>2.4500000000000002</v>
      </c>
    </row>
    <row r="83" spans="2:3" x14ac:dyDescent="0.25">
      <c r="B83" s="9">
        <v>43709</v>
      </c>
      <c r="C83" s="10">
        <v>2.48</v>
      </c>
    </row>
    <row r="84" spans="2:3" x14ac:dyDescent="0.25">
      <c r="B84" s="11">
        <v>43739</v>
      </c>
      <c r="C84" s="112">
        <v>2.4500000000000002</v>
      </c>
    </row>
    <row r="85" spans="2:3" x14ac:dyDescent="0.25">
      <c r="B85" s="9">
        <v>43770</v>
      </c>
      <c r="C85" s="112">
        <v>2.38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0"/>
  <dimension ref="A3:L263"/>
  <sheetViews>
    <sheetView topLeftCell="A207" workbookViewId="0">
      <selection activeCell="B249" sqref="B249"/>
    </sheetView>
  </sheetViews>
  <sheetFormatPr baseColWidth="10" defaultRowHeight="15" x14ac:dyDescent="0.25"/>
  <cols>
    <col min="1" max="1" width="40.85546875" bestFit="1" customWidth="1"/>
    <col min="3" max="3" width="30.28515625" style="3" bestFit="1" customWidth="1"/>
    <col min="4" max="4" width="32" customWidth="1"/>
    <col min="6" max="6" width="33.140625" customWidth="1"/>
    <col min="7" max="7" width="43.85546875" customWidth="1"/>
    <col min="8" max="8" width="41.85546875" customWidth="1"/>
    <col min="9" max="9" width="17.140625" customWidth="1"/>
    <col min="10" max="10" width="18.140625" customWidth="1"/>
    <col min="11" max="11" width="15.42578125" bestFit="1" customWidth="1"/>
    <col min="12" max="12" width="14.7109375" customWidth="1"/>
    <col min="13" max="13" width="52.5703125" customWidth="1"/>
    <col min="19" max="19" width="21.28515625" customWidth="1"/>
    <col min="21" max="21" width="54.7109375" customWidth="1"/>
  </cols>
  <sheetData>
    <row r="3" spans="1:4" x14ac:dyDescent="0.25">
      <c r="A3" s="115" t="s">
        <v>416</v>
      </c>
      <c r="B3" s="32">
        <v>2018</v>
      </c>
      <c r="C3" s="114">
        <f>C6-C5-C4</f>
        <v>399831.48</v>
      </c>
      <c r="D3" t="s">
        <v>417</v>
      </c>
    </row>
    <row r="4" spans="1:4" x14ac:dyDescent="0.25">
      <c r="A4" t="s">
        <v>418</v>
      </c>
      <c r="C4" s="3">
        <v>40333.31</v>
      </c>
    </row>
    <row r="5" spans="1:4" x14ac:dyDescent="0.25">
      <c r="A5" t="s">
        <v>419</v>
      </c>
      <c r="C5" s="3">
        <f>2300*5</f>
        <v>11500</v>
      </c>
    </row>
    <row r="6" spans="1:4" x14ac:dyDescent="0.25">
      <c r="A6" s="32" t="s">
        <v>420</v>
      </c>
      <c r="B6" s="32">
        <v>2019</v>
      </c>
      <c r="C6" s="114">
        <v>451664.79</v>
      </c>
      <c r="D6" s="32" t="s">
        <v>421</v>
      </c>
    </row>
    <row r="7" spans="1:4" x14ac:dyDescent="0.25">
      <c r="A7" s="15" t="s">
        <v>422</v>
      </c>
      <c r="B7" s="15"/>
      <c r="C7" s="116">
        <v>35000</v>
      </c>
    </row>
    <row r="8" spans="1:4" x14ac:dyDescent="0.25">
      <c r="A8" s="15" t="s">
        <v>423</v>
      </c>
      <c r="B8" s="15"/>
      <c r="C8" s="116">
        <v>60347.839999999997</v>
      </c>
    </row>
    <row r="9" spans="1:4" x14ac:dyDescent="0.25">
      <c r="A9" s="15" t="s">
        <v>424</v>
      </c>
      <c r="B9" s="15"/>
      <c r="C9" s="116">
        <v>19652.16</v>
      </c>
    </row>
    <row r="10" spans="1:4" x14ac:dyDescent="0.25">
      <c r="A10" s="15" t="s">
        <v>425</v>
      </c>
      <c r="B10" s="15"/>
      <c r="C10" s="116">
        <v>-6500</v>
      </c>
    </row>
    <row r="11" spans="1:4" x14ac:dyDescent="0.25">
      <c r="A11" s="32" t="s">
        <v>416</v>
      </c>
      <c r="B11" s="32">
        <v>2019</v>
      </c>
      <c r="C11" s="114">
        <v>504409.07</v>
      </c>
      <c r="D11" s="32" t="s">
        <v>421</v>
      </c>
    </row>
    <row r="13" spans="1:4" x14ac:dyDescent="0.25">
      <c r="A13" s="15" t="s">
        <v>426</v>
      </c>
      <c r="C13" s="3">
        <f>SUM(C7:C10)</f>
        <v>108500</v>
      </c>
    </row>
    <row r="14" spans="1:4" x14ac:dyDescent="0.25">
      <c r="A14" t="s">
        <v>427</v>
      </c>
      <c r="C14" s="3">
        <v>104577.59</v>
      </c>
      <c r="D14" s="32" t="s">
        <v>421</v>
      </c>
    </row>
    <row r="16" spans="1:4" x14ac:dyDescent="0.25">
      <c r="A16" s="32" t="s">
        <v>428</v>
      </c>
      <c r="B16" s="32">
        <v>2020</v>
      </c>
      <c r="C16" s="114"/>
      <c r="D16" s="32"/>
    </row>
    <row r="18" spans="1:4" x14ac:dyDescent="0.25">
      <c r="A18" s="117" t="s">
        <v>202</v>
      </c>
      <c r="B18" s="118">
        <v>764.46</v>
      </c>
    </row>
    <row r="19" spans="1:4" x14ac:dyDescent="0.25">
      <c r="A19" s="117" t="s">
        <v>204</v>
      </c>
      <c r="B19" s="118" t="e">
        <f>#REF!</f>
        <v>#REF!</v>
      </c>
    </row>
    <row r="20" spans="1:4" x14ac:dyDescent="0.25">
      <c r="A20" s="117" t="s">
        <v>429</v>
      </c>
      <c r="B20" s="118">
        <v>1970.62</v>
      </c>
    </row>
    <row r="21" spans="1:4" x14ac:dyDescent="0.25">
      <c r="A21" s="119" t="s">
        <v>430</v>
      </c>
      <c r="B21" s="118">
        <v>60000</v>
      </c>
    </row>
    <row r="22" spans="1:4" x14ac:dyDescent="0.25">
      <c r="A22" s="119" t="s">
        <v>431</v>
      </c>
      <c r="B22" s="118">
        <v>19094.32</v>
      </c>
    </row>
    <row r="23" spans="1:4" x14ac:dyDescent="0.25">
      <c r="A23" s="119" t="s">
        <v>431</v>
      </c>
      <c r="B23" s="118">
        <v>22204.93</v>
      </c>
    </row>
    <row r="24" spans="1:4" x14ac:dyDescent="0.25">
      <c r="A24" s="119" t="s">
        <v>431</v>
      </c>
      <c r="B24" s="118">
        <v>19061.78</v>
      </c>
    </row>
    <row r="25" spans="1:4" x14ac:dyDescent="0.25">
      <c r="A25" s="119" t="s">
        <v>431</v>
      </c>
      <c r="B25" s="118">
        <v>19029.349999999999</v>
      </c>
    </row>
    <row r="26" spans="1:4" x14ac:dyDescent="0.25">
      <c r="A26" s="119" t="s">
        <v>432</v>
      </c>
      <c r="B26" s="118">
        <v>20575.53</v>
      </c>
      <c r="D26" s="35"/>
    </row>
    <row r="27" spans="1:4" x14ac:dyDescent="0.25">
      <c r="A27" s="119" t="s">
        <v>433</v>
      </c>
      <c r="B27" s="118">
        <v>52000</v>
      </c>
    </row>
    <row r="28" spans="1:4" x14ac:dyDescent="0.25">
      <c r="A28" s="119" t="s">
        <v>434</v>
      </c>
      <c r="B28" s="118">
        <v>3000</v>
      </c>
    </row>
    <row r="29" spans="1:4" x14ac:dyDescent="0.25">
      <c r="A29" s="119" t="s">
        <v>435</v>
      </c>
      <c r="B29" s="118">
        <f>1430*2.46</f>
        <v>3517.7999999999997</v>
      </c>
      <c r="D29" s="35"/>
    </row>
    <row r="30" spans="1:4" x14ac:dyDescent="0.25">
      <c r="A30" s="117" t="s">
        <v>436</v>
      </c>
      <c r="B30" s="118">
        <v>3999</v>
      </c>
    </row>
    <row r="31" spans="1:4" x14ac:dyDescent="0.25">
      <c r="A31" s="117" t="s">
        <v>437</v>
      </c>
      <c r="B31" s="118">
        <v>3790</v>
      </c>
    </row>
    <row r="32" spans="1:4" x14ac:dyDescent="0.25">
      <c r="A32" s="119" t="s">
        <v>438</v>
      </c>
      <c r="B32" s="118">
        <v>178527.47</v>
      </c>
    </row>
    <row r="33" spans="1:2" x14ac:dyDescent="0.25">
      <c r="A33" s="120" t="s">
        <v>413</v>
      </c>
      <c r="B33" s="121" t="e">
        <f>SUM(B18:B32)</f>
        <v>#REF!</v>
      </c>
    </row>
    <row r="34" spans="1:2" x14ac:dyDescent="0.25">
      <c r="B34" s="35"/>
    </row>
    <row r="35" spans="1:2" x14ac:dyDescent="0.25">
      <c r="B35" s="35"/>
    </row>
    <row r="37" spans="1:2" x14ac:dyDescent="0.25">
      <c r="A37" s="32" t="s">
        <v>439</v>
      </c>
      <c r="B37" s="32">
        <v>2020</v>
      </c>
    </row>
    <row r="39" spans="1:2" x14ac:dyDescent="0.25">
      <c r="A39" s="4" t="s">
        <v>202</v>
      </c>
      <c r="B39" s="34">
        <v>117.51</v>
      </c>
    </row>
    <row r="40" spans="1:2" x14ac:dyDescent="0.25">
      <c r="A40" s="4" t="s">
        <v>204</v>
      </c>
      <c r="B40" s="34">
        <v>63.41</v>
      </c>
    </row>
    <row r="41" spans="1:2" x14ac:dyDescent="0.25">
      <c r="A41" s="4" t="s">
        <v>429</v>
      </c>
      <c r="B41" s="34">
        <v>1314.89</v>
      </c>
    </row>
    <row r="42" spans="1:2" x14ac:dyDescent="0.25">
      <c r="A42" s="4" t="s">
        <v>440</v>
      </c>
      <c r="B42" s="34">
        <v>23.17</v>
      </c>
    </row>
    <row r="43" spans="1:2" x14ac:dyDescent="0.25">
      <c r="A43" s="4" t="s">
        <v>441</v>
      </c>
      <c r="B43" s="34">
        <v>120.2</v>
      </c>
    </row>
    <row r="44" spans="1:2" x14ac:dyDescent="0.25">
      <c r="A44" s="122" t="s">
        <v>432</v>
      </c>
      <c r="B44" s="34">
        <v>20575.53</v>
      </c>
    </row>
    <row r="45" spans="1:2" x14ac:dyDescent="0.25">
      <c r="A45" s="122" t="s">
        <v>442</v>
      </c>
      <c r="B45" s="124">
        <v>23738.94</v>
      </c>
    </row>
    <row r="46" spans="1:2" x14ac:dyDescent="0.25">
      <c r="A46" s="122" t="s">
        <v>442</v>
      </c>
      <c r="B46" s="124">
        <v>27509.13</v>
      </c>
    </row>
    <row r="47" spans="1:2" x14ac:dyDescent="0.25">
      <c r="A47" s="122" t="s">
        <v>443</v>
      </c>
      <c r="B47" s="124">
        <v>21009.19</v>
      </c>
    </row>
    <row r="48" spans="1:2" x14ac:dyDescent="0.25">
      <c r="A48" s="122" t="s">
        <v>432</v>
      </c>
      <c r="B48" s="124">
        <v>15229.48</v>
      </c>
    </row>
    <row r="49" spans="1:12" x14ac:dyDescent="0.25">
      <c r="A49" s="122" t="s">
        <v>444</v>
      </c>
      <c r="B49" s="124">
        <v>17004.47</v>
      </c>
    </row>
    <row r="50" spans="1:12" x14ac:dyDescent="0.25">
      <c r="A50" s="122" t="s">
        <v>445</v>
      </c>
      <c r="B50" s="124">
        <v>11068.12</v>
      </c>
    </row>
    <row r="51" spans="1:12" x14ac:dyDescent="0.25">
      <c r="A51" s="122" t="s">
        <v>446</v>
      </c>
      <c r="B51" s="34">
        <v>2979.82</v>
      </c>
    </row>
    <row r="52" spans="1:12" x14ac:dyDescent="0.25">
      <c r="A52" s="122" t="s">
        <v>45</v>
      </c>
      <c r="B52" s="34">
        <v>52021.73</v>
      </c>
    </row>
    <row r="53" spans="1:12" x14ac:dyDescent="0.25">
      <c r="A53" s="122" t="s">
        <v>447</v>
      </c>
      <c r="B53" s="124">
        <v>235</v>
      </c>
    </row>
    <row r="54" spans="1:12" x14ac:dyDescent="0.25">
      <c r="A54" s="4" t="s">
        <v>436</v>
      </c>
      <c r="B54" s="124">
        <v>3999</v>
      </c>
    </row>
    <row r="55" spans="1:12" x14ac:dyDescent="0.25">
      <c r="A55" s="4" t="s">
        <v>437</v>
      </c>
      <c r="B55" s="124">
        <v>3790</v>
      </c>
    </row>
    <row r="56" spans="1:12" x14ac:dyDescent="0.25">
      <c r="A56" s="4" t="s">
        <v>438</v>
      </c>
      <c r="B56" s="124">
        <v>178527.47</v>
      </c>
    </row>
    <row r="57" spans="1:12" x14ac:dyDescent="0.25">
      <c r="A57" s="123" t="s">
        <v>413</v>
      </c>
      <c r="B57" s="125">
        <f>SUM(B39:B56)</f>
        <v>379327.06000000006</v>
      </c>
      <c r="F57">
        <v>201714.91000000009</v>
      </c>
    </row>
    <row r="58" spans="1:12" x14ac:dyDescent="0.25">
      <c r="A58" t="s">
        <v>39</v>
      </c>
      <c r="B58" s="35" t="e">
        <f>B33-B57</f>
        <v>#REF!</v>
      </c>
      <c r="C58" s="3" t="s">
        <v>448</v>
      </c>
    </row>
    <row r="60" spans="1:12" x14ac:dyDescent="0.25">
      <c r="A60" s="32" t="s">
        <v>420</v>
      </c>
      <c r="B60" s="32">
        <v>2021</v>
      </c>
    </row>
    <row r="61" spans="1:12" ht="15" customHeight="1" thickBot="1" x14ac:dyDescent="0.3"/>
    <row r="62" spans="1:12" x14ac:dyDescent="0.25">
      <c r="A62" s="138" t="s">
        <v>202</v>
      </c>
      <c r="B62" s="143">
        <v>28.81</v>
      </c>
      <c r="E62" t="s">
        <v>449</v>
      </c>
      <c r="F62" t="s">
        <v>78</v>
      </c>
      <c r="G62" t="s">
        <v>450</v>
      </c>
    </row>
    <row r="63" spans="1:12" ht="15" customHeight="1" thickBot="1" x14ac:dyDescent="0.3">
      <c r="A63" s="144" t="s">
        <v>204</v>
      </c>
      <c r="B63" s="145">
        <v>29.92</v>
      </c>
      <c r="E63" s="129">
        <v>3401.7</v>
      </c>
      <c r="F63" s="135">
        <v>47548.82</v>
      </c>
      <c r="G63" s="28">
        <v>13804.62</v>
      </c>
      <c r="J63" t="s">
        <v>450</v>
      </c>
      <c r="K63" s="15">
        <v>8840.4500000000007</v>
      </c>
      <c r="L63" s="14">
        <v>44306</v>
      </c>
    </row>
    <row r="64" spans="1:12" ht="15" customHeight="1" thickBot="1" x14ac:dyDescent="0.3">
      <c r="A64" s="144" t="s">
        <v>429</v>
      </c>
      <c r="B64" s="145">
        <v>16.440000000000001</v>
      </c>
      <c r="E64" s="25">
        <v>3401.7</v>
      </c>
      <c r="F64" s="136">
        <v>38138.44</v>
      </c>
      <c r="G64" s="137">
        <v>45710.23</v>
      </c>
      <c r="J64" t="s">
        <v>450</v>
      </c>
      <c r="K64" s="15">
        <v>45569.33</v>
      </c>
      <c r="L64" s="14">
        <v>44214</v>
      </c>
    </row>
    <row r="65" spans="1:12" x14ac:dyDescent="0.25">
      <c r="A65" s="144" t="s">
        <v>440</v>
      </c>
      <c r="B65" s="145">
        <v>7.25</v>
      </c>
      <c r="E65" s="137">
        <v>3401.7</v>
      </c>
      <c r="F65" s="29"/>
      <c r="G65" s="133">
        <v>8914.5</v>
      </c>
      <c r="H65" s="1">
        <v>44306</v>
      </c>
      <c r="J65" t="s">
        <v>450</v>
      </c>
      <c r="K65" s="15">
        <v>13747.02</v>
      </c>
      <c r="L65" s="14">
        <v>44252</v>
      </c>
    </row>
    <row r="66" spans="1:12" ht="15" customHeight="1" thickBot="1" x14ac:dyDescent="0.3">
      <c r="A66" s="144" t="s">
        <v>441</v>
      </c>
      <c r="B66" s="145">
        <v>10</v>
      </c>
      <c r="E66" s="137">
        <v>3401.7</v>
      </c>
    </row>
    <row r="67" spans="1:12" ht="15" customHeight="1" thickBot="1" x14ac:dyDescent="0.3">
      <c r="A67" s="140" t="s">
        <v>451</v>
      </c>
      <c r="B67" s="141">
        <v>47598.3</v>
      </c>
      <c r="C67" s="488">
        <f>SUM(B67:B69)</f>
        <v>200974.37</v>
      </c>
      <c r="E67" s="133">
        <v>3401.7</v>
      </c>
      <c r="F67">
        <v>47289.31</v>
      </c>
      <c r="G67">
        <v>13747.02</v>
      </c>
      <c r="J67" t="s">
        <v>452</v>
      </c>
      <c r="K67" s="15">
        <v>47289.31</v>
      </c>
      <c r="L67" s="14">
        <v>44385</v>
      </c>
    </row>
    <row r="68" spans="1:12" x14ac:dyDescent="0.25">
      <c r="A68" s="140" t="s">
        <v>453</v>
      </c>
      <c r="B68" s="141">
        <v>85220.07</v>
      </c>
      <c r="C68" s="489"/>
      <c r="E68" s="133">
        <v>3401.7</v>
      </c>
      <c r="F68">
        <v>37930.76</v>
      </c>
      <c r="G68">
        <v>45569.33</v>
      </c>
      <c r="J68" t="s">
        <v>452</v>
      </c>
      <c r="K68" s="15">
        <v>37930.76</v>
      </c>
      <c r="L68" s="14">
        <v>44386</v>
      </c>
    </row>
    <row r="69" spans="1:12" ht="15" customHeight="1" thickBot="1" x14ac:dyDescent="0.3">
      <c r="A69" s="140" t="s">
        <v>454</v>
      </c>
      <c r="B69" s="141">
        <v>68156</v>
      </c>
      <c r="C69" s="490"/>
      <c r="E69" s="134">
        <v>3401.7</v>
      </c>
      <c r="G69">
        <v>8840.4500000000007</v>
      </c>
    </row>
    <row r="70" spans="1:12" ht="15" customHeight="1" thickBot="1" x14ac:dyDescent="0.3">
      <c r="A70" s="140"/>
      <c r="B70" s="145"/>
      <c r="E70" s="130">
        <v>3401.7</v>
      </c>
      <c r="J70" t="s">
        <v>449</v>
      </c>
      <c r="K70" s="15">
        <v>47598.3</v>
      </c>
      <c r="L70" s="14">
        <v>44328</v>
      </c>
    </row>
    <row r="71" spans="1:12" ht="15" customHeight="1" thickBot="1" x14ac:dyDescent="0.3">
      <c r="A71" s="140" t="s">
        <v>447</v>
      </c>
      <c r="B71" s="142">
        <v>230</v>
      </c>
      <c r="E71" s="130">
        <v>3401.7</v>
      </c>
    </row>
    <row r="72" spans="1:12" ht="15" customHeight="1" thickBot="1" x14ac:dyDescent="0.3">
      <c r="A72" s="144" t="s">
        <v>436</v>
      </c>
      <c r="B72" s="142">
        <v>3999</v>
      </c>
      <c r="E72" s="130">
        <v>3401.7</v>
      </c>
    </row>
    <row r="73" spans="1:12" ht="15" customHeight="1" thickBot="1" x14ac:dyDescent="0.3">
      <c r="A73" s="144" t="s">
        <v>437</v>
      </c>
      <c r="B73" s="142">
        <v>3790</v>
      </c>
      <c r="E73" s="131">
        <v>3401.7</v>
      </c>
    </row>
    <row r="74" spans="1:12" ht="15" customHeight="1" thickBot="1" x14ac:dyDescent="0.3">
      <c r="A74" s="140" t="s">
        <v>455</v>
      </c>
      <c r="B74" s="145">
        <v>65296.05</v>
      </c>
      <c r="E74" s="131">
        <v>3401.7</v>
      </c>
    </row>
    <row r="75" spans="1:12" ht="15" customHeight="1" thickBot="1" x14ac:dyDescent="0.3">
      <c r="A75" s="144" t="s">
        <v>438</v>
      </c>
      <c r="B75" s="142">
        <v>178527.47</v>
      </c>
      <c r="E75" s="131">
        <v>3401.7</v>
      </c>
    </row>
    <row r="76" spans="1:12" ht="15" customHeight="1" thickBot="1" x14ac:dyDescent="0.3">
      <c r="A76" s="146" t="s">
        <v>413</v>
      </c>
      <c r="B76" s="139">
        <f>SUM(B62:B75)</f>
        <v>452909.31000000006</v>
      </c>
      <c r="E76" s="131">
        <v>3376.2</v>
      </c>
    </row>
    <row r="78" spans="1:12" x14ac:dyDescent="0.25">
      <c r="F78" s="29">
        <f>SUM(F63:F64)</f>
        <v>85687.260000000009</v>
      </c>
      <c r="G78" s="29">
        <f>SUM(G63:G65)</f>
        <v>68429.350000000006</v>
      </c>
      <c r="J78">
        <f>148.81-120</f>
        <v>28.810000000000002</v>
      </c>
    </row>
    <row r="79" spans="1:12" x14ac:dyDescent="0.25">
      <c r="E79" s="147">
        <f>SUM(E63:E76)</f>
        <v>47598.299999999988</v>
      </c>
      <c r="F79" s="147">
        <f>SUM(F67:F68)</f>
        <v>85220.07</v>
      </c>
      <c r="G79" s="147">
        <f>SUM(G67:G69)</f>
        <v>68156.800000000003</v>
      </c>
    </row>
    <row r="81" spans="1:6" x14ac:dyDescent="0.25">
      <c r="F81" s="29">
        <f>E79+F78+G78</f>
        <v>201714.91</v>
      </c>
    </row>
    <row r="82" spans="1:6" x14ac:dyDescent="0.25">
      <c r="F82" s="29">
        <f>E79+F79+G79</f>
        <v>200975.16999999998</v>
      </c>
    </row>
    <row r="87" spans="1:6" ht="15" customHeight="1" thickBot="1" x14ac:dyDescent="0.3"/>
    <row r="88" spans="1:6" x14ac:dyDescent="0.25">
      <c r="A88" s="157" t="s">
        <v>456</v>
      </c>
      <c r="B88" s="158">
        <v>2022</v>
      </c>
    </row>
    <row r="89" spans="1:6" x14ac:dyDescent="0.25">
      <c r="A89" s="163" t="s">
        <v>454</v>
      </c>
      <c r="B89" s="164">
        <v>54624.73</v>
      </c>
    </row>
    <row r="90" spans="1:6" x14ac:dyDescent="0.25">
      <c r="A90" s="163" t="s">
        <v>457</v>
      </c>
      <c r="B90" s="164">
        <v>40794.9</v>
      </c>
    </row>
    <row r="91" spans="1:6" x14ac:dyDescent="0.25">
      <c r="A91" s="163" t="s">
        <v>78</v>
      </c>
      <c r="B91" s="164">
        <v>59564.04</v>
      </c>
    </row>
    <row r="92" spans="1:6" x14ac:dyDescent="0.25">
      <c r="A92" s="163" t="s">
        <v>447</v>
      </c>
      <c r="B92" s="164">
        <v>50046.618804999998</v>
      </c>
      <c r="C92">
        <f>21980+100</f>
        <v>22080</v>
      </c>
      <c r="D92" s="167">
        <f>C92/665000000</f>
        <v>3.3203007518796994E-5</v>
      </c>
    </row>
    <row r="93" spans="1:6" x14ac:dyDescent="0.25">
      <c r="A93" s="163" t="s">
        <v>458</v>
      </c>
      <c r="B93" s="164">
        <v>230</v>
      </c>
      <c r="C93" s="3">
        <f>B92+B93</f>
        <v>50276.618804999998</v>
      </c>
    </row>
    <row r="94" spans="1:6" x14ac:dyDescent="0.25">
      <c r="A94" s="163" t="s">
        <v>202</v>
      </c>
      <c r="B94" s="164">
        <v>51.6</v>
      </c>
    </row>
    <row r="95" spans="1:6" x14ac:dyDescent="0.25">
      <c r="A95" s="163" t="s">
        <v>459</v>
      </c>
      <c r="B95" s="164">
        <v>10.94</v>
      </c>
    </row>
    <row r="96" spans="1:6" ht="15" customHeight="1" thickBot="1" x14ac:dyDescent="0.3">
      <c r="A96" s="156" t="s">
        <v>429</v>
      </c>
      <c r="B96" s="165">
        <v>4.1900000000000004</v>
      </c>
      <c r="C96" s="166"/>
    </row>
    <row r="97" spans="1:9" x14ac:dyDescent="0.25">
      <c r="A97" s="156" t="s">
        <v>440</v>
      </c>
      <c r="B97" s="165">
        <v>7.74</v>
      </c>
      <c r="C97" s="493">
        <f>SUM(B97:B98)</f>
        <v>120.72</v>
      </c>
      <c r="D97" s="29">
        <f>SUM(B97:B98)</f>
        <v>120.72</v>
      </c>
    </row>
    <row r="98" spans="1:9" ht="15" customHeight="1" thickBot="1" x14ac:dyDescent="0.3">
      <c r="A98" s="156" t="s">
        <v>441</v>
      </c>
      <c r="B98" s="165">
        <v>112.98</v>
      </c>
      <c r="C98" s="490"/>
      <c r="I98">
        <v>3768.54</v>
      </c>
    </row>
    <row r="99" spans="1:9" x14ac:dyDescent="0.25">
      <c r="A99" s="163" t="s">
        <v>436</v>
      </c>
      <c r="B99" s="168">
        <v>3999</v>
      </c>
      <c r="C99" s="488">
        <f>SUM(B99:B100)</f>
        <v>7789</v>
      </c>
    </row>
    <row r="100" spans="1:9" ht="15" customHeight="1" thickBot="1" x14ac:dyDescent="0.3">
      <c r="A100" s="163" t="s">
        <v>437</v>
      </c>
      <c r="B100" s="168">
        <v>3790</v>
      </c>
      <c r="C100" s="490"/>
    </row>
    <row r="101" spans="1:9" x14ac:dyDescent="0.25">
      <c r="A101" s="144" t="s">
        <v>455</v>
      </c>
      <c r="B101" s="141">
        <v>65296.05</v>
      </c>
      <c r="C101" s="494">
        <f>SUM(B101:B102)</f>
        <v>246573.40000000002</v>
      </c>
    </row>
    <row r="102" spans="1:9" ht="15" customHeight="1" thickBot="1" x14ac:dyDescent="0.3">
      <c r="A102" s="144" t="s">
        <v>460</v>
      </c>
      <c r="B102" s="141">
        <v>181277.35</v>
      </c>
      <c r="C102" s="490"/>
    </row>
    <row r="103" spans="1:9" ht="15" customHeight="1" thickBot="1" x14ac:dyDescent="0.3">
      <c r="A103" s="159"/>
      <c r="B103" s="160">
        <f>SUM(B89:B102)</f>
        <v>459810.138805</v>
      </c>
    </row>
    <row r="104" spans="1:9" x14ac:dyDescent="0.25">
      <c r="C104" s="3">
        <f>B103-B101</f>
        <v>394514.08880500001</v>
      </c>
    </row>
    <row r="107" spans="1:9" x14ac:dyDescent="0.25">
      <c r="F107">
        <v>494253.58</v>
      </c>
    </row>
    <row r="108" spans="1:9" ht="15" customHeight="1" thickBot="1" x14ac:dyDescent="0.3">
      <c r="F108">
        <v>428957.53</v>
      </c>
    </row>
    <row r="109" spans="1:9" x14ac:dyDescent="0.25">
      <c r="A109" s="157" t="s">
        <v>456</v>
      </c>
      <c r="B109" s="158">
        <v>2023</v>
      </c>
      <c r="F109">
        <v>65296.05</v>
      </c>
      <c r="H109">
        <f>F107-F108</f>
        <v>65296.049999999988</v>
      </c>
    </row>
    <row r="110" spans="1:9" x14ac:dyDescent="0.25">
      <c r="A110" s="163" t="s">
        <v>461</v>
      </c>
      <c r="B110" s="164">
        <v>0</v>
      </c>
    </row>
    <row r="111" spans="1:9" x14ac:dyDescent="0.25">
      <c r="A111" s="163" t="s">
        <v>462</v>
      </c>
      <c r="B111" s="164">
        <v>0</v>
      </c>
    </row>
    <row r="112" spans="1:9" x14ac:dyDescent="0.25">
      <c r="A112" s="161" t="s">
        <v>463</v>
      </c>
      <c r="B112" s="111">
        <v>27188.1</v>
      </c>
      <c r="C112" s="497">
        <f>B112+B113</f>
        <v>85715.73</v>
      </c>
      <c r="F112">
        <v>100</v>
      </c>
    </row>
    <row r="113" spans="1:8" x14ac:dyDescent="0.25">
      <c r="A113" s="161" t="s">
        <v>115</v>
      </c>
      <c r="B113" s="111">
        <v>58527.63</v>
      </c>
      <c r="C113" s="498"/>
      <c r="F113">
        <v>2975.1</v>
      </c>
    </row>
    <row r="114" spans="1:8" x14ac:dyDescent="0.25">
      <c r="A114" s="161" t="s">
        <v>464</v>
      </c>
      <c r="B114" s="111">
        <v>9000</v>
      </c>
      <c r="F114">
        <v>365.83</v>
      </c>
    </row>
    <row r="115" spans="1:8" x14ac:dyDescent="0.25">
      <c r="A115" s="161" t="s">
        <v>465</v>
      </c>
      <c r="B115" s="111">
        <f>38360+27500</f>
        <v>65860</v>
      </c>
      <c r="E115" s="29"/>
      <c r="F115">
        <v>100</v>
      </c>
    </row>
    <row r="116" spans="1:8" x14ac:dyDescent="0.25">
      <c r="A116" s="163" t="s">
        <v>466</v>
      </c>
      <c r="B116" s="164">
        <f>68084.6+3821.38</f>
        <v>71905.98000000001</v>
      </c>
      <c r="F116">
        <v>71905.98</v>
      </c>
    </row>
    <row r="117" spans="1:8" x14ac:dyDescent="0.25">
      <c r="A117" s="161" t="s">
        <v>447</v>
      </c>
      <c r="B117" s="111">
        <f>1761*2.14</f>
        <v>3768.5400000000004</v>
      </c>
      <c r="F117" s="172">
        <v>3768.54</v>
      </c>
    </row>
    <row r="118" spans="1:8" x14ac:dyDescent="0.25">
      <c r="A118" s="163" t="s">
        <v>202</v>
      </c>
      <c r="B118" s="164">
        <v>100</v>
      </c>
      <c r="F118">
        <v>100</v>
      </c>
    </row>
    <row r="119" spans="1:8" x14ac:dyDescent="0.25">
      <c r="A119" s="163" t="s">
        <v>459</v>
      </c>
      <c r="B119" s="164">
        <v>2975.1</v>
      </c>
      <c r="F119" s="172">
        <v>85715.73</v>
      </c>
      <c r="H119" s="172" t="s">
        <v>467</v>
      </c>
    </row>
    <row r="120" spans="1:8" ht="15" customHeight="1" thickBot="1" x14ac:dyDescent="0.3">
      <c r="A120" s="156" t="s">
        <v>429</v>
      </c>
      <c r="B120" s="165">
        <v>365.83</v>
      </c>
      <c r="C120" s="166"/>
      <c r="F120" s="172">
        <v>9000</v>
      </c>
      <c r="H120" s="172" t="s">
        <v>468</v>
      </c>
    </row>
    <row r="121" spans="1:8" x14ac:dyDescent="0.25">
      <c r="A121" s="156" t="s">
        <v>440</v>
      </c>
      <c r="B121" s="165">
        <v>100</v>
      </c>
      <c r="C121" s="493">
        <f>SUM(B121:B122)</f>
        <v>200</v>
      </c>
      <c r="F121" s="172">
        <v>65860</v>
      </c>
      <c r="H121" s="172" t="s">
        <v>469</v>
      </c>
    </row>
    <row r="122" spans="1:8" ht="15" customHeight="1" thickBot="1" x14ac:dyDescent="0.3">
      <c r="A122" s="156" t="s">
        <v>441</v>
      </c>
      <c r="B122" s="165">
        <v>100</v>
      </c>
      <c r="C122" s="490"/>
      <c r="F122" s="172">
        <v>3790</v>
      </c>
      <c r="H122" s="161" t="s">
        <v>437</v>
      </c>
    </row>
    <row r="123" spans="1:8" x14ac:dyDescent="0.25">
      <c r="A123" s="161" t="s">
        <v>436</v>
      </c>
      <c r="B123" s="173">
        <v>3999</v>
      </c>
      <c r="C123" s="488">
        <f>SUM(B123:B124)</f>
        <v>7789</v>
      </c>
      <c r="F123" s="172">
        <v>3999</v>
      </c>
      <c r="H123" s="161" t="s">
        <v>436</v>
      </c>
    </row>
    <row r="124" spans="1:8" ht="15" customHeight="1" thickBot="1" x14ac:dyDescent="0.3">
      <c r="A124" s="161" t="s">
        <v>437</v>
      </c>
      <c r="B124" s="173">
        <v>3790</v>
      </c>
      <c r="C124" s="490"/>
      <c r="F124">
        <v>181277.35</v>
      </c>
    </row>
    <row r="125" spans="1:8" x14ac:dyDescent="0.25">
      <c r="A125" s="144" t="s">
        <v>455</v>
      </c>
      <c r="B125" s="141">
        <v>65296.05</v>
      </c>
      <c r="C125" s="494">
        <f>SUM(B125:B126)</f>
        <v>246573.40000000002</v>
      </c>
      <c r="F125">
        <v>65296.05</v>
      </c>
    </row>
    <row r="126" spans="1:8" ht="15" customHeight="1" thickBot="1" x14ac:dyDescent="0.3">
      <c r="A126" s="144" t="s">
        <v>460</v>
      </c>
      <c r="B126" s="141">
        <v>181277.35</v>
      </c>
      <c r="C126" s="490"/>
    </row>
    <row r="127" spans="1:8" ht="15" customHeight="1" thickBot="1" x14ac:dyDescent="0.3">
      <c r="A127" s="159"/>
      <c r="B127" s="160">
        <f>SUM(B110:B126)</f>
        <v>494253.57999999996</v>
      </c>
      <c r="F127">
        <f>SUM(F111:F125)</f>
        <v>494253.58</v>
      </c>
    </row>
    <row r="128" spans="1:8" x14ac:dyDescent="0.25">
      <c r="C128" s="3">
        <f>B127-B125</f>
        <v>428957.52999999997</v>
      </c>
    </row>
    <row r="132" spans="1:12" s="15" customFormat="1" x14ac:dyDescent="0.25">
      <c r="C132" s="116"/>
    </row>
    <row r="134" spans="1:12" ht="15" customHeight="1" thickBot="1" x14ac:dyDescent="0.3"/>
    <row r="135" spans="1:12" x14ac:dyDescent="0.25">
      <c r="A135" s="157" t="s">
        <v>456</v>
      </c>
      <c r="B135" s="158">
        <v>2024</v>
      </c>
      <c r="F135" s="32" t="s">
        <v>470</v>
      </c>
      <c r="G135" s="32" t="s">
        <v>471</v>
      </c>
      <c r="H135" s="32" t="s">
        <v>472</v>
      </c>
    </row>
    <row r="136" spans="1:12" x14ac:dyDescent="0.25">
      <c r="A136" s="155" t="s">
        <v>461</v>
      </c>
      <c r="B136" s="153">
        <v>54220</v>
      </c>
      <c r="F136" s="49" t="s">
        <v>451</v>
      </c>
      <c r="G136" s="49" t="s">
        <v>46</v>
      </c>
      <c r="H136" s="49">
        <v>36065</v>
      </c>
      <c r="I136" s="506">
        <f>SUM(H136:H143)</f>
        <v>226375.74</v>
      </c>
    </row>
    <row r="137" spans="1:12" x14ac:dyDescent="0.25">
      <c r="A137" s="179" t="s">
        <v>462</v>
      </c>
      <c r="B137" s="31">
        <v>128020.62</v>
      </c>
      <c r="F137" s="49" t="s">
        <v>473</v>
      </c>
      <c r="G137" s="49" t="s">
        <v>46</v>
      </c>
      <c r="H137" s="49">
        <v>11475</v>
      </c>
      <c r="I137" s="500"/>
    </row>
    <row r="138" spans="1:12" x14ac:dyDescent="0.25">
      <c r="A138" s="154" t="s">
        <v>451</v>
      </c>
      <c r="B138" s="152">
        <v>66081.3</v>
      </c>
      <c r="F138" s="49" t="s">
        <v>474</v>
      </c>
      <c r="G138" s="49" t="s">
        <v>46</v>
      </c>
      <c r="H138" s="49">
        <v>9000</v>
      </c>
      <c r="I138" s="500"/>
    </row>
    <row r="139" spans="1:12" x14ac:dyDescent="0.25">
      <c r="A139" s="182" t="s">
        <v>473</v>
      </c>
      <c r="B139" s="162">
        <v>41571.800000000003</v>
      </c>
      <c r="F139" s="49" t="s">
        <v>475</v>
      </c>
      <c r="G139" s="49" t="s">
        <v>46</v>
      </c>
      <c r="H139" s="49">
        <v>27312.5</v>
      </c>
      <c r="I139" s="500"/>
      <c r="L139">
        <v>7040.22</v>
      </c>
    </row>
    <row r="140" spans="1:12" x14ac:dyDescent="0.25">
      <c r="A140" s="161" t="s">
        <v>476</v>
      </c>
      <c r="B140" s="111">
        <v>5079.8900000000003</v>
      </c>
      <c r="F140" s="49" t="s">
        <v>477</v>
      </c>
      <c r="G140" s="49" t="s">
        <v>46</v>
      </c>
      <c r="H140" s="49">
        <v>2335.1999999999998</v>
      </c>
      <c r="I140" s="500"/>
      <c r="L140">
        <v>-2751.7700000000191</v>
      </c>
    </row>
    <row r="141" spans="1:12" x14ac:dyDescent="0.25">
      <c r="A141" s="161" t="s">
        <v>447</v>
      </c>
      <c r="B141" s="111">
        <v>346.8</v>
      </c>
      <c r="C141" t="s">
        <v>478</v>
      </c>
      <c r="F141" s="49" t="s">
        <v>479</v>
      </c>
      <c r="G141" s="49" t="s">
        <v>46</v>
      </c>
      <c r="H141" s="49">
        <v>13734.08</v>
      </c>
      <c r="I141" s="500"/>
      <c r="J141">
        <f>I136+1900+692.5</f>
        <v>228968.24</v>
      </c>
    </row>
    <row r="142" spans="1:12" x14ac:dyDescent="0.25">
      <c r="A142" s="163" t="s">
        <v>202</v>
      </c>
      <c r="B142" s="164">
        <v>124.47</v>
      </c>
      <c r="F142" s="49" t="s">
        <v>480</v>
      </c>
      <c r="G142" s="49" t="s">
        <v>46</v>
      </c>
      <c r="H142" s="49">
        <v>115976.01</v>
      </c>
      <c r="I142" s="500"/>
    </row>
    <row r="143" spans="1:12" x14ac:dyDescent="0.25">
      <c r="A143" s="163" t="s">
        <v>459</v>
      </c>
      <c r="B143" s="164">
        <v>62.98</v>
      </c>
      <c r="F143" s="49" t="s">
        <v>473</v>
      </c>
      <c r="G143" s="49" t="s">
        <v>481</v>
      </c>
      <c r="H143" s="49">
        <v>10477.950000000001</v>
      </c>
      <c r="I143" s="500"/>
    </row>
    <row r="144" spans="1:12" ht="15" customHeight="1" thickBot="1" x14ac:dyDescent="0.3">
      <c r="A144" s="156" t="s">
        <v>429</v>
      </c>
      <c r="B144" s="165">
        <v>71.33</v>
      </c>
      <c r="C144" s="166"/>
      <c r="F144" s="181" t="s">
        <v>451</v>
      </c>
      <c r="G144" s="181" t="s">
        <v>47</v>
      </c>
      <c r="H144" s="181">
        <v>66081.3</v>
      </c>
    </row>
    <row r="145" spans="1:11" x14ac:dyDescent="0.25">
      <c r="A145" s="156" t="s">
        <v>440</v>
      </c>
      <c r="B145" s="165">
        <v>51.01</v>
      </c>
      <c r="C145" s="493">
        <f>SUM(B145:B146)</f>
        <v>103.49</v>
      </c>
      <c r="F145" s="177" t="s">
        <v>473</v>
      </c>
      <c r="G145" s="177" t="s">
        <v>47</v>
      </c>
      <c r="H145" s="177">
        <v>41571.800000000003</v>
      </c>
    </row>
    <row r="146" spans="1:11" ht="15" customHeight="1" thickBot="1" x14ac:dyDescent="0.3">
      <c r="A146" s="156" t="s">
        <v>441</v>
      </c>
      <c r="B146" s="165">
        <v>52.48</v>
      </c>
      <c r="C146" s="490"/>
      <c r="F146" s="49" t="s">
        <v>476</v>
      </c>
      <c r="G146" s="49" t="s">
        <v>47</v>
      </c>
      <c r="H146" s="49">
        <v>5079.8900000000003</v>
      </c>
    </row>
    <row r="147" spans="1:11" x14ac:dyDescent="0.25">
      <c r="A147" s="161" t="s">
        <v>436</v>
      </c>
      <c r="B147" s="173">
        <v>3999</v>
      </c>
      <c r="C147" s="488">
        <f>SUM(B147:B148)</f>
        <v>7789</v>
      </c>
      <c r="F147" s="178" t="s">
        <v>479</v>
      </c>
      <c r="G147" s="178" t="s">
        <v>47</v>
      </c>
      <c r="H147" s="178">
        <v>26720</v>
      </c>
      <c r="I147" s="499">
        <f>SUM(H147:H148)</f>
        <v>54220</v>
      </c>
    </row>
    <row r="148" spans="1:11" ht="15" customHeight="1" thickBot="1" x14ac:dyDescent="0.3">
      <c r="A148" s="161" t="s">
        <v>437</v>
      </c>
      <c r="B148" s="173">
        <v>3790</v>
      </c>
      <c r="C148" s="490"/>
      <c r="F148" s="178" t="s">
        <v>479</v>
      </c>
      <c r="G148" s="178" t="s">
        <v>48</v>
      </c>
      <c r="H148" s="178">
        <v>27500</v>
      </c>
      <c r="I148" s="500"/>
    </row>
    <row r="149" spans="1:11" x14ac:dyDescent="0.25">
      <c r="A149" s="144" t="s">
        <v>455</v>
      </c>
      <c r="B149" s="141">
        <v>72336.27</v>
      </c>
      <c r="C149" s="494">
        <f>SUM(B149:B150)</f>
        <v>250861.84999999998</v>
      </c>
      <c r="D149" s="29">
        <f>B149-B125</f>
        <v>7040.2200000000012</v>
      </c>
      <c r="F149" s="180" t="s">
        <v>480</v>
      </c>
      <c r="G149" s="180" t="s">
        <v>47</v>
      </c>
      <c r="H149" s="180">
        <v>128020.62</v>
      </c>
    </row>
    <row r="150" spans="1:11" ht="15" customHeight="1" thickBot="1" x14ac:dyDescent="0.3">
      <c r="A150" s="144" t="s">
        <v>460</v>
      </c>
      <c r="B150" s="141">
        <v>178525.58</v>
      </c>
      <c r="C150" s="490"/>
      <c r="D150" s="29">
        <f>B150-B126</f>
        <v>-2751.7700000000186</v>
      </c>
    </row>
    <row r="151" spans="1:11" ht="15" customHeight="1" thickBot="1" x14ac:dyDescent="0.3">
      <c r="A151" s="159"/>
      <c r="B151" s="160">
        <f>SUM(B136:B150)</f>
        <v>554333.52999999991</v>
      </c>
      <c r="K151">
        <f>11722*20</f>
        <v>234440</v>
      </c>
    </row>
    <row r="152" spans="1:11" x14ac:dyDescent="0.25">
      <c r="C152" s="3">
        <f>B151-B149</f>
        <v>481997.25999999989</v>
      </c>
    </row>
    <row r="153" spans="1:11" x14ac:dyDescent="0.25">
      <c r="C153" s="3">
        <f>B151-B127</f>
        <v>60079.949999999953</v>
      </c>
    </row>
    <row r="158" spans="1:11" x14ac:dyDescent="0.25">
      <c r="D158">
        <f>500000-1000</f>
        <v>499000</v>
      </c>
    </row>
    <row r="160" spans="1:11" s="15" customFormat="1" x14ac:dyDescent="0.25">
      <c r="C160" s="116"/>
    </row>
    <row r="162" spans="1:9" ht="15" customHeight="1" thickBot="1" x14ac:dyDescent="0.3">
      <c r="F162" t="s">
        <v>482</v>
      </c>
    </row>
    <row r="163" spans="1:9" x14ac:dyDescent="0.25">
      <c r="A163" s="157" t="s">
        <v>456</v>
      </c>
      <c r="B163" s="158">
        <v>2025</v>
      </c>
      <c r="F163" s="33" t="s">
        <v>470</v>
      </c>
      <c r="G163" s="33" t="s">
        <v>471</v>
      </c>
      <c r="H163" s="189" t="s">
        <v>64</v>
      </c>
      <c r="I163" s="4"/>
    </row>
    <row r="164" spans="1:9" x14ac:dyDescent="0.25">
      <c r="A164" s="161" t="s">
        <v>461</v>
      </c>
      <c r="B164" s="111">
        <v>15080</v>
      </c>
      <c r="C164" s="3" t="s">
        <v>483</v>
      </c>
      <c r="F164" s="4" t="s">
        <v>484</v>
      </c>
      <c r="G164" s="4" t="s">
        <v>46</v>
      </c>
      <c r="H164" s="10">
        <v>7751.12</v>
      </c>
      <c r="I164" s="501">
        <f>SUM(H164:H171)</f>
        <v>231149.47999999998</v>
      </c>
    </row>
    <row r="165" spans="1:9" x14ac:dyDescent="0.25">
      <c r="A165" s="154" t="s">
        <v>451</v>
      </c>
      <c r="B165" s="152">
        <v>45000</v>
      </c>
      <c r="C165" s="3" t="s">
        <v>483</v>
      </c>
      <c r="F165" s="4" t="s">
        <v>485</v>
      </c>
      <c r="G165" s="4" t="s">
        <v>46</v>
      </c>
      <c r="H165" s="10">
        <v>16387.5</v>
      </c>
      <c r="I165" s="502"/>
    </row>
    <row r="166" spans="1:9" x14ac:dyDescent="0.25">
      <c r="A166" s="190" t="s">
        <v>486</v>
      </c>
      <c r="B166" s="184">
        <v>113853.25</v>
      </c>
      <c r="F166" s="4" t="s">
        <v>487</v>
      </c>
      <c r="G166" s="4" t="s">
        <v>46</v>
      </c>
      <c r="H166" s="10">
        <v>7650</v>
      </c>
      <c r="I166" s="502"/>
    </row>
    <row r="167" spans="1:9" x14ac:dyDescent="0.25">
      <c r="A167" s="194" t="s">
        <v>462</v>
      </c>
      <c r="B167" s="195">
        <v>193450.36</v>
      </c>
      <c r="F167" s="4" t="s">
        <v>488</v>
      </c>
      <c r="G167" s="4" t="s">
        <v>46</v>
      </c>
      <c r="H167" s="10">
        <v>30412.5</v>
      </c>
      <c r="I167" s="502"/>
    </row>
    <row r="168" spans="1:9" x14ac:dyDescent="0.25">
      <c r="A168" s="113" t="s">
        <v>489</v>
      </c>
      <c r="B168" s="107">
        <f>47*450</f>
        <v>21150</v>
      </c>
      <c r="C168" s="192" t="s">
        <v>490</v>
      </c>
      <c r="D168" s="193">
        <f>30*450</f>
        <v>13500</v>
      </c>
      <c r="F168" s="4" t="s">
        <v>486</v>
      </c>
      <c r="G168" s="4" t="s">
        <v>46</v>
      </c>
      <c r="H168" s="10">
        <v>20114.27</v>
      </c>
      <c r="I168" s="502"/>
    </row>
    <row r="169" spans="1:9" x14ac:dyDescent="0.25">
      <c r="A169" s="182" t="s">
        <v>491</v>
      </c>
      <c r="B169" s="162">
        <v>187</v>
      </c>
      <c r="C169" t="s">
        <v>492</v>
      </c>
      <c r="F169" s="4" t="s">
        <v>452</v>
      </c>
      <c r="G169" s="4" t="s">
        <v>46</v>
      </c>
      <c r="H169" s="10">
        <f>H183</f>
        <v>136617.29</v>
      </c>
      <c r="I169" s="502"/>
    </row>
    <row r="170" spans="1:9" x14ac:dyDescent="0.25">
      <c r="A170" s="182" t="s">
        <v>493</v>
      </c>
      <c r="B170" s="162">
        <f>66*0.87</f>
        <v>57.42</v>
      </c>
      <c r="C170" s="3" t="s">
        <v>494</v>
      </c>
      <c r="F170" s="4" t="s">
        <v>495</v>
      </c>
      <c r="G170" s="4" t="s">
        <v>46</v>
      </c>
      <c r="H170" s="10">
        <v>12046.8</v>
      </c>
      <c r="I170" s="502"/>
    </row>
    <row r="171" spans="1:9" x14ac:dyDescent="0.25">
      <c r="A171" s="163" t="s">
        <v>202</v>
      </c>
      <c r="B171" s="164">
        <v>15.15</v>
      </c>
      <c r="F171" s="4" t="s">
        <v>496</v>
      </c>
      <c r="G171" s="4" t="s">
        <v>46</v>
      </c>
      <c r="H171" s="10">
        <v>170</v>
      </c>
      <c r="I171" s="503"/>
    </row>
    <row r="172" spans="1:9" x14ac:dyDescent="0.25">
      <c r="A172" s="163" t="s">
        <v>207</v>
      </c>
      <c r="B172" s="164">
        <v>26.41</v>
      </c>
      <c r="F172" s="4"/>
      <c r="G172" s="4"/>
      <c r="H172" s="10"/>
      <c r="I172" s="191"/>
    </row>
    <row r="173" spans="1:9" x14ac:dyDescent="0.25">
      <c r="A173" s="163" t="s">
        <v>459</v>
      </c>
      <c r="B173" s="164">
        <v>4.45</v>
      </c>
      <c r="F173" s="38" t="s">
        <v>484</v>
      </c>
      <c r="G173" s="38" t="s">
        <v>47</v>
      </c>
      <c r="H173" s="110">
        <v>15080</v>
      </c>
      <c r="I173" s="10">
        <f>H173</f>
        <v>15080</v>
      </c>
    </row>
    <row r="174" spans="1:9" ht="15" customHeight="1" thickBot="1" x14ac:dyDescent="0.3">
      <c r="A174" s="156" t="s">
        <v>429</v>
      </c>
      <c r="B174" s="165">
        <v>851.94</v>
      </c>
      <c r="F174" s="150" t="s">
        <v>488</v>
      </c>
      <c r="G174" s="150" t="s">
        <v>47</v>
      </c>
      <c r="H174" s="151">
        <v>45000</v>
      </c>
      <c r="I174" s="10">
        <f>H174</f>
        <v>45000</v>
      </c>
    </row>
    <row r="175" spans="1:9" x14ac:dyDescent="0.25">
      <c r="A175" s="156" t="s">
        <v>440</v>
      </c>
      <c r="B175" s="165">
        <v>1418.05</v>
      </c>
      <c r="C175" s="491">
        <f>SUM(B175:B176)</f>
        <v>3442.31</v>
      </c>
      <c r="F175" s="5" t="s">
        <v>486</v>
      </c>
      <c r="G175" s="5" t="s">
        <v>47</v>
      </c>
      <c r="H175" s="183">
        <v>100092.82</v>
      </c>
      <c r="I175" s="505">
        <f>SUM(H175:H176)</f>
        <v>113853.25</v>
      </c>
    </row>
    <row r="176" spans="1:9" ht="15" customHeight="1" thickBot="1" x14ac:dyDescent="0.3">
      <c r="A176" s="156" t="s">
        <v>441</v>
      </c>
      <c r="B176" s="165">
        <v>2024.26</v>
      </c>
      <c r="C176" s="492"/>
      <c r="F176" s="5" t="s">
        <v>486</v>
      </c>
      <c r="G176" s="5" t="s">
        <v>48</v>
      </c>
      <c r="H176" s="183">
        <v>13760.43</v>
      </c>
      <c r="I176" s="503"/>
    </row>
    <row r="177" spans="1:12" x14ac:dyDescent="0.25">
      <c r="A177" s="161" t="s">
        <v>497</v>
      </c>
      <c r="B177" s="173">
        <v>4799</v>
      </c>
      <c r="C177" s="504">
        <f>SUM(B177:B178)</f>
        <v>8589</v>
      </c>
      <c r="F177" s="26" t="s">
        <v>495</v>
      </c>
      <c r="G177" s="26" t="s">
        <v>47</v>
      </c>
      <c r="H177" s="27">
        <v>18878.439999999999</v>
      </c>
      <c r="I177" s="27">
        <f>H177</f>
        <v>18878.439999999999</v>
      </c>
    </row>
    <row r="178" spans="1:12" ht="15" customHeight="1" thickBot="1" x14ac:dyDescent="0.3">
      <c r="A178" s="161" t="s">
        <v>437</v>
      </c>
      <c r="B178" s="173">
        <v>3790</v>
      </c>
      <c r="C178" s="492"/>
      <c r="F178" s="148" t="s">
        <v>496</v>
      </c>
      <c r="G178" s="148" t="s">
        <v>47</v>
      </c>
      <c r="H178" s="149">
        <v>187</v>
      </c>
      <c r="I178" s="149">
        <f>H178</f>
        <v>187</v>
      </c>
    </row>
    <row r="179" spans="1:12" x14ac:dyDescent="0.25">
      <c r="A179" s="144" t="s">
        <v>455</v>
      </c>
      <c r="B179" s="141">
        <v>70409.23</v>
      </c>
      <c r="C179" s="510">
        <f>SUM(B179:B180)</f>
        <v>248934.81</v>
      </c>
      <c r="F179" s="4"/>
      <c r="G179" s="4" t="s">
        <v>413</v>
      </c>
      <c r="H179" s="10">
        <f>SUM(H164:H178)</f>
        <v>424148.17</v>
      </c>
      <c r="I179" s="10" t="e">
        <f>I164+#REF!</f>
        <v>#REF!</v>
      </c>
    </row>
    <row r="180" spans="1:12" ht="15" customHeight="1" thickBot="1" x14ac:dyDescent="0.3">
      <c r="A180" s="144" t="s">
        <v>460</v>
      </c>
      <c r="B180" s="141">
        <v>178525.58</v>
      </c>
      <c r="C180" s="492"/>
    </row>
    <row r="181" spans="1:12" ht="15" customHeight="1" thickBot="1" x14ac:dyDescent="0.3">
      <c r="A181" s="159"/>
      <c r="B181" s="160">
        <f>SUM(B164:B180)</f>
        <v>650642.1</v>
      </c>
      <c r="F181" t="s">
        <v>498</v>
      </c>
    </row>
    <row r="182" spans="1:12" x14ac:dyDescent="0.25">
      <c r="F182" s="4" t="s">
        <v>499</v>
      </c>
      <c r="G182" s="4" t="s">
        <v>500</v>
      </c>
      <c r="H182" s="10" t="s">
        <v>501</v>
      </c>
      <c r="I182" s="10"/>
    </row>
    <row r="183" spans="1:12" x14ac:dyDescent="0.25">
      <c r="F183" s="4" t="s">
        <v>502</v>
      </c>
      <c r="G183" s="4" t="s">
        <v>46</v>
      </c>
      <c r="H183" s="10">
        <v>136617.29</v>
      </c>
      <c r="I183" s="10"/>
    </row>
    <row r="184" spans="1:12" x14ac:dyDescent="0.25">
      <c r="F184" s="196" t="s">
        <v>502</v>
      </c>
      <c r="G184" s="196" t="s">
        <v>48</v>
      </c>
      <c r="H184" s="197">
        <v>15149.89</v>
      </c>
      <c r="I184" s="507">
        <f>SUM(H184:H185)</f>
        <v>193450.36</v>
      </c>
    </row>
    <row r="185" spans="1:12" x14ac:dyDescent="0.25">
      <c r="F185" s="196" t="s">
        <v>502</v>
      </c>
      <c r="G185" s="196" t="s">
        <v>47</v>
      </c>
      <c r="H185" s="197">
        <v>178300.47</v>
      </c>
      <c r="I185" s="503"/>
    </row>
    <row r="186" spans="1:12" ht="15" customHeight="1" thickBot="1" x14ac:dyDescent="0.3">
      <c r="F186" s="4" t="s">
        <v>503</v>
      </c>
      <c r="G186" s="4" t="s">
        <v>46</v>
      </c>
      <c r="H186" s="10">
        <v>94532.19</v>
      </c>
      <c r="I186" s="10"/>
    </row>
    <row r="187" spans="1:12" x14ac:dyDescent="0.25">
      <c r="A187" s="157" t="s">
        <v>456</v>
      </c>
      <c r="B187" s="158">
        <v>2025</v>
      </c>
      <c r="F187" s="4" t="s">
        <v>503</v>
      </c>
      <c r="G187" s="4" t="s">
        <v>48</v>
      </c>
      <c r="H187" s="10">
        <v>13760.43</v>
      </c>
      <c r="I187" s="513">
        <f>SUM(H187:H188)</f>
        <v>192981.69</v>
      </c>
    </row>
    <row r="188" spans="1:12" x14ac:dyDescent="0.25">
      <c r="A188" s="161" t="s">
        <v>461</v>
      </c>
      <c r="B188" s="111">
        <v>15080</v>
      </c>
      <c r="C188" s="3" t="s">
        <v>504</v>
      </c>
      <c r="F188" s="4" t="s">
        <v>503</v>
      </c>
      <c r="G188" s="4" t="s">
        <v>47</v>
      </c>
      <c r="H188" s="10">
        <v>179221.26</v>
      </c>
      <c r="I188" s="503"/>
      <c r="L188">
        <v>113853.25</v>
      </c>
    </row>
    <row r="189" spans="1:12" x14ac:dyDescent="0.25">
      <c r="A189" s="154" t="s">
        <v>451</v>
      </c>
      <c r="B189" s="152">
        <v>45000</v>
      </c>
      <c r="C189" s="3" t="s">
        <v>504</v>
      </c>
      <c r="F189" s="4"/>
      <c r="G189" s="4" t="s">
        <v>413</v>
      </c>
      <c r="H189" s="10">
        <f>SUM(H183:H188)</f>
        <v>617581.53</v>
      </c>
      <c r="I189" s="10"/>
    </row>
    <row r="190" spans="1:12" x14ac:dyDescent="0.25">
      <c r="A190" s="190" t="s">
        <v>486</v>
      </c>
      <c r="B190" s="184">
        <f>B166-F190</f>
        <v>97913.794999999998</v>
      </c>
      <c r="C190" s="3" t="s">
        <v>505</v>
      </c>
      <c r="D190">
        <f>12-8.5</f>
        <v>3.5</v>
      </c>
      <c r="E190">
        <f>D190*B166/100</f>
        <v>3984.86375</v>
      </c>
      <c r="F190" s="29">
        <f>E190*4</f>
        <v>15939.455</v>
      </c>
    </row>
    <row r="191" spans="1:12" x14ac:dyDescent="0.25">
      <c r="A191" s="194" t="s">
        <v>462</v>
      </c>
      <c r="B191" s="195">
        <v>193450.36</v>
      </c>
      <c r="C191" s="3" t="s">
        <v>506</v>
      </c>
    </row>
    <row r="192" spans="1:12" x14ac:dyDescent="0.25">
      <c r="A192" s="113" t="s">
        <v>489</v>
      </c>
      <c r="B192" s="107">
        <f>47*450</f>
        <v>21150</v>
      </c>
      <c r="C192" s="192" t="s">
        <v>490</v>
      </c>
      <c r="D192" s="193">
        <f>30*450</f>
        <v>13500</v>
      </c>
    </row>
    <row r="193" spans="1:8" x14ac:dyDescent="0.25">
      <c r="A193" s="182" t="s">
        <v>491</v>
      </c>
      <c r="B193" s="162">
        <v>187</v>
      </c>
      <c r="C193" t="s">
        <v>492</v>
      </c>
    </row>
    <row r="194" spans="1:8" x14ac:dyDescent="0.25">
      <c r="A194" s="182" t="s">
        <v>493</v>
      </c>
      <c r="B194" s="162">
        <f>66*0.87</f>
        <v>57.42</v>
      </c>
      <c r="C194" s="3" t="s">
        <v>494</v>
      </c>
    </row>
    <row r="195" spans="1:8" x14ac:dyDescent="0.25">
      <c r="A195" s="163" t="s">
        <v>202</v>
      </c>
      <c r="B195" s="164">
        <v>15.15</v>
      </c>
      <c r="H195" s="29">
        <f>B166-F190</f>
        <v>97913.794999999998</v>
      </c>
    </row>
    <row r="196" spans="1:8" x14ac:dyDescent="0.25">
      <c r="A196" s="163" t="s">
        <v>207</v>
      </c>
      <c r="B196" s="164">
        <v>26.41</v>
      </c>
    </row>
    <row r="197" spans="1:8" x14ac:dyDescent="0.25">
      <c r="A197" s="163" t="s">
        <v>459</v>
      </c>
      <c r="B197" s="164">
        <v>4.45</v>
      </c>
    </row>
    <row r="198" spans="1:8" x14ac:dyDescent="0.25">
      <c r="A198" s="156" t="s">
        <v>429</v>
      </c>
      <c r="B198" s="165">
        <v>851.94</v>
      </c>
    </row>
    <row r="199" spans="1:8" x14ac:dyDescent="0.25">
      <c r="A199" s="156" t="s">
        <v>440</v>
      </c>
      <c r="B199" s="165">
        <v>1418.05</v>
      </c>
      <c r="D199" s="29">
        <f>SUM(B199:B200)</f>
        <v>3442.31</v>
      </c>
    </row>
    <row r="200" spans="1:8" x14ac:dyDescent="0.25">
      <c r="A200" s="156" t="s">
        <v>441</v>
      </c>
      <c r="B200" s="165">
        <v>2024.26</v>
      </c>
    </row>
    <row r="201" spans="1:8" x14ac:dyDescent="0.25">
      <c r="A201" s="161" t="s">
        <v>497</v>
      </c>
      <c r="B201" s="173">
        <v>4799</v>
      </c>
    </row>
    <row r="202" spans="1:8" x14ac:dyDescent="0.25">
      <c r="A202" s="161" t="s">
        <v>437</v>
      </c>
      <c r="B202" s="173">
        <v>3790</v>
      </c>
    </row>
    <row r="203" spans="1:8" x14ac:dyDescent="0.25">
      <c r="A203" s="144" t="s">
        <v>455</v>
      </c>
      <c r="B203" s="141">
        <v>70409.23</v>
      </c>
    </row>
    <row r="204" spans="1:8" x14ac:dyDescent="0.25">
      <c r="A204" s="144" t="s">
        <v>460</v>
      </c>
      <c r="B204" s="141">
        <v>178525.58</v>
      </c>
    </row>
    <row r="205" spans="1:8" ht="15" customHeight="1" thickBot="1" x14ac:dyDescent="0.3">
      <c r="A205" s="159"/>
      <c r="B205" s="160">
        <f>SUM(B188:B204)</f>
        <v>634702.6449999999</v>
      </c>
      <c r="D205" s="29">
        <f>B205-B151</f>
        <v>80369.114999999991</v>
      </c>
    </row>
    <row r="207" spans="1:8" x14ac:dyDescent="0.25">
      <c r="C207" s="3" t="s">
        <v>507</v>
      </c>
      <c r="D207" s="29">
        <f>B181-B203</f>
        <v>580232.87</v>
      </c>
    </row>
    <row r="208" spans="1:8" x14ac:dyDescent="0.25">
      <c r="C208" s="3" t="s">
        <v>508</v>
      </c>
      <c r="D208" s="29">
        <f>B205-B151</f>
        <v>80369.114999999991</v>
      </c>
    </row>
    <row r="212" spans="1:11" s="15" customFormat="1" x14ac:dyDescent="0.25">
      <c r="A212" s="508">
        <v>2026</v>
      </c>
      <c r="B212" s="509"/>
      <c r="C212" s="509"/>
      <c r="D212" s="509"/>
      <c r="E212" s="509"/>
      <c r="F212" s="509"/>
      <c r="G212" s="509"/>
    </row>
    <row r="214" spans="1:11" ht="15" customHeight="1" thickBot="1" x14ac:dyDescent="0.3">
      <c r="F214" t="s">
        <v>509</v>
      </c>
    </row>
    <row r="215" spans="1:11" ht="20.25" customHeight="1" thickBot="1" x14ac:dyDescent="0.3">
      <c r="A215" s="495" t="s">
        <v>60</v>
      </c>
      <c r="B215" s="496"/>
      <c r="F215" s="258" t="s">
        <v>510</v>
      </c>
      <c r="G215" s="259" t="s">
        <v>511</v>
      </c>
      <c r="H215" s="260" t="s">
        <v>512</v>
      </c>
      <c r="I215" s="259" t="s">
        <v>190</v>
      </c>
      <c r="J215" s="260" t="s">
        <v>513</v>
      </c>
      <c r="K215" s="261" t="s">
        <v>11</v>
      </c>
    </row>
    <row r="216" spans="1:11" ht="15" customHeight="1" thickBot="1" x14ac:dyDescent="0.3">
      <c r="A216" s="237" t="s">
        <v>456</v>
      </c>
      <c r="B216" s="222">
        <v>2026</v>
      </c>
      <c r="F216" s="262" t="s">
        <v>46</v>
      </c>
      <c r="G216" s="263" t="s">
        <v>475</v>
      </c>
      <c r="H216" s="264">
        <v>5462.5</v>
      </c>
      <c r="I216" s="265">
        <v>46195</v>
      </c>
      <c r="J216" s="264">
        <v>8</v>
      </c>
      <c r="K216" s="266">
        <v>9</v>
      </c>
    </row>
    <row r="217" spans="1:11" x14ac:dyDescent="0.25">
      <c r="A217" s="238" t="s">
        <v>451</v>
      </c>
      <c r="B217" s="170">
        <v>31800</v>
      </c>
      <c r="F217" s="262" t="s">
        <v>46</v>
      </c>
      <c r="G217" s="263" t="s">
        <v>474</v>
      </c>
      <c r="H217" s="264">
        <v>4750</v>
      </c>
      <c r="I217" s="265">
        <v>46460</v>
      </c>
      <c r="J217" s="264">
        <v>8.5</v>
      </c>
      <c r="K217" s="266">
        <v>8.75</v>
      </c>
    </row>
    <row r="218" spans="1:11" x14ac:dyDescent="0.25">
      <c r="A218" s="239" t="s">
        <v>514</v>
      </c>
      <c r="B218" s="242">
        <v>24270.62</v>
      </c>
      <c r="F218" s="262" t="s">
        <v>46</v>
      </c>
      <c r="G218" s="263" t="s">
        <v>451</v>
      </c>
      <c r="H218" s="264">
        <v>21491.5</v>
      </c>
      <c r="I218" s="265">
        <v>46629</v>
      </c>
      <c r="J218" s="264">
        <v>8.5</v>
      </c>
      <c r="K218" s="266">
        <v>8.5</v>
      </c>
    </row>
    <row r="219" spans="1:11" x14ac:dyDescent="0.25">
      <c r="A219" s="161" t="s">
        <v>515</v>
      </c>
      <c r="B219" s="111">
        <f>3195.82+24236.4</f>
        <v>27432.22</v>
      </c>
      <c r="F219" s="262" t="s">
        <v>46</v>
      </c>
      <c r="G219" s="263" t="s">
        <v>515</v>
      </c>
      <c r="H219" s="264">
        <v>27098.76</v>
      </c>
      <c r="I219" s="265">
        <v>46731</v>
      </c>
      <c r="J219" s="264">
        <v>9</v>
      </c>
      <c r="K219" s="266">
        <v>12</v>
      </c>
    </row>
    <row r="220" spans="1:11" x14ac:dyDescent="0.25">
      <c r="A220" s="190" t="s">
        <v>486</v>
      </c>
      <c r="B220" s="388">
        <f>18830.03 + 12133.38</f>
        <v>30963.409999999996</v>
      </c>
      <c r="F220" s="262" t="s">
        <v>46</v>
      </c>
      <c r="G220" s="263" t="s">
        <v>514</v>
      </c>
      <c r="H220" s="264">
        <v>16947.3</v>
      </c>
      <c r="I220" s="265">
        <v>46882</v>
      </c>
      <c r="J220" s="264">
        <v>9</v>
      </c>
      <c r="K220" s="266">
        <v>11.5</v>
      </c>
    </row>
    <row r="221" spans="1:11" x14ac:dyDescent="0.25">
      <c r="A221" s="240" t="s">
        <v>489</v>
      </c>
      <c r="B221" s="388">
        <v>21150</v>
      </c>
      <c r="C221" s="192" t="s">
        <v>516</v>
      </c>
      <c r="D221" s="193">
        <f>47*400</f>
        <v>18800</v>
      </c>
      <c r="F221" s="262" t="s">
        <v>46</v>
      </c>
      <c r="G221" s="263" t="s">
        <v>517</v>
      </c>
      <c r="H221" s="264">
        <v>2986.57</v>
      </c>
      <c r="I221" s="265">
        <v>47099</v>
      </c>
      <c r="J221" s="264">
        <v>8.5</v>
      </c>
      <c r="K221" s="266">
        <v>12</v>
      </c>
    </row>
    <row r="222" spans="1:11" x14ac:dyDescent="0.25">
      <c r="A222" s="241" t="s">
        <v>491</v>
      </c>
      <c r="B222" s="388">
        <v>187</v>
      </c>
      <c r="C222" t="s">
        <v>518</v>
      </c>
      <c r="F222" s="262" t="s">
        <v>46</v>
      </c>
      <c r="G222" s="263" t="s">
        <v>519</v>
      </c>
      <c r="H222" s="264">
        <v>12046.8</v>
      </c>
      <c r="I222" s="265">
        <v>48579</v>
      </c>
      <c r="J222" s="264">
        <v>6</v>
      </c>
      <c r="K222" s="266">
        <v>12.45</v>
      </c>
    </row>
    <row r="223" spans="1:11" x14ac:dyDescent="0.25">
      <c r="A223" s="179" t="s">
        <v>493</v>
      </c>
      <c r="B223" s="31">
        <f>17700*1.12</f>
        <v>19824.000000000004</v>
      </c>
      <c r="C223" s="3" t="s">
        <v>520</v>
      </c>
      <c r="F223" s="262" t="s">
        <v>46</v>
      </c>
      <c r="G223" s="263" t="s">
        <v>521</v>
      </c>
      <c r="H223" s="264">
        <v>170</v>
      </c>
      <c r="I223" s="265">
        <v>48579</v>
      </c>
      <c r="J223" s="264">
        <v>1</v>
      </c>
      <c r="K223" s="266">
        <v>1</v>
      </c>
    </row>
    <row r="224" spans="1:11" x14ac:dyDescent="0.25">
      <c r="A224" s="182" t="s">
        <v>462</v>
      </c>
      <c r="B224" s="162">
        <v>300416.17</v>
      </c>
      <c r="F224" s="262" t="s">
        <v>46</v>
      </c>
      <c r="G224" s="263" t="s">
        <v>522</v>
      </c>
      <c r="H224" s="264">
        <v>816.84</v>
      </c>
      <c r="I224" s="265">
        <v>49309</v>
      </c>
      <c r="J224" s="264">
        <v>1</v>
      </c>
      <c r="K224" s="266">
        <v>1</v>
      </c>
    </row>
    <row r="225" spans="1:11" x14ac:dyDescent="0.25">
      <c r="A225" s="163" t="s">
        <v>202</v>
      </c>
      <c r="B225" s="388">
        <v>32.1</v>
      </c>
      <c r="F225" s="262" t="s">
        <v>46</v>
      </c>
      <c r="G225" s="263" t="s">
        <v>523</v>
      </c>
      <c r="H225" s="264">
        <v>319.58999999999997</v>
      </c>
      <c r="I225" s="265">
        <v>49309</v>
      </c>
      <c r="J225" s="264">
        <v>1</v>
      </c>
      <c r="K225" s="266">
        <v>1</v>
      </c>
    </row>
    <row r="226" spans="1:11" x14ac:dyDescent="0.25">
      <c r="A226" s="163" t="s">
        <v>207</v>
      </c>
      <c r="B226" s="388">
        <v>3.44</v>
      </c>
      <c r="D226" s="29">
        <f>B223-H235</f>
        <v>4211.2700000000041</v>
      </c>
      <c r="F226" s="254" t="s">
        <v>48</v>
      </c>
      <c r="G226" s="255" t="s">
        <v>517</v>
      </c>
      <c r="H226" s="256">
        <v>12133.38</v>
      </c>
      <c r="I226" s="257">
        <v>47099</v>
      </c>
      <c r="J226" s="254">
        <v>8.5</v>
      </c>
      <c r="K226" s="255">
        <v>12</v>
      </c>
    </row>
    <row r="227" spans="1:11" x14ac:dyDescent="0.25">
      <c r="A227" s="163" t="s">
        <v>459</v>
      </c>
      <c r="B227" s="388">
        <v>5.16</v>
      </c>
      <c r="F227" s="267"/>
      <c r="G227" s="268"/>
      <c r="H227" s="269"/>
      <c r="I227" s="270"/>
      <c r="J227" s="269"/>
      <c r="K227" s="271"/>
    </row>
    <row r="228" spans="1:11" x14ac:dyDescent="0.25">
      <c r="A228" s="163" t="s">
        <v>524</v>
      </c>
      <c r="B228" s="164">
        <v>-4424.09</v>
      </c>
      <c r="F228" s="243" t="s">
        <v>47</v>
      </c>
      <c r="G228" s="243" t="s">
        <v>515</v>
      </c>
      <c r="H228" s="244">
        <v>3195.82</v>
      </c>
      <c r="I228" s="245">
        <v>46255</v>
      </c>
      <c r="J228" s="243">
        <v>10</v>
      </c>
      <c r="K228" s="243">
        <v>10</v>
      </c>
    </row>
    <row r="229" spans="1:11" x14ac:dyDescent="0.25">
      <c r="A229" s="156" t="s">
        <v>525</v>
      </c>
      <c r="B229" s="165">
        <v>-1898.17</v>
      </c>
      <c r="F229" s="246" t="s">
        <v>47</v>
      </c>
      <c r="G229" s="247" t="s">
        <v>451</v>
      </c>
      <c r="H229" s="247">
        <v>31800</v>
      </c>
      <c r="I229" s="248">
        <v>46629</v>
      </c>
      <c r="J229" s="247">
        <v>8.5</v>
      </c>
      <c r="K229" s="249">
        <v>8.5</v>
      </c>
    </row>
    <row r="230" spans="1:11" ht="15" customHeight="1" thickBot="1" x14ac:dyDescent="0.3">
      <c r="A230" s="156" t="s">
        <v>429</v>
      </c>
      <c r="B230" s="388">
        <v>11.41</v>
      </c>
      <c r="F230" s="250" t="s">
        <v>47</v>
      </c>
      <c r="G230" s="251" t="s">
        <v>514</v>
      </c>
      <c r="H230" s="251">
        <v>24270.62</v>
      </c>
      <c r="I230" s="252">
        <v>46788</v>
      </c>
      <c r="J230" s="251">
        <v>9</v>
      </c>
      <c r="K230" s="253">
        <v>11.5</v>
      </c>
    </row>
    <row r="231" spans="1:11" x14ac:dyDescent="0.25">
      <c r="A231" s="156" t="s">
        <v>440</v>
      </c>
      <c r="B231" s="388">
        <v>13.96</v>
      </c>
      <c r="C231" s="491">
        <f>SUM(B231:B232)</f>
        <v>24.28</v>
      </c>
      <c r="D231" t="s">
        <v>526</v>
      </c>
      <c r="F231" s="243" t="s">
        <v>47</v>
      </c>
      <c r="G231" s="243" t="s">
        <v>515</v>
      </c>
      <c r="H231" s="244">
        <v>24236.400000000001</v>
      </c>
      <c r="I231" s="245">
        <v>46851</v>
      </c>
      <c r="J231" s="243">
        <v>9</v>
      </c>
      <c r="K231" s="243">
        <v>11.5</v>
      </c>
    </row>
    <row r="232" spans="1:11" ht="15" customHeight="1" thickBot="1" x14ac:dyDescent="0.3">
      <c r="A232" s="156" t="s">
        <v>441</v>
      </c>
      <c r="B232" s="388">
        <v>10.32</v>
      </c>
      <c r="C232" s="492"/>
      <c r="F232" s="254" t="s">
        <v>47</v>
      </c>
      <c r="G232" s="255" t="s">
        <v>517</v>
      </c>
      <c r="H232" s="256">
        <v>18830.03</v>
      </c>
      <c r="I232" s="257">
        <v>47099</v>
      </c>
      <c r="J232" s="254">
        <v>8.5</v>
      </c>
      <c r="K232" s="255">
        <v>12</v>
      </c>
    </row>
    <row r="233" spans="1:11" x14ac:dyDescent="0.25">
      <c r="A233" s="161" t="s">
        <v>497</v>
      </c>
      <c r="B233" s="173">
        <v>4799</v>
      </c>
      <c r="C233" s="504">
        <f>SUM(B233:B234)</f>
        <v>8589</v>
      </c>
      <c r="F233" s="272" t="s">
        <v>47</v>
      </c>
      <c r="G233" s="273" t="s">
        <v>519</v>
      </c>
      <c r="H233" s="274">
        <v>18878.439999999999</v>
      </c>
      <c r="I233" s="275">
        <v>48579</v>
      </c>
      <c r="J233" s="274">
        <v>6</v>
      </c>
      <c r="K233" s="276">
        <v>12.45</v>
      </c>
    </row>
    <row r="234" spans="1:11" ht="15" customHeight="1" thickBot="1" x14ac:dyDescent="0.3">
      <c r="A234" s="161" t="s">
        <v>437</v>
      </c>
      <c r="B234" s="173">
        <v>3790</v>
      </c>
      <c r="C234" s="492"/>
      <c r="F234" s="277" t="s">
        <v>47</v>
      </c>
      <c r="G234" s="278" t="s">
        <v>521</v>
      </c>
      <c r="H234" s="279">
        <v>170</v>
      </c>
      <c r="I234" s="280">
        <v>48579</v>
      </c>
      <c r="J234" s="279">
        <v>1</v>
      </c>
      <c r="K234" s="281">
        <v>1</v>
      </c>
    </row>
    <row r="235" spans="1:11" x14ac:dyDescent="0.25">
      <c r="A235" s="144" t="s">
        <v>455</v>
      </c>
      <c r="B235" s="141">
        <v>77175.64</v>
      </c>
      <c r="C235" s="510">
        <f>SUM(B235:B236)</f>
        <v>254511.89</v>
      </c>
      <c r="F235" s="282" t="s">
        <v>47</v>
      </c>
      <c r="G235" s="283" t="s">
        <v>523</v>
      </c>
      <c r="H235" s="284">
        <v>15612.73</v>
      </c>
      <c r="I235" s="285">
        <v>49309</v>
      </c>
      <c r="J235" s="284">
        <v>1</v>
      </c>
      <c r="K235" s="286">
        <v>1</v>
      </c>
    </row>
    <row r="236" spans="1:11" ht="15" customHeight="1" thickBot="1" x14ac:dyDescent="0.3">
      <c r="A236" s="144" t="s">
        <v>460</v>
      </c>
      <c r="B236" s="141">
        <v>177336.25</v>
      </c>
      <c r="C236" s="492"/>
      <c r="F236" s="262" t="s">
        <v>47</v>
      </c>
      <c r="G236" s="263" t="s">
        <v>527</v>
      </c>
      <c r="H236" s="264">
        <v>255</v>
      </c>
      <c r="I236" s="265">
        <v>49309</v>
      </c>
      <c r="J236" s="264">
        <v>1</v>
      </c>
      <c r="K236" s="266">
        <v>1</v>
      </c>
    </row>
    <row r="237" spans="1:11" ht="15" customHeight="1" thickBot="1" x14ac:dyDescent="0.3">
      <c r="A237" s="159"/>
      <c r="B237" s="160">
        <f>SUM(B217:B236)</f>
        <v>712898.44</v>
      </c>
      <c r="F237" s="287" t="s">
        <v>413</v>
      </c>
      <c r="G237" s="288"/>
      <c r="H237" s="289">
        <v>241472.28</v>
      </c>
      <c r="I237" s="290" t="s">
        <v>528</v>
      </c>
      <c r="J237" s="289"/>
      <c r="K237" s="291"/>
    </row>
    <row r="238" spans="1:11" x14ac:dyDescent="0.25">
      <c r="B238" s="109"/>
    </row>
    <row r="239" spans="1:11" ht="15" customHeight="1" thickBot="1" x14ac:dyDescent="0.3">
      <c r="B239" s="109"/>
      <c r="F239" t="s">
        <v>529</v>
      </c>
      <c r="H239">
        <f>139934.5</f>
        <v>139934.5</v>
      </c>
      <c r="J239" s="29">
        <f>H241-H239</f>
        <v>10529.149999999994</v>
      </c>
    </row>
    <row r="240" spans="1:11" ht="15" customHeight="1" thickBot="1" x14ac:dyDescent="0.3">
      <c r="F240" s="138" t="s">
        <v>499</v>
      </c>
      <c r="G240" s="228" t="s">
        <v>500</v>
      </c>
      <c r="H240" s="229" t="s">
        <v>501</v>
      </c>
      <c r="I240" s="230"/>
      <c r="J240">
        <v>295795.43</v>
      </c>
    </row>
    <row r="241" spans="1:10" ht="15" customHeight="1" thickBot="1" x14ac:dyDescent="0.3">
      <c r="A241" s="495" t="s">
        <v>530</v>
      </c>
      <c r="B241" s="496"/>
      <c r="F241" s="231" t="s">
        <v>502</v>
      </c>
      <c r="G241" s="227" t="s">
        <v>46</v>
      </c>
      <c r="H241" s="292">
        <v>150463.65</v>
      </c>
      <c r="I241" s="141"/>
      <c r="J241" s="29">
        <f>J240-H243</f>
        <v>10529.149999999965</v>
      </c>
    </row>
    <row r="242" spans="1:10" ht="15" customHeight="1" thickBot="1" x14ac:dyDescent="0.3">
      <c r="A242" s="237" t="s">
        <v>456</v>
      </c>
      <c r="B242" s="222">
        <v>2026</v>
      </c>
      <c r="F242" s="235" t="s">
        <v>502</v>
      </c>
      <c r="G242" s="236" t="s">
        <v>48</v>
      </c>
      <c r="H242" s="293">
        <v>15149.89</v>
      </c>
      <c r="I242" s="514">
        <f>SUM(H242:H243)</f>
        <v>300416.17000000004</v>
      </c>
    </row>
    <row r="243" spans="1:10" x14ac:dyDescent="0.25">
      <c r="A243" s="238" t="s">
        <v>451</v>
      </c>
      <c r="B243" s="170">
        <v>31800</v>
      </c>
      <c r="F243" s="235" t="s">
        <v>502</v>
      </c>
      <c r="G243" s="236" t="s">
        <v>47</v>
      </c>
      <c r="H243" s="293">
        <v>285266.28000000003</v>
      </c>
      <c r="I243" s="512"/>
    </row>
    <row r="244" spans="1:10" x14ac:dyDescent="0.25">
      <c r="A244" s="239" t="s">
        <v>514</v>
      </c>
      <c r="B244" s="242">
        <v>24270.62</v>
      </c>
      <c r="F244" s="231" t="s">
        <v>503</v>
      </c>
      <c r="G244" s="227" t="s">
        <v>46</v>
      </c>
      <c r="H244" s="292">
        <v>92089.86</v>
      </c>
      <c r="I244" s="141"/>
    </row>
    <row r="245" spans="1:10" x14ac:dyDescent="0.25">
      <c r="A245" s="161" t="s">
        <v>515</v>
      </c>
      <c r="B245" s="111">
        <f>3195.82+24236.4</f>
        <v>27432.22</v>
      </c>
      <c r="F245" s="231" t="s">
        <v>503</v>
      </c>
      <c r="G245" s="227" t="s">
        <v>48</v>
      </c>
      <c r="H245" s="292">
        <v>12133.38</v>
      </c>
      <c r="I245" s="511">
        <f>SUM(H245:H246)</f>
        <v>149382.42000000001</v>
      </c>
    </row>
    <row r="246" spans="1:10" x14ac:dyDescent="0.25">
      <c r="A246" s="190" t="s">
        <v>486</v>
      </c>
      <c r="B246" s="184">
        <f>18830.03 + 12133.38</f>
        <v>30963.409999999996</v>
      </c>
      <c r="F246" s="231" t="s">
        <v>503</v>
      </c>
      <c r="G246" s="227" t="s">
        <v>47</v>
      </c>
      <c r="H246" s="292">
        <v>137249.04</v>
      </c>
      <c r="I246" s="512"/>
    </row>
    <row r="247" spans="1:10" ht="15" customHeight="1" thickBot="1" x14ac:dyDescent="0.3">
      <c r="A247" s="240" t="s">
        <v>489</v>
      </c>
      <c r="B247" s="388">
        <v>21150</v>
      </c>
      <c r="C247" s="192" t="s">
        <v>516</v>
      </c>
      <c r="D247" s="193">
        <f>47*400</f>
        <v>18800</v>
      </c>
      <c r="F247" s="232"/>
      <c r="G247" s="233" t="s">
        <v>413</v>
      </c>
      <c r="H247" s="294">
        <v>692352.1</v>
      </c>
      <c r="I247" s="234"/>
    </row>
    <row r="248" spans="1:10" x14ac:dyDescent="0.25">
      <c r="A248" s="241" t="s">
        <v>491</v>
      </c>
      <c r="B248" s="388">
        <v>187</v>
      </c>
      <c r="C248" t="s">
        <v>518</v>
      </c>
      <c r="F248" s="29">
        <f>E245*4</f>
        <v>0</v>
      </c>
    </row>
    <row r="249" spans="1:10" x14ac:dyDescent="0.25">
      <c r="A249" s="179" t="s">
        <v>493</v>
      </c>
      <c r="B249" s="388">
        <f>17700*1.12</f>
        <v>19824.000000000004</v>
      </c>
      <c r="C249" s="3" t="s">
        <v>520</v>
      </c>
    </row>
    <row r="250" spans="1:10" x14ac:dyDescent="0.25">
      <c r="A250" s="182" t="s">
        <v>462</v>
      </c>
      <c r="B250" s="162">
        <v>300416.17</v>
      </c>
    </row>
    <row r="251" spans="1:10" x14ac:dyDescent="0.25">
      <c r="A251" s="163" t="s">
        <v>202</v>
      </c>
      <c r="B251" s="164">
        <v>32.1</v>
      </c>
    </row>
    <row r="252" spans="1:10" x14ac:dyDescent="0.25">
      <c r="A252" s="163" t="s">
        <v>207</v>
      </c>
      <c r="B252" s="164">
        <v>3.44</v>
      </c>
      <c r="D252" s="29">
        <f>B249-H261</f>
        <v>19824.000000000004</v>
      </c>
    </row>
    <row r="253" spans="1:10" x14ac:dyDescent="0.25">
      <c r="A253" s="163" t="s">
        <v>459</v>
      </c>
      <c r="B253" s="164">
        <v>5.16</v>
      </c>
      <c r="H253" s="29">
        <f>B220-F248</f>
        <v>30963.409999999996</v>
      </c>
    </row>
    <row r="254" spans="1:10" x14ac:dyDescent="0.25">
      <c r="A254" s="163" t="s">
        <v>524</v>
      </c>
      <c r="B254" s="164">
        <v>-4424.09</v>
      </c>
    </row>
    <row r="255" spans="1:10" x14ac:dyDescent="0.25">
      <c r="A255" s="156" t="s">
        <v>525</v>
      </c>
      <c r="B255" s="165">
        <v>-1898.17</v>
      </c>
    </row>
    <row r="256" spans="1:10" ht="15" customHeight="1" thickBot="1" x14ac:dyDescent="0.3">
      <c r="A256" s="156" t="s">
        <v>429</v>
      </c>
      <c r="B256" s="165">
        <v>11.41</v>
      </c>
    </row>
    <row r="257" spans="1:3" x14ac:dyDescent="0.25">
      <c r="A257" s="156" t="s">
        <v>440</v>
      </c>
      <c r="B257" s="165">
        <v>13.96</v>
      </c>
      <c r="C257" s="491">
        <f>SUM(B257:B258)</f>
        <v>24.28</v>
      </c>
    </row>
    <row r="258" spans="1:3" ht="15" customHeight="1" thickBot="1" x14ac:dyDescent="0.3">
      <c r="A258" s="156" t="s">
        <v>441</v>
      </c>
      <c r="B258" s="165">
        <v>10.32</v>
      </c>
      <c r="C258" s="492"/>
    </row>
    <row r="259" spans="1:3" x14ac:dyDescent="0.25">
      <c r="A259" s="161" t="s">
        <v>497</v>
      </c>
      <c r="B259" s="173">
        <v>4799</v>
      </c>
      <c r="C259" s="504">
        <f>SUM(B259:B260)</f>
        <v>8589</v>
      </c>
    </row>
    <row r="260" spans="1:3" ht="15" customHeight="1" thickBot="1" x14ac:dyDescent="0.3">
      <c r="A260" s="161" t="s">
        <v>437</v>
      </c>
      <c r="B260" s="173">
        <v>3790</v>
      </c>
      <c r="C260" s="492"/>
    </row>
    <row r="261" spans="1:3" x14ac:dyDescent="0.25">
      <c r="A261" s="144" t="s">
        <v>455</v>
      </c>
      <c r="B261" s="141"/>
      <c r="C261" s="510">
        <f>SUM(B261:B262)</f>
        <v>177336.25</v>
      </c>
    </row>
    <row r="262" spans="1:3" ht="15" customHeight="1" thickBot="1" x14ac:dyDescent="0.3">
      <c r="A262" s="144" t="s">
        <v>460</v>
      </c>
      <c r="B262" s="141">
        <v>177336.25</v>
      </c>
      <c r="C262" s="492"/>
    </row>
    <row r="263" spans="1:3" ht="15" customHeight="1" thickBot="1" x14ac:dyDescent="0.3">
      <c r="A263" s="159"/>
      <c r="B263" s="160">
        <f>SUM(B243:B262)-B261</f>
        <v>635722.79999999993</v>
      </c>
    </row>
  </sheetData>
  <mergeCells count="31">
    <mergeCell ref="C261:C262"/>
    <mergeCell ref="C257:C258"/>
    <mergeCell ref="C259:C260"/>
    <mergeCell ref="I245:I246"/>
    <mergeCell ref="C145:C146"/>
    <mergeCell ref="C179:C180"/>
    <mergeCell ref="C235:C236"/>
    <mergeCell ref="C147:C148"/>
    <mergeCell ref="I187:I188"/>
    <mergeCell ref="I242:I243"/>
    <mergeCell ref="A241:B241"/>
    <mergeCell ref="C112:C113"/>
    <mergeCell ref="I147:I148"/>
    <mergeCell ref="I164:I171"/>
    <mergeCell ref="C177:C178"/>
    <mergeCell ref="I175:I176"/>
    <mergeCell ref="I136:I143"/>
    <mergeCell ref="I184:I185"/>
    <mergeCell ref="C123:C124"/>
    <mergeCell ref="C149:C150"/>
    <mergeCell ref="C125:C126"/>
    <mergeCell ref="A212:G212"/>
    <mergeCell ref="A215:B215"/>
    <mergeCell ref="C233:C234"/>
    <mergeCell ref="C67:C69"/>
    <mergeCell ref="C175:C176"/>
    <mergeCell ref="C231:C232"/>
    <mergeCell ref="C121:C122"/>
    <mergeCell ref="C97:C98"/>
    <mergeCell ref="C99:C100"/>
    <mergeCell ref="C101:C102"/>
  </mergeCells>
  <pageMargins left="0.7" right="0.7" top="0.75" bottom="0.75" header="0.3" footer="0.3"/>
  <pageSetup paperSize="9" orientation="portrait" horizontalDpi="360" verticalDpi="360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1"/>
  <dimension ref="A1:N62"/>
  <sheetViews>
    <sheetView topLeftCell="A28" workbookViewId="0">
      <selection activeCell="N49" sqref="N49"/>
    </sheetView>
  </sheetViews>
  <sheetFormatPr baseColWidth="10" defaultRowHeight="15" x14ac:dyDescent="0.25"/>
  <cols>
    <col min="2" max="2" width="13.5703125" bestFit="1" customWidth="1"/>
    <col min="9" max="9" width="14.28515625" bestFit="1" customWidth="1"/>
  </cols>
  <sheetData>
    <row r="1" spans="2:4" x14ac:dyDescent="0.25">
      <c r="B1">
        <v>82500</v>
      </c>
      <c r="C1">
        <v>460.63</v>
      </c>
      <c r="D1">
        <f>C1*12</f>
        <v>5527.5599999999995</v>
      </c>
    </row>
    <row r="2" spans="2:4" x14ac:dyDescent="0.25">
      <c r="B2">
        <v>100</v>
      </c>
      <c r="D2">
        <f>B2*D1/B1</f>
        <v>6.700072727272727</v>
      </c>
    </row>
    <row r="5" spans="2:4" x14ac:dyDescent="0.25">
      <c r="B5" s="176">
        <f>36694.22+1*183.47</f>
        <v>36877.69</v>
      </c>
      <c r="C5">
        <v>183.47</v>
      </c>
      <c r="D5">
        <f>C5*12</f>
        <v>2201.64</v>
      </c>
    </row>
    <row r="6" spans="2:4" x14ac:dyDescent="0.25">
      <c r="B6">
        <v>100</v>
      </c>
      <c r="D6" s="175">
        <f>B6*D5/B5</f>
        <v>5.9701136378119122</v>
      </c>
    </row>
    <row r="10" spans="2:4" x14ac:dyDescent="0.25">
      <c r="B10">
        <v>42500</v>
      </c>
    </row>
    <row r="13" spans="2:4" x14ac:dyDescent="0.25">
      <c r="B13">
        <f>B1+B10</f>
        <v>125000</v>
      </c>
    </row>
    <row r="16" spans="2:4" x14ac:dyDescent="0.25">
      <c r="B16" t="s">
        <v>531</v>
      </c>
      <c r="C16">
        <v>5.75</v>
      </c>
    </row>
    <row r="17" spans="1:11" x14ac:dyDescent="0.25">
      <c r="B17" t="s">
        <v>532</v>
      </c>
      <c r="C17">
        <v>5.5</v>
      </c>
    </row>
    <row r="18" spans="1:11" x14ac:dyDescent="0.25">
      <c r="B18" t="s">
        <v>533</v>
      </c>
      <c r="C18">
        <v>5.48</v>
      </c>
    </row>
    <row r="19" spans="1:11" x14ac:dyDescent="0.25">
      <c r="B19" t="s">
        <v>534</v>
      </c>
      <c r="C19">
        <v>5.35</v>
      </c>
    </row>
    <row r="23" spans="1:11" x14ac:dyDescent="0.25">
      <c r="B23">
        <v>125000</v>
      </c>
      <c r="C23">
        <v>5.5</v>
      </c>
      <c r="D23">
        <f>B23*C23/100</f>
        <v>6875</v>
      </c>
      <c r="E23">
        <f>D23/12</f>
        <v>572.91666666666663</v>
      </c>
    </row>
    <row r="25" spans="1:11" x14ac:dyDescent="0.25">
      <c r="B25">
        <v>42500</v>
      </c>
      <c r="C25">
        <v>5.75</v>
      </c>
      <c r="D25">
        <f>B25*C25/100</f>
        <v>2443.75</v>
      </c>
      <c r="E25">
        <f>D25/12</f>
        <v>203.64583333333334</v>
      </c>
    </row>
    <row r="27" spans="1:11" x14ac:dyDescent="0.25">
      <c r="B27">
        <v>42500</v>
      </c>
      <c r="C27">
        <v>5.75</v>
      </c>
      <c r="D27">
        <f>B27*C27/100</f>
        <v>2443.75</v>
      </c>
      <c r="E27">
        <f>D27/12</f>
        <v>203.64583333333334</v>
      </c>
    </row>
    <row r="29" spans="1:11" x14ac:dyDescent="0.25">
      <c r="B29">
        <v>87434.74</v>
      </c>
      <c r="C29">
        <v>42565.26</v>
      </c>
    </row>
    <row r="30" spans="1:11" ht="15" customHeight="1" thickBot="1" x14ac:dyDescent="0.3"/>
    <row r="31" spans="1:11" ht="15" customHeight="1" thickBot="1" x14ac:dyDescent="0.3">
      <c r="A31" s="206"/>
      <c r="B31" s="200" t="s">
        <v>512</v>
      </c>
      <c r="C31" s="200" t="s">
        <v>535</v>
      </c>
      <c r="D31" s="200" t="s">
        <v>536</v>
      </c>
      <c r="E31" s="200" t="s">
        <v>69</v>
      </c>
      <c r="F31" s="214" t="s">
        <v>213</v>
      </c>
      <c r="G31" s="217" t="s">
        <v>512</v>
      </c>
      <c r="H31" s="221" t="s">
        <v>537</v>
      </c>
      <c r="I31" s="221" t="s">
        <v>538</v>
      </c>
      <c r="J31" s="221" t="s">
        <v>539</v>
      </c>
      <c r="K31" s="222" t="s">
        <v>540</v>
      </c>
    </row>
    <row r="32" spans="1:11" x14ac:dyDescent="0.25">
      <c r="A32" s="204" t="s">
        <v>138</v>
      </c>
      <c r="B32" s="205">
        <v>42565.26</v>
      </c>
      <c r="C32" s="132">
        <v>5.75</v>
      </c>
      <c r="D32" s="132">
        <f>B32*C32/100</f>
        <v>2447.5024500000004</v>
      </c>
      <c r="E32" s="132">
        <f>D32/12</f>
        <v>203.95853750000003</v>
      </c>
      <c r="F32" s="171">
        <f>E32</f>
        <v>203.95853750000003</v>
      </c>
      <c r="G32" s="523">
        <f>B32+B33</f>
        <v>47500.000000000007</v>
      </c>
      <c r="H32" s="517">
        <f>SUM(E32:E33)</f>
        <v>227.60416666666671</v>
      </c>
      <c r="I32" s="515" t="s">
        <v>541</v>
      </c>
      <c r="J32" s="524">
        <v>46001</v>
      </c>
      <c r="K32" s="516">
        <v>46365</v>
      </c>
    </row>
    <row r="33" spans="1:14" x14ac:dyDescent="0.25">
      <c r="A33" s="519" t="s">
        <v>44</v>
      </c>
      <c r="B33" s="207">
        <v>4934.7400000000052</v>
      </c>
      <c r="C33" s="27">
        <v>5.75</v>
      </c>
      <c r="D33" s="27">
        <f>B33*C33/100</f>
        <v>283.74755000000027</v>
      </c>
      <c r="E33" s="27">
        <f>D33/12</f>
        <v>23.645629166666691</v>
      </c>
      <c r="F33" s="521">
        <f>E33+E34</f>
        <v>484.27062916666671</v>
      </c>
      <c r="G33" s="520"/>
      <c r="H33" s="518"/>
      <c r="I33" s="503"/>
      <c r="J33" s="503"/>
      <c r="K33" s="512"/>
    </row>
    <row r="34" spans="1:14" ht="15" customHeight="1" thickBot="1" x14ac:dyDescent="0.3">
      <c r="A34" s="520"/>
      <c r="B34" s="208">
        <v>82500</v>
      </c>
      <c r="C34" s="209">
        <v>6.7</v>
      </c>
      <c r="D34" s="211">
        <f>B34*C34/100</f>
        <v>5527.5</v>
      </c>
      <c r="E34" s="211">
        <f>D34/12</f>
        <v>460.625</v>
      </c>
      <c r="F34" s="522"/>
      <c r="G34" s="218">
        <f>B34</f>
        <v>82500</v>
      </c>
      <c r="H34" s="226">
        <f>E34</f>
        <v>460.625</v>
      </c>
      <c r="I34" s="203" t="s">
        <v>542</v>
      </c>
      <c r="J34" s="219">
        <v>45748</v>
      </c>
      <c r="K34" s="220">
        <v>46112</v>
      </c>
    </row>
    <row r="35" spans="1:14" ht="15" customHeight="1" thickBot="1" x14ac:dyDescent="0.3">
      <c r="B35" s="210">
        <f>SUM(B32:B34)</f>
        <v>130000</v>
      </c>
      <c r="C35" s="29"/>
      <c r="D35" s="212">
        <f>SUM(D32:D34)</f>
        <v>8258.75</v>
      </c>
      <c r="E35" s="213">
        <f>SUM(E32:E34)</f>
        <v>688.22916666666674</v>
      </c>
      <c r="F35" s="215">
        <f>SUM(F32:F34)</f>
        <v>688.22916666666674</v>
      </c>
      <c r="G35" s="216">
        <f>SUM(G32:G34)</f>
        <v>130000</v>
      </c>
      <c r="H35" s="223">
        <f>SUM(H32:H34)</f>
        <v>688.22916666666674</v>
      </c>
      <c r="I35" s="224"/>
      <c r="J35" s="224"/>
      <c r="K35" s="225"/>
    </row>
    <row r="39" spans="1:14" x14ac:dyDescent="0.25">
      <c r="B39" t="s">
        <v>543</v>
      </c>
    </row>
    <row r="40" spans="1:14" x14ac:dyDescent="0.25">
      <c r="B40" t="s">
        <v>544</v>
      </c>
    </row>
    <row r="43" spans="1:14" x14ac:dyDescent="0.25">
      <c r="A43" s="32" t="s">
        <v>545</v>
      </c>
    </row>
    <row r="44" spans="1:14" ht="15" customHeight="1" thickBot="1" x14ac:dyDescent="0.3"/>
    <row r="45" spans="1:14" ht="15" customHeight="1" thickBot="1" x14ac:dyDescent="0.3">
      <c r="A45" s="206"/>
      <c r="B45" s="200" t="s">
        <v>512</v>
      </c>
      <c r="C45" s="200" t="s">
        <v>535</v>
      </c>
      <c r="D45" s="200" t="s">
        <v>536</v>
      </c>
      <c r="E45" s="200" t="s">
        <v>69</v>
      </c>
      <c r="F45" s="214" t="s">
        <v>213</v>
      </c>
      <c r="G45" s="217" t="s">
        <v>512</v>
      </c>
      <c r="H45" s="221" t="s">
        <v>537</v>
      </c>
      <c r="I45" s="221" t="s">
        <v>538</v>
      </c>
      <c r="J45" s="221" t="s">
        <v>539</v>
      </c>
      <c r="K45" s="222" t="s">
        <v>540</v>
      </c>
    </row>
    <row r="46" spans="1:14" ht="15" customHeight="1" thickBot="1" x14ac:dyDescent="0.3">
      <c r="A46" s="204" t="s">
        <v>138</v>
      </c>
      <c r="B46" s="205">
        <v>47500</v>
      </c>
      <c r="C46" s="132">
        <v>5.75</v>
      </c>
      <c r="D46" s="132">
        <f>B46*C46/100</f>
        <v>2731.25</v>
      </c>
      <c r="E46" s="132">
        <f>D46/12</f>
        <v>227.60416666666666</v>
      </c>
      <c r="F46" s="171">
        <f>E46</f>
        <v>227.60416666666666</v>
      </c>
      <c r="G46" s="297">
        <f>B46</f>
        <v>47500</v>
      </c>
      <c r="H46" s="298">
        <f>SUM(E46:E46)</f>
        <v>227.60416666666666</v>
      </c>
      <c r="I46" s="228" t="s">
        <v>541</v>
      </c>
      <c r="J46" s="299">
        <v>46001</v>
      </c>
      <c r="K46" s="300">
        <v>46365</v>
      </c>
    </row>
    <row r="47" spans="1:14" ht="15" customHeight="1" thickBot="1" x14ac:dyDescent="0.3">
      <c r="A47" s="296" t="s">
        <v>44</v>
      </c>
      <c r="B47" s="208">
        <v>87500</v>
      </c>
      <c r="C47" s="209">
        <v>5.75</v>
      </c>
      <c r="D47" s="211">
        <f>B47*C47/100</f>
        <v>5031.25</v>
      </c>
      <c r="E47" s="211">
        <f>D47/12</f>
        <v>419.27083333333331</v>
      </c>
      <c r="F47" s="295">
        <f>E47</f>
        <v>419.27083333333331</v>
      </c>
      <c r="G47" s="218">
        <f>B47</f>
        <v>87500</v>
      </c>
      <c r="H47" s="226">
        <f>E47</f>
        <v>419.27083333333331</v>
      </c>
      <c r="I47" s="228" t="s">
        <v>541</v>
      </c>
      <c r="J47" s="219">
        <v>46119</v>
      </c>
      <c r="K47" s="220">
        <v>46365</v>
      </c>
    </row>
    <row r="48" spans="1:14" ht="15" customHeight="1" thickBot="1" x14ac:dyDescent="0.3">
      <c r="A48" s="18" t="s">
        <v>213</v>
      </c>
      <c r="B48" s="210">
        <f>SUM(B46:B47)</f>
        <v>135000</v>
      </c>
      <c r="C48" s="29"/>
      <c r="D48" s="212">
        <f>SUM(D46:D47)</f>
        <v>7762.5</v>
      </c>
      <c r="E48" s="213">
        <f>SUM(E46:E47)</f>
        <v>646.875</v>
      </c>
      <c r="F48" s="215">
        <f>SUM(F46:F47)</f>
        <v>646.875</v>
      </c>
      <c r="G48" s="216">
        <f>SUM(G46:G47)</f>
        <v>135000</v>
      </c>
      <c r="H48" s="363">
        <f>SUM(H46:H47)</f>
        <v>646.875</v>
      </c>
      <c r="I48" s="224"/>
      <c r="J48" s="224"/>
      <c r="K48" s="225"/>
      <c r="N48" s="29">
        <f>H55-H47</f>
        <v>33.541666666666686</v>
      </c>
    </row>
    <row r="51" spans="1:11" x14ac:dyDescent="0.25">
      <c r="A51" t="s">
        <v>546</v>
      </c>
    </row>
    <row r="52" spans="1:11" ht="15.75" customHeight="1" thickBot="1" x14ac:dyDescent="0.3"/>
    <row r="53" spans="1:11" ht="15" customHeight="1" thickBot="1" x14ac:dyDescent="0.3">
      <c r="A53" s="206"/>
      <c r="B53" s="200" t="s">
        <v>512</v>
      </c>
      <c r="C53" s="200" t="s">
        <v>535</v>
      </c>
      <c r="D53" s="200" t="s">
        <v>536</v>
      </c>
      <c r="E53" s="200" t="s">
        <v>69</v>
      </c>
      <c r="F53" s="214" t="s">
        <v>213</v>
      </c>
      <c r="G53" s="217" t="s">
        <v>512</v>
      </c>
      <c r="H53" s="221" t="s">
        <v>537</v>
      </c>
      <c r="I53" s="221" t="s">
        <v>538</v>
      </c>
      <c r="J53" s="221" t="s">
        <v>539</v>
      </c>
      <c r="K53" s="222" t="s">
        <v>540</v>
      </c>
    </row>
    <row r="54" spans="1:11" ht="15" customHeight="1" thickBot="1" x14ac:dyDescent="0.3">
      <c r="A54" s="204" t="s">
        <v>138</v>
      </c>
      <c r="B54" s="205">
        <v>47500</v>
      </c>
      <c r="C54" s="132">
        <v>5.75</v>
      </c>
      <c r="D54" s="132">
        <f>B54*C54/100</f>
        <v>2731.25</v>
      </c>
      <c r="E54" s="132">
        <f>D54/12</f>
        <v>227.60416666666666</v>
      </c>
      <c r="F54" s="171">
        <f>E54</f>
        <v>227.60416666666666</v>
      </c>
      <c r="G54" s="297">
        <f>B54</f>
        <v>47500</v>
      </c>
      <c r="H54" s="298">
        <f>SUM(E54:E54)</f>
        <v>227.60416666666666</v>
      </c>
      <c r="I54" s="228" t="s">
        <v>541</v>
      </c>
      <c r="J54" s="299">
        <v>46001</v>
      </c>
      <c r="K54" s="300">
        <v>46365</v>
      </c>
    </row>
    <row r="55" spans="1:11" ht="15" customHeight="1" thickBot="1" x14ac:dyDescent="0.3">
      <c r="A55" s="296" t="s">
        <v>44</v>
      </c>
      <c r="B55" s="208">
        <v>94500</v>
      </c>
      <c r="C55" s="209">
        <v>5.75</v>
      </c>
      <c r="D55" s="211">
        <f>B55*C55/100</f>
        <v>5433.75</v>
      </c>
      <c r="E55" s="211">
        <f>D55/12</f>
        <v>452.8125</v>
      </c>
      <c r="F55" s="295">
        <f>E55</f>
        <v>452.8125</v>
      </c>
      <c r="G55" s="218">
        <f>B55</f>
        <v>94500</v>
      </c>
      <c r="H55" s="226">
        <f>E55</f>
        <v>452.8125</v>
      </c>
      <c r="I55" s="228" t="s">
        <v>541</v>
      </c>
      <c r="J55" s="219">
        <v>46119</v>
      </c>
      <c r="K55" s="220">
        <v>46365</v>
      </c>
    </row>
    <row r="56" spans="1:11" ht="15" customHeight="1" thickBot="1" x14ac:dyDescent="0.3">
      <c r="A56" s="18" t="s">
        <v>213</v>
      </c>
      <c r="B56" s="210">
        <f>SUM(B54:B55)</f>
        <v>142000</v>
      </c>
      <c r="C56" s="29"/>
      <c r="D56" s="212">
        <f>SUM(D54:D55)</f>
        <v>8165</v>
      </c>
      <c r="E56" s="213">
        <f>SUM(E54:E55)</f>
        <v>680.41666666666663</v>
      </c>
      <c r="F56" s="215">
        <f>SUM(F54:F55)</f>
        <v>680.41666666666663</v>
      </c>
      <c r="G56" s="216">
        <f>SUM(G54:G55)</f>
        <v>142000</v>
      </c>
      <c r="H56" s="363">
        <f>SUM(H54:H55)</f>
        <v>680.41666666666663</v>
      </c>
      <c r="I56" s="224"/>
      <c r="J56" s="224"/>
      <c r="K56" s="225"/>
    </row>
    <row r="60" spans="1:11" x14ac:dyDescent="0.25">
      <c r="D60">
        <v>99464.74</v>
      </c>
      <c r="G60">
        <v>92434.74</v>
      </c>
      <c r="I60">
        <v>99464.74</v>
      </c>
    </row>
    <row r="61" spans="1:11" x14ac:dyDescent="0.25">
      <c r="G61">
        <v>42565.26</v>
      </c>
      <c r="I61">
        <v>42565.26</v>
      </c>
    </row>
    <row r="62" spans="1:11" x14ac:dyDescent="0.25">
      <c r="G62">
        <f>SUM(G60:G61)</f>
        <v>135000</v>
      </c>
      <c r="I62">
        <f>SUM(I60:I61)</f>
        <v>142030</v>
      </c>
    </row>
  </sheetData>
  <mergeCells count="7">
    <mergeCell ref="I32:I33"/>
    <mergeCell ref="K32:K33"/>
    <mergeCell ref="H32:H33"/>
    <mergeCell ref="A33:A34"/>
    <mergeCell ref="F33:F34"/>
    <mergeCell ref="G32:G33"/>
    <mergeCell ref="J32:J3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2"/>
  <dimension ref="B1:K38"/>
  <sheetViews>
    <sheetView workbookViewId="0">
      <selection activeCell="G30" sqref="G30"/>
    </sheetView>
  </sheetViews>
  <sheetFormatPr baseColWidth="10" defaultRowHeight="15" x14ac:dyDescent="0.25"/>
  <cols>
    <col min="2" max="2" width="32" bestFit="1" customWidth="1"/>
    <col min="3" max="3" width="11.42578125" style="185" customWidth="1"/>
    <col min="4" max="4" width="25.85546875" customWidth="1"/>
  </cols>
  <sheetData>
    <row r="1" spans="2:11" x14ac:dyDescent="0.25">
      <c r="B1" s="55" t="s">
        <v>547</v>
      </c>
      <c r="C1" s="187">
        <v>1</v>
      </c>
      <c r="D1" s="55">
        <v>70</v>
      </c>
      <c r="E1" s="526">
        <f>SUM(D1:D8)</f>
        <v>1060</v>
      </c>
    </row>
    <row r="2" spans="2:11" x14ac:dyDescent="0.25">
      <c r="B2" s="55" t="s">
        <v>548</v>
      </c>
      <c r="C2" s="187">
        <v>1</v>
      </c>
      <c r="D2" s="55">
        <v>240</v>
      </c>
      <c r="E2" s="502"/>
    </row>
    <row r="3" spans="2:11" x14ac:dyDescent="0.25">
      <c r="B3" s="55" t="s">
        <v>549</v>
      </c>
      <c r="C3" s="187">
        <v>1</v>
      </c>
      <c r="D3" s="55">
        <v>40</v>
      </c>
      <c r="E3" s="502"/>
    </row>
    <row r="4" spans="2:11" x14ac:dyDescent="0.25">
      <c r="B4" s="55" t="s">
        <v>550</v>
      </c>
      <c r="C4" s="187"/>
      <c r="D4" s="55">
        <v>200</v>
      </c>
      <c r="E4" s="502"/>
    </row>
    <row r="5" spans="2:11" x14ac:dyDescent="0.25">
      <c r="B5" s="55" t="s">
        <v>551</v>
      </c>
      <c r="C5" s="187">
        <v>3</v>
      </c>
      <c r="D5" s="55">
        <v>120</v>
      </c>
      <c r="E5" s="502"/>
    </row>
    <row r="6" spans="2:11" x14ac:dyDescent="0.25">
      <c r="B6" s="55" t="s">
        <v>552</v>
      </c>
      <c r="C6" s="187">
        <v>3</v>
      </c>
      <c r="D6" s="55">
        <v>300</v>
      </c>
      <c r="E6" s="502"/>
    </row>
    <row r="7" spans="2:11" x14ac:dyDescent="0.25">
      <c r="B7" s="55" t="s">
        <v>553</v>
      </c>
      <c r="C7" s="187">
        <v>1</v>
      </c>
      <c r="D7" s="55">
        <v>50</v>
      </c>
      <c r="E7" s="502"/>
    </row>
    <row r="8" spans="2:11" x14ac:dyDescent="0.25">
      <c r="B8" s="55" t="s">
        <v>554</v>
      </c>
      <c r="C8" s="187">
        <v>1</v>
      </c>
      <c r="D8" s="55">
        <v>40</v>
      </c>
      <c r="E8" s="502"/>
    </row>
    <row r="9" spans="2:11" x14ac:dyDescent="0.25">
      <c r="B9" s="55"/>
      <c r="C9" s="187"/>
      <c r="D9" s="55"/>
      <c r="E9" s="503"/>
    </row>
    <row r="10" spans="2:11" x14ac:dyDescent="0.25">
      <c r="B10" s="525">
        <v>2025</v>
      </c>
      <c r="C10" s="486"/>
      <c r="D10" s="486"/>
      <c r="E10" s="487"/>
    </row>
    <row r="11" spans="2:11" x14ac:dyDescent="0.25">
      <c r="B11" s="55" t="s">
        <v>555</v>
      </c>
      <c r="C11" s="187"/>
      <c r="D11" s="55">
        <v>300</v>
      </c>
      <c r="E11" s="169">
        <f>SUM(D15:D26)</f>
        <v>3109.42</v>
      </c>
    </row>
    <row r="12" spans="2:11" x14ac:dyDescent="0.25">
      <c r="B12" s="55" t="s">
        <v>556</v>
      </c>
      <c r="C12" s="187"/>
      <c r="D12" s="55">
        <v>160</v>
      </c>
      <c r="E12" s="198"/>
    </row>
    <row r="13" spans="2:11" x14ac:dyDescent="0.25">
      <c r="B13" s="55" t="s">
        <v>557</v>
      </c>
      <c r="C13" s="187"/>
      <c r="D13" s="55">
        <v>40</v>
      </c>
      <c r="E13" s="198"/>
    </row>
    <row r="14" spans="2:11" x14ac:dyDescent="0.25">
      <c r="B14" s="55" t="s">
        <v>558</v>
      </c>
      <c r="C14" s="187">
        <v>2</v>
      </c>
      <c r="D14" s="55">
        <v>350</v>
      </c>
      <c r="E14" s="198"/>
    </row>
    <row r="15" spans="2:11" x14ac:dyDescent="0.25">
      <c r="B15" s="55" t="s">
        <v>559</v>
      </c>
      <c r="C15" s="187">
        <v>1</v>
      </c>
      <c r="D15" s="55">
        <v>12</v>
      </c>
      <c r="E15" s="198"/>
    </row>
    <row r="16" spans="2:11" x14ac:dyDescent="0.25">
      <c r="B16" s="55" t="s">
        <v>560</v>
      </c>
      <c r="C16" s="187">
        <v>1</v>
      </c>
      <c r="D16" s="55">
        <v>117</v>
      </c>
      <c r="E16" s="198"/>
      <c r="K16">
        <v>302346.73</v>
      </c>
    </row>
    <row r="17" spans="2:11" x14ac:dyDescent="0.25">
      <c r="B17" s="55" t="s">
        <v>561</v>
      </c>
      <c r="C17" s="187">
        <v>1</v>
      </c>
      <c r="D17" s="55">
        <v>1200</v>
      </c>
      <c r="E17" s="198"/>
      <c r="K17">
        <v>302355.67</v>
      </c>
    </row>
    <row r="18" spans="2:11" x14ac:dyDescent="0.25">
      <c r="B18" s="6" t="s">
        <v>562</v>
      </c>
      <c r="C18" s="174">
        <v>1</v>
      </c>
      <c r="D18" s="6">
        <v>520.41999999999996</v>
      </c>
      <c r="E18" s="198"/>
      <c r="K18">
        <f>K17-K16</f>
        <v>8.9400000000023283</v>
      </c>
    </row>
    <row r="19" spans="2:11" x14ac:dyDescent="0.25">
      <c r="B19" s="4" t="s">
        <v>563</v>
      </c>
      <c r="C19" s="186">
        <v>2</v>
      </c>
      <c r="D19" s="4">
        <v>160</v>
      </c>
      <c r="E19" s="198"/>
    </row>
    <row r="20" spans="2:11" s="32" customFormat="1" x14ac:dyDescent="0.25">
      <c r="B20" s="33" t="s">
        <v>564</v>
      </c>
      <c r="C20" s="188">
        <v>1</v>
      </c>
      <c r="D20" s="33">
        <v>500</v>
      </c>
      <c r="E20" s="198"/>
    </row>
    <row r="21" spans="2:11" x14ac:dyDescent="0.25">
      <c r="B21" s="4" t="s">
        <v>565</v>
      </c>
      <c r="C21" s="186">
        <v>3</v>
      </c>
      <c r="D21" s="4">
        <v>80</v>
      </c>
      <c r="E21" s="198"/>
    </row>
    <row r="22" spans="2:11" x14ac:dyDescent="0.25">
      <c r="B22" s="4" t="s">
        <v>566</v>
      </c>
      <c r="C22" s="186">
        <v>3</v>
      </c>
      <c r="D22" s="4">
        <v>120</v>
      </c>
      <c r="E22" s="198"/>
    </row>
    <row r="23" spans="2:11" x14ac:dyDescent="0.25">
      <c r="B23" s="4" t="s">
        <v>567</v>
      </c>
      <c r="C23" s="186"/>
      <c r="D23" s="4">
        <v>200</v>
      </c>
      <c r="E23" s="198"/>
    </row>
    <row r="24" spans="2:11" x14ac:dyDescent="0.25">
      <c r="B24" s="4" t="s">
        <v>568</v>
      </c>
      <c r="C24" s="186"/>
      <c r="D24" s="4">
        <v>200</v>
      </c>
      <c r="E24" s="198"/>
    </row>
    <row r="25" spans="2:11" x14ac:dyDescent="0.25">
      <c r="B25" s="4"/>
      <c r="C25" s="186"/>
      <c r="D25" s="4"/>
      <c r="E25" s="198"/>
    </row>
    <row r="26" spans="2:11" x14ac:dyDescent="0.25">
      <c r="B26" s="4"/>
      <c r="C26" s="186"/>
      <c r="D26" s="33"/>
      <c r="E26" s="199"/>
    </row>
    <row r="30" spans="2:11" x14ac:dyDescent="0.25">
      <c r="B30" t="s">
        <v>569</v>
      </c>
    </row>
    <row r="31" spans="2:11" x14ac:dyDescent="0.25">
      <c r="B31" t="s">
        <v>570</v>
      </c>
      <c r="C31" s="3">
        <v>300</v>
      </c>
    </row>
    <row r="32" spans="2:11" x14ac:dyDescent="0.25">
      <c r="B32" t="s">
        <v>571</v>
      </c>
      <c r="C32" s="3">
        <v>116</v>
      </c>
    </row>
    <row r="33" spans="2:3" x14ac:dyDescent="0.25">
      <c r="B33" t="s">
        <v>572</v>
      </c>
      <c r="C33" s="3">
        <v>14</v>
      </c>
    </row>
    <row r="34" spans="2:3" x14ac:dyDescent="0.25">
      <c r="B34" t="s">
        <v>573</v>
      </c>
      <c r="C34" s="3">
        <v>10</v>
      </c>
    </row>
    <row r="35" spans="2:3" x14ac:dyDescent="0.25">
      <c r="B35" t="s">
        <v>574</v>
      </c>
      <c r="C35" s="3">
        <v>24</v>
      </c>
    </row>
    <row r="36" spans="2:3" x14ac:dyDescent="0.25">
      <c r="B36" t="s">
        <v>575</v>
      </c>
      <c r="C36" s="3">
        <v>13.5</v>
      </c>
    </row>
    <row r="38" spans="2:3" x14ac:dyDescent="0.25">
      <c r="B38" t="s">
        <v>413</v>
      </c>
      <c r="C38" s="3">
        <f>SUM(C31:C37)</f>
        <v>477.5</v>
      </c>
    </row>
  </sheetData>
  <mergeCells count="2">
    <mergeCell ref="B10:E10"/>
    <mergeCell ref="E1:E9"/>
  </mergeCell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3"/>
  <dimension ref="B2:B7"/>
  <sheetViews>
    <sheetView workbookViewId="0">
      <selection activeCell="A2" sqref="A2"/>
    </sheetView>
  </sheetViews>
  <sheetFormatPr baseColWidth="10" defaultRowHeight="15" x14ac:dyDescent="0.25"/>
  <cols>
    <col min="2" max="2" width="98.5703125" customWidth="1"/>
  </cols>
  <sheetData>
    <row r="2" spans="2:2" x14ac:dyDescent="0.25">
      <c r="B2" s="202" t="s">
        <v>576</v>
      </c>
    </row>
    <row r="3" spans="2:2" x14ac:dyDescent="0.25">
      <c r="B3" s="202" t="s">
        <v>577</v>
      </c>
    </row>
    <row r="4" spans="2:2" x14ac:dyDescent="0.25">
      <c r="B4" s="202" t="s">
        <v>578</v>
      </c>
    </row>
    <row r="5" spans="2:2" x14ac:dyDescent="0.25">
      <c r="B5" t="s">
        <v>579</v>
      </c>
    </row>
    <row r="6" spans="2:2" x14ac:dyDescent="0.25">
      <c r="B6" s="202" t="s">
        <v>580</v>
      </c>
    </row>
    <row r="7" spans="2:2" x14ac:dyDescent="0.25">
      <c r="B7" s="202" t="s">
        <v>580</v>
      </c>
    </row>
  </sheetData>
  <hyperlinks>
    <hyperlink ref="B2" r:id="rId1" xr:uid="{00000000-0004-0000-1400-000000000000}"/>
    <hyperlink ref="B3" r:id="rId2" xr:uid="{00000000-0004-0000-1400-000001000000}"/>
    <hyperlink ref="B4" r:id="rId3" xr:uid="{00000000-0004-0000-1400-000002000000}"/>
    <hyperlink ref="B6" r:id="rId4" xr:uid="{00000000-0004-0000-1400-000003000000}"/>
    <hyperlink ref="B7" r:id="rId5" xr:uid="{00000000-0004-0000-1400-000004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CERT1</vt:lpstr>
      <vt:lpstr>CERTIFICADOS</vt:lpstr>
      <vt:lpstr>INVERSIONES</vt:lpstr>
      <vt:lpstr>Interes Por Semana</vt:lpstr>
      <vt:lpstr>OTROS FONDOS</vt:lpstr>
      <vt:lpstr>&gt;&gt;Vistas Consolidadas</vt:lpstr>
      <vt:lpstr>Bonos Activos</vt:lpstr>
      <vt:lpstr>Títulos Vendidos</vt:lpstr>
      <vt:lpstr>Ventas Totales</vt:lpstr>
      <vt:lpstr>Base Títulos</vt:lpstr>
      <vt:lpstr>Vista de OperacionesReales</vt:lpstr>
      <vt:lpstr>Base OperacionesReales</vt:lpstr>
      <vt:lpstr>Titulos Vencidos</vt:lpstr>
      <vt:lpstr>GRAFICO</vt:lpstr>
      <vt:lpstr>Valores Clasificados</vt:lpstr>
      <vt:lpstr>ROBOTICS</vt:lpstr>
      <vt:lpstr>2013_2019</vt:lpstr>
      <vt:lpstr>CONTRALORIA</vt:lpstr>
      <vt:lpstr>Familiar</vt:lpstr>
      <vt:lpstr>GastosAutos</vt:lpstr>
      <vt:lpstr>Herramientas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 Orellana</dc:creator>
  <cp:lastModifiedBy>Jhon Orellana</cp:lastModifiedBy>
  <dcterms:created xsi:type="dcterms:W3CDTF">2019-10-05T04:35:19Z</dcterms:created>
  <dcterms:modified xsi:type="dcterms:W3CDTF">2026-10-11T23:18:43Z</dcterms:modified>
</cp:coreProperties>
</file>