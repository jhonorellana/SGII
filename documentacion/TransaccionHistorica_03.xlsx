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SIPRO_07\documentacion\"/>
    </mc:Choice>
  </mc:AlternateContent>
  <xr:revisionPtr revIDLastSave="0" documentId="13_ncr:1_{7B527518-CC16-44DC-8B9A-F465FF7B6CD3}" xr6:coauthVersionLast="47" xr6:coauthVersionMax="47" xr10:uidLastSave="{00000000-0000-0000-0000-000000000000}"/>
  <bookViews>
    <workbookView xWindow="-120" yWindow="-120" windowWidth="29040" windowHeight="15720" xr2:uid="{89DC5393-022F-4E6F-B954-15804B1D97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142" i="1" l="1"/>
  <c r="AK142" i="1"/>
  <c r="AD142" i="1"/>
  <c r="Y142" i="1"/>
  <c r="U142" i="1"/>
  <c r="S142" i="1"/>
  <c r="M142" i="1"/>
  <c r="K142" i="1"/>
  <c r="I142" i="1"/>
  <c r="AO141" i="1"/>
  <c r="AK141" i="1"/>
  <c r="AD141" i="1"/>
  <c r="Y141" i="1"/>
  <c r="U141" i="1"/>
  <c r="S141" i="1"/>
  <c r="M141" i="1"/>
  <c r="K141" i="1"/>
  <c r="AO140" i="1"/>
  <c r="AK140" i="1"/>
  <c r="AD140" i="1"/>
  <c r="Y140" i="1"/>
  <c r="T140" i="1"/>
  <c r="U140" i="1" s="1"/>
  <c r="S140" i="1"/>
  <c r="M140" i="1"/>
  <c r="K140" i="1"/>
  <c r="AO139" i="1"/>
  <c r="AK139" i="1"/>
  <c r="AD139" i="1"/>
  <c r="Y139" i="1"/>
  <c r="U139" i="1"/>
  <c r="S139" i="1"/>
  <c r="M139" i="1"/>
  <c r="K139" i="1"/>
  <c r="AO138" i="1"/>
  <c r="AK138" i="1"/>
  <c r="AG138" i="1"/>
  <c r="AI138" i="1" s="1"/>
  <c r="AD138" i="1"/>
  <c r="Y138" i="1"/>
  <c r="U138" i="1"/>
  <c r="S138" i="1"/>
  <c r="M138" i="1"/>
  <c r="K138" i="1"/>
  <c r="L138" i="1" s="1"/>
  <c r="I138" i="1"/>
  <c r="AO137" i="1"/>
  <c r="AK137" i="1"/>
  <c r="AD137" i="1"/>
  <c r="Y137" i="1"/>
  <c r="U137" i="1"/>
  <c r="S137" i="1"/>
  <c r="M137" i="1"/>
  <c r="K137" i="1"/>
  <c r="AO136" i="1"/>
  <c r="AK136" i="1"/>
  <c r="AD136" i="1"/>
  <c r="Y136" i="1"/>
  <c r="U136" i="1"/>
  <c r="S136" i="1"/>
  <c r="M136" i="1"/>
  <c r="K136" i="1"/>
  <c r="L136" i="1" s="1"/>
  <c r="AO135" i="1"/>
  <c r="AK135" i="1"/>
  <c r="AD135" i="1"/>
  <c r="Y135" i="1"/>
  <c r="U135" i="1"/>
  <c r="S135" i="1"/>
  <c r="M135" i="1"/>
  <c r="K135" i="1"/>
  <c r="I135" i="1" s="1"/>
  <c r="AO134" i="1"/>
  <c r="AK134" i="1"/>
  <c r="AD134" i="1"/>
  <c r="AG134" i="1" s="1"/>
  <c r="Y134" i="1"/>
  <c r="T134" i="1"/>
  <c r="U134" i="1" s="1"/>
  <c r="S134" i="1"/>
  <c r="M134" i="1"/>
  <c r="K134" i="1"/>
  <c r="L134" i="1" s="1"/>
  <c r="AO133" i="1"/>
  <c r="AK133" i="1"/>
  <c r="AD133" i="1"/>
  <c r="AG133" i="1" s="1"/>
  <c r="Y133" i="1"/>
  <c r="T133" i="1"/>
  <c r="S133" i="1"/>
  <c r="AH133" i="1" s="1"/>
  <c r="M133" i="1"/>
  <c r="K133" i="1"/>
  <c r="L133" i="1" s="1"/>
  <c r="AO132" i="1"/>
  <c r="AK132" i="1"/>
  <c r="AG132" i="1"/>
  <c r="AI132" i="1" s="1"/>
  <c r="AD132" i="1"/>
  <c r="Y132" i="1"/>
  <c r="T132" i="1"/>
  <c r="U132" i="1" s="1"/>
  <c r="S132" i="1"/>
  <c r="AH132" i="1" s="1"/>
  <c r="M132" i="1"/>
  <c r="K132" i="1"/>
  <c r="AO131" i="1"/>
  <c r="AK131" i="1"/>
  <c r="AD131" i="1"/>
  <c r="AG131" i="1" s="1"/>
  <c r="AI131" i="1" s="1"/>
  <c r="Y131" i="1"/>
  <c r="U131" i="1"/>
  <c r="S131" i="1"/>
  <c r="M131" i="1"/>
  <c r="K131" i="1"/>
  <c r="L131" i="1" s="1"/>
  <c r="I131" i="1"/>
  <c r="AO130" i="1"/>
  <c r="AK130" i="1"/>
  <c r="AD130" i="1"/>
  <c r="AG130" i="1" s="1"/>
  <c r="Y130" i="1"/>
  <c r="T130" i="1"/>
  <c r="S130" i="1"/>
  <c r="M130" i="1"/>
  <c r="K130" i="1"/>
  <c r="L130" i="1" s="1"/>
  <c r="AO129" i="1"/>
  <c r="AK129" i="1"/>
  <c r="AD129" i="1"/>
  <c r="Y129" i="1"/>
  <c r="T129" i="1"/>
  <c r="U129" i="1" s="1"/>
  <c r="S129" i="1"/>
  <c r="M129" i="1"/>
  <c r="K129" i="1"/>
  <c r="L129" i="1" s="1"/>
  <c r="AO128" i="1"/>
  <c r="AK128" i="1"/>
  <c r="AD128" i="1"/>
  <c r="Y128" i="1"/>
  <c r="U128" i="1"/>
  <c r="S128" i="1"/>
  <c r="M128" i="1"/>
  <c r="K128" i="1"/>
  <c r="I128" i="1" s="1"/>
  <c r="AO127" i="1"/>
  <c r="AK127" i="1"/>
  <c r="AD127" i="1"/>
  <c r="Y127" i="1"/>
  <c r="U127" i="1"/>
  <c r="S127" i="1"/>
  <c r="M127" i="1"/>
  <c r="K127" i="1"/>
  <c r="AO99" i="1"/>
  <c r="AK99" i="1"/>
  <c r="AD99" i="1"/>
  <c r="Y99" i="1"/>
  <c r="T99" i="1"/>
  <c r="U99" i="1" s="1"/>
  <c r="S99" i="1"/>
  <c r="M99" i="1"/>
  <c r="K99" i="1"/>
  <c r="L99" i="1" s="1"/>
  <c r="AO102" i="1"/>
  <c r="AK102" i="1"/>
  <c r="AD102" i="1"/>
  <c r="Y102" i="1"/>
  <c r="T102" i="1"/>
  <c r="U102" i="1" s="1"/>
  <c r="S102" i="1"/>
  <c r="M102" i="1"/>
  <c r="K102" i="1"/>
  <c r="L102" i="1" s="1"/>
  <c r="AO126" i="1"/>
  <c r="AK126" i="1"/>
  <c r="AD126" i="1"/>
  <c r="Y126" i="1"/>
  <c r="T126" i="1"/>
  <c r="S126" i="1"/>
  <c r="M126" i="1"/>
  <c r="K126" i="1"/>
  <c r="L126" i="1" s="1"/>
  <c r="AO101" i="1"/>
  <c r="AK101" i="1"/>
  <c r="AD101" i="1"/>
  <c r="AG101" i="1" s="1"/>
  <c r="Y101" i="1"/>
  <c r="T101" i="1"/>
  <c r="U101" i="1" s="1"/>
  <c r="S101" i="1"/>
  <c r="M101" i="1"/>
  <c r="K101" i="1"/>
  <c r="L101" i="1" s="1"/>
  <c r="AO100" i="1"/>
  <c r="AK100" i="1"/>
  <c r="AD100" i="1"/>
  <c r="Y100" i="1"/>
  <c r="T100" i="1"/>
  <c r="S100" i="1"/>
  <c r="M100" i="1"/>
  <c r="K100" i="1"/>
  <c r="L100" i="1" s="1"/>
  <c r="AO125" i="1"/>
  <c r="AK125" i="1"/>
  <c r="AD125" i="1"/>
  <c r="AG125" i="1" s="1"/>
  <c r="Y125" i="1"/>
  <c r="T125" i="1"/>
  <c r="U125" i="1" s="1"/>
  <c r="S125" i="1"/>
  <c r="M125" i="1"/>
  <c r="K125" i="1"/>
  <c r="AO124" i="1"/>
  <c r="AK124" i="1"/>
  <c r="AD124" i="1"/>
  <c r="AG124" i="1" s="1"/>
  <c r="Y124" i="1"/>
  <c r="T124" i="1"/>
  <c r="U124" i="1" s="1"/>
  <c r="S124" i="1"/>
  <c r="M124" i="1"/>
  <c r="K124" i="1"/>
  <c r="L124" i="1" s="1"/>
  <c r="AO123" i="1"/>
  <c r="AK123" i="1"/>
  <c r="AD123" i="1"/>
  <c r="Y123" i="1"/>
  <c r="T123" i="1"/>
  <c r="U123" i="1" s="1"/>
  <c r="S123" i="1"/>
  <c r="M123" i="1"/>
  <c r="K123" i="1"/>
  <c r="L123" i="1" s="1"/>
  <c r="AO122" i="1"/>
  <c r="AK122" i="1"/>
  <c r="AD122" i="1"/>
  <c r="Y122" i="1"/>
  <c r="T122" i="1"/>
  <c r="U122" i="1" s="1"/>
  <c r="S122" i="1"/>
  <c r="M122" i="1"/>
  <c r="K122" i="1"/>
  <c r="AO121" i="1"/>
  <c r="AK121" i="1"/>
  <c r="AD121" i="1"/>
  <c r="Y121" i="1"/>
  <c r="T121" i="1"/>
  <c r="S121" i="1"/>
  <c r="M121" i="1"/>
  <c r="K121" i="1"/>
  <c r="L121" i="1" s="1"/>
  <c r="O121" i="1" s="1"/>
  <c r="AO120" i="1"/>
  <c r="AK120" i="1"/>
  <c r="AD120" i="1"/>
  <c r="Y120" i="1"/>
  <c r="T120" i="1"/>
  <c r="S120" i="1"/>
  <c r="M120" i="1"/>
  <c r="K120" i="1"/>
  <c r="L120" i="1" s="1"/>
  <c r="AO119" i="1"/>
  <c r="AK119" i="1"/>
  <c r="AD119" i="1"/>
  <c r="AG119" i="1" s="1"/>
  <c r="Y119" i="1"/>
  <c r="T119" i="1"/>
  <c r="U119" i="1" s="1"/>
  <c r="S119" i="1"/>
  <c r="M119" i="1"/>
  <c r="K119" i="1"/>
  <c r="AO118" i="1"/>
  <c r="AK118" i="1"/>
  <c r="AD118" i="1"/>
  <c r="Y118" i="1"/>
  <c r="T118" i="1"/>
  <c r="U118" i="1" s="1"/>
  <c r="S118" i="1"/>
  <c r="M118" i="1"/>
  <c r="K118" i="1"/>
  <c r="AO2" i="1"/>
  <c r="AK2" i="1"/>
  <c r="AD2" i="1"/>
  <c r="Y2" i="1"/>
  <c r="T2" i="1"/>
  <c r="S2" i="1"/>
  <c r="M2" i="1"/>
  <c r="K2" i="1"/>
  <c r="L2" i="1" s="1"/>
  <c r="AO3" i="1"/>
  <c r="AK3" i="1"/>
  <c r="AD3" i="1"/>
  <c r="AG3" i="1" s="1"/>
  <c r="Y3" i="1"/>
  <c r="T3" i="1"/>
  <c r="S3" i="1"/>
  <c r="M3" i="1"/>
  <c r="K3" i="1"/>
  <c r="AO4" i="1"/>
  <c r="AK4" i="1"/>
  <c r="AD4" i="1"/>
  <c r="AG4" i="1" s="1"/>
  <c r="Y4" i="1"/>
  <c r="T4" i="1"/>
  <c r="U4" i="1" s="1"/>
  <c r="S4" i="1"/>
  <c r="AH4" i="1" s="1"/>
  <c r="M4" i="1"/>
  <c r="K4" i="1"/>
  <c r="L4" i="1" s="1"/>
  <c r="O4" i="1" s="1"/>
  <c r="AO5" i="1"/>
  <c r="AK5" i="1"/>
  <c r="AD5" i="1"/>
  <c r="Y5" i="1"/>
  <c r="T5" i="1"/>
  <c r="U5" i="1" s="1"/>
  <c r="S5" i="1"/>
  <c r="M5" i="1"/>
  <c r="K5" i="1"/>
  <c r="L5" i="1" s="1"/>
  <c r="AO6" i="1"/>
  <c r="AK6" i="1"/>
  <c r="AD6" i="1"/>
  <c r="AG6" i="1" s="1"/>
  <c r="AI6" i="1" s="1"/>
  <c r="Y6" i="1"/>
  <c r="T6" i="1"/>
  <c r="U6" i="1" s="1"/>
  <c r="S6" i="1"/>
  <c r="M6" i="1"/>
  <c r="K6" i="1"/>
  <c r="AO7" i="1"/>
  <c r="AK7" i="1"/>
  <c r="AD7" i="1"/>
  <c r="AG7" i="1" s="1"/>
  <c r="Y7" i="1"/>
  <c r="T7" i="1"/>
  <c r="U7" i="1" s="1"/>
  <c r="S7" i="1"/>
  <c r="AH7" i="1" s="1"/>
  <c r="M7" i="1"/>
  <c r="K7" i="1"/>
  <c r="L7" i="1" s="1"/>
  <c r="AO9" i="1"/>
  <c r="AK9" i="1"/>
  <c r="AD9" i="1"/>
  <c r="Y9" i="1"/>
  <c r="T9" i="1"/>
  <c r="U9" i="1" s="1"/>
  <c r="S9" i="1"/>
  <c r="M9" i="1"/>
  <c r="K9" i="1"/>
  <c r="AO8" i="1"/>
  <c r="AK8" i="1"/>
  <c r="AD8" i="1"/>
  <c r="Y8" i="1"/>
  <c r="T8" i="1"/>
  <c r="U8" i="1" s="1"/>
  <c r="S8" i="1"/>
  <c r="M8" i="1"/>
  <c r="K8" i="1"/>
  <c r="AO10" i="1"/>
  <c r="AK10" i="1"/>
  <c r="AD10" i="1"/>
  <c r="AG10" i="1" s="1"/>
  <c r="Y10" i="1"/>
  <c r="T10" i="1"/>
  <c r="S10" i="1"/>
  <c r="M10" i="1"/>
  <c r="K10" i="1"/>
  <c r="L10" i="1" s="1"/>
  <c r="AO13" i="1"/>
  <c r="AK13" i="1"/>
  <c r="AD13" i="1"/>
  <c r="AG13" i="1" s="1"/>
  <c r="AI13" i="1" s="1"/>
  <c r="Y13" i="1"/>
  <c r="T13" i="1"/>
  <c r="U13" i="1" s="1"/>
  <c r="S13" i="1"/>
  <c r="M13" i="1"/>
  <c r="K13" i="1"/>
  <c r="AO12" i="1"/>
  <c r="AK12" i="1"/>
  <c r="AD12" i="1"/>
  <c r="Y12" i="1"/>
  <c r="T12" i="1"/>
  <c r="U12" i="1" s="1"/>
  <c r="S12" i="1"/>
  <c r="M12" i="1"/>
  <c r="K12" i="1"/>
  <c r="AO11" i="1"/>
  <c r="AK11" i="1"/>
  <c r="AD11" i="1"/>
  <c r="AG11" i="1" s="1"/>
  <c r="Y11" i="1"/>
  <c r="T11" i="1"/>
  <c r="U11" i="1" s="1"/>
  <c r="S11" i="1"/>
  <c r="M11" i="1"/>
  <c r="K11" i="1"/>
  <c r="AO14" i="1"/>
  <c r="AK14" i="1"/>
  <c r="AD14" i="1"/>
  <c r="Y14" i="1"/>
  <c r="T14" i="1"/>
  <c r="U14" i="1" s="1"/>
  <c r="S14" i="1"/>
  <c r="M14" i="1"/>
  <c r="K14" i="1"/>
  <c r="AO15" i="1"/>
  <c r="AK15" i="1"/>
  <c r="AD15" i="1"/>
  <c r="Y15" i="1"/>
  <c r="T15" i="1"/>
  <c r="S15" i="1"/>
  <c r="M15" i="1"/>
  <c r="K15" i="1"/>
  <c r="L15" i="1" s="1"/>
  <c r="AO17" i="1"/>
  <c r="AK17" i="1"/>
  <c r="AD17" i="1"/>
  <c r="Y17" i="1"/>
  <c r="T17" i="1"/>
  <c r="U17" i="1" s="1"/>
  <c r="S17" i="1"/>
  <c r="M17" i="1"/>
  <c r="K17" i="1"/>
  <c r="L17" i="1" s="1"/>
  <c r="AO16" i="1"/>
  <c r="AK16" i="1"/>
  <c r="AD16" i="1"/>
  <c r="Y16" i="1"/>
  <c r="T16" i="1"/>
  <c r="S16" i="1"/>
  <c r="M16" i="1"/>
  <c r="K16" i="1"/>
  <c r="L16" i="1" s="1"/>
  <c r="O16" i="1" s="1"/>
  <c r="AO18" i="1"/>
  <c r="AK18" i="1"/>
  <c r="AD18" i="1"/>
  <c r="AG18" i="1" s="1"/>
  <c r="Y18" i="1"/>
  <c r="T18" i="1"/>
  <c r="S18" i="1"/>
  <c r="M18" i="1"/>
  <c r="K18" i="1"/>
  <c r="L18" i="1" s="1"/>
  <c r="AO19" i="1"/>
  <c r="AK19" i="1"/>
  <c r="AD19" i="1"/>
  <c r="AG19" i="1" s="1"/>
  <c r="Y19" i="1"/>
  <c r="T19" i="1"/>
  <c r="AI19" i="1" s="1"/>
  <c r="S19" i="1"/>
  <c r="M19" i="1"/>
  <c r="K19" i="1"/>
  <c r="AO20" i="1"/>
  <c r="AK20" i="1"/>
  <c r="AD20" i="1"/>
  <c r="Y20" i="1"/>
  <c r="T20" i="1"/>
  <c r="U20" i="1" s="1"/>
  <c r="S20" i="1"/>
  <c r="M20" i="1"/>
  <c r="K20" i="1"/>
  <c r="L20" i="1" s="1"/>
  <c r="AO25" i="1"/>
  <c r="AK25" i="1"/>
  <c r="AD25" i="1"/>
  <c r="AG25" i="1" s="1"/>
  <c r="Y25" i="1"/>
  <c r="T25" i="1"/>
  <c r="U25" i="1" s="1"/>
  <c r="S25" i="1"/>
  <c r="M25" i="1"/>
  <c r="K25" i="1"/>
  <c r="AO24" i="1"/>
  <c r="AK24" i="1"/>
  <c r="AD24" i="1"/>
  <c r="AG24" i="1" s="1"/>
  <c r="Y24" i="1"/>
  <c r="T24" i="1"/>
  <c r="U24" i="1" s="1"/>
  <c r="S24" i="1"/>
  <c r="M24" i="1"/>
  <c r="O24" i="1" s="1"/>
  <c r="K24" i="1"/>
  <c r="L24" i="1" s="1"/>
  <c r="AO23" i="1"/>
  <c r="AK23" i="1"/>
  <c r="AD23" i="1"/>
  <c r="AG23" i="1" s="1"/>
  <c r="Y23" i="1"/>
  <c r="T23" i="1"/>
  <c r="U23" i="1" s="1"/>
  <c r="S23" i="1"/>
  <c r="M23" i="1"/>
  <c r="K23" i="1"/>
  <c r="AO22" i="1"/>
  <c r="AK22" i="1"/>
  <c r="AD22" i="1"/>
  <c r="AG22" i="1" s="1"/>
  <c r="Y22" i="1"/>
  <c r="T22" i="1"/>
  <c r="U22" i="1" s="1"/>
  <c r="S22" i="1"/>
  <c r="M22" i="1"/>
  <c r="K22" i="1"/>
  <c r="AO21" i="1"/>
  <c r="AK21" i="1"/>
  <c r="AD21" i="1"/>
  <c r="Y21" i="1"/>
  <c r="T21" i="1"/>
  <c r="S21" i="1"/>
  <c r="M21" i="1"/>
  <c r="K21" i="1"/>
  <c r="L21" i="1" s="1"/>
  <c r="AO27" i="1"/>
  <c r="AK27" i="1"/>
  <c r="AD27" i="1"/>
  <c r="AG27" i="1" s="1"/>
  <c r="Y27" i="1"/>
  <c r="T27" i="1"/>
  <c r="U27" i="1" s="1"/>
  <c r="S27" i="1"/>
  <c r="M27" i="1"/>
  <c r="K27" i="1"/>
  <c r="AO26" i="1"/>
  <c r="AK26" i="1"/>
  <c r="AD26" i="1"/>
  <c r="Y26" i="1"/>
  <c r="T26" i="1"/>
  <c r="U26" i="1" s="1"/>
  <c r="S26" i="1"/>
  <c r="M26" i="1"/>
  <c r="K26" i="1"/>
  <c r="L26" i="1" s="1"/>
  <c r="AO29" i="1"/>
  <c r="AK29" i="1"/>
  <c r="AD29" i="1"/>
  <c r="Y29" i="1"/>
  <c r="T29" i="1"/>
  <c r="U29" i="1" s="1"/>
  <c r="S29" i="1"/>
  <c r="M29" i="1"/>
  <c r="K29" i="1"/>
  <c r="L29" i="1" s="1"/>
  <c r="AO28" i="1"/>
  <c r="AK28" i="1"/>
  <c r="AD28" i="1"/>
  <c r="Y28" i="1"/>
  <c r="T28" i="1"/>
  <c r="S28" i="1"/>
  <c r="M28" i="1"/>
  <c r="K28" i="1"/>
  <c r="AO39" i="1"/>
  <c r="AK39" i="1"/>
  <c r="AD39" i="1"/>
  <c r="AG39" i="1" s="1"/>
  <c r="Y39" i="1"/>
  <c r="T39" i="1"/>
  <c r="U39" i="1" s="1"/>
  <c r="S39" i="1"/>
  <c r="M39" i="1"/>
  <c r="K39" i="1"/>
  <c r="AO38" i="1"/>
  <c r="AK38" i="1"/>
  <c r="AD38" i="1"/>
  <c r="AG38" i="1" s="1"/>
  <c r="Y38" i="1"/>
  <c r="T38" i="1"/>
  <c r="U38" i="1" s="1"/>
  <c r="S38" i="1"/>
  <c r="M38" i="1"/>
  <c r="K38" i="1"/>
  <c r="L38" i="1" s="1"/>
  <c r="AO37" i="1"/>
  <c r="AK37" i="1"/>
  <c r="AD37" i="1"/>
  <c r="Y37" i="1"/>
  <c r="T37" i="1"/>
  <c r="U37" i="1" s="1"/>
  <c r="S37" i="1"/>
  <c r="M37" i="1"/>
  <c r="K37" i="1"/>
  <c r="L37" i="1" s="1"/>
  <c r="O37" i="1" s="1"/>
  <c r="AO36" i="1"/>
  <c r="AK36" i="1"/>
  <c r="AD36" i="1"/>
  <c r="AH36" i="1" s="1"/>
  <c r="Y36" i="1"/>
  <c r="T36" i="1"/>
  <c r="U36" i="1" s="1"/>
  <c r="S36" i="1"/>
  <c r="M36" i="1"/>
  <c r="K36" i="1"/>
  <c r="AO35" i="1"/>
  <c r="AK35" i="1"/>
  <c r="AD35" i="1"/>
  <c r="AG35" i="1" s="1"/>
  <c r="Y35" i="1"/>
  <c r="T35" i="1"/>
  <c r="U35" i="1" s="1"/>
  <c r="S35" i="1"/>
  <c r="M35" i="1"/>
  <c r="K35" i="1"/>
  <c r="L35" i="1" s="1"/>
  <c r="AO34" i="1"/>
  <c r="AK34" i="1"/>
  <c r="AD34" i="1"/>
  <c r="AG34" i="1" s="1"/>
  <c r="Y34" i="1"/>
  <c r="T34" i="1"/>
  <c r="U34" i="1" s="1"/>
  <c r="S34" i="1"/>
  <c r="M34" i="1"/>
  <c r="K34" i="1"/>
  <c r="AO33" i="1"/>
  <c r="AK33" i="1"/>
  <c r="AD33" i="1"/>
  <c r="Y33" i="1"/>
  <c r="U33" i="1"/>
  <c r="T33" i="1"/>
  <c r="S33" i="1"/>
  <c r="M33" i="1"/>
  <c r="K33" i="1"/>
  <c r="I33" i="1" s="1"/>
  <c r="AO32" i="1"/>
  <c r="AK32" i="1"/>
  <c r="AD32" i="1"/>
  <c r="AG32" i="1" s="1"/>
  <c r="Y32" i="1"/>
  <c r="T32" i="1"/>
  <c r="U32" i="1" s="1"/>
  <c r="S32" i="1"/>
  <c r="M32" i="1"/>
  <c r="K32" i="1"/>
  <c r="AO31" i="1"/>
  <c r="AK31" i="1"/>
  <c r="AD31" i="1"/>
  <c r="AG31" i="1" s="1"/>
  <c r="Y31" i="1"/>
  <c r="T31" i="1"/>
  <c r="S31" i="1"/>
  <c r="M31" i="1"/>
  <c r="K31" i="1"/>
  <c r="AO30" i="1"/>
  <c r="AK30" i="1"/>
  <c r="AD30" i="1"/>
  <c r="AG30" i="1" s="1"/>
  <c r="Y30" i="1"/>
  <c r="T30" i="1"/>
  <c r="S30" i="1"/>
  <c r="M30" i="1"/>
  <c r="K30" i="1"/>
  <c r="L30" i="1" s="1"/>
  <c r="AO40" i="1"/>
  <c r="AK40" i="1"/>
  <c r="AD40" i="1"/>
  <c r="AG40" i="1" s="1"/>
  <c r="AI40" i="1" s="1"/>
  <c r="Y40" i="1"/>
  <c r="T40" i="1"/>
  <c r="U40" i="1" s="1"/>
  <c r="S40" i="1"/>
  <c r="M40" i="1"/>
  <c r="K40" i="1"/>
  <c r="L40" i="1" s="1"/>
  <c r="AO41" i="1"/>
  <c r="AK41" i="1"/>
  <c r="AD41" i="1"/>
  <c r="Y41" i="1"/>
  <c r="T41" i="1"/>
  <c r="U41" i="1" s="1"/>
  <c r="S41" i="1"/>
  <c r="M41" i="1"/>
  <c r="K41" i="1"/>
  <c r="L41" i="1" s="1"/>
  <c r="AO46" i="1"/>
  <c r="AK46" i="1"/>
  <c r="AD46" i="1"/>
  <c r="AG46" i="1" s="1"/>
  <c r="Y46" i="1"/>
  <c r="T46" i="1"/>
  <c r="U46" i="1" s="1"/>
  <c r="S46" i="1"/>
  <c r="M46" i="1"/>
  <c r="K46" i="1"/>
  <c r="L46" i="1" s="1"/>
  <c r="AO45" i="1"/>
  <c r="AK45" i="1"/>
  <c r="AD45" i="1"/>
  <c r="Y45" i="1"/>
  <c r="T45" i="1"/>
  <c r="U45" i="1" s="1"/>
  <c r="S45" i="1"/>
  <c r="M45" i="1"/>
  <c r="K45" i="1"/>
  <c r="AO44" i="1"/>
  <c r="AK44" i="1"/>
  <c r="AD44" i="1"/>
  <c r="AG44" i="1" s="1"/>
  <c r="Y44" i="1"/>
  <c r="T44" i="1"/>
  <c r="U44" i="1" s="1"/>
  <c r="S44" i="1"/>
  <c r="M44" i="1"/>
  <c r="K44" i="1"/>
  <c r="AO43" i="1"/>
  <c r="AK43" i="1"/>
  <c r="AD43" i="1"/>
  <c r="AG43" i="1" s="1"/>
  <c r="AI43" i="1" s="1"/>
  <c r="Y43" i="1"/>
  <c r="T43" i="1"/>
  <c r="U43" i="1" s="1"/>
  <c r="S43" i="1"/>
  <c r="AH43" i="1" s="1"/>
  <c r="M43" i="1"/>
  <c r="K43" i="1"/>
  <c r="I43" i="1" s="1"/>
  <c r="AO42" i="1"/>
  <c r="AK42" i="1"/>
  <c r="AD42" i="1"/>
  <c r="Y42" i="1"/>
  <c r="T42" i="1"/>
  <c r="U42" i="1" s="1"/>
  <c r="S42" i="1"/>
  <c r="M42" i="1"/>
  <c r="K42" i="1"/>
  <c r="L42" i="1" s="1"/>
  <c r="AO47" i="1"/>
  <c r="AK47" i="1"/>
  <c r="AD47" i="1"/>
  <c r="AG47" i="1" s="1"/>
  <c r="Y47" i="1"/>
  <c r="T47" i="1"/>
  <c r="U47" i="1" s="1"/>
  <c r="S47" i="1"/>
  <c r="AH47" i="1" s="1"/>
  <c r="M47" i="1"/>
  <c r="K47" i="1"/>
  <c r="AO48" i="1"/>
  <c r="AK48" i="1"/>
  <c r="AD48" i="1"/>
  <c r="AG48" i="1" s="1"/>
  <c r="Y48" i="1"/>
  <c r="T48" i="1"/>
  <c r="U48" i="1" s="1"/>
  <c r="S48" i="1"/>
  <c r="M48" i="1"/>
  <c r="K48" i="1"/>
  <c r="I48" i="1" s="1"/>
  <c r="AO49" i="1"/>
  <c r="AK49" i="1"/>
  <c r="AD49" i="1"/>
  <c r="Y49" i="1"/>
  <c r="T49" i="1"/>
  <c r="U49" i="1" s="1"/>
  <c r="S49" i="1"/>
  <c r="M49" i="1"/>
  <c r="O49" i="1" s="1"/>
  <c r="K49" i="1"/>
  <c r="L49" i="1" s="1"/>
  <c r="AO54" i="1"/>
  <c r="AK54" i="1"/>
  <c r="AD54" i="1"/>
  <c r="AG54" i="1" s="1"/>
  <c r="Y54" i="1"/>
  <c r="T54" i="1"/>
  <c r="U54" i="1" s="1"/>
  <c r="S54" i="1"/>
  <c r="AH54" i="1" s="1"/>
  <c r="M54" i="1"/>
  <c r="K54" i="1"/>
  <c r="AO53" i="1"/>
  <c r="AK53" i="1"/>
  <c r="AD53" i="1"/>
  <c r="AG53" i="1" s="1"/>
  <c r="Y53" i="1"/>
  <c r="T53" i="1"/>
  <c r="S53" i="1"/>
  <c r="AH53" i="1" s="1"/>
  <c r="M53" i="1"/>
  <c r="K53" i="1"/>
  <c r="L53" i="1" s="1"/>
  <c r="AO52" i="1"/>
  <c r="AK52" i="1"/>
  <c r="AD52" i="1"/>
  <c r="AG52" i="1" s="1"/>
  <c r="AI52" i="1" s="1"/>
  <c r="Y52" i="1"/>
  <c r="T52" i="1"/>
  <c r="U52" i="1" s="1"/>
  <c r="S52" i="1"/>
  <c r="M52" i="1"/>
  <c r="K52" i="1"/>
  <c r="AO51" i="1"/>
  <c r="AK51" i="1"/>
  <c r="AD51" i="1"/>
  <c r="Y51" i="1"/>
  <c r="T51" i="1"/>
  <c r="U51" i="1" s="1"/>
  <c r="S51" i="1"/>
  <c r="M51" i="1"/>
  <c r="K51" i="1"/>
  <c r="AO50" i="1"/>
  <c r="AK50" i="1"/>
  <c r="AD50" i="1"/>
  <c r="Y50" i="1"/>
  <c r="T50" i="1"/>
  <c r="U50" i="1" s="1"/>
  <c r="S50" i="1"/>
  <c r="M50" i="1"/>
  <c r="K50" i="1"/>
  <c r="AO56" i="1"/>
  <c r="AK56" i="1"/>
  <c r="AD56" i="1"/>
  <c r="AG56" i="1" s="1"/>
  <c r="AI56" i="1" s="1"/>
  <c r="Y56" i="1"/>
  <c r="T56" i="1"/>
  <c r="S56" i="1"/>
  <c r="M56" i="1"/>
  <c r="K56" i="1"/>
  <c r="L56" i="1" s="1"/>
  <c r="AO55" i="1"/>
  <c r="AK55" i="1"/>
  <c r="AD55" i="1"/>
  <c r="AG55" i="1" s="1"/>
  <c r="Y55" i="1"/>
  <c r="T55" i="1"/>
  <c r="U55" i="1" s="1"/>
  <c r="S55" i="1"/>
  <c r="M55" i="1"/>
  <c r="K55" i="1"/>
  <c r="AO58" i="1"/>
  <c r="AK58" i="1"/>
  <c r="AD58" i="1"/>
  <c r="AG58" i="1" s="1"/>
  <c r="Y58" i="1"/>
  <c r="T58" i="1"/>
  <c r="U58" i="1" s="1"/>
  <c r="S58" i="1"/>
  <c r="AH58" i="1" s="1"/>
  <c r="M58" i="1"/>
  <c r="K58" i="1"/>
  <c r="L58" i="1" s="1"/>
  <c r="AO57" i="1"/>
  <c r="AK57" i="1"/>
  <c r="AD57" i="1"/>
  <c r="Y57" i="1"/>
  <c r="T57" i="1"/>
  <c r="U57" i="1" s="1"/>
  <c r="S57" i="1"/>
  <c r="M57" i="1"/>
  <c r="K57" i="1"/>
  <c r="L57" i="1" s="1"/>
  <c r="I57" i="1"/>
  <c r="AO59" i="1"/>
  <c r="AK59" i="1"/>
  <c r="AD59" i="1"/>
  <c r="AG59" i="1" s="1"/>
  <c r="Y59" i="1"/>
  <c r="T59" i="1"/>
  <c r="U59" i="1" s="1"/>
  <c r="S59" i="1"/>
  <c r="M59" i="1"/>
  <c r="K59" i="1"/>
  <c r="AO76" i="1"/>
  <c r="AK76" i="1"/>
  <c r="AD76" i="1"/>
  <c r="Y76" i="1"/>
  <c r="T76" i="1"/>
  <c r="U76" i="1" s="1"/>
  <c r="S76" i="1"/>
  <c r="M76" i="1"/>
  <c r="K76" i="1"/>
  <c r="L76" i="1" s="1"/>
  <c r="AO75" i="1"/>
  <c r="AK75" i="1"/>
  <c r="AD75" i="1"/>
  <c r="Y75" i="1"/>
  <c r="T75" i="1"/>
  <c r="U75" i="1" s="1"/>
  <c r="S75" i="1"/>
  <c r="M75" i="1"/>
  <c r="K75" i="1"/>
  <c r="AO74" i="1"/>
  <c r="AK74" i="1"/>
  <c r="AD74" i="1"/>
  <c r="Y74" i="1"/>
  <c r="T74" i="1"/>
  <c r="U74" i="1" s="1"/>
  <c r="S74" i="1"/>
  <c r="M74" i="1"/>
  <c r="K74" i="1"/>
  <c r="L74" i="1" s="1"/>
  <c r="AO73" i="1"/>
  <c r="AK73" i="1"/>
  <c r="AD73" i="1"/>
  <c r="Y73" i="1"/>
  <c r="T73" i="1"/>
  <c r="U73" i="1" s="1"/>
  <c r="S73" i="1"/>
  <c r="M73" i="1"/>
  <c r="K73" i="1"/>
  <c r="L73" i="1" s="1"/>
  <c r="AO72" i="1"/>
  <c r="AK72" i="1"/>
  <c r="AD72" i="1"/>
  <c r="AG72" i="1" s="1"/>
  <c r="AI72" i="1" s="1"/>
  <c r="Y72" i="1"/>
  <c r="T72" i="1"/>
  <c r="S72" i="1"/>
  <c r="M72" i="1"/>
  <c r="K72" i="1"/>
  <c r="L72" i="1" s="1"/>
  <c r="O72" i="1" s="1"/>
  <c r="AO71" i="1"/>
  <c r="AK71" i="1"/>
  <c r="AD71" i="1"/>
  <c r="AG71" i="1" s="1"/>
  <c r="Y71" i="1"/>
  <c r="T71" i="1"/>
  <c r="U71" i="1" s="1"/>
  <c r="S71" i="1"/>
  <c r="M71" i="1"/>
  <c r="K71" i="1"/>
  <c r="L71" i="1" s="1"/>
  <c r="AO70" i="1"/>
  <c r="AK70" i="1"/>
  <c r="AD70" i="1"/>
  <c r="Y70" i="1"/>
  <c r="T70" i="1"/>
  <c r="U70" i="1" s="1"/>
  <c r="S70" i="1"/>
  <c r="M70" i="1"/>
  <c r="K70" i="1"/>
  <c r="AO69" i="1"/>
  <c r="AK69" i="1"/>
  <c r="AD69" i="1"/>
  <c r="AG69" i="1" s="1"/>
  <c r="Y69" i="1"/>
  <c r="T69" i="1"/>
  <c r="S69" i="1"/>
  <c r="M69" i="1"/>
  <c r="K69" i="1"/>
  <c r="L69" i="1" s="1"/>
  <c r="O69" i="1" s="1"/>
  <c r="AO68" i="1"/>
  <c r="AK68" i="1"/>
  <c r="AD68" i="1"/>
  <c r="AG68" i="1" s="1"/>
  <c r="Y68" i="1"/>
  <c r="T68" i="1"/>
  <c r="S68" i="1"/>
  <c r="M68" i="1"/>
  <c r="K68" i="1"/>
  <c r="AO67" i="1"/>
  <c r="AK67" i="1"/>
  <c r="AD67" i="1"/>
  <c r="Y67" i="1"/>
  <c r="T67" i="1"/>
  <c r="S67" i="1"/>
  <c r="M67" i="1"/>
  <c r="K67" i="1"/>
  <c r="L67" i="1" s="1"/>
  <c r="AO66" i="1"/>
  <c r="AK66" i="1"/>
  <c r="AD66" i="1"/>
  <c r="AG66" i="1" s="1"/>
  <c r="Y66" i="1"/>
  <c r="T66" i="1"/>
  <c r="U66" i="1" s="1"/>
  <c r="S66" i="1"/>
  <c r="AH66" i="1" s="1"/>
  <c r="M66" i="1"/>
  <c r="K66" i="1"/>
  <c r="AO65" i="1"/>
  <c r="AK65" i="1"/>
  <c r="AD65" i="1"/>
  <c r="AH65" i="1" s="1"/>
  <c r="Y65" i="1"/>
  <c r="T65" i="1"/>
  <c r="S65" i="1"/>
  <c r="M65" i="1"/>
  <c r="K65" i="1"/>
  <c r="L65" i="1" s="1"/>
  <c r="AO64" i="1"/>
  <c r="AK64" i="1"/>
  <c r="AD64" i="1"/>
  <c r="Y64" i="1"/>
  <c r="T64" i="1"/>
  <c r="S64" i="1"/>
  <c r="M64" i="1"/>
  <c r="K64" i="1"/>
  <c r="L64" i="1" s="1"/>
  <c r="AO63" i="1"/>
  <c r="AK63" i="1"/>
  <c r="AD63" i="1"/>
  <c r="Y63" i="1"/>
  <c r="T63" i="1"/>
  <c r="U63" i="1" s="1"/>
  <c r="S63" i="1"/>
  <c r="M63" i="1"/>
  <c r="K63" i="1"/>
  <c r="L63" i="1" s="1"/>
  <c r="I63" i="1"/>
  <c r="AO62" i="1"/>
  <c r="AK62" i="1"/>
  <c r="AD62" i="1"/>
  <c r="AH62" i="1" s="1"/>
  <c r="Y62" i="1"/>
  <c r="T62" i="1"/>
  <c r="S62" i="1"/>
  <c r="M62" i="1"/>
  <c r="K62" i="1"/>
  <c r="L62" i="1" s="1"/>
  <c r="AO61" i="1"/>
  <c r="AK61" i="1"/>
  <c r="AD61" i="1"/>
  <c r="Y61" i="1"/>
  <c r="T61" i="1"/>
  <c r="S61" i="1"/>
  <c r="M61" i="1"/>
  <c r="K61" i="1"/>
  <c r="L61" i="1" s="1"/>
  <c r="AO60" i="1"/>
  <c r="AK60" i="1"/>
  <c r="AD60" i="1"/>
  <c r="AG60" i="1" s="1"/>
  <c r="Y60" i="1"/>
  <c r="T60" i="1"/>
  <c r="U60" i="1" s="1"/>
  <c r="S60" i="1"/>
  <c r="AH60" i="1" s="1"/>
  <c r="M60" i="1"/>
  <c r="K60" i="1"/>
  <c r="AO85" i="1"/>
  <c r="AK85" i="1"/>
  <c r="AD85" i="1"/>
  <c r="Y85" i="1"/>
  <c r="T85" i="1"/>
  <c r="U85" i="1" s="1"/>
  <c r="S85" i="1"/>
  <c r="M85" i="1"/>
  <c r="K85" i="1"/>
  <c r="I85" i="1" s="1"/>
  <c r="AO84" i="1"/>
  <c r="AK84" i="1"/>
  <c r="AD84" i="1"/>
  <c r="AG84" i="1" s="1"/>
  <c r="Y84" i="1"/>
  <c r="T84" i="1"/>
  <c r="U84" i="1" s="1"/>
  <c r="S84" i="1"/>
  <c r="M84" i="1"/>
  <c r="K84" i="1"/>
  <c r="L84" i="1" s="1"/>
  <c r="AO83" i="1"/>
  <c r="AK83" i="1"/>
  <c r="AD83" i="1"/>
  <c r="AG83" i="1" s="1"/>
  <c r="Y83" i="1"/>
  <c r="T83" i="1"/>
  <c r="U83" i="1" s="1"/>
  <c r="S83" i="1"/>
  <c r="M83" i="1"/>
  <c r="K83" i="1"/>
  <c r="AO82" i="1"/>
  <c r="AK82" i="1"/>
  <c r="AD82" i="1"/>
  <c r="AG82" i="1" s="1"/>
  <c r="Y82" i="1"/>
  <c r="T82" i="1"/>
  <c r="S82" i="1"/>
  <c r="M82" i="1"/>
  <c r="K82" i="1"/>
  <c r="AO81" i="1"/>
  <c r="AK81" i="1"/>
  <c r="AD81" i="1"/>
  <c r="AH81" i="1" s="1"/>
  <c r="Y81" i="1"/>
  <c r="T81" i="1"/>
  <c r="S81" i="1"/>
  <c r="M81" i="1"/>
  <c r="K81" i="1"/>
  <c r="AO80" i="1"/>
  <c r="AK80" i="1"/>
  <c r="AD80" i="1"/>
  <c r="Y80" i="1"/>
  <c r="T80" i="1"/>
  <c r="U80" i="1" s="1"/>
  <c r="S80" i="1"/>
  <c r="M80" i="1"/>
  <c r="K80" i="1"/>
  <c r="AO79" i="1"/>
  <c r="AK79" i="1"/>
  <c r="AG79" i="1"/>
  <c r="AD79" i="1"/>
  <c r="Y79" i="1"/>
  <c r="T79" i="1"/>
  <c r="U79" i="1" s="1"/>
  <c r="S79" i="1"/>
  <c r="M79" i="1"/>
  <c r="K79" i="1"/>
  <c r="L79" i="1" s="1"/>
  <c r="AO78" i="1"/>
  <c r="AK78" i="1"/>
  <c r="AD78" i="1"/>
  <c r="AG78" i="1" s="1"/>
  <c r="AI78" i="1" s="1"/>
  <c r="Y78" i="1"/>
  <c r="T78" i="1"/>
  <c r="S78" i="1"/>
  <c r="M78" i="1"/>
  <c r="K78" i="1"/>
  <c r="L78" i="1" s="1"/>
  <c r="AO77" i="1"/>
  <c r="AK77" i="1"/>
  <c r="AD77" i="1"/>
  <c r="AG77" i="1" s="1"/>
  <c r="Y77" i="1"/>
  <c r="T77" i="1"/>
  <c r="U77" i="1" s="1"/>
  <c r="S77" i="1"/>
  <c r="M77" i="1"/>
  <c r="K77" i="1"/>
  <c r="AO98" i="1"/>
  <c r="AK98" i="1"/>
  <c r="AD98" i="1"/>
  <c r="AG98" i="1" s="1"/>
  <c r="Y98" i="1"/>
  <c r="T98" i="1"/>
  <c r="S98" i="1"/>
  <c r="M98" i="1"/>
  <c r="K98" i="1"/>
  <c r="AO97" i="1"/>
  <c r="AK97" i="1"/>
  <c r="AD97" i="1"/>
  <c r="Y97" i="1"/>
  <c r="U97" i="1"/>
  <c r="T97" i="1"/>
  <c r="S97" i="1"/>
  <c r="M97" i="1"/>
  <c r="K97" i="1"/>
  <c r="L97" i="1" s="1"/>
  <c r="AO96" i="1"/>
  <c r="AK96" i="1"/>
  <c r="AD96" i="1"/>
  <c r="AG96" i="1" s="1"/>
  <c r="Y96" i="1"/>
  <c r="T96" i="1"/>
  <c r="U96" i="1" s="1"/>
  <c r="S96" i="1"/>
  <c r="M96" i="1"/>
  <c r="K96" i="1"/>
  <c r="AO95" i="1"/>
  <c r="AK95" i="1"/>
  <c r="AD95" i="1"/>
  <c r="AG95" i="1" s="1"/>
  <c r="Y95" i="1"/>
  <c r="T95" i="1"/>
  <c r="U95" i="1" s="1"/>
  <c r="S95" i="1"/>
  <c r="M95" i="1"/>
  <c r="K95" i="1"/>
  <c r="L95" i="1" s="1"/>
  <c r="O95" i="1" s="1"/>
  <c r="AO94" i="1"/>
  <c r="AK94" i="1"/>
  <c r="AD94" i="1"/>
  <c r="AG94" i="1" s="1"/>
  <c r="Y94" i="1"/>
  <c r="T94" i="1"/>
  <c r="U94" i="1" s="1"/>
  <c r="S94" i="1"/>
  <c r="M94" i="1"/>
  <c r="K94" i="1"/>
  <c r="L94" i="1" s="1"/>
  <c r="AO93" i="1"/>
  <c r="AK93" i="1"/>
  <c r="AD93" i="1"/>
  <c r="AG93" i="1" s="1"/>
  <c r="Y93" i="1"/>
  <c r="T93" i="1"/>
  <c r="U93" i="1" s="1"/>
  <c r="S93" i="1"/>
  <c r="M93" i="1"/>
  <c r="K93" i="1"/>
  <c r="AO92" i="1"/>
  <c r="AK92" i="1"/>
  <c r="AD92" i="1"/>
  <c r="AG92" i="1" s="1"/>
  <c r="Y92" i="1"/>
  <c r="T92" i="1"/>
  <c r="U92" i="1" s="1"/>
  <c r="S92" i="1"/>
  <c r="M92" i="1"/>
  <c r="K92" i="1"/>
  <c r="AO91" i="1"/>
  <c r="AK91" i="1"/>
  <c r="AD91" i="1"/>
  <c r="AG91" i="1" s="1"/>
  <c r="Y91" i="1"/>
  <c r="T91" i="1"/>
  <c r="S91" i="1"/>
  <c r="M91" i="1"/>
  <c r="K91" i="1"/>
  <c r="AO90" i="1"/>
  <c r="AK90" i="1"/>
  <c r="AD90" i="1"/>
  <c r="AG90" i="1" s="1"/>
  <c r="Y90" i="1"/>
  <c r="T90" i="1"/>
  <c r="U90" i="1" s="1"/>
  <c r="S90" i="1"/>
  <c r="M90" i="1"/>
  <c r="K90" i="1"/>
  <c r="L90" i="1" s="1"/>
  <c r="AO89" i="1"/>
  <c r="AK89" i="1"/>
  <c r="AD89" i="1"/>
  <c r="AG89" i="1" s="1"/>
  <c r="Y89" i="1"/>
  <c r="T89" i="1"/>
  <c r="U89" i="1" s="1"/>
  <c r="S89" i="1"/>
  <c r="M89" i="1"/>
  <c r="K89" i="1"/>
  <c r="AO88" i="1"/>
  <c r="AK88" i="1"/>
  <c r="AD88" i="1"/>
  <c r="Y88" i="1"/>
  <c r="T88" i="1"/>
  <c r="U88" i="1" s="1"/>
  <c r="S88" i="1"/>
  <c r="M88" i="1"/>
  <c r="K88" i="1"/>
  <c r="L88" i="1" s="1"/>
  <c r="AO87" i="1"/>
  <c r="AK87" i="1"/>
  <c r="AD87" i="1"/>
  <c r="Y87" i="1"/>
  <c r="T87" i="1"/>
  <c r="U87" i="1" s="1"/>
  <c r="S87" i="1"/>
  <c r="M87" i="1"/>
  <c r="K87" i="1"/>
  <c r="AO86" i="1"/>
  <c r="AK86" i="1"/>
  <c r="AD86" i="1"/>
  <c r="Y86" i="1"/>
  <c r="T86" i="1"/>
  <c r="U86" i="1" s="1"/>
  <c r="S86" i="1"/>
  <c r="M86" i="1"/>
  <c r="K86" i="1"/>
  <c r="L86" i="1" s="1"/>
  <c r="O86" i="1" s="1"/>
  <c r="I86" i="1"/>
  <c r="AO115" i="1"/>
  <c r="AK115" i="1"/>
  <c r="AD115" i="1"/>
  <c r="AG115" i="1" s="1"/>
  <c r="AI115" i="1" s="1"/>
  <c r="Y115" i="1"/>
  <c r="T115" i="1"/>
  <c r="U115" i="1" s="1"/>
  <c r="S115" i="1"/>
  <c r="M115" i="1"/>
  <c r="K115" i="1"/>
  <c r="AO114" i="1"/>
  <c r="AK114" i="1"/>
  <c r="AD114" i="1"/>
  <c r="Y114" i="1"/>
  <c r="T114" i="1"/>
  <c r="I114" i="1" s="1"/>
  <c r="S114" i="1"/>
  <c r="M114" i="1"/>
  <c r="K114" i="1"/>
  <c r="L114" i="1" s="1"/>
  <c r="AO113" i="1"/>
  <c r="AK113" i="1"/>
  <c r="AD113" i="1"/>
  <c r="AG113" i="1" s="1"/>
  <c r="Y113" i="1"/>
  <c r="T113" i="1"/>
  <c r="U113" i="1" s="1"/>
  <c r="S113" i="1"/>
  <c r="M113" i="1"/>
  <c r="K113" i="1"/>
  <c r="I113" i="1" s="1"/>
  <c r="AO112" i="1"/>
  <c r="AK112" i="1"/>
  <c r="AD112" i="1"/>
  <c r="AG112" i="1" s="1"/>
  <c r="AI112" i="1" s="1"/>
  <c r="Y112" i="1"/>
  <c r="T112" i="1"/>
  <c r="U112" i="1" s="1"/>
  <c r="S112" i="1"/>
  <c r="M112" i="1"/>
  <c r="K112" i="1"/>
  <c r="I112" i="1" s="1"/>
  <c r="AO111" i="1"/>
  <c r="AK111" i="1"/>
  <c r="AD111" i="1"/>
  <c r="AG111" i="1" s="1"/>
  <c r="Y111" i="1"/>
  <c r="T111" i="1"/>
  <c r="U111" i="1" s="1"/>
  <c r="S111" i="1"/>
  <c r="M111" i="1"/>
  <c r="K111" i="1"/>
  <c r="AO110" i="1"/>
  <c r="AK110" i="1"/>
  <c r="AD110" i="1"/>
  <c r="Y110" i="1"/>
  <c r="T110" i="1"/>
  <c r="U110" i="1" s="1"/>
  <c r="S110" i="1"/>
  <c r="M110" i="1"/>
  <c r="K110" i="1"/>
  <c r="L110" i="1" s="1"/>
  <c r="AO109" i="1"/>
  <c r="AK109" i="1"/>
  <c r="AD109" i="1"/>
  <c r="Y109" i="1"/>
  <c r="T109" i="1"/>
  <c r="S109" i="1"/>
  <c r="M109" i="1"/>
  <c r="K109" i="1"/>
  <c r="AO108" i="1"/>
  <c r="AK108" i="1"/>
  <c r="AD108" i="1"/>
  <c r="AG108" i="1" s="1"/>
  <c r="Y108" i="1"/>
  <c r="T108" i="1"/>
  <c r="S108" i="1"/>
  <c r="M108" i="1"/>
  <c r="K108" i="1"/>
  <c r="L108" i="1" s="1"/>
  <c r="AO107" i="1"/>
  <c r="AK107" i="1"/>
  <c r="AD107" i="1"/>
  <c r="AG107" i="1" s="1"/>
  <c r="Y107" i="1"/>
  <c r="T107" i="1"/>
  <c r="U107" i="1" s="1"/>
  <c r="S107" i="1"/>
  <c r="M107" i="1"/>
  <c r="K107" i="1"/>
  <c r="AO106" i="1"/>
  <c r="AK106" i="1"/>
  <c r="AD106" i="1"/>
  <c r="Y106" i="1"/>
  <c r="T106" i="1"/>
  <c r="U106" i="1" s="1"/>
  <c r="S106" i="1"/>
  <c r="M106" i="1"/>
  <c r="K106" i="1"/>
  <c r="L106" i="1" s="1"/>
  <c r="I106" i="1"/>
  <c r="AO105" i="1"/>
  <c r="AK105" i="1"/>
  <c r="AD105" i="1"/>
  <c r="AG105" i="1" s="1"/>
  <c r="Y105" i="1"/>
  <c r="T105" i="1"/>
  <c r="U105" i="1" s="1"/>
  <c r="S105" i="1"/>
  <c r="M105" i="1"/>
  <c r="K105" i="1"/>
  <c r="AO104" i="1"/>
  <c r="AK104" i="1"/>
  <c r="AD104" i="1"/>
  <c r="AG104" i="1" s="1"/>
  <c r="Y104" i="1"/>
  <c r="T104" i="1"/>
  <c r="S104" i="1"/>
  <c r="M104" i="1"/>
  <c r="K104" i="1"/>
  <c r="L104" i="1" s="1"/>
  <c r="AO103" i="1"/>
  <c r="AK103" i="1"/>
  <c r="AD103" i="1"/>
  <c r="AG103" i="1" s="1"/>
  <c r="AI103" i="1" s="1"/>
  <c r="Y103" i="1"/>
  <c r="T103" i="1"/>
  <c r="U103" i="1" s="1"/>
  <c r="S103" i="1"/>
  <c r="M103" i="1"/>
  <c r="K103" i="1"/>
  <c r="AO116" i="1"/>
  <c r="AK116" i="1"/>
  <c r="AD116" i="1"/>
  <c r="AH116" i="1" s="1"/>
  <c r="Y116" i="1"/>
  <c r="T116" i="1"/>
  <c r="U116" i="1" s="1"/>
  <c r="S116" i="1"/>
  <c r="M116" i="1"/>
  <c r="K116" i="1"/>
  <c r="AO117" i="1"/>
  <c r="AK117" i="1"/>
  <c r="AD117" i="1"/>
  <c r="AG117" i="1" s="1"/>
  <c r="Y117" i="1"/>
  <c r="T117" i="1"/>
  <c r="S117" i="1"/>
  <c r="M117" i="1"/>
  <c r="K117" i="1"/>
  <c r="AI84" i="1" l="1"/>
  <c r="AI125" i="1"/>
  <c r="AI96" i="1"/>
  <c r="AI55" i="1"/>
  <c r="I42" i="1"/>
  <c r="I25" i="1"/>
  <c r="O18" i="1"/>
  <c r="I2" i="1"/>
  <c r="I105" i="1"/>
  <c r="AI92" i="1"/>
  <c r="I74" i="1"/>
  <c r="AI48" i="1"/>
  <c r="AI27" i="1"/>
  <c r="I12" i="1"/>
  <c r="I125" i="1"/>
  <c r="AH94" i="1"/>
  <c r="AJ72" i="1"/>
  <c r="AL72" i="1" s="1"/>
  <c r="AN72" i="1" s="1"/>
  <c r="I59" i="1"/>
  <c r="AH56" i="1"/>
  <c r="I29" i="1"/>
  <c r="AH18" i="1"/>
  <c r="AH105" i="1"/>
  <c r="I111" i="1"/>
  <c r="AH78" i="1"/>
  <c r="AH33" i="1"/>
  <c r="AH6" i="1"/>
  <c r="O126" i="1"/>
  <c r="O130" i="1"/>
  <c r="I93" i="1"/>
  <c r="I51" i="1"/>
  <c r="I109" i="1"/>
  <c r="AI98" i="1"/>
  <c r="AI60" i="1"/>
  <c r="AH64" i="1"/>
  <c r="AH67" i="1"/>
  <c r="O30" i="1"/>
  <c r="AI23" i="1"/>
  <c r="O10" i="1"/>
  <c r="AH136" i="1"/>
  <c r="AG116" i="1"/>
  <c r="AI116" i="1" s="1"/>
  <c r="O108" i="1"/>
  <c r="O78" i="1"/>
  <c r="AH79" i="1"/>
  <c r="O73" i="1"/>
  <c r="I56" i="1"/>
  <c r="AI54" i="1"/>
  <c r="AI46" i="1"/>
  <c r="AJ46" i="1" s="1"/>
  <c r="O40" i="1"/>
  <c r="AJ40" i="1" s="1"/>
  <c r="AH22" i="1"/>
  <c r="AI11" i="1"/>
  <c r="AI3" i="1"/>
  <c r="O41" i="1"/>
  <c r="AI124" i="1"/>
  <c r="AI107" i="1"/>
  <c r="AI71" i="1"/>
  <c r="AI32" i="1"/>
  <c r="I3" i="1"/>
  <c r="AH108" i="1"/>
  <c r="AI90" i="1"/>
  <c r="I77" i="1"/>
  <c r="I78" i="1"/>
  <c r="AH85" i="1"/>
  <c r="AH74" i="1"/>
  <c r="I44" i="1"/>
  <c r="AH40" i="1"/>
  <c r="I36" i="1"/>
  <c r="AI18" i="1"/>
  <c r="AJ18" i="1" s="1"/>
  <c r="AH122" i="1"/>
  <c r="AH72" i="1"/>
  <c r="AI134" i="1"/>
  <c r="U114" i="1"/>
  <c r="AH80" i="1"/>
  <c r="I31" i="1"/>
  <c r="AH12" i="1"/>
  <c r="AH120" i="1"/>
  <c r="AI101" i="1"/>
  <c r="I30" i="1"/>
  <c r="I124" i="1"/>
  <c r="AH104" i="1"/>
  <c r="AH111" i="1"/>
  <c r="AI93" i="1"/>
  <c r="AG85" i="1"/>
  <c r="AI85" i="1" s="1"/>
  <c r="AH63" i="1"/>
  <c r="AI30" i="1"/>
  <c r="AI34" i="1"/>
  <c r="I27" i="1"/>
  <c r="AI25" i="1"/>
  <c r="AH13" i="1"/>
  <c r="AI24" i="1"/>
  <c r="AJ24" i="1" s="1"/>
  <c r="AH88" i="1"/>
  <c r="O79" i="1"/>
  <c r="AJ79" i="1" s="1"/>
  <c r="O46" i="1"/>
  <c r="AH114" i="1"/>
  <c r="AG80" i="1"/>
  <c r="AI80" i="1" s="1"/>
  <c r="AH109" i="1"/>
  <c r="AH96" i="1"/>
  <c r="AI79" i="1"/>
  <c r="I76" i="1"/>
  <c r="I52" i="1"/>
  <c r="I103" i="1"/>
  <c r="I107" i="1"/>
  <c r="AH77" i="1"/>
  <c r="AJ78" i="1"/>
  <c r="AL78" i="1" s="1"/>
  <c r="AN78" i="1" s="1"/>
  <c r="AH68" i="1"/>
  <c r="AH69" i="1"/>
  <c r="I72" i="1"/>
  <c r="AI59" i="1"/>
  <c r="AH52" i="1"/>
  <c r="AH45" i="1"/>
  <c r="L27" i="1"/>
  <c r="O27" i="1" s="1"/>
  <c r="AJ27" i="1" s="1"/>
  <c r="O17" i="1"/>
  <c r="I101" i="1"/>
  <c r="I126" i="1"/>
  <c r="L111" i="1"/>
  <c r="O111" i="1" s="1"/>
  <c r="AH115" i="1"/>
  <c r="L51" i="1"/>
  <c r="O51" i="1" s="1"/>
  <c r="L52" i="1"/>
  <c r="O52" i="1" s="1"/>
  <c r="AJ52" i="1" s="1"/>
  <c r="AH48" i="1"/>
  <c r="O26" i="1"/>
  <c r="U18" i="1"/>
  <c r="AH130" i="1"/>
  <c r="AG136" i="1"/>
  <c r="AI136" i="1" s="1"/>
  <c r="O106" i="1"/>
  <c r="AG114" i="1"/>
  <c r="AI114" i="1" s="1"/>
  <c r="AI89" i="1"/>
  <c r="U78" i="1"/>
  <c r="AG81" i="1"/>
  <c r="O84" i="1"/>
  <c r="AJ84" i="1" s="1"/>
  <c r="AG62" i="1"/>
  <c r="AI62" i="1" s="1"/>
  <c r="AG63" i="1"/>
  <c r="AI63" i="1" s="1"/>
  <c r="AH59" i="1"/>
  <c r="O57" i="1"/>
  <c r="I50" i="1"/>
  <c r="O53" i="1"/>
  <c r="AH49" i="1"/>
  <c r="U30" i="1"/>
  <c r="AG33" i="1"/>
  <c r="AI33" i="1" s="1"/>
  <c r="U21" i="1"/>
  <c r="L25" i="1"/>
  <c r="O25" i="1" s="1"/>
  <c r="AJ25" i="1" s="1"/>
  <c r="I119" i="1"/>
  <c r="O120" i="1"/>
  <c r="AG122" i="1"/>
  <c r="AI122" i="1" s="1"/>
  <c r="O100" i="1"/>
  <c r="U126" i="1"/>
  <c r="L105" i="1"/>
  <c r="O105" i="1" s="1"/>
  <c r="L44" i="1"/>
  <c r="O44" i="1" s="1"/>
  <c r="U31" i="1"/>
  <c r="AH34" i="1"/>
  <c r="L36" i="1"/>
  <c r="O36" i="1" s="1"/>
  <c r="I97" i="1"/>
  <c r="AH98" i="1"/>
  <c r="AH84" i="1"/>
  <c r="AI58" i="1"/>
  <c r="AH31" i="1"/>
  <c r="AI38" i="1"/>
  <c r="L28" i="1"/>
  <c r="O28" i="1" s="1"/>
  <c r="I26" i="1"/>
  <c r="AH19" i="1"/>
  <c r="L9" i="1"/>
  <c r="O9" i="1" s="1"/>
  <c r="AI4" i="1"/>
  <c r="O133" i="1"/>
  <c r="AI81" i="1"/>
  <c r="AH82" i="1"/>
  <c r="L85" i="1"/>
  <c r="O85" i="1" s="1"/>
  <c r="AJ85" i="1" s="1"/>
  <c r="U72" i="1"/>
  <c r="L59" i="1"/>
  <c r="O59" i="1" s="1"/>
  <c r="AJ59" i="1" s="1"/>
  <c r="U19" i="1"/>
  <c r="U3" i="1"/>
  <c r="U2" i="1"/>
  <c r="O101" i="1"/>
  <c r="O65" i="1"/>
  <c r="I53" i="1"/>
  <c r="AI31" i="1"/>
  <c r="AH21" i="1"/>
  <c r="AH121" i="1"/>
  <c r="AH128" i="1"/>
  <c r="AH112" i="1"/>
  <c r="O97" i="1"/>
  <c r="AH83" i="1"/>
  <c r="I71" i="1"/>
  <c r="U53" i="1"/>
  <c r="O42" i="1"/>
  <c r="AG45" i="1"/>
  <c r="AH46" i="1"/>
  <c r="O35" i="1"/>
  <c r="AH27" i="1"/>
  <c r="AG21" i="1"/>
  <c r="AI21" i="1" s="1"/>
  <c r="I17" i="1"/>
  <c r="AH119" i="1"/>
  <c r="AG121" i="1"/>
  <c r="AI121" i="1" s="1"/>
  <c r="AJ121" i="1" s="1"/>
  <c r="AM121" i="1" s="1"/>
  <c r="O131" i="1"/>
  <c r="AJ131" i="1" s="1"/>
  <c r="AH134" i="1"/>
  <c r="I136" i="1"/>
  <c r="O15" i="1"/>
  <c r="O64" i="1"/>
  <c r="U56" i="1"/>
  <c r="AI53" i="1"/>
  <c r="AH44" i="1"/>
  <c r="I40" i="1"/>
  <c r="AG36" i="1"/>
  <c r="AI36" i="1" s="1"/>
  <c r="I28" i="1"/>
  <c r="I18" i="1"/>
  <c r="AG12" i="1"/>
  <c r="AI12" i="1" s="1"/>
  <c r="AI7" i="1"/>
  <c r="I4" i="1"/>
  <c r="L3" i="1"/>
  <c r="O3" i="1" s="1"/>
  <c r="AG120" i="1"/>
  <c r="I102" i="1"/>
  <c r="I129" i="1"/>
  <c r="AH131" i="1"/>
  <c r="AI105" i="1"/>
  <c r="AI111" i="1"/>
  <c r="AH90" i="1"/>
  <c r="O71" i="1"/>
  <c r="AJ71" i="1" s="1"/>
  <c r="I73" i="1"/>
  <c r="AH51" i="1"/>
  <c r="I49" i="1"/>
  <c r="AI44" i="1"/>
  <c r="I41" i="1"/>
  <c r="AH39" i="1"/>
  <c r="I22" i="1"/>
  <c r="I15" i="1"/>
  <c r="AH14" i="1"/>
  <c r="AH138" i="1"/>
  <c r="I140" i="1"/>
  <c r="AH95" i="1"/>
  <c r="AI82" i="1"/>
  <c r="AH71" i="1"/>
  <c r="I46" i="1"/>
  <c r="AH23" i="1"/>
  <c r="U15" i="1"/>
  <c r="AG14" i="1"/>
  <c r="AI14" i="1" s="1"/>
  <c r="I5" i="1"/>
  <c r="AH124" i="1"/>
  <c r="AH125" i="1"/>
  <c r="L135" i="1"/>
  <c r="O135" i="1" s="1"/>
  <c r="L140" i="1"/>
  <c r="O140" i="1" s="1"/>
  <c r="I54" i="1"/>
  <c r="O5" i="1"/>
  <c r="AI119" i="1"/>
  <c r="I134" i="1"/>
  <c r="AI117" i="1"/>
  <c r="I96" i="1"/>
  <c r="U117" i="1"/>
  <c r="L96" i="1"/>
  <c r="O96" i="1" s="1"/>
  <c r="AJ96" i="1" s="1"/>
  <c r="I69" i="1"/>
  <c r="U69" i="1"/>
  <c r="AH73" i="1"/>
  <c r="AG73" i="1"/>
  <c r="AI73" i="1" s="1"/>
  <c r="AJ73" i="1" s="1"/>
  <c r="AI108" i="1"/>
  <c r="I108" i="1"/>
  <c r="I116" i="1"/>
  <c r="L116" i="1"/>
  <c r="O116" i="1" s="1"/>
  <c r="U68" i="1"/>
  <c r="AI68" i="1"/>
  <c r="U64" i="1"/>
  <c r="I64" i="1"/>
  <c r="AH106" i="1"/>
  <c r="AG106" i="1"/>
  <c r="AI106" i="1" s="1"/>
  <c r="AI94" i="1"/>
  <c r="U81" i="1"/>
  <c r="U120" i="1"/>
  <c r="AI120" i="1"/>
  <c r="I120" i="1"/>
  <c r="U100" i="1"/>
  <c r="I100" i="1"/>
  <c r="L127" i="1"/>
  <c r="O127" i="1" s="1"/>
  <c r="I127" i="1"/>
  <c r="I67" i="1"/>
  <c r="U67" i="1"/>
  <c r="L118" i="1"/>
  <c r="O118" i="1" s="1"/>
  <c r="I118" i="1"/>
  <c r="U91" i="1"/>
  <c r="I91" i="1"/>
  <c r="L103" i="1"/>
  <c r="O103" i="1" s="1"/>
  <c r="AJ103" i="1" s="1"/>
  <c r="U108" i="1"/>
  <c r="AI69" i="1"/>
  <c r="AJ69" i="1" s="1"/>
  <c r="U104" i="1"/>
  <c r="I104" i="1"/>
  <c r="AG109" i="1"/>
  <c r="AI109" i="1" s="1"/>
  <c r="O114" i="1"/>
  <c r="O61" i="1"/>
  <c r="I137" i="1"/>
  <c r="L137" i="1"/>
  <c r="O137" i="1" s="1"/>
  <c r="AH103" i="1"/>
  <c r="L115" i="1"/>
  <c r="O115" i="1" s="1"/>
  <c r="AJ115" i="1" s="1"/>
  <c r="I115" i="1"/>
  <c r="O76" i="1"/>
  <c r="O38" i="1"/>
  <c r="I38" i="1"/>
  <c r="AH26" i="1"/>
  <c r="AG26" i="1"/>
  <c r="AI26" i="1" s="1"/>
  <c r="L23" i="1"/>
  <c r="O23" i="1" s="1"/>
  <c r="AJ23" i="1" s="1"/>
  <c r="I23" i="1"/>
  <c r="AG129" i="1"/>
  <c r="AI129" i="1" s="1"/>
  <c r="AH129" i="1"/>
  <c r="O110" i="1"/>
  <c r="L77" i="1"/>
  <c r="O77" i="1" s="1"/>
  <c r="AG74" i="1"/>
  <c r="AI74" i="1" s="1"/>
  <c r="AH75" i="1"/>
  <c r="AG75" i="1"/>
  <c r="AI75" i="1" s="1"/>
  <c r="L54" i="1"/>
  <c r="O54" i="1" s="1"/>
  <c r="U109" i="1"/>
  <c r="AH86" i="1"/>
  <c r="AG86" i="1"/>
  <c r="AI86" i="1" s="1"/>
  <c r="AJ86" i="1" s="1"/>
  <c r="AH87" i="1"/>
  <c r="AG87" i="1"/>
  <c r="AI87" i="1" s="1"/>
  <c r="AI91" i="1"/>
  <c r="U82" i="1"/>
  <c r="AG64" i="1"/>
  <c r="AI64" i="1" s="1"/>
  <c r="AJ64" i="1" s="1"/>
  <c r="AM72" i="1"/>
  <c r="AH57" i="1"/>
  <c r="L48" i="1"/>
  <c r="O48" i="1" s="1"/>
  <c r="O29" i="1"/>
  <c r="O104" i="1"/>
  <c r="AH91" i="1"/>
  <c r="L60" i="1"/>
  <c r="O60" i="1" s="1"/>
  <c r="I60" i="1"/>
  <c r="AG65" i="1"/>
  <c r="AI65" i="1" s="1"/>
  <c r="AJ65" i="1" s="1"/>
  <c r="AI66" i="1"/>
  <c r="AG57" i="1"/>
  <c r="AI57" i="1" s="1"/>
  <c r="AG50" i="1"/>
  <c r="AI50" i="1" s="1"/>
  <c r="AH50" i="1"/>
  <c r="I39" i="1"/>
  <c r="I6" i="1"/>
  <c r="L112" i="1"/>
  <c r="O112" i="1" s="1"/>
  <c r="AJ112" i="1" s="1"/>
  <c r="AG88" i="1"/>
  <c r="AI88" i="1" s="1"/>
  <c r="AH89" i="1"/>
  <c r="I98" i="1"/>
  <c r="U98" i="1"/>
  <c r="AI83" i="1"/>
  <c r="AG67" i="1"/>
  <c r="AI67" i="1" s="1"/>
  <c r="AG70" i="1"/>
  <c r="AI70" i="1" s="1"/>
  <c r="AH70" i="1"/>
  <c r="AH55" i="1"/>
  <c r="L39" i="1"/>
  <c r="O39" i="1" s="1"/>
  <c r="L6" i="1"/>
  <c r="O6" i="1" s="1"/>
  <c r="AJ6" i="1" s="1"/>
  <c r="AG127" i="1"/>
  <c r="AI127" i="1" s="1"/>
  <c r="AH127" i="1"/>
  <c r="AH110" i="1"/>
  <c r="AG110" i="1"/>
  <c r="AI110" i="1" s="1"/>
  <c r="I117" i="1"/>
  <c r="I87" i="1"/>
  <c r="L87" i="1"/>
  <c r="O87" i="1" s="1"/>
  <c r="I92" i="1"/>
  <c r="AI95" i="1"/>
  <c r="AJ95" i="1" s="1"/>
  <c r="U61" i="1"/>
  <c r="I61" i="1"/>
  <c r="O74" i="1"/>
  <c r="AH32" i="1"/>
  <c r="L117" i="1"/>
  <c r="O117" i="1" s="1"/>
  <c r="AI104" i="1"/>
  <c r="I88" i="1"/>
  <c r="O88" i="1"/>
  <c r="L92" i="1"/>
  <c r="O92" i="1" s="1"/>
  <c r="AJ92" i="1" s="1"/>
  <c r="O94" i="1"/>
  <c r="I94" i="1"/>
  <c r="AH97" i="1"/>
  <c r="AG97" i="1"/>
  <c r="AI97" i="1" s="1"/>
  <c r="AI77" i="1"/>
  <c r="L81" i="1"/>
  <c r="O81" i="1" s="1"/>
  <c r="I81" i="1"/>
  <c r="U62" i="1"/>
  <c r="I62" i="1"/>
  <c r="O63" i="1"/>
  <c r="AH42" i="1"/>
  <c r="AG42" i="1"/>
  <c r="AI42" i="1" s="1"/>
  <c r="AJ42" i="1" s="1"/>
  <c r="AH28" i="1"/>
  <c r="AG28" i="1"/>
  <c r="AI28" i="1" s="1"/>
  <c r="AH2" i="1"/>
  <c r="AG2" i="1"/>
  <c r="AI2" i="1" s="1"/>
  <c r="I130" i="1"/>
  <c r="U130" i="1"/>
  <c r="AI113" i="1"/>
  <c r="I89" i="1"/>
  <c r="I95" i="1"/>
  <c r="I82" i="1"/>
  <c r="I84" i="1"/>
  <c r="AH61" i="1"/>
  <c r="L68" i="1"/>
  <c r="O68" i="1" s="1"/>
  <c r="I68" i="1"/>
  <c r="AH41" i="1"/>
  <c r="AG41" i="1"/>
  <c r="AI41" i="1" s="1"/>
  <c r="AJ41" i="1" s="1"/>
  <c r="AH17" i="1"/>
  <c r="AG17" i="1"/>
  <c r="AI17" i="1" s="1"/>
  <c r="AH140" i="1"/>
  <c r="AG140" i="1"/>
  <c r="AI140" i="1" s="1"/>
  <c r="L109" i="1"/>
  <c r="O109" i="1" s="1"/>
  <c r="I110" i="1"/>
  <c r="AH113" i="1"/>
  <c r="L89" i="1"/>
  <c r="O89" i="1" s="1"/>
  <c r="AJ89" i="1" s="1"/>
  <c r="L82" i="1"/>
  <c r="O82" i="1" s="1"/>
  <c r="L83" i="1"/>
  <c r="O83" i="1" s="1"/>
  <c r="I83" i="1"/>
  <c r="AG61" i="1"/>
  <c r="AI61" i="1" s="1"/>
  <c r="O67" i="1"/>
  <c r="L70" i="1"/>
  <c r="O70" i="1" s="1"/>
  <c r="I70" i="1"/>
  <c r="O58" i="1"/>
  <c r="AI39" i="1"/>
  <c r="I80" i="1"/>
  <c r="O50" i="1"/>
  <c r="AG51" i="1"/>
  <c r="AI51" i="1" s="1"/>
  <c r="I47" i="1"/>
  <c r="AH38" i="1"/>
  <c r="U28" i="1"/>
  <c r="AH25" i="1"/>
  <c r="O56" i="1"/>
  <c r="AJ56" i="1" s="1"/>
  <c r="I16" i="1"/>
  <c r="U16" i="1"/>
  <c r="I123" i="1"/>
  <c r="O123" i="1"/>
  <c r="AH139" i="1"/>
  <c r="AG139" i="1"/>
  <c r="AI139" i="1" s="1"/>
  <c r="AH117" i="1"/>
  <c r="L107" i="1"/>
  <c r="O107" i="1" s="1"/>
  <c r="AJ107" i="1" s="1"/>
  <c r="L93" i="1"/>
  <c r="O93" i="1" s="1"/>
  <c r="L80" i="1"/>
  <c r="O80" i="1" s="1"/>
  <c r="L50" i="1"/>
  <c r="L47" i="1"/>
  <c r="O47" i="1" s="1"/>
  <c r="I45" i="1"/>
  <c r="L45" i="1"/>
  <c r="O45" i="1" s="1"/>
  <c r="AH37" i="1"/>
  <c r="AG37" i="1"/>
  <c r="AI37" i="1" s="1"/>
  <c r="AJ37" i="1" s="1"/>
  <c r="O21" i="1"/>
  <c r="I21" i="1"/>
  <c r="AI22" i="1"/>
  <c r="AH24" i="1"/>
  <c r="AG16" i="1"/>
  <c r="AI16" i="1" s="1"/>
  <c r="AJ16" i="1" s="1"/>
  <c r="AH16" i="1"/>
  <c r="I10" i="1"/>
  <c r="U10" i="1"/>
  <c r="AH8" i="1"/>
  <c r="AG8" i="1"/>
  <c r="AI8" i="1" s="1"/>
  <c r="AH5" i="1"/>
  <c r="AG5" i="1"/>
  <c r="AI5" i="1" s="1"/>
  <c r="I122" i="1"/>
  <c r="L122" i="1"/>
  <c r="O122" i="1"/>
  <c r="O134" i="1"/>
  <c r="AJ134" i="1" s="1"/>
  <c r="L32" i="1"/>
  <c r="O32" i="1" s="1"/>
  <c r="I32" i="1"/>
  <c r="L34" i="1"/>
  <c r="O34" i="1" s="1"/>
  <c r="I34" i="1"/>
  <c r="AH137" i="1"/>
  <c r="AG137" i="1"/>
  <c r="AI137" i="1" s="1"/>
  <c r="O141" i="1"/>
  <c r="I141" i="1"/>
  <c r="I90" i="1"/>
  <c r="O90" i="1"/>
  <c r="AH76" i="1"/>
  <c r="AG76" i="1"/>
  <c r="AI76" i="1" s="1"/>
  <c r="AG49" i="1"/>
  <c r="AI49" i="1" s="1"/>
  <c r="AJ49" i="1" s="1"/>
  <c r="AG29" i="1"/>
  <c r="AI29" i="1" s="1"/>
  <c r="AH29" i="1"/>
  <c r="I20" i="1"/>
  <c r="O20" i="1"/>
  <c r="I19" i="1"/>
  <c r="L19" i="1"/>
  <c r="O19" i="1" s="1"/>
  <c r="AJ19" i="1" s="1"/>
  <c r="L119" i="1"/>
  <c r="O119" i="1" s="1"/>
  <c r="AJ119" i="1" s="1"/>
  <c r="AG100" i="1"/>
  <c r="AI100" i="1" s="1"/>
  <c r="AH100" i="1"/>
  <c r="AH126" i="1"/>
  <c r="AG126" i="1"/>
  <c r="AI126" i="1" s="1"/>
  <c r="AJ126" i="1" s="1"/>
  <c r="L141" i="1"/>
  <c r="AH142" i="1"/>
  <c r="AG142" i="1"/>
  <c r="AI142" i="1" s="1"/>
  <c r="I66" i="1"/>
  <c r="L66" i="1"/>
  <c r="O66" i="1" s="1"/>
  <c r="I14" i="1"/>
  <c r="I11" i="1"/>
  <c r="L11" i="1"/>
  <c r="O11" i="1" s="1"/>
  <c r="AH107" i="1"/>
  <c r="L113" i="1"/>
  <c r="O113" i="1" s="1"/>
  <c r="L91" i="1"/>
  <c r="O91" i="1" s="1"/>
  <c r="AH93" i="1"/>
  <c r="L98" i="1"/>
  <c r="O98" i="1" s="1"/>
  <c r="I79" i="1"/>
  <c r="U65" i="1"/>
  <c r="I65" i="1"/>
  <c r="I55" i="1"/>
  <c r="L55" i="1"/>
  <c r="O55" i="1" s="1"/>
  <c r="AJ55" i="1" s="1"/>
  <c r="AI47" i="1"/>
  <c r="L43" i="1"/>
  <c r="O43" i="1" s="1"/>
  <c r="AJ43" i="1" s="1"/>
  <c r="AI45" i="1"/>
  <c r="L14" i="1"/>
  <c r="O14" i="1" s="1"/>
  <c r="AJ14" i="1" s="1"/>
  <c r="L13" i="1"/>
  <c r="O13" i="1" s="1"/>
  <c r="AJ13" i="1" s="1"/>
  <c r="I13" i="1"/>
  <c r="O99" i="1"/>
  <c r="I99" i="1"/>
  <c r="AI130" i="1"/>
  <c r="AJ130" i="1" s="1"/>
  <c r="I75" i="1"/>
  <c r="AI35" i="1"/>
  <c r="L22" i="1"/>
  <c r="O22" i="1" s="1"/>
  <c r="AH20" i="1"/>
  <c r="AG20" i="1"/>
  <c r="AI20" i="1" s="1"/>
  <c r="AH15" i="1"/>
  <c r="AG15" i="1"/>
  <c r="AI15" i="1" s="1"/>
  <c r="AJ15" i="1" s="1"/>
  <c r="L142" i="1"/>
  <c r="O142" i="1" s="1"/>
  <c r="AH92" i="1"/>
  <c r="L75" i="1"/>
  <c r="O75" i="1" s="1"/>
  <c r="L31" i="1"/>
  <c r="O31" i="1" s="1"/>
  <c r="AH35" i="1"/>
  <c r="AH11" i="1"/>
  <c r="I8" i="1"/>
  <c r="L8" i="1"/>
  <c r="O8" i="1" s="1"/>
  <c r="O7" i="1"/>
  <c r="I7" i="1"/>
  <c r="AJ4" i="1"/>
  <c r="AH101" i="1"/>
  <c r="L132" i="1"/>
  <c r="O132" i="1" s="1"/>
  <c r="AJ132" i="1" s="1"/>
  <c r="I132" i="1"/>
  <c r="AH118" i="1"/>
  <c r="L125" i="1"/>
  <c r="O125" i="1" s="1"/>
  <c r="AJ125" i="1" s="1"/>
  <c r="AH102" i="1"/>
  <c r="AG102" i="1"/>
  <c r="AI102" i="1" s="1"/>
  <c r="I139" i="1"/>
  <c r="L139" i="1"/>
  <c r="O139" i="1" s="1"/>
  <c r="I121" i="1"/>
  <c r="U121" i="1"/>
  <c r="I133" i="1"/>
  <c r="U133" i="1"/>
  <c r="O62" i="1"/>
  <c r="AJ62" i="1" s="1"/>
  <c r="I58" i="1"/>
  <c r="AI10" i="1"/>
  <c r="AH10" i="1"/>
  <c r="AH9" i="1"/>
  <c r="AG9" i="1"/>
  <c r="AI9" i="1" s="1"/>
  <c r="L128" i="1"/>
  <c r="O128" i="1" s="1"/>
  <c r="AJ128" i="1" s="1"/>
  <c r="AI133" i="1"/>
  <c r="AJ133" i="1" s="1"/>
  <c r="AH141" i="1"/>
  <c r="AH30" i="1"/>
  <c r="O124" i="1"/>
  <c r="O136" i="1"/>
  <c r="L33" i="1"/>
  <c r="O33" i="1" s="1"/>
  <c r="AJ33" i="1" s="1"/>
  <c r="I37" i="1"/>
  <c r="O2" i="1"/>
  <c r="O129" i="1"/>
  <c r="O138" i="1"/>
  <c r="AJ138" i="1" s="1"/>
  <c r="L12" i="1"/>
  <c r="O12" i="1" s="1"/>
  <c r="I9" i="1"/>
  <c r="AH123" i="1"/>
  <c r="AG123" i="1"/>
  <c r="AI123" i="1" s="1"/>
  <c r="AH99" i="1"/>
  <c r="AH135" i="1"/>
  <c r="AG135" i="1"/>
  <c r="AI135" i="1" s="1"/>
  <c r="AH3" i="1"/>
  <c r="O102" i="1"/>
  <c r="I35" i="1"/>
  <c r="I24" i="1"/>
  <c r="AG141" i="1"/>
  <c r="AI141" i="1" s="1"/>
  <c r="AG118" i="1"/>
  <c r="AI118" i="1" s="1"/>
  <c r="AG99" i="1"/>
  <c r="AI99" i="1" s="1"/>
  <c r="AG128" i="1"/>
  <c r="AJ60" i="1" l="1"/>
  <c r="AJ26" i="1"/>
  <c r="AJ54" i="1"/>
  <c r="AJ81" i="1"/>
  <c r="AJ48" i="1"/>
  <c r="AJ101" i="1"/>
  <c r="AM78" i="1"/>
  <c r="AJ53" i="1"/>
  <c r="AL53" i="1" s="1"/>
  <c r="AN53" i="1" s="1"/>
  <c r="AJ30" i="1"/>
  <c r="AL30" i="1" s="1"/>
  <c r="AN30" i="1" s="1"/>
  <c r="AJ90" i="1"/>
  <c r="AJ63" i="1"/>
  <c r="AM63" i="1" s="1"/>
  <c r="AJ98" i="1"/>
  <c r="AM98" i="1" s="1"/>
  <c r="AJ32" i="1"/>
  <c r="AJ93" i="1"/>
  <c r="AM93" i="1" s="1"/>
  <c r="AJ105" i="1"/>
  <c r="AM40" i="1"/>
  <c r="AL40" i="1"/>
  <c r="AN40" i="1" s="1"/>
  <c r="AL18" i="1"/>
  <c r="AN18" i="1" s="1"/>
  <c r="AM18" i="1"/>
  <c r="AJ82" i="1"/>
  <c r="AM82" i="1" s="1"/>
  <c r="AJ11" i="1"/>
  <c r="AM11" i="1" s="1"/>
  <c r="AJ51" i="1"/>
  <c r="AM51" i="1" s="1"/>
  <c r="AJ38" i="1"/>
  <c r="AM38" i="1" s="1"/>
  <c r="AJ35" i="1"/>
  <c r="AM35" i="1" s="1"/>
  <c r="AJ124" i="1"/>
  <c r="AM124" i="1" s="1"/>
  <c r="AJ108" i="1"/>
  <c r="AJ129" i="1"/>
  <c r="AM129" i="1" s="1"/>
  <c r="AJ36" i="1"/>
  <c r="AJ111" i="1"/>
  <c r="AJ10" i="1"/>
  <c r="AJ3" i="1"/>
  <c r="AM3" i="1" s="1"/>
  <c r="AJ31" i="1"/>
  <c r="AM31" i="1" s="1"/>
  <c r="AJ17" i="1"/>
  <c r="AM17" i="1" s="1"/>
  <c r="AJ120" i="1"/>
  <c r="AL120" i="1" s="1"/>
  <c r="AN120" i="1" s="1"/>
  <c r="AJ80" i="1"/>
  <c r="AL80" i="1" s="1"/>
  <c r="AN80" i="1" s="1"/>
  <c r="AJ135" i="1"/>
  <c r="AL135" i="1" s="1"/>
  <c r="AN135" i="1" s="1"/>
  <c r="AJ34" i="1"/>
  <c r="AJ44" i="1"/>
  <c r="AM44" i="1" s="1"/>
  <c r="AM131" i="1"/>
  <c r="AL131" i="1"/>
  <c r="AN131" i="1" s="1"/>
  <c r="AM71" i="1"/>
  <c r="AL71" i="1"/>
  <c r="AN71" i="1" s="1"/>
  <c r="AL59" i="1"/>
  <c r="AN59" i="1" s="1"/>
  <c r="AM59" i="1"/>
  <c r="AM52" i="1"/>
  <c r="AL52" i="1"/>
  <c r="AN52" i="1" s="1"/>
  <c r="AL84" i="1"/>
  <c r="AN84" i="1" s="1"/>
  <c r="AM84" i="1"/>
  <c r="AL85" i="1"/>
  <c r="AN85" i="1" s="1"/>
  <c r="AM85" i="1"/>
  <c r="AJ28" i="1"/>
  <c r="AM28" i="1" s="1"/>
  <c r="AJ137" i="1"/>
  <c r="AJ97" i="1"/>
  <c r="AL121" i="1"/>
  <c r="AN121" i="1" s="1"/>
  <c r="AJ136" i="1"/>
  <c r="AM136" i="1" s="1"/>
  <c r="AJ142" i="1"/>
  <c r="AM142" i="1" s="1"/>
  <c r="AJ106" i="1"/>
  <c r="AL106" i="1" s="1"/>
  <c r="AN106" i="1" s="1"/>
  <c r="AJ123" i="1"/>
  <c r="AM123" i="1" s="1"/>
  <c r="AJ140" i="1"/>
  <c r="AM140" i="1" s="1"/>
  <c r="AJ99" i="1"/>
  <c r="AM99" i="1" s="1"/>
  <c r="AJ75" i="1"/>
  <c r="AJ102" i="1"/>
  <c r="AL102" i="1" s="1"/>
  <c r="AN102" i="1" s="1"/>
  <c r="AJ2" i="1"/>
  <c r="AM2" i="1" s="1"/>
  <c r="AJ5" i="1"/>
  <c r="AL5" i="1" s="1"/>
  <c r="AN5" i="1" s="1"/>
  <c r="AJ58" i="1"/>
  <c r="AJ141" i="1"/>
  <c r="AJ12" i="1"/>
  <c r="AJ110" i="1"/>
  <c r="AL110" i="1" s="1"/>
  <c r="AN110" i="1" s="1"/>
  <c r="AJ74" i="1"/>
  <c r="AL74" i="1" s="1"/>
  <c r="AN74" i="1" s="1"/>
  <c r="AJ9" i="1"/>
  <c r="AM9" i="1" s="1"/>
  <c r="AJ7" i="1"/>
  <c r="AM7" i="1" s="1"/>
  <c r="AJ20" i="1"/>
  <c r="AL20" i="1" s="1"/>
  <c r="AN20" i="1" s="1"/>
  <c r="AJ122" i="1"/>
  <c r="AM122" i="1" s="1"/>
  <c r="AJ50" i="1"/>
  <c r="AM50" i="1" s="1"/>
  <c r="AJ21" i="1"/>
  <c r="AM21" i="1" s="1"/>
  <c r="AJ47" i="1"/>
  <c r="AJ100" i="1"/>
  <c r="AJ139" i="1"/>
  <c r="AM139" i="1" s="1"/>
  <c r="AJ57" i="1"/>
  <c r="AL57" i="1" s="1"/>
  <c r="AN57" i="1" s="1"/>
  <c r="AJ114" i="1"/>
  <c r="AM114" i="1" s="1"/>
  <c r="AM33" i="1"/>
  <c r="AL33" i="1"/>
  <c r="AN33" i="1" s="1"/>
  <c r="AL6" i="1"/>
  <c r="AN6" i="1" s="1"/>
  <c r="AM6" i="1"/>
  <c r="AM60" i="1"/>
  <c r="AL60" i="1"/>
  <c r="AN60" i="1" s="1"/>
  <c r="AM112" i="1"/>
  <c r="AL112" i="1"/>
  <c r="AN112" i="1" s="1"/>
  <c r="AM132" i="1"/>
  <c r="AL132" i="1"/>
  <c r="AN132" i="1" s="1"/>
  <c r="AL58" i="1"/>
  <c r="AN58" i="1" s="1"/>
  <c r="AM58" i="1"/>
  <c r="AM13" i="1"/>
  <c r="AL13" i="1"/>
  <c r="AN13" i="1" s="1"/>
  <c r="AM14" i="1"/>
  <c r="AL14" i="1"/>
  <c r="AN14" i="1" s="1"/>
  <c r="AM48" i="1"/>
  <c r="AL48" i="1"/>
  <c r="AN48" i="1" s="1"/>
  <c r="AM111" i="1"/>
  <c r="AL111" i="1"/>
  <c r="AN111" i="1" s="1"/>
  <c r="AM12" i="1"/>
  <c r="AL12" i="1"/>
  <c r="AN12" i="1" s="1"/>
  <c r="AM32" i="1"/>
  <c r="AL32" i="1"/>
  <c r="AN32" i="1" s="1"/>
  <c r="AL93" i="1"/>
  <c r="AN93" i="1" s="1"/>
  <c r="AL96" i="1"/>
  <c r="AN96" i="1" s="1"/>
  <c r="AM96" i="1"/>
  <c r="AM138" i="1"/>
  <c r="AL138" i="1"/>
  <c r="AN138" i="1" s="1"/>
  <c r="AL43" i="1"/>
  <c r="AN43" i="1" s="1"/>
  <c r="AM43" i="1"/>
  <c r="AM90" i="1"/>
  <c r="AL90" i="1"/>
  <c r="AN90" i="1" s="1"/>
  <c r="AL134" i="1"/>
  <c r="AN134" i="1" s="1"/>
  <c r="AM134" i="1"/>
  <c r="AM107" i="1"/>
  <c r="AL107" i="1"/>
  <c r="AN107" i="1" s="1"/>
  <c r="AL124" i="1"/>
  <c r="AN124" i="1" s="1"/>
  <c r="AL56" i="1"/>
  <c r="AN56" i="1" s="1"/>
  <c r="AM56" i="1"/>
  <c r="AL34" i="1"/>
  <c r="AN34" i="1" s="1"/>
  <c r="AM34" i="1"/>
  <c r="AL92" i="1"/>
  <c r="AN92" i="1" s="1"/>
  <c r="AM92" i="1"/>
  <c r="AL11" i="1"/>
  <c r="AN11" i="1" s="1"/>
  <c r="AM55" i="1"/>
  <c r="AL55" i="1"/>
  <c r="AN55" i="1" s="1"/>
  <c r="AM119" i="1"/>
  <c r="AL119" i="1"/>
  <c r="AN119" i="1" s="1"/>
  <c r="AM105" i="1"/>
  <c r="AL105" i="1"/>
  <c r="AN105" i="1" s="1"/>
  <c r="AM19" i="1"/>
  <c r="AL19" i="1"/>
  <c r="AN19" i="1" s="1"/>
  <c r="AL81" i="1"/>
  <c r="AN81" i="1" s="1"/>
  <c r="AM81" i="1"/>
  <c r="AL125" i="1"/>
  <c r="AN125" i="1" s="1"/>
  <c r="AM125" i="1"/>
  <c r="AM89" i="1"/>
  <c r="AL89" i="1"/>
  <c r="AN89" i="1" s="1"/>
  <c r="AJ118" i="1"/>
  <c r="AL139" i="1"/>
  <c r="AN139" i="1" s="1"/>
  <c r="AL36" i="1"/>
  <c r="AN36" i="1" s="1"/>
  <c r="AM36" i="1"/>
  <c r="AJ88" i="1"/>
  <c r="AM75" i="1"/>
  <c r="AL75" i="1"/>
  <c r="AN75" i="1" s="1"/>
  <c r="AJ109" i="1"/>
  <c r="AJ68" i="1"/>
  <c r="AL108" i="1"/>
  <c r="AN108" i="1" s="1"/>
  <c r="AM108" i="1"/>
  <c r="AL103" i="1"/>
  <c r="AN103" i="1" s="1"/>
  <c r="AM103" i="1"/>
  <c r="AM115" i="1"/>
  <c r="AL115" i="1"/>
  <c r="AN115" i="1" s="1"/>
  <c r="AM137" i="1"/>
  <c r="AL137" i="1"/>
  <c r="AN137" i="1" s="1"/>
  <c r="AM5" i="1"/>
  <c r="AM37" i="1"/>
  <c r="AL37" i="1"/>
  <c r="AN37" i="1" s="1"/>
  <c r="AJ66" i="1"/>
  <c r="AM64" i="1"/>
  <c r="AL64" i="1"/>
  <c r="AN64" i="1" s="1"/>
  <c r="AL73" i="1"/>
  <c r="AN73" i="1" s="1"/>
  <c r="AM73" i="1"/>
  <c r="AL133" i="1"/>
  <c r="AN133" i="1" s="1"/>
  <c r="AM133" i="1"/>
  <c r="AM126" i="1"/>
  <c r="AL126" i="1"/>
  <c r="AN126" i="1" s="1"/>
  <c r="AL51" i="1"/>
  <c r="AN51" i="1" s="1"/>
  <c r="AJ61" i="1"/>
  <c r="AM65" i="1"/>
  <c r="AL65" i="1"/>
  <c r="AN65" i="1" s="1"/>
  <c r="AL69" i="1"/>
  <c r="AN69" i="1" s="1"/>
  <c r="AM69" i="1"/>
  <c r="AL41" i="1"/>
  <c r="AN41" i="1" s="1"/>
  <c r="AM41" i="1"/>
  <c r="AM86" i="1"/>
  <c r="AL86" i="1"/>
  <c r="AN86" i="1" s="1"/>
  <c r="AL16" i="1"/>
  <c r="AN16" i="1" s="1"/>
  <c r="AM16" i="1"/>
  <c r="AJ39" i="1"/>
  <c r="AJ127" i="1"/>
  <c r="AM62" i="1"/>
  <c r="AL62" i="1"/>
  <c r="AN62" i="1" s="1"/>
  <c r="AM141" i="1"/>
  <c r="AL141" i="1"/>
  <c r="AN141" i="1" s="1"/>
  <c r="AM128" i="1"/>
  <c r="AL128" i="1"/>
  <c r="AN128" i="1" s="1"/>
  <c r="AL130" i="1"/>
  <c r="AN130" i="1" s="1"/>
  <c r="AM130" i="1"/>
  <c r="AJ29" i="1"/>
  <c r="AJ8" i="1"/>
  <c r="AJ77" i="1"/>
  <c r="AL79" i="1"/>
  <c r="AN79" i="1" s="1"/>
  <c r="AM79" i="1"/>
  <c r="AL23" i="1"/>
  <c r="AN23" i="1" s="1"/>
  <c r="AM23" i="1"/>
  <c r="AJ94" i="1"/>
  <c r="AM101" i="1"/>
  <c r="AL101" i="1"/>
  <c r="AN101" i="1" s="1"/>
  <c r="AM49" i="1"/>
  <c r="AL49" i="1"/>
  <c r="AN49" i="1" s="1"/>
  <c r="AL46" i="1"/>
  <c r="AN46" i="1" s="1"/>
  <c r="AM46" i="1"/>
  <c r="AL97" i="1"/>
  <c r="AN97" i="1" s="1"/>
  <c r="AM97" i="1"/>
  <c r="AJ70" i="1"/>
  <c r="AJ91" i="1"/>
  <c r="AM27" i="1"/>
  <c r="AL27" i="1"/>
  <c r="AN27" i="1" s="1"/>
  <c r="AL4" i="1"/>
  <c r="AN4" i="1" s="1"/>
  <c r="AM4" i="1"/>
  <c r="AJ76" i="1"/>
  <c r="AM42" i="1"/>
  <c r="AL42" i="1"/>
  <c r="AN42" i="1" s="1"/>
  <c r="AJ67" i="1"/>
  <c r="AJ87" i="1"/>
  <c r="AM10" i="1"/>
  <c r="AL10" i="1"/>
  <c r="AN10" i="1" s="1"/>
  <c r="AM102" i="1"/>
  <c r="AL25" i="1"/>
  <c r="AN25" i="1" s="1"/>
  <c r="AM25" i="1"/>
  <c r="AM53" i="1"/>
  <c r="AM95" i="1"/>
  <c r="AL95" i="1"/>
  <c r="AN95" i="1" s="1"/>
  <c r="AL54" i="1"/>
  <c r="AN54" i="1" s="1"/>
  <c r="AM54" i="1"/>
  <c r="AL136" i="1"/>
  <c r="AN136" i="1" s="1"/>
  <c r="AM30" i="1"/>
  <c r="AL24" i="1"/>
  <c r="AN24" i="1" s="1"/>
  <c r="AM24" i="1"/>
  <c r="AJ113" i="1"/>
  <c r="AJ45" i="1"/>
  <c r="AJ22" i="1"/>
  <c r="AL47" i="1"/>
  <c r="AN47" i="1" s="1"/>
  <c r="AM47" i="1"/>
  <c r="AJ104" i="1"/>
  <c r="AL15" i="1"/>
  <c r="AN15" i="1" s="1"/>
  <c r="AM15" i="1"/>
  <c r="AL100" i="1"/>
  <c r="AN100" i="1" s="1"/>
  <c r="AM100" i="1"/>
  <c r="AJ116" i="1"/>
  <c r="AJ83" i="1"/>
  <c r="AM26" i="1"/>
  <c r="AL26" i="1"/>
  <c r="AN26" i="1" s="1"/>
  <c r="AJ117" i="1"/>
  <c r="AL9" i="1" l="1"/>
  <c r="AN9" i="1" s="1"/>
  <c r="AL98" i="1"/>
  <c r="AN98" i="1" s="1"/>
  <c r="AL35" i="1"/>
  <c r="AN35" i="1" s="1"/>
  <c r="AL114" i="1"/>
  <c r="AN114" i="1" s="1"/>
  <c r="AL7" i="1"/>
  <c r="AN7" i="1" s="1"/>
  <c r="AL3" i="1"/>
  <c r="AN3" i="1" s="1"/>
  <c r="AL38" i="1"/>
  <c r="AN38" i="1" s="1"/>
  <c r="AL82" i="1"/>
  <c r="AN82" i="1" s="1"/>
  <c r="AM135" i="1"/>
  <c r="AL17" i="1"/>
  <c r="AN17" i="1" s="1"/>
  <c r="AL63" i="1"/>
  <c r="AN63" i="1" s="1"/>
  <c r="AM80" i="1"/>
  <c r="AM57" i="1"/>
  <c r="AM110" i="1"/>
  <c r="AL140" i="1"/>
  <c r="AN140" i="1" s="1"/>
  <c r="AL99" i="1"/>
  <c r="AN99" i="1" s="1"/>
  <c r="AL129" i="1"/>
  <c r="AN129" i="1" s="1"/>
  <c r="AL28" i="1"/>
  <c r="AN28" i="1" s="1"/>
  <c r="AL2" i="1"/>
  <c r="AN2" i="1" s="1"/>
  <c r="AM120" i="1"/>
  <c r="AL21" i="1"/>
  <c r="AN21" i="1" s="1"/>
  <c r="AL123" i="1"/>
  <c r="AN123" i="1" s="1"/>
  <c r="AL44" i="1"/>
  <c r="AN44" i="1" s="1"/>
  <c r="AL31" i="1"/>
  <c r="AN31" i="1" s="1"/>
  <c r="AL142" i="1"/>
  <c r="AN142" i="1" s="1"/>
  <c r="AM74" i="1"/>
  <c r="AL122" i="1"/>
  <c r="AN122" i="1" s="1"/>
  <c r="AL50" i="1"/>
  <c r="AN50" i="1" s="1"/>
  <c r="AM20" i="1"/>
  <c r="AM106" i="1"/>
  <c r="AM117" i="1"/>
  <c r="AL117" i="1"/>
  <c r="AN117" i="1" s="1"/>
  <c r="AM76" i="1"/>
  <c r="AL76" i="1"/>
  <c r="AN76" i="1" s="1"/>
  <c r="AL68" i="1"/>
  <c r="AN68" i="1" s="1"/>
  <c r="AM68" i="1"/>
  <c r="AM104" i="1"/>
  <c r="AL104" i="1"/>
  <c r="AN104" i="1" s="1"/>
  <c r="AL77" i="1"/>
  <c r="AN77" i="1" s="1"/>
  <c r="AM77" i="1"/>
  <c r="AM118" i="1"/>
  <c r="AL118" i="1"/>
  <c r="AN118" i="1" s="1"/>
  <c r="AM8" i="1"/>
  <c r="AL8" i="1"/>
  <c r="AN8" i="1" s="1"/>
  <c r="AL83" i="1"/>
  <c r="AN83" i="1" s="1"/>
  <c r="AM83" i="1"/>
  <c r="AM22" i="1"/>
  <c r="AL22" i="1"/>
  <c r="AN22" i="1" s="1"/>
  <c r="AM29" i="1"/>
  <c r="AL29" i="1"/>
  <c r="AN29" i="1" s="1"/>
  <c r="AM109" i="1"/>
  <c r="AL109" i="1"/>
  <c r="AN109" i="1" s="1"/>
  <c r="AL116" i="1"/>
  <c r="AN116" i="1" s="1"/>
  <c r="AM116" i="1"/>
  <c r="AL45" i="1"/>
  <c r="AN45" i="1" s="1"/>
  <c r="AM45" i="1"/>
  <c r="AM91" i="1"/>
  <c r="AL91" i="1"/>
  <c r="AN91" i="1" s="1"/>
  <c r="AM127" i="1"/>
  <c r="AL127" i="1"/>
  <c r="AN127" i="1" s="1"/>
  <c r="AL87" i="1"/>
  <c r="AN87" i="1" s="1"/>
  <c r="AM87" i="1"/>
  <c r="AM94" i="1"/>
  <c r="AL94" i="1"/>
  <c r="AN94" i="1" s="1"/>
  <c r="AM88" i="1"/>
  <c r="AL88" i="1"/>
  <c r="AN88" i="1" s="1"/>
  <c r="AM113" i="1"/>
  <c r="AL113" i="1"/>
  <c r="AN113" i="1" s="1"/>
  <c r="AM67" i="1"/>
  <c r="AL67" i="1"/>
  <c r="AN67" i="1" s="1"/>
  <c r="AM61" i="1"/>
  <c r="AL61" i="1"/>
  <c r="AN61" i="1" s="1"/>
  <c r="AL66" i="1"/>
  <c r="AN66" i="1" s="1"/>
  <c r="AM66" i="1"/>
  <c r="AL70" i="1"/>
  <c r="AN70" i="1" s="1"/>
  <c r="AM70" i="1"/>
  <c r="AL39" i="1"/>
  <c r="AN39" i="1" s="1"/>
  <c r="AM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5F78C9BC-4E1F-4A40-A11B-E74F55AABCDD}">
      <text>
        <r>
          <rPr>
            <sz val="11"/>
            <color theme="1"/>
            <rFont val="Calibri"/>
            <family val="2"/>
            <scheme val="minor"/>
          </rPr>
          <t xml:space="preserve">o Fecha Transacción
</t>
        </r>
      </text>
    </comment>
    <comment ref="AN1" authorId="0" shapeId="0" xr:uid="{DE70EAB0-D923-4C84-98F0-5FBD9DB05ECB}">
      <text>
        <r>
          <rPr>
            <sz val="11"/>
            <color theme="1"/>
            <rFont val="Calibri"/>
            <family val="2"/>
            <scheme val="minor"/>
          </rPr>
          <t xml:space="preserve">=(1 + ROI)^(365 / Días) - 1
</t>
        </r>
      </text>
    </comment>
    <comment ref="T127" authorId="0" shapeId="0" xr:uid="{8AF5C9B0-465A-4417-BD2A-007B1B0DC794}">
      <text>
        <r>
          <rPr>
            <sz val="11"/>
            <color theme="1"/>
            <rFont val="Calibri"/>
            <family val="2"/>
            <scheme val="minor"/>
          </rPr>
          <t>valor total de 58 NCs</t>
        </r>
      </text>
    </comment>
    <comment ref="T128" authorId="0" shapeId="0" xr:uid="{C01DC693-462D-43A4-87FC-72F85E92F0AF}">
      <text>
        <r>
          <rPr>
            <sz val="11"/>
            <color theme="1"/>
            <rFont val="Calibri"/>
            <family val="2"/>
            <scheme val="minor"/>
          </rPr>
          <t># acciones</t>
        </r>
      </text>
    </comment>
    <comment ref="AI128" authorId="0" shapeId="0" xr:uid="{2D54D14B-1AB7-47A0-9AE6-4573C368A527}">
      <text>
        <r>
          <rPr>
            <sz val="11"/>
            <color theme="1"/>
            <rFont val="Calibri"/>
            <family val="2"/>
            <scheme val="minor"/>
          </rPr>
          <t>utilidad recibida</t>
        </r>
      </text>
    </comment>
    <comment ref="P130" authorId="0" shapeId="0" xr:uid="{EC7E10C1-2B67-4857-BF99-938E074219ED}">
      <text>
        <r>
          <rPr>
            <sz val="11"/>
            <color theme="1"/>
            <rFont val="Calibri"/>
            <family val="2"/>
            <scheme val="minor"/>
          </rPr>
          <t>venta parcial 1</t>
        </r>
      </text>
    </comment>
    <comment ref="Z130" authorId="0" shapeId="0" xr:uid="{A252A6B5-82C0-4722-A5A8-052C17613C56}">
      <text>
        <r>
          <rPr>
            <sz val="11"/>
            <color theme="1"/>
            <rFont val="Calibri"/>
            <family val="2"/>
            <scheme val="minor"/>
          </rPr>
          <t>venta parcial 1</t>
        </r>
      </text>
    </comment>
    <comment ref="T131" authorId="0" shapeId="0" xr:uid="{63B51FF8-D639-4811-AE67-D8A7CD114FE8}">
      <text>
        <r>
          <rPr>
            <sz val="11"/>
            <color theme="1"/>
            <rFont val="Calibri"/>
            <family val="2"/>
            <scheme val="minor"/>
          </rPr>
          <t>valor total de 37 NCs</t>
        </r>
      </text>
    </comment>
    <comment ref="P132" authorId="0" shapeId="0" xr:uid="{F158FE8D-523E-4EA2-A77D-F0A0E1D016D7}">
      <text>
        <r>
          <rPr>
            <sz val="11"/>
            <color theme="1"/>
            <rFont val="Calibri"/>
            <family val="2"/>
            <scheme val="minor"/>
          </rPr>
          <t>venta parcial 2</t>
        </r>
      </text>
    </comment>
    <comment ref="Z132" authorId="0" shapeId="0" xr:uid="{523EA91A-9ED5-4F1B-A99C-4A9E85A0881B}">
      <text>
        <r>
          <rPr>
            <sz val="11"/>
            <color theme="1"/>
            <rFont val="Calibri"/>
            <family val="2"/>
            <scheme val="minor"/>
          </rPr>
          <t>venta parcial 2</t>
        </r>
      </text>
    </comment>
    <comment ref="P133" authorId="0" shapeId="0" xr:uid="{FCB51481-4BE7-4B30-A9CE-1ABC8240FD14}">
      <text>
        <r>
          <rPr>
            <sz val="11"/>
            <color theme="1"/>
            <rFont val="Calibri"/>
            <family val="2"/>
            <scheme val="minor"/>
          </rPr>
          <t xml:space="preserve">venta parcial 3
</t>
        </r>
      </text>
    </comment>
    <comment ref="Z133" authorId="0" shapeId="0" xr:uid="{9F809C6E-1C4B-4A1A-93A2-16969841A27E}">
      <text>
        <r>
          <rPr>
            <sz val="11"/>
            <color theme="1"/>
            <rFont val="Calibri"/>
            <family val="2"/>
            <scheme val="minor"/>
          </rPr>
          <t>venta parcial 3</t>
        </r>
      </text>
    </comment>
    <comment ref="P134" authorId="0" shapeId="0" xr:uid="{B9D9EBD9-8711-4549-96BA-4776F44AC099}">
      <text>
        <r>
          <rPr>
            <sz val="11"/>
            <color theme="1"/>
            <rFont val="Calibri"/>
            <family val="2"/>
            <scheme val="minor"/>
          </rPr>
          <t>venta parcial 4</t>
        </r>
      </text>
    </comment>
    <comment ref="Z134" authorId="0" shapeId="0" xr:uid="{024C4ABF-6B3F-4CE4-BC68-84940EE519C4}">
      <text>
        <r>
          <rPr>
            <sz val="11"/>
            <color theme="1"/>
            <rFont val="Calibri"/>
            <family val="2"/>
            <scheme val="minor"/>
          </rPr>
          <t>venta parcial 4</t>
        </r>
      </text>
    </comment>
    <comment ref="T135" authorId="0" shapeId="0" xr:uid="{8A260A66-DA9E-4184-9A8F-9FFE52F2BA35}">
      <text>
        <r>
          <rPr>
            <sz val="11"/>
            <color theme="1"/>
            <rFont val="Calibri"/>
            <family val="2"/>
            <scheme val="minor"/>
          </rPr>
          <t>Valor total de 39 NCs</t>
        </r>
      </text>
    </comment>
  </commentList>
</comments>
</file>

<file path=xl/sharedStrings.xml><?xml version="1.0" encoding="utf-8"?>
<sst xmlns="http://schemas.openxmlformats.org/spreadsheetml/2006/main" count="335" uniqueCount="61">
  <si>
    <t>Fecha Venta</t>
  </si>
  <si>
    <t>Título</t>
  </si>
  <si>
    <t>Titular</t>
  </si>
  <si>
    <t>Fecha de 
Compra</t>
  </si>
  <si>
    <t>Fecha Primer Pago</t>
  </si>
  <si>
    <t>Fecha de 
Emisión</t>
  </si>
  <si>
    <t>Fecha de 
Vencim.</t>
  </si>
  <si>
    <t>Tasa 
Mensual</t>
  </si>
  <si>
    <t>Tasa Mensual Real</t>
  </si>
  <si>
    <t>Rendim.</t>
  </si>
  <si>
    <t>Interés
Mensual</t>
  </si>
  <si>
    <t>Interés Primer Mes</t>
  </si>
  <si>
    <t>Períodos Recibidos</t>
  </si>
  <si>
    <t>Interés al Vencimiento</t>
  </si>
  <si>
    <t>Interés 
Recibido</t>
  </si>
  <si>
    <t>Valor 
Nominal</t>
  </si>
  <si>
    <t>% Precio Comprado</t>
  </si>
  <si>
    <t>% Precio Neto Comprado</t>
  </si>
  <si>
    <t>Valor 
Comprado Sin Comisión</t>
  </si>
  <si>
    <t>Valor Comprado Con Comisión</t>
  </si>
  <si>
    <t>PAGADO
incluye interés acumulado</t>
  </si>
  <si>
    <t>Interés
Acumulado 
Previo</t>
  </si>
  <si>
    <t>Comisión Santa Fé
Compra</t>
  </si>
  <si>
    <t>Comisión
Bolsa Compra</t>
  </si>
  <si>
    <t>Total 
Comisiones</t>
  </si>
  <si>
    <t>Operación Compra No.</t>
  </si>
  <si>
    <t>% Precio Vendido</t>
  </si>
  <si>
    <t>% Precio Neto Vendido</t>
  </si>
  <si>
    <t xml:space="preserve">Interes Previo Transacción </t>
  </si>
  <si>
    <t>Valor venta 
sin comisión</t>
  </si>
  <si>
    <t>Comisión Santa Fe
Venta</t>
  </si>
  <si>
    <t>Comisión
Bolsa Venta</t>
  </si>
  <si>
    <t>Valor Venta Con Comisión</t>
  </si>
  <si>
    <t>Utilidad Sin 
Considerar Comisión</t>
  </si>
  <si>
    <t>Utilidad Considera 
Comisión
(Ganancia de Capital)</t>
  </si>
  <si>
    <t>Utilidad / Pérdida
(Rendimiento Total)</t>
  </si>
  <si>
    <t>Dias 
Transcurridos</t>
  </si>
  <si>
    <t>Tasa de Rentabilidad Porcentual (ROI)</t>
  </si>
  <si>
    <t>% Ganancia Anual estimado</t>
  </si>
  <si>
    <t>Tasa Anualizada</t>
  </si>
  <si>
    <t>Total Comisiones Santa Fe</t>
  </si>
  <si>
    <t>Operación Venta No.</t>
  </si>
  <si>
    <t>Bono Estado</t>
  </si>
  <si>
    <t>Jhon</t>
  </si>
  <si>
    <t>Cristian</t>
  </si>
  <si>
    <t>Isabel</t>
  </si>
  <si>
    <t>CRISTIAN REAL</t>
  </si>
  <si>
    <t>Nota Crédito SRI</t>
  </si>
  <si>
    <t>58 NCs</t>
  </si>
  <si>
    <t>Utilidades por Acciones PRODUBANCO</t>
  </si>
  <si>
    <t>no aplica</t>
  </si>
  <si>
    <t>13031 - VRF59</t>
  </si>
  <si>
    <t>Papel Comercial</t>
  </si>
  <si>
    <t>37 NCs</t>
  </si>
  <si>
    <t>39 NCs</t>
  </si>
  <si>
    <t>21 NCs</t>
  </si>
  <si>
    <t>22 NCs</t>
  </si>
  <si>
    <t>15514_01 - VRF59</t>
  </si>
  <si>
    <t>38 NCs</t>
  </si>
  <si>
    <t>16322 - VRF26</t>
  </si>
  <si>
    <t>26 NCs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</si>
</sst>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$&quot;* #,##0.00_ ;_ &quot;$&quot;* \-#,##0.00_ ;_ &quot;$&quot;* &quot;-&quot;??_ ;_ @_ "/>
    <numFmt numFmtId="164" formatCode="yyyy\-mm\-dd;@"/>
    <numFmt numFmtId="165" formatCode="0_ ;\-0\ "/>
    <numFmt numFmtId="166" formatCode="0.0000"/>
    <numFmt numFmtId="168" formatCode="0.000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164" fontId="0" fillId="0" borderId="0" xfId="0" applyNumberFormat="1"/>
    <xf numFmtId="2" fontId="0" fillId="0" borderId="0" xfId="0" applyNumberFormat="1"/>
    <xf numFmtId="44" fontId="0" fillId="0" borderId="0" xfId="0" applyNumberFormat="1"/>
    <xf numFmtId="165" fontId="0" fillId="0" borderId="0" xfId="0" applyNumberFormat="1"/>
    <xf numFmtId="1" fontId="0" fillId="0" borderId="0" xfId="1" applyNumberFormat="1" applyFont="1"/>
    <xf numFmtId="1" fontId="0" fillId="0" borderId="0" xfId="1" applyNumberFormat="1" applyFont="1" applyAlignment="1">
      <alignment horizontal="right"/>
    </xf>
    <xf numFmtId="1" fontId="1" fillId="0" borderId="0" xfId="1" applyNumberFormat="1"/>
    <xf numFmtId="2" fontId="2" fillId="0" borderId="0" xfId="0" applyNumberFormat="1" applyFont="1" applyAlignment="1">
      <alignment vertical="center" wrapText="1"/>
    </xf>
    <xf numFmtId="2" fontId="2" fillId="4" borderId="0" xfId="0" applyNumberFormat="1" applyFont="1" applyFill="1" applyAlignment="1">
      <alignment vertical="center" wrapText="1"/>
    </xf>
    <xf numFmtId="2" fontId="2" fillId="0" borderId="0" xfId="0" applyNumberFormat="1" applyFont="1"/>
    <xf numFmtId="2" fontId="2" fillId="5" borderId="0" xfId="0" applyNumberFormat="1" applyFont="1" applyFill="1" applyAlignment="1">
      <alignment vertical="center" wrapText="1"/>
    </xf>
    <xf numFmtId="2" fontId="2" fillId="3" borderId="0" xfId="0" applyNumberFormat="1" applyFont="1" applyFill="1" applyAlignment="1">
      <alignment vertical="center" wrapText="1"/>
    </xf>
    <xf numFmtId="2" fontId="2" fillId="2" borderId="0" xfId="0" applyNumberFormat="1" applyFont="1" applyFill="1" applyAlignment="1">
      <alignment vertical="center" wrapText="1"/>
    </xf>
    <xf numFmtId="166" fontId="2" fillId="0" borderId="0" xfId="0" applyNumberFormat="1" applyFont="1" applyAlignment="1">
      <alignment vertical="center" wrapText="1"/>
    </xf>
    <xf numFmtId="166" fontId="3" fillId="0" borderId="0" xfId="0" applyNumberFormat="1" applyFont="1" applyAlignment="1">
      <alignment vertical="center" wrapText="1"/>
    </xf>
    <xf numFmtId="166" fontId="0" fillId="0" borderId="0" xfId="1" applyNumberFormat="1" applyFont="1"/>
    <xf numFmtId="166" fontId="1" fillId="0" borderId="0" xfId="1" applyNumberFormat="1"/>
    <xf numFmtId="166" fontId="0" fillId="0" borderId="0" xfId="0" applyNumberFormat="1"/>
    <xf numFmtId="2" fontId="0" fillId="0" borderId="0" xfId="1" applyNumberFormat="1" applyFont="1"/>
    <xf numFmtId="2" fontId="1" fillId="0" borderId="0" xfId="1" applyNumberFormat="1"/>
    <xf numFmtId="168" fontId="2" fillId="3" borderId="0" xfId="0" applyNumberFormat="1" applyFont="1" applyFill="1" applyAlignment="1">
      <alignment vertical="center" wrapText="1"/>
    </xf>
    <xf numFmtId="168" fontId="0" fillId="0" borderId="0" xfId="0" applyNumberFormat="1"/>
    <xf numFmtId="168" fontId="2" fillId="0" borderId="0" xfId="0" applyNumberFormat="1" applyFont="1" applyAlignment="1">
      <alignment vertical="center" wrapText="1"/>
    </xf>
  </cellXfs>
  <cellStyles count="2">
    <cellStyle name="Normal" xfId="0" builtinId="0"/>
    <cellStyle name="Porcentaje" xfId="1" builtinId="5"/>
  </cellStyles>
  <dxfs count="41">
    <dxf>
      <numFmt numFmtId="168" formatCode="0.000000000"/>
    </dxf>
    <dxf>
      <numFmt numFmtId="168" formatCode="0.000000000"/>
    </dxf>
    <dxf>
      <numFmt numFmtId="168" formatCode="0.000000000"/>
    </dxf>
    <dxf>
      <numFmt numFmtId="168" formatCode="0.000000000"/>
    </dxf>
    <dxf>
      <numFmt numFmtId="2" formatCode="0.00"/>
    </dxf>
    <dxf>
      <numFmt numFmtId="166" formatCode="0.0000"/>
    </dxf>
    <dxf>
      <numFmt numFmtId="166" formatCode="0.0000"/>
    </dxf>
    <dxf>
      <numFmt numFmtId="166" formatCode="0.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34" formatCode="_ &quot;$&quot;* #,##0.00_ ;_ &quot;$&quot;* \-#,##0.00_ ;_ &quot;$&quot;* &quot;-&quot;??_ ;_ @_ "/>
    </dxf>
    <dxf>
      <numFmt numFmtId="165" formatCode="0_ ;\-0\ "/>
    </dxf>
    <dxf>
      <numFmt numFmtId="34" formatCode="_ &quot;$&quot;* #,##0.00_ ;_ &quot;$&quot;* \-#,##0.00_ ;_ &quot;$&quot;* &quot;-&quot;??_ ;_ @_ "/>
    </dxf>
    <dxf>
      <numFmt numFmtId="0" formatCode="General"/>
    </dxf>
    <dxf>
      <numFmt numFmtId="164" formatCode="yyyy\-mm\-dd;@"/>
    </dxf>
    <dxf>
      <numFmt numFmtId="164" formatCode="yyyy\-mm\-dd;@"/>
    </dxf>
    <dxf>
      <numFmt numFmtId="164" formatCode="yyyy\-mm\-dd;@"/>
    </dxf>
    <dxf>
      <numFmt numFmtId="164" formatCode="yyyy\-mm\-dd;@"/>
    </dxf>
    <dxf>
      <numFmt numFmtId="164" formatCode="yyyy\-mm\-dd;@"/>
    </dxf>
    <dxf>
      <numFmt numFmtId="164" formatCode="yyyy\-mm\-dd;@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3810CE-2689-404A-8067-25D0400BCA70}" name="TitulosVendidos" displayName="TitulosVendidos" ref="A1:AP142" totalsRowShown="0" headerRowDxfId="40">
  <autoFilter ref="A1:AP142" xr:uid="{E93810CE-2689-404A-8067-25D0400BCA70}"/>
  <sortState xmlns:xlrd2="http://schemas.microsoft.com/office/spreadsheetml/2017/richdata2" ref="A2:AP142">
    <sortCondition ref="A2:A142"/>
  </sortState>
  <tableColumns count="42">
    <tableColumn id="1" xr3:uid="{121A8DFE-FE72-4104-9301-0FDBDF8CC09C}" name="Fecha Venta" dataDxfId="39"/>
    <tableColumn id="39" xr3:uid="{CEB813E6-CE63-4DE3-ABB7-DA39D2D9EB2B}" name="Título" dataDxfId="38"/>
    <tableColumn id="2" xr3:uid="{3290872C-A47D-44B8-8AA5-48C976EBFC8D}" name="Titular"/>
    <tableColumn id="3" xr3:uid="{B9655E25-B9E3-4016-9666-EC3622E6E970}" name="Fecha de _x000a_Compra" dataDxfId="37"/>
    <tableColumn id="4" xr3:uid="{68B4F68C-2E18-4129-B93E-22C6DF32327B}" name="Fecha Primer Pago" dataDxfId="36"/>
    <tableColumn id="5" xr3:uid="{E7E2970B-F872-45A5-9DF5-32051C6F57DC}" name="Fecha de _x000a_Emisión" dataDxfId="35"/>
    <tableColumn id="6" xr3:uid="{EE7C9A0A-00C3-43B5-9A93-9BB7DC5BCE00}" name="Fecha de _x000a_Vencim." dataDxfId="34"/>
    <tableColumn id="7" xr3:uid="{9DE03295-E663-4C7B-AF2E-E06FE446EDBF}" name="Tasa _x000a_Mensual" dataDxfId="28"/>
    <tableColumn id="8" xr3:uid="{8E1D23B8-F557-4070-9B32-B02AA15A4E8A}" name="Tasa Mensual Real" dataDxfId="27">
      <calculatedColumnFormula>K2*12/T2*100</calculatedColumnFormula>
    </tableColumn>
    <tableColumn id="9" xr3:uid="{0A77B0A3-FDBB-40F3-8F91-945210729957}" name="Rendim." dataDxfId="26"/>
    <tableColumn id="10" xr3:uid="{BDDDDA84-7CFA-4C32-AD04-02E14FCDDE8B}" name="Interés_x000a_Mensual" dataDxfId="25">
      <calculatedColumnFormula>P2*H2/100/12</calculatedColumnFormula>
    </tableColumn>
    <tableColumn id="11" xr3:uid="{445FBDA9-E407-4F2B-B1AD-DB3E2B7B8756}" name="Interés Primer Mes" dataDxfId="24">
      <calculatedColumnFormula>K2-V2</calculatedColumnFormula>
    </tableColumn>
    <tableColumn id="12" xr3:uid="{93E3D59E-8362-4748-9155-FDAFDD9E5F14}" name="Períodos Recibidos" dataDxfId="33">
      <calculatedColumnFormula>IF(E2="", 0, IF(A2&gt;E2,INT((A2-E2)/30),0))</calculatedColumnFormula>
    </tableColumn>
    <tableColumn id="13" xr3:uid="{4E44CD4C-B3AB-4871-8EE2-1DD754AE05D7}" name="Interés al Vencimiento" dataDxfId="32"/>
    <tableColumn id="14" xr3:uid="{1EC0A640-BF78-4A39-AE08-CE2EEBBBA595}" name="Interés _x000a_Recibido" dataDxfId="23">
      <calculatedColumnFormula>K2*M2+L2+IF(A2&gt;E2,N2,0)</calculatedColumnFormula>
    </tableColumn>
    <tableColumn id="15" xr3:uid="{30273DA5-AD9A-497B-96C8-D731FF468B8B}" name="Valor _x000a_Nominal" dataDxfId="22"/>
    <tableColumn id="16" xr3:uid="{0DE85703-EBA3-4329-8E10-A272C895DC1B}" name="% Precio Comprado" dataDxfId="3"/>
    <tableColumn id="17" xr3:uid="{ADE93502-DAB0-437F-84D4-DBEBCADD6306}" name="% Precio Neto Comprado" dataDxfId="2"/>
    <tableColumn id="18" xr3:uid="{DB3709F3-5900-44D4-8809-121EBF8ACCAA}" name="Valor _x000a_Comprado Sin Comisión" dataDxfId="21">
      <calculatedColumnFormula>P2*Q2/100</calculatedColumnFormula>
    </tableColumn>
    <tableColumn id="19" xr3:uid="{8867018F-EF41-4C30-AC61-AF3F86C010DE}" name="Valor Comprado Con Comisión" dataDxfId="20">
      <calculatedColumnFormula>P2*R2/100</calculatedColumnFormula>
    </tableColumn>
    <tableColumn id="20" xr3:uid="{4C7C4B0D-988F-41B5-9AA3-7C5A40AE3518}" name="PAGADO_x000a_incluye interés acumulado" dataDxfId="19">
      <calculatedColumnFormula>T2+V2</calculatedColumnFormula>
    </tableColumn>
    <tableColumn id="21" xr3:uid="{D29D683E-ECD9-45BA-83C7-96E47FF879BA}" name="Interés_x000a_Acumulado _x000a_Previo" dataDxfId="18"/>
    <tableColumn id="22" xr3:uid="{F723CC1B-E4C3-443F-9C1C-3463559C822F}" name="Comisión Santa Fé_x000a_Compra" dataDxfId="17"/>
    <tableColumn id="23" xr3:uid="{47D38572-31C4-4EEC-BAE0-456728ADB518}" name="Comisión_x000a_Bolsa Compra" dataDxfId="16"/>
    <tableColumn id="24" xr3:uid="{B885838B-EBBB-49D5-8FAA-49EBD8EF15EE}" name="Total _x000a_Comisiones" dataDxfId="15">
      <calculatedColumnFormula>W2+X2</calculatedColumnFormula>
    </tableColumn>
    <tableColumn id="42" xr3:uid="{E472F576-3498-4E34-A8B4-6C249C15596C}" name="Operación Compra No." dataDxfId="31"/>
    <tableColumn id="25" xr3:uid="{8FD50A9D-1D8C-4DC6-B8F4-703B3090DBDE}" name="% Precio Vendido" dataDxfId="1"/>
    <tableColumn id="26" xr3:uid="{9CC2A966-32F8-450B-BA6A-6D658B2761FD}" name="% Precio Neto Vendido" dataDxfId="0"/>
    <tableColumn id="27" xr3:uid="{761873AC-C782-4266-A0B4-72E81C58F07E}" name="Interes Previo Transacción " dataDxfId="30"/>
    <tableColumn id="28" xr3:uid="{4CC07A96-0DBB-4A28-964B-40EF0718CCDF}" name="Valor venta _x000a_sin comisión" dataDxfId="14">
      <calculatedColumnFormula>AA2*P2/100</calculatedColumnFormula>
    </tableColumn>
    <tableColumn id="29" xr3:uid="{856D5D14-E6B6-4B88-A9C4-A25223160AC0}" name="Comisión Santa Fe_x000a_Venta" dataDxfId="13"/>
    <tableColumn id="30" xr3:uid="{8B58C029-BB25-4996-A82A-5D93DCCC9DD4}" name="Comisión_x000a_Bolsa Venta" dataDxfId="12"/>
    <tableColumn id="31" xr3:uid="{73ACD0FD-1614-4A06-AD3B-FC75D14854B8}" name="Valor Venta Con Comisión" dataDxfId="11">
      <calculatedColumnFormula>AD2-AE2-AF2</calculatedColumnFormula>
    </tableColumn>
    <tableColumn id="32" xr3:uid="{53BD4ABC-4294-4078-B5A2-75880EE609E4}" name="Utilidad Sin _x000a_Considerar Comisión" dataDxfId="10">
      <calculatedColumnFormula>AD2-S2</calculatedColumnFormula>
    </tableColumn>
    <tableColumn id="33" xr3:uid="{17F15B89-48EB-4B94-8C85-6CB6372B9FF1}" name="Utilidad Considera _x000a_Comisión_x000a_(Ganancia de Capital)" dataDxfId="9">
      <calculatedColumnFormula>AG2-T2</calculatedColumnFormula>
    </tableColumn>
    <tableColumn id="34" xr3:uid="{2F9E72DF-6F16-445C-B07E-F42E45AF583D}" name="Utilidad / Pérdida_x000a_(Rendimiento Total)" dataDxfId="8">
      <calculatedColumnFormula>AI2+O2+AC2</calculatedColumnFormula>
    </tableColumn>
    <tableColumn id="35" xr3:uid="{548C6086-E178-43B7-BDBF-3422927FE7C3}" name="Dias _x000a_Transcurridos">
      <calculatedColumnFormula>A2-D2</calculatedColumnFormula>
    </tableColumn>
    <tableColumn id="37" xr3:uid="{7350BC3B-871A-492E-A2AE-BEAEAF32B4FD}" name="Tasa de Rentabilidad Porcentual (ROI)" dataDxfId="7" dataCellStyle="Porcentaje">
      <calculatedColumnFormula>AJ2/T2</calculatedColumnFormula>
    </tableColumn>
    <tableColumn id="36" xr3:uid="{8370CAD8-63DB-4399-A8E5-9FB7CC7E12F6}" name="% Ganancia Anual estimado" dataDxfId="6" dataCellStyle="Porcentaje">
      <calculatedColumnFormula>AJ2/T2*365/AK2</calculatedColumnFormula>
    </tableColumn>
    <tableColumn id="38" xr3:uid="{5F012997-5E02-4715-BB30-94867E408F9F}" name="Tasa Anualizada" dataDxfId="5" dataCellStyle="Porcentaje">
      <calculatedColumnFormula>POWER((1+AL2),(365/AK2))-1</calculatedColumnFormula>
    </tableColumn>
    <tableColumn id="40" xr3:uid="{D16C5420-D735-47BA-A7E4-CF8A4C096E2E}" name="Total Comisiones Santa Fe" dataDxfId="4" dataCellStyle="Porcentaje">
      <calculatedColumnFormula>TitulosVendidos[[#This Row],[Comisión Santa Fe
Venta]]+TitulosVendidos[[#This Row],[Comisión Santa Fé
Compra]]</calculatedColumnFormula>
    </tableColumn>
    <tableColumn id="41" xr3:uid="{6D73D46A-DCBE-4ED2-969A-9B0AA1CA831B}" name="Operación Venta No." dataDxfId="29" dataCellStyle="Porcentaj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B2D3-0BC3-4F10-9346-83253F2F0336}">
  <dimension ref="A1:AP142"/>
  <sheetViews>
    <sheetView tabSelected="1" workbookViewId="0">
      <selection activeCell="R15" sqref="R15"/>
    </sheetView>
  </sheetViews>
  <sheetFormatPr baseColWidth="10" defaultRowHeight="15" x14ac:dyDescent="0.25"/>
  <cols>
    <col min="1" max="1" width="13.5703125" customWidth="1"/>
    <col min="2" max="2" width="42.28515625" customWidth="1"/>
    <col min="4" max="4" width="13" customWidth="1"/>
    <col min="8" max="8" width="13.7109375" style="4" customWidth="1"/>
    <col min="9" max="10" width="11.42578125" style="4"/>
    <col min="11" max="11" width="12" style="4" customWidth="1"/>
    <col min="12" max="12" width="11.28515625" style="4" customWidth="1"/>
    <col min="13" max="13" width="18.7109375" customWidth="1"/>
    <col min="15" max="15" width="11.42578125" style="4"/>
    <col min="16" max="16" width="19.28515625" style="4" customWidth="1"/>
    <col min="17" max="17" width="12.5703125" style="24" bestFit="1" customWidth="1"/>
    <col min="18" max="18" width="15.7109375" style="24" bestFit="1" customWidth="1"/>
    <col min="19" max="19" width="15.7109375" style="4" customWidth="1"/>
    <col min="20" max="20" width="15.42578125" style="4" bestFit="1" customWidth="1"/>
    <col min="21" max="21" width="16.42578125" style="4" bestFit="1" customWidth="1"/>
    <col min="22" max="24" width="11.42578125" style="4"/>
    <col min="25" max="25" width="17.28515625" style="4" customWidth="1"/>
    <col min="26" max="26" width="11.85546875" bestFit="1" customWidth="1"/>
    <col min="27" max="27" width="17" style="24" customWidth="1"/>
    <col min="28" max="28" width="13.140625" style="24" customWidth="1"/>
    <col min="29" max="29" width="13.42578125" bestFit="1" customWidth="1"/>
    <col min="30" max="30" width="14.5703125" style="4" bestFit="1" customWidth="1"/>
    <col min="31" max="31" width="11.42578125" style="4"/>
    <col min="32" max="32" width="14.5703125" style="4" customWidth="1"/>
    <col min="33" max="33" width="15.42578125" style="4" bestFit="1" customWidth="1"/>
    <col min="34" max="34" width="19.85546875" style="4" customWidth="1"/>
    <col min="35" max="35" width="19.28515625" style="4" customWidth="1"/>
    <col min="36" max="36" width="17.7109375" style="4" customWidth="1"/>
    <col min="37" max="37" width="13.7109375" bestFit="1" customWidth="1"/>
    <col min="38" max="38" width="12.5703125" style="20" customWidth="1"/>
    <col min="39" max="40" width="11.42578125" style="20"/>
    <col min="41" max="41" width="12.7109375" style="4" bestFit="1" customWidth="1"/>
    <col min="42" max="42" width="16.85546875" bestFit="1" customWidth="1"/>
  </cols>
  <sheetData>
    <row r="1" spans="1:42" s="1" customFormat="1" ht="57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0" t="s">
        <v>7</v>
      </c>
      <c r="I1" s="10" t="s">
        <v>8</v>
      </c>
      <c r="J1" s="10" t="s">
        <v>9</v>
      </c>
      <c r="K1" s="11" t="s">
        <v>10</v>
      </c>
      <c r="L1" s="10" t="s">
        <v>11</v>
      </c>
      <c r="M1" s="1" t="s">
        <v>12</v>
      </c>
      <c r="N1" s="1" t="s">
        <v>13</v>
      </c>
      <c r="O1" s="10" t="s">
        <v>14</v>
      </c>
      <c r="P1" s="13" t="s">
        <v>15</v>
      </c>
      <c r="Q1" s="25" t="s">
        <v>16</v>
      </c>
      <c r="R1" s="25" t="s">
        <v>17</v>
      </c>
      <c r="S1" s="10" t="s">
        <v>18</v>
      </c>
      <c r="T1" s="11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" t="s">
        <v>25</v>
      </c>
      <c r="AA1" s="23" t="s">
        <v>26</v>
      </c>
      <c r="AB1" s="23" t="s">
        <v>27</v>
      </c>
      <c r="AC1" s="2" t="s">
        <v>28</v>
      </c>
      <c r="AD1" s="10" t="s">
        <v>29</v>
      </c>
      <c r="AE1" s="14" t="s">
        <v>30</v>
      </c>
      <c r="AF1" s="14" t="s">
        <v>31</v>
      </c>
      <c r="AG1" s="15" t="s">
        <v>32</v>
      </c>
      <c r="AH1" s="10" t="s">
        <v>33</v>
      </c>
      <c r="AI1" s="15" t="s">
        <v>34</v>
      </c>
      <c r="AJ1" s="10" t="s">
        <v>35</v>
      </c>
      <c r="AK1" s="1" t="s">
        <v>36</v>
      </c>
      <c r="AL1" s="16" t="s">
        <v>37</v>
      </c>
      <c r="AM1" s="17" t="s">
        <v>38</v>
      </c>
      <c r="AN1" s="16" t="s">
        <v>39</v>
      </c>
      <c r="AO1" s="10" t="s">
        <v>40</v>
      </c>
      <c r="AP1" s="1" t="s">
        <v>41</v>
      </c>
    </row>
    <row r="2" spans="1:42" x14ac:dyDescent="0.25">
      <c r="A2" s="3">
        <v>44907</v>
      </c>
      <c r="B2" s="3" t="s">
        <v>42</v>
      </c>
      <c r="C2" t="s">
        <v>43</v>
      </c>
      <c r="D2" s="3">
        <v>44830</v>
      </c>
      <c r="E2" s="3">
        <v>44861</v>
      </c>
      <c r="F2" s="3">
        <v>44769</v>
      </c>
      <c r="G2" s="3">
        <v>47326</v>
      </c>
      <c r="H2" s="4">
        <v>5.64</v>
      </c>
      <c r="I2" s="4">
        <f>K2*12/T2*100</f>
        <v>7.1300861977854844</v>
      </c>
      <c r="J2" s="4">
        <v>10.199999999999999</v>
      </c>
      <c r="K2" s="4">
        <f>P2*H2/100/12</f>
        <v>32.9</v>
      </c>
      <c r="L2" s="4">
        <f>K2-V2</f>
        <v>32.9</v>
      </c>
      <c r="M2">
        <f>IF(E2="", 0, IF(A2&gt;E2,INT((A2-E2)/30),0))</f>
        <v>1</v>
      </c>
      <c r="N2" s="5"/>
      <c r="O2" s="4">
        <f>K2*M2+L2+IF(A2&gt;E2,N2,0)</f>
        <v>65.8</v>
      </c>
      <c r="P2" s="4">
        <v>7000</v>
      </c>
      <c r="Q2" s="24">
        <v>78.820539109999999</v>
      </c>
      <c r="R2" s="24">
        <v>79.10142799888888</v>
      </c>
      <c r="S2" s="4">
        <f>P2*Q2/100</f>
        <v>5517.4377377000001</v>
      </c>
      <c r="T2" s="4">
        <f>P2*R2/100</f>
        <v>5537.0999599222223</v>
      </c>
      <c r="U2" s="4">
        <f>T2+V2</f>
        <v>5537.0999599222223</v>
      </c>
      <c r="V2" s="4">
        <v>0</v>
      </c>
      <c r="W2" s="4">
        <v>16.551111111111108</v>
      </c>
      <c r="X2" s="4">
        <v>3.1111111111111112</v>
      </c>
      <c r="Y2" s="4">
        <f>W2+X2</f>
        <v>19.662222222222219</v>
      </c>
      <c r="Z2" s="6"/>
      <c r="AA2" s="24">
        <v>88.171413999999999</v>
      </c>
      <c r="AC2" s="5">
        <v>17.55</v>
      </c>
      <c r="AD2" s="4">
        <f>AA2*P2/100</f>
        <v>6171.9989800000003</v>
      </c>
      <c r="AE2" s="4">
        <v>140</v>
      </c>
      <c r="AF2" s="4">
        <v>4</v>
      </c>
      <c r="AG2" s="4">
        <f>AD2-AE2-AF2</f>
        <v>6027.9989800000003</v>
      </c>
      <c r="AH2" s="4">
        <f>AD2-S2</f>
        <v>654.56124230000023</v>
      </c>
      <c r="AI2" s="4">
        <f>AG2-T2</f>
        <v>490.899020077778</v>
      </c>
      <c r="AJ2" s="4">
        <f>AI2+O2+AC2</f>
        <v>574.24902007777791</v>
      </c>
      <c r="AK2">
        <f>A2-D2</f>
        <v>77</v>
      </c>
      <c r="AL2" s="18">
        <f>AJ2/T2</f>
        <v>0.10370934681226961</v>
      </c>
      <c r="AM2" s="18">
        <f>AJ2/T2*365/AK2</f>
        <v>0.4916092413828364</v>
      </c>
      <c r="AN2" s="18">
        <f>POWER((1+AL2),(365/AK2))-1</f>
        <v>0.59640289187066653</v>
      </c>
      <c r="AO2" s="21">
        <f>TitulosVendidos[[#This Row],[Comisión Santa Fe
Venta]]+TitulosVendidos[[#This Row],[Comisión Santa Fé
Compra]]</f>
        <v>156.55111111111111</v>
      </c>
      <c r="AP2" s="7"/>
    </row>
    <row r="3" spans="1:42" x14ac:dyDescent="0.25">
      <c r="A3" s="3">
        <v>44908</v>
      </c>
      <c r="B3" s="3" t="s">
        <v>42</v>
      </c>
      <c r="C3" t="s">
        <v>44</v>
      </c>
      <c r="D3" s="3">
        <v>44790</v>
      </c>
      <c r="E3" s="3">
        <v>44800</v>
      </c>
      <c r="F3" s="3">
        <v>44739</v>
      </c>
      <c r="G3" s="3">
        <v>46931</v>
      </c>
      <c r="H3" s="4">
        <v>5.36</v>
      </c>
      <c r="I3" s="4">
        <f>K3*12/T3*100</f>
        <v>6.4174303708805818</v>
      </c>
      <c r="J3" s="4">
        <v>9.1999999999999993</v>
      </c>
      <c r="K3" s="4">
        <f>P3*H3/100/12</f>
        <v>68.083166666666671</v>
      </c>
      <c r="L3" s="4">
        <f>K3-V3</f>
        <v>20.424391021449267</v>
      </c>
      <c r="M3">
        <f>IF(E3="", 0, IF(A3&gt;E3,INT((A3-E3)/30),0))</f>
        <v>3</v>
      </c>
      <c r="N3" s="5"/>
      <c r="O3" s="4">
        <f>K3*M3+L3+IF(A3&gt;E3,N3,0)</f>
        <v>224.67389102144926</v>
      </c>
      <c r="P3" s="4">
        <v>15242.5</v>
      </c>
      <c r="Q3" s="24">
        <v>83.231200000000001</v>
      </c>
      <c r="R3" s="24">
        <v>83.522526778339099</v>
      </c>
      <c r="S3" s="4">
        <f>P3*Q3/100</f>
        <v>12686.515660000001</v>
      </c>
      <c r="T3" s="4">
        <f>P3*R3/100</f>
        <v>12730.921144188338</v>
      </c>
      <c r="U3" s="4">
        <f>T3+V3</f>
        <v>12778.579919833555</v>
      </c>
      <c r="V3" s="4">
        <v>47.658775645217403</v>
      </c>
      <c r="W3" s="4">
        <v>38.060917781392668</v>
      </c>
      <c r="X3" s="4">
        <v>6.3445664069442227</v>
      </c>
      <c r="Y3" s="4">
        <f>W3+X3</f>
        <v>44.405484188336892</v>
      </c>
      <c r="Z3" s="6"/>
      <c r="AA3" s="24">
        <v>87.810418339999998</v>
      </c>
      <c r="AC3" s="5">
        <v>36.31</v>
      </c>
      <c r="AD3" s="4">
        <f>AA3*P3/100</f>
        <v>13384.5030154745</v>
      </c>
      <c r="AE3" s="4">
        <v>381.06</v>
      </c>
      <c r="AF3" s="4">
        <v>6.69</v>
      </c>
      <c r="AG3" s="4">
        <f>AD3-AE3-AF3</f>
        <v>12996.7530154745</v>
      </c>
      <c r="AH3" s="4">
        <f>AD3-S3</f>
        <v>697.98735547449905</v>
      </c>
      <c r="AI3" s="4">
        <f>AG3-T3</f>
        <v>265.83187128616191</v>
      </c>
      <c r="AJ3" s="4">
        <f>AI3+O3+AC3</f>
        <v>526.81576230761118</v>
      </c>
      <c r="AK3">
        <f>A3-D3</f>
        <v>118</v>
      </c>
      <c r="AL3" s="18">
        <f>AJ3/T3</f>
        <v>4.1380804761963548E-2</v>
      </c>
      <c r="AM3" s="18">
        <f>AJ3/T3*365/AK3</f>
        <v>0.12799994693319233</v>
      </c>
      <c r="AN3" s="18">
        <f>POWER((1+AL3),(365/AK3))-1</f>
        <v>0.13362724451362062</v>
      </c>
      <c r="AO3" s="21">
        <f>TitulosVendidos[[#This Row],[Comisión Santa Fe
Venta]]+TitulosVendidos[[#This Row],[Comisión Santa Fé
Compra]]</f>
        <v>419.12091778139268</v>
      </c>
      <c r="AP3" s="7"/>
    </row>
    <row r="4" spans="1:42" x14ac:dyDescent="0.25">
      <c r="A4" s="3">
        <v>44922</v>
      </c>
      <c r="B4" s="3" t="s">
        <v>42</v>
      </c>
      <c r="C4" t="s">
        <v>44</v>
      </c>
      <c r="D4" s="3">
        <v>44790</v>
      </c>
      <c r="E4" s="3">
        <v>44800</v>
      </c>
      <c r="F4" s="3">
        <v>44739</v>
      </c>
      <c r="G4" s="3">
        <v>46931</v>
      </c>
      <c r="H4" s="4">
        <v>5.36</v>
      </c>
      <c r="I4" s="4">
        <f>K4*12/T4*100</f>
        <v>6.417425280251936</v>
      </c>
      <c r="J4" s="4">
        <v>9.1999999999999993</v>
      </c>
      <c r="K4" s="4">
        <f>P4*H4/100/12</f>
        <v>36.972743999999999</v>
      </c>
      <c r="L4" s="4">
        <f>K4-V4</f>
        <v>11.09530652491695</v>
      </c>
      <c r="M4">
        <f>IF(E4="", 0, IF(A4&gt;E4,INT((A4-E4)/30),0))</f>
        <v>4</v>
      </c>
      <c r="N4" s="5"/>
      <c r="O4" s="4">
        <f>K4*M4+L4+IF(A4&gt;E4,N4,0)</f>
        <v>158.98628252491693</v>
      </c>
      <c r="P4" s="4">
        <v>8277.48</v>
      </c>
      <c r="Q4" s="24">
        <v>83.231200000000001</v>
      </c>
      <c r="R4" s="24">
        <v>83.522593032662101</v>
      </c>
      <c r="S4" s="4">
        <f>P4*Q4/100</f>
        <v>6889.4459337599992</v>
      </c>
      <c r="T4" s="4">
        <f>P4*R4/100</f>
        <v>6913.5659337599982</v>
      </c>
      <c r="U4" s="4">
        <f>T4+V4</f>
        <v>6939.443371235081</v>
      </c>
      <c r="V4" s="4">
        <v>25.877437475083049</v>
      </c>
      <c r="W4" s="4">
        <v>20.67</v>
      </c>
      <c r="X4" s="4">
        <v>3.45</v>
      </c>
      <c r="Y4" s="4">
        <f>W4+X4</f>
        <v>24.12</v>
      </c>
      <c r="Z4" s="6"/>
      <c r="AA4" s="24">
        <v>88.721864159999996</v>
      </c>
      <c r="AC4" s="5">
        <v>1.23</v>
      </c>
      <c r="AD4" s="4">
        <f>AA4*P4/100</f>
        <v>7343.9345614711674</v>
      </c>
      <c r="AE4" s="4">
        <v>165.5496</v>
      </c>
      <c r="AF4" s="4">
        <v>4</v>
      </c>
      <c r="AG4" s="4">
        <f>AD4-AE4-AF4</f>
        <v>7174.3849614711671</v>
      </c>
      <c r="AH4" s="4">
        <f>AD4-S4</f>
        <v>454.48862771116819</v>
      </c>
      <c r="AI4" s="4">
        <f>AG4-T4</f>
        <v>260.81902771116893</v>
      </c>
      <c r="AJ4" s="4">
        <f>AI4+O4+AC4</f>
        <v>421.03531023608588</v>
      </c>
      <c r="AK4">
        <f>A4-D4</f>
        <v>132</v>
      </c>
      <c r="AL4" s="18">
        <f>AJ4/T4</f>
        <v>6.0899876311312252E-2</v>
      </c>
      <c r="AM4" s="18">
        <f>AJ4/T4*365/AK4</f>
        <v>0.16839738525476494</v>
      </c>
      <c r="AN4" s="18">
        <f>POWER((1+AL4),(365/AK4))-1</f>
        <v>0.17758862706651546</v>
      </c>
      <c r="AO4" s="21">
        <f>TitulosVendidos[[#This Row],[Comisión Santa Fe
Venta]]+TitulosVendidos[[#This Row],[Comisión Santa Fé
Compra]]</f>
        <v>186.21960000000001</v>
      </c>
      <c r="AP4" s="7"/>
    </row>
    <row r="5" spans="1:42" x14ac:dyDescent="0.25">
      <c r="A5" s="3">
        <v>44923</v>
      </c>
      <c r="B5" s="3" t="s">
        <v>42</v>
      </c>
      <c r="C5" t="s">
        <v>43</v>
      </c>
      <c r="D5" s="3">
        <v>44790</v>
      </c>
      <c r="E5" s="3">
        <v>44800</v>
      </c>
      <c r="F5" s="3">
        <v>44739</v>
      </c>
      <c r="G5" s="3">
        <v>47296</v>
      </c>
      <c r="H5" s="4">
        <v>5.64</v>
      </c>
      <c r="I5" s="4">
        <f>K5*12/T5*100</f>
        <v>6.8121448512740281</v>
      </c>
      <c r="J5" s="4">
        <v>9.3000000000000007</v>
      </c>
      <c r="K5" s="4">
        <f>P5*H5/100/12</f>
        <v>70.5</v>
      </c>
      <c r="L5" s="4">
        <f>K5-V5</f>
        <v>21.15</v>
      </c>
      <c r="M5">
        <f>IF(E5="", 0, IF(A5&gt;E5,INT((A5-E5)/30),0))</f>
        <v>4</v>
      </c>
      <c r="N5" s="5"/>
      <c r="O5" s="4">
        <f>K5*M5+L5+IF(A5&gt;E5,N5,0)</f>
        <v>303.14999999999998</v>
      </c>
      <c r="P5" s="4">
        <v>15000</v>
      </c>
      <c r="Q5" s="24">
        <v>82.504507000000004</v>
      </c>
      <c r="R5" s="24">
        <v>82.793306999999999</v>
      </c>
      <c r="S5" s="4">
        <f>P5*Q5/100</f>
        <v>12375.67605</v>
      </c>
      <c r="T5" s="4">
        <f>P5*R5/100</f>
        <v>12418.99605</v>
      </c>
      <c r="U5" s="4">
        <f>T5+V5</f>
        <v>12468.34605</v>
      </c>
      <c r="V5" s="4">
        <v>49.35</v>
      </c>
      <c r="W5" s="4">
        <v>37.130000000000003</v>
      </c>
      <c r="X5" s="4">
        <v>6.19</v>
      </c>
      <c r="Y5" s="4">
        <f>W5+X5</f>
        <v>43.32</v>
      </c>
      <c r="Z5" s="6"/>
      <c r="AA5" s="24">
        <v>88.359499999999997</v>
      </c>
      <c r="AC5" s="5">
        <v>4.7</v>
      </c>
      <c r="AD5" s="4">
        <f>AA5*P5/100</f>
        <v>13253.924999999999</v>
      </c>
      <c r="AE5" s="4">
        <v>225</v>
      </c>
      <c r="AF5" s="4">
        <v>6.63</v>
      </c>
      <c r="AG5" s="4">
        <f>AD5-AE5-AF5</f>
        <v>13022.295</v>
      </c>
      <c r="AH5" s="4">
        <f>AD5-S5</f>
        <v>878.24894999999924</v>
      </c>
      <c r="AI5" s="4">
        <f>AG5-T5</f>
        <v>603.29895000000033</v>
      </c>
      <c r="AJ5" s="4">
        <f>AI5+O5+AC5</f>
        <v>911.14895000000035</v>
      </c>
      <c r="AK5">
        <f>A5-D5</f>
        <v>133</v>
      </c>
      <c r="AL5" s="18">
        <f>AJ5/T5</f>
        <v>7.3367359674778254E-2</v>
      </c>
      <c r="AM5" s="18">
        <f>AJ5/T5*365/AK5</f>
        <v>0.20134651339318843</v>
      </c>
      <c r="AN5" s="18">
        <f>POWER((1+AL5),(365/AK5))-1</f>
        <v>0.2144640524472099</v>
      </c>
      <c r="AO5" s="21">
        <f>TitulosVendidos[[#This Row],[Comisión Santa Fe
Venta]]+TitulosVendidos[[#This Row],[Comisión Santa Fé
Compra]]</f>
        <v>262.13</v>
      </c>
      <c r="AP5" s="7"/>
    </row>
    <row r="6" spans="1:42" x14ac:dyDescent="0.25">
      <c r="A6" s="3">
        <v>44924</v>
      </c>
      <c r="B6" s="3" t="s">
        <v>42</v>
      </c>
      <c r="C6" t="s">
        <v>43</v>
      </c>
      <c r="D6" s="3">
        <v>44790</v>
      </c>
      <c r="E6" s="3">
        <v>44796</v>
      </c>
      <c r="F6" s="3">
        <v>44735</v>
      </c>
      <c r="G6" s="3">
        <v>46561</v>
      </c>
      <c r="H6" s="4">
        <v>5.07</v>
      </c>
      <c r="I6" s="4">
        <f>K6*12/T6*100</f>
        <v>5.9499548044014894</v>
      </c>
      <c r="J6" s="4">
        <v>9.1</v>
      </c>
      <c r="K6" s="4">
        <f>P6*H6/100/12</f>
        <v>118.3</v>
      </c>
      <c r="L6" s="4">
        <f>K6-V6</f>
        <v>19.72</v>
      </c>
      <c r="M6">
        <f>IF(E6="", 0, IF(A6&gt;E6,INT((A6-E6)/30),0))</f>
        <v>4</v>
      </c>
      <c r="N6" s="5"/>
      <c r="O6" s="4">
        <f>K6*M6+L6+IF(A6&gt;E6,N6,0)</f>
        <v>492.91999999999996</v>
      </c>
      <c r="P6" s="4">
        <v>28000</v>
      </c>
      <c r="Q6" s="24">
        <v>84.913516999999999</v>
      </c>
      <c r="R6" s="24">
        <v>85.210731285714274</v>
      </c>
      <c r="S6" s="4">
        <f>P6*Q6/100</f>
        <v>23775.784759999999</v>
      </c>
      <c r="T6" s="4">
        <f>P6*R6/100</f>
        <v>23859.004759999996</v>
      </c>
      <c r="U6" s="4">
        <f>T6+V6</f>
        <v>23957.584759999998</v>
      </c>
      <c r="V6" s="4">
        <v>98.58</v>
      </c>
      <c r="W6" s="4">
        <v>71.33</v>
      </c>
      <c r="X6" s="4">
        <v>11.89</v>
      </c>
      <c r="Y6" s="4">
        <f>W6+X6</f>
        <v>83.22</v>
      </c>
      <c r="Z6" s="6"/>
      <c r="AA6" s="24">
        <v>89.855601969999995</v>
      </c>
      <c r="AC6" s="5">
        <v>27.6</v>
      </c>
      <c r="AD6" s="4">
        <f>AA6*P6/100</f>
        <v>25159.568551599998</v>
      </c>
      <c r="AE6" s="4">
        <v>490</v>
      </c>
      <c r="AF6" s="4">
        <v>12.58</v>
      </c>
      <c r="AG6" s="4">
        <f>AD6-AE6-AF6</f>
        <v>24656.988551599996</v>
      </c>
      <c r="AH6" s="4">
        <f>AD6-S6</f>
        <v>1383.7837915999989</v>
      </c>
      <c r="AI6" s="4">
        <f>AG6-T6</f>
        <v>797.98379159999968</v>
      </c>
      <c r="AJ6" s="4">
        <f>AI6+O6+AC6</f>
        <v>1318.5037915999997</v>
      </c>
      <c r="AK6">
        <f>A6-D6</f>
        <v>134</v>
      </c>
      <c r="AL6" s="18">
        <f>AJ6/T6</f>
        <v>5.5262313112510557E-2</v>
      </c>
      <c r="AM6" s="18">
        <f>AJ6/T6*365/AK6</f>
        <v>0.15052794243333098</v>
      </c>
      <c r="AN6" s="18">
        <f>POWER((1+AL6),(365/AK6))-1</f>
        <v>0.15779326118528791</v>
      </c>
      <c r="AO6" s="21">
        <f>TitulosVendidos[[#This Row],[Comisión Santa Fe
Venta]]+TitulosVendidos[[#This Row],[Comisión Santa Fé
Compra]]</f>
        <v>561.33000000000004</v>
      </c>
      <c r="AP6" s="7"/>
    </row>
    <row r="7" spans="1:42" x14ac:dyDescent="0.25">
      <c r="A7" s="3">
        <v>44925</v>
      </c>
      <c r="B7" s="3" t="s">
        <v>42</v>
      </c>
      <c r="C7" t="s">
        <v>44</v>
      </c>
      <c r="D7" s="3">
        <v>44916</v>
      </c>
      <c r="E7" s="3">
        <v>44944</v>
      </c>
      <c r="F7" s="3">
        <v>44883</v>
      </c>
      <c r="G7" s="3">
        <v>45614</v>
      </c>
      <c r="H7" s="4">
        <v>3.82</v>
      </c>
      <c r="I7" s="4">
        <f>K7*12/T7*100</f>
        <v>4.1660080611512873</v>
      </c>
      <c r="J7" s="4">
        <v>9.5</v>
      </c>
      <c r="K7" s="4">
        <f>P7*H7/100/12</f>
        <v>20.643916666666666</v>
      </c>
      <c r="L7" s="4">
        <f>K7-V7</f>
        <v>18.576135946327682</v>
      </c>
      <c r="M7">
        <f>IF(E7="", 0, IF(A7&gt;E7,INT((A7-E7)/30),0))</f>
        <v>0</v>
      </c>
      <c r="N7" s="5"/>
      <c r="O7" s="4">
        <f>K7*M7+L7+IF(A7&gt;E7,N7,0)</f>
        <v>18.576135946327682</v>
      </c>
      <c r="P7" s="4">
        <v>6485</v>
      </c>
      <c r="Q7" s="24">
        <v>91.331040329999993</v>
      </c>
      <c r="R7" s="24">
        <v>91.694493719830504</v>
      </c>
      <c r="S7" s="4">
        <f>P7*Q7/100</f>
        <v>5922.8179654004998</v>
      </c>
      <c r="T7" s="4">
        <f>P7*R7/100</f>
        <v>5946.3879177310082</v>
      </c>
      <c r="U7" s="4">
        <f>T7+V7</f>
        <v>5948.4556984513474</v>
      </c>
      <c r="V7" s="4">
        <v>2.0677807203389831</v>
      </c>
      <c r="W7" s="4">
        <v>20.60911016949153</v>
      </c>
      <c r="X7" s="4">
        <v>2.9608421610169491</v>
      </c>
      <c r="Y7" s="4">
        <f>W7+X7</f>
        <v>23.569952330508478</v>
      </c>
      <c r="Z7" s="6"/>
      <c r="AA7" s="24">
        <v>94.812799999999996</v>
      </c>
      <c r="AC7" s="5">
        <v>8.26</v>
      </c>
      <c r="AD7" s="4">
        <f>AA7*P7/100</f>
        <v>6148.6100799999995</v>
      </c>
      <c r="AE7" s="4">
        <v>129.69999999999999</v>
      </c>
      <c r="AF7" s="4">
        <v>4</v>
      </c>
      <c r="AG7" s="4">
        <f>AD7-AE7-AF7</f>
        <v>6014.9100799999997</v>
      </c>
      <c r="AH7" s="4">
        <f>AD7-S7</f>
        <v>225.79211459949966</v>
      </c>
      <c r="AI7" s="4">
        <f>AG7-T7</f>
        <v>68.522162268991451</v>
      </c>
      <c r="AJ7" s="4">
        <f>AI7+O7+AC7</f>
        <v>95.358298215319138</v>
      </c>
      <c r="AK7">
        <f>A7-D7</f>
        <v>9</v>
      </c>
      <c r="AL7" s="18">
        <f>AJ7/T7</f>
        <v>1.6036339965473604E-2</v>
      </c>
      <c r="AM7" s="18">
        <f>AJ7/T7*365/AK7</f>
        <v>0.65036267637754053</v>
      </c>
      <c r="AN7" s="18">
        <f>POWER((1+AL7),(365/AK7))-1</f>
        <v>0.90637407133255787</v>
      </c>
      <c r="AO7" s="21">
        <f>TitulosVendidos[[#This Row],[Comisión Santa Fe
Venta]]+TitulosVendidos[[#This Row],[Comisión Santa Fé
Compra]]</f>
        <v>150.30911016949153</v>
      </c>
      <c r="AP7" s="7"/>
    </row>
    <row r="8" spans="1:42" x14ac:dyDescent="0.25">
      <c r="A8" s="3">
        <v>44953</v>
      </c>
      <c r="B8" s="3" t="s">
        <v>42</v>
      </c>
      <c r="C8" t="s">
        <v>44</v>
      </c>
      <c r="D8" s="3">
        <v>44790</v>
      </c>
      <c r="E8" s="3">
        <v>44800</v>
      </c>
      <c r="F8" s="3">
        <v>44739</v>
      </c>
      <c r="G8" s="3">
        <v>46565</v>
      </c>
      <c r="H8" s="4">
        <v>5.07</v>
      </c>
      <c r="I8" s="4">
        <f>K8*12/T8*100</f>
        <v>5.9514983871498073</v>
      </c>
      <c r="J8" s="4">
        <v>9.1</v>
      </c>
      <c r="K8" s="4">
        <f>P8*H8/100/12</f>
        <v>33.800000000000004</v>
      </c>
      <c r="L8" s="4">
        <f>K8-V8</f>
        <v>10.140000000000004</v>
      </c>
      <c r="M8">
        <f>IF(E8="", 0, IF(A8&gt;E8,INT((A8-E8)/30),0))</f>
        <v>5</v>
      </c>
      <c r="N8" s="5"/>
      <c r="O8" s="4">
        <f>K8*M8+L8+IF(A8&gt;E8,N8,0)</f>
        <v>179.14000000000004</v>
      </c>
      <c r="P8" s="4">
        <v>8000</v>
      </c>
      <c r="Q8" s="24">
        <v>84.884005999999999</v>
      </c>
      <c r="R8" s="24">
        <v>85.188631000000001</v>
      </c>
      <c r="S8" s="4">
        <f>P8*Q8/100</f>
        <v>6790.72048</v>
      </c>
      <c r="T8" s="4">
        <f>P8*R8/100</f>
        <v>6815.0904799999998</v>
      </c>
      <c r="U8" s="4">
        <f>T8+V8</f>
        <v>6838.7504799999997</v>
      </c>
      <c r="V8" s="4">
        <v>23.66</v>
      </c>
      <c r="W8" s="4">
        <v>20.37</v>
      </c>
      <c r="X8" s="4">
        <v>4</v>
      </c>
      <c r="Y8" s="4">
        <f>W8+X8</f>
        <v>24.37</v>
      </c>
      <c r="Z8" s="6"/>
      <c r="AA8" s="24">
        <v>90.002171880000006</v>
      </c>
      <c r="AC8" s="5">
        <v>3.38</v>
      </c>
      <c r="AD8" s="4">
        <f>AA8*P8/100</f>
        <v>7200.1737504000012</v>
      </c>
      <c r="AE8" s="4">
        <v>120</v>
      </c>
      <c r="AF8" s="4">
        <v>4</v>
      </c>
      <c r="AG8" s="4">
        <f>AD8-AE8-AF8</f>
        <v>7076.1737504000012</v>
      </c>
      <c r="AH8" s="4">
        <f>AD8-S8</f>
        <v>409.4532704000012</v>
      </c>
      <c r="AI8" s="4">
        <f>AG8-T8</f>
        <v>261.08327040000131</v>
      </c>
      <c r="AJ8" s="4">
        <f>AI8+O8+AC8</f>
        <v>443.60327040000135</v>
      </c>
      <c r="AK8">
        <f>A8-D8</f>
        <v>163</v>
      </c>
      <c r="AL8" s="18">
        <f>AJ8/T8</f>
        <v>6.5091325155818239E-2</v>
      </c>
      <c r="AM8" s="18">
        <f>AJ8/T8*365/AK8</f>
        <v>0.14575664835505311</v>
      </c>
      <c r="AN8" s="18">
        <f>POWER((1+AL8),(365/AK8))-1</f>
        <v>0.15166555110434499</v>
      </c>
      <c r="AO8" s="21">
        <f>TitulosVendidos[[#This Row],[Comisión Santa Fe
Venta]]+TitulosVendidos[[#This Row],[Comisión Santa Fé
Compra]]</f>
        <v>140.37</v>
      </c>
      <c r="AP8" s="7"/>
    </row>
    <row r="9" spans="1:42" x14ac:dyDescent="0.25">
      <c r="A9" s="3">
        <v>44953</v>
      </c>
      <c r="B9" s="3" t="s">
        <v>42</v>
      </c>
      <c r="C9" t="s">
        <v>44</v>
      </c>
      <c r="D9" s="3">
        <v>44925</v>
      </c>
      <c r="E9" s="3">
        <v>44934</v>
      </c>
      <c r="F9" s="3">
        <v>44781</v>
      </c>
      <c r="G9" s="3">
        <v>46607</v>
      </c>
      <c r="H9" s="4">
        <v>5.07</v>
      </c>
      <c r="I9" s="4">
        <f>K9*12/T9*100</f>
        <v>5.9276948635685116</v>
      </c>
      <c r="J9" s="4">
        <v>9.1999999999999993</v>
      </c>
      <c r="K9" s="4">
        <f>P9*H9/100/12</f>
        <v>55.347499999999997</v>
      </c>
      <c r="L9" s="4">
        <f>K9-V9</f>
        <v>14.757499999999993</v>
      </c>
      <c r="M9">
        <f>IF(E9="", 0, IF(A9&gt;E9,INT((A9-E9)/30),0))</f>
        <v>0</v>
      </c>
      <c r="N9" s="5"/>
      <c r="O9" s="4">
        <f>K9*M9+L9+IF(A9&gt;E9,N9,0)</f>
        <v>14.757499999999993</v>
      </c>
      <c r="P9" s="4">
        <v>13100</v>
      </c>
      <c r="Q9" s="24">
        <v>85.232425680000006</v>
      </c>
      <c r="R9" s="24">
        <v>85.530718376887336</v>
      </c>
      <c r="S9" s="4">
        <f>P9*Q9/100</f>
        <v>11165.447764080001</v>
      </c>
      <c r="T9" s="4">
        <f>P9*R9/100</f>
        <v>11204.524107372241</v>
      </c>
      <c r="U9" s="4">
        <f>T9+V9</f>
        <v>11245.114107372241</v>
      </c>
      <c r="V9" s="4">
        <v>40.590000000000003</v>
      </c>
      <c r="W9" s="4">
        <v>33.496343292240013</v>
      </c>
      <c r="X9" s="4">
        <v>5.58</v>
      </c>
      <c r="Y9" s="4">
        <f>W9+X9</f>
        <v>39.076343292240011</v>
      </c>
      <c r="Z9" s="6"/>
      <c r="AA9" s="24">
        <v>89.771468150000004</v>
      </c>
      <c r="AC9" s="5">
        <v>40.590000000000003</v>
      </c>
      <c r="AD9" s="4">
        <f>AA9*P9/100</f>
        <v>11760.062327650001</v>
      </c>
      <c r="AE9" s="4">
        <v>196.5</v>
      </c>
      <c r="AF9" s="4">
        <v>5.88</v>
      </c>
      <c r="AG9" s="4">
        <f>AD9-AE9-AF9</f>
        <v>11557.682327650002</v>
      </c>
      <c r="AH9" s="4">
        <f>AD9-S9</f>
        <v>594.61456356999952</v>
      </c>
      <c r="AI9" s="4">
        <f>AG9-T9</f>
        <v>353.15822027776085</v>
      </c>
      <c r="AJ9" s="4">
        <f>AI9+O9+AC9</f>
        <v>408.50572027776082</v>
      </c>
      <c r="AK9">
        <f>A9-D9</f>
        <v>28</v>
      </c>
      <c r="AL9" s="18">
        <f>AJ9/T9</f>
        <v>3.64589978443597E-2</v>
      </c>
      <c r="AM9" s="18">
        <f>AJ9/T9*365/AK9</f>
        <v>0.47526907904254612</v>
      </c>
      <c r="AN9" s="18">
        <f>POWER((1+AL9),(365/AK9))-1</f>
        <v>0.5948985859655771</v>
      </c>
      <c r="AO9" s="21">
        <f>TitulosVendidos[[#This Row],[Comisión Santa Fe
Venta]]+TitulosVendidos[[#This Row],[Comisión Santa Fé
Compra]]</f>
        <v>229.99634329224</v>
      </c>
      <c r="AP9" s="7"/>
    </row>
    <row r="10" spans="1:42" x14ac:dyDescent="0.25">
      <c r="A10" s="3">
        <v>44964</v>
      </c>
      <c r="B10" s="3" t="s">
        <v>42</v>
      </c>
      <c r="C10" t="s">
        <v>44</v>
      </c>
      <c r="D10" s="3">
        <v>44790</v>
      </c>
      <c r="E10" s="3">
        <v>44813</v>
      </c>
      <c r="F10" s="3">
        <v>44782</v>
      </c>
      <c r="G10" s="3">
        <v>47339</v>
      </c>
      <c r="H10" s="4">
        <v>5.64</v>
      </c>
      <c r="I10" s="4">
        <f>K10*12/T10*100</f>
        <v>6.8316064355273847</v>
      </c>
      <c r="J10" s="4">
        <v>9.3000000000000007</v>
      </c>
      <c r="K10" s="4">
        <f>P10*H10/100/12</f>
        <v>88.324749999999995</v>
      </c>
      <c r="L10" s="4">
        <f>K10-V10</f>
        <v>61.824749999999995</v>
      </c>
      <c r="M10">
        <f>IF(E10="", 0, IF(A10&gt;E10,INT((A10-E10)/30),0))</f>
        <v>5</v>
      </c>
      <c r="N10" s="5"/>
      <c r="O10" s="4">
        <f>K10*M10+L10+IF(A10&gt;E10,N10,0)</f>
        <v>503.44849999999997</v>
      </c>
      <c r="P10" s="4">
        <v>18792.5</v>
      </c>
      <c r="Q10" s="24">
        <v>82.269514999999998</v>
      </c>
      <c r="R10" s="24">
        <v>82.557449016229882</v>
      </c>
      <c r="S10" s="4">
        <f>P10*Q10/100</f>
        <v>15460.498606375</v>
      </c>
      <c r="T10" s="4">
        <f>P10*R10/100</f>
        <v>15514.608606374999</v>
      </c>
      <c r="U10" s="4">
        <f>T10+V10</f>
        <v>15541.108606374999</v>
      </c>
      <c r="V10" s="4">
        <v>26.5</v>
      </c>
      <c r="W10" s="4">
        <v>46.38</v>
      </c>
      <c r="X10" s="4">
        <v>7.73</v>
      </c>
      <c r="Y10" s="4">
        <f>W10+X10</f>
        <v>54.11</v>
      </c>
      <c r="Z10" s="6"/>
      <c r="AA10" s="24">
        <v>88.351199999999992</v>
      </c>
      <c r="AC10" s="5">
        <v>85.38</v>
      </c>
      <c r="AD10" s="4">
        <f>AA10*P10/100</f>
        <v>16603.399259999998</v>
      </c>
      <c r="AE10" s="4">
        <v>375.85</v>
      </c>
      <c r="AF10" s="4">
        <v>8.3000000000000007</v>
      </c>
      <c r="AG10" s="4">
        <f>AD10-AE10-AF10</f>
        <v>16219.249259999999</v>
      </c>
      <c r="AH10" s="4">
        <f>AD10-S10</f>
        <v>1142.9006536249981</v>
      </c>
      <c r="AI10" s="4">
        <f>AG10-T10</f>
        <v>704.64065362499969</v>
      </c>
      <c r="AJ10" s="4">
        <f>AI10+O10+AC10</f>
        <v>1293.4691536249998</v>
      </c>
      <c r="AK10">
        <f>A10-D10</f>
        <v>174</v>
      </c>
      <c r="AL10" s="18">
        <f>AJ10/T10</f>
        <v>8.3371046375833771E-2</v>
      </c>
      <c r="AM10" s="18">
        <f>AJ10/T10*365/AK10</f>
        <v>0.17488753981137545</v>
      </c>
      <c r="AN10" s="18">
        <f>POWER((1+AL10),(365/AK10))-1</f>
        <v>0.1829114189484109</v>
      </c>
      <c r="AO10" s="21">
        <f>TitulosVendidos[[#This Row],[Comisión Santa Fe
Venta]]+TitulosVendidos[[#This Row],[Comisión Santa Fé
Compra]]</f>
        <v>422.23</v>
      </c>
      <c r="AP10" s="7"/>
    </row>
    <row r="11" spans="1:42" x14ac:dyDescent="0.25">
      <c r="A11" s="3">
        <v>44972</v>
      </c>
      <c r="B11" s="3" t="s">
        <v>42</v>
      </c>
      <c r="C11" t="s">
        <v>45</v>
      </c>
      <c r="D11" s="3">
        <v>44853</v>
      </c>
      <c r="E11" s="3">
        <v>44873</v>
      </c>
      <c r="F11" s="3">
        <v>44781</v>
      </c>
      <c r="G11" s="3">
        <v>47338</v>
      </c>
      <c r="H11" s="4">
        <v>5.64</v>
      </c>
      <c r="I11" s="4">
        <f>K11*12/T11*100</f>
        <v>7.3795426903518226</v>
      </c>
      <c r="J11" s="4">
        <v>11</v>
      </c>
      <c r="K11" s="4">
        <f>P11*H11/100/12</f>
        <v>23.5</v>
      </c>
      <c r="L11" s="4">
        <f>K11-V11</f>
        <v>14.88</v>
      </c>
      <c r="M11">
        <f>IF(E11="", 0, IF(A11&gt;E11,INT((A11-E11)/30),0))</f>
        <v>3</v>
      </c>
      <c r="N11" s="5"/>
      <c r="O11" s="4">
        <f>K11*M11+L11+IF(A11&gt;E11,N11,0)</f>
        <v>85.38</v>
      </c>
      <c r="P11" s="4">
        <v>5000</v>
      </c>
      <c r="Q11" s="24">
        <v>75.745700139999997</v>
      </c>
      <c r="R11" s="24">
        <v>76.427500140000006</v>
      </c>
      <c r="S11" s="4">
        <f>P11*Q11/100</f>
        <v>3787.285007</v>
      </c>
      <c r="T11" s="4">
        <f>P11*R11/100</f>
        <v>3821.3750070000006</v>
      </c>
      <c r="U11" s="4">
        <f>T11+V11</f>
        <v>3829.9950070000004</v>
      </c>
      <c r="V11" s="4">
        <v>8.6199999999999992</v>
      </c>
      <c r="W11" s="4">
        <v>30.09</v>
      </c>
      <c r="X11" s="4">
        <v>4</v>
      </c>
      <c r="Y11" s="4">
        <f>W11+X11</f>
        <v>34.090000000000003</v>
      </c>
      <c r="Z11" s="6"/>
      <c r="AA11" s="24">
        <v>88.388979000000006</v>
      </c>
      <c r="AC11" s="5">
        <v>6.27</v>
      </c>
      <c r="AD11" s="4">
        <f>AA11*P11/100</f>
        <v>4419.44895</v>
      </c>
      <c r="AE11" s="4">
        <v>100</v>
      </c>
      <c r="AF11" s="4">
        <v>4</v>
      </c>
      <c r="AG11" s="4">
        <f>AD11-AE11-AF11</f>
        <v>4315.44895</v>
      </c>
      <c r="AH11" s="4">
        <f>AD11-S11</f>
        <v>632.16394300000002</v>
      </c>
      <c r="AI11" s="4">
        <f>AG11-T11</f>
        <v>494.07394299999942</v>
      </c>
      <c r="AJ11" s="4">
        <f>AI11+O11+AC11</f>
        <v>585.72394299999939</v>
      </c>
      <c r="AK11">
        <f>A11-D11</f>
        <v>119</v>
      </c>
      <c r="AL11" s="18">
        <f>AJ11/T11</f>
        <v>0.15327570362162032</v>
      </c>
      <c r="AM11" s="18">
        <f>AJ11/T11*365/AK11</f>
        <v>0.47013135984782706</v>
      </c>
      <c r="AN11" s="18">
        <f>POWER((1+AL11),(365/AK11))-1</f>
        <v>0.54868467490453687</v>
      </c>
      <c r="AO11" s="21">
        <f>TitulosVendidos[[#This Row],[Comisión Santa Fe
Venta]]+TitulosVendidos[[#This Row],[Comisión Santa Fé
Compra]]</f>
        <v>130.09</v>
      </c>
      <c r="AP11" s="7"/>
    </row>
    <row r="12" spans="1:42" x14ac:dyDescent="0.25">
      <c r="A12" s="3">
        <v>44972</v>
      </c>
      <c r="B12" s="3" t="s">
        <v>42</v>
      </c>
      <c r="C12" t="s">
        <v>43</v>
      </c>
      <c r="D12" s="3">
        <v>44826</v>
      </c>
      <c r="E12" s="3">
        <v>44842</v>
      </c>
      <c r="F12" s="3">
        <v>44781</v>
      </c>
      <c r="G12" s="3">
        <v>47338</v>
      </c>
      <c r="H12" s="4">
        <v>5.64</v>
      </c>
      <c r="I12" s="4">
        <f>K12*12/T12*100</f>
        <v>7.2513717521039149</v>
      </c>
      <c r="J12" s="4">
        <v>10.5</v>
      </c>
      <c r="K12" s="4">
        <f>P12*H12/100/12</f>
        <v>19.413350000000001</v>
      </c>
      <c r="L12" s="4">
        <f>K12-V12</f>
        <v>10.353539973469019</v>
      </c>
      <c r="M12">
        <f>IF(E12="", 0, IF(A12&gt;E12,INT((A12-E12)/30),0))</f>
        <v>4</v>
      </c>
      <c r="N12" s="5"/>
      <c r="O12" s="4">
        <f>K12*M12+L12+IF(A12&gt;E12,N12,0)</f>
        <v>88.006939973469031</v>
      </c>
      <c r="P12" s="4">
        <v>4130.5</v>
      </c>
      <c r="Q12" s="24">
        <v>77.508052000000006</v>
      </c>
      <c r="R12" s="24">
        <v>77.778387218440557</v>
      </c>
      <c r="S12" s="4">
        <f>P12*Q12/100</f>
        <v>3201.4700878600001</v>
      </c>
      <c r="T12" s="4">
        <f>P12*R12/100</f>
        <v>3212.6362840576871</v>
      </c>
      <c r="U12" s="4">
        <f>T12+V12</f>
        <v>3221.6960940842182</v>
      </c>
      <c r="V12" s="4">
        <v>9.0598100265309824</v>
      </c>
      <c r="W12" s="4">
        <v>9.570801977212497</v>
      </c>
      <c r="X12" s="4">
        <v>1.5953942204745739</v>
      </c>
      <c r="Y12" s="4">
        <f>W12+X12</f>
        <v>11.166196197687071</v>
      </c>
      <c r="Z12" s="6"/>
      <c r="AA12" s="24">
        <v>88.388979000000006</v>
      </c>
      <c r="AC12" s="5">
        <v>5.18</v>
      </c>
      <c r="AD12" s="4">
        <f>AA12*P12/100</f>
        <v>3650.9067775950007</v>
      </c>
      <c r="AE12" s="4">
        <v>82.61</v>
      </c>
      <c r="AF12" s="4">
        <v>4</v>
      </c>
      <c r="AG12" s="4">
        <f>AD12-AE12-AF12</f>
        <v>3564.2967775950005</v>
      </c>
      <c r="AH12" s="4">
        <f>AD12-S12</f>
        <v>449.43668973500053</v>
      </c>
      <c r="AI12" s="4">
        <f>AG12-T12</f>
        <v>351.66049353731341</v>
      </c>
      <c r="AJ12" s="4">
        <f>AI12+O12+AC12</f>
        <v>444.84743351078242</v>
      </c>
      <c r="AK12">
        <f>A12-D12</f>
        <v>146</v>
      </c>
      <c r="AL12" s="18">
        <f>AJ12/T12</f>
        <v>0.13846803502727126</v>
      </c>
      <c r="AM12" s="18">
        <f>AJ12/T12*365/AK12</f>
        <v>0.34617008756817813</v>
      </c>
      <c r="AN12" s="18">
        <f>POWER((1+AL12),(365/AK12))-1</f>
        <v>0.38293606767688182</v>
      </c>
      <c r="AO12" s="21">
        <f>TitulosVendidos[[#This Row],[Comisión Santa Fe
Venta]]+TitulosVendidos[[#This Row],[Comisión Santa Fé
Compra]]</f>
        <v>92.180801977212496</v>
      </c>
      <c r="AP12" s="7"/>
    </row>
    <row r="13" spans="1:42" x14ac:dyDescent="0.25">
      <c r="A13" s="3">
        <v>44972</v>
      </c>
      <c r="B13" s="3" t="s">
        <v>42</v>
      </c>
      <c r="C13" t="s">
        <v>44</v>
      </c>
      <c r="D13" s="3">
        <v>44964</v>
      </c>
      <c r="E13" s="3">
        <v>44975</v>
      </c>
      <c r="F13" s="3">
        <v>44883</v>
      </c>
      <c r="G13" s="3">
        <v>47440</v>
      </c>
      <c r="H13" s="4">
        <v>5.64</v>
      </c>
      <c r="I13" s="4">
        <f>K13*12/T13*100</f>
        <v>6.6947546532546847</v>
      </c>
      <c r="J13" s="4">
        <v>9</v>
      </c>
      <c r="K13" s="4">
        <f>P13*H13/100/12</f>
        <v>87.89</v>
      </c>
      <c r="L13" s="4">
        <f>K13-V13</f>
        <v>29.299999999999997</v>
      </c>
      <c r="M13">
        <f>IF(E13="", 0, IF(A13&gt;E13,INT((A13-E13)/30),0))</f>
        <v>0</v>
      </c>
      <c r="N13" s="5"/>
      <c r="O13" s="4">
        <f>K13*M13+L13+IF(A13&gt;E13,N13,0)</f>
        <v>29.299999999999997</v>
      </c>
      <c r="P13" s="4">
        <v>18700</v>
      </c>
      <c r="Q13" s="24">
        <v>83.951208620000003</v>
      </c>
      <c r="R13" s="24">
        <v>84.245058887379685</v>
      </c>
      <c r="S13" s="4">
        <f>P13*Q13/100</f>
        <v>15698.876011940001</v>
      </c>
      <c r="T13" s="4">
        <f>P13*R13/100</f>
        <v>15753.82601194</v>
      </c>
      <c r="U13" s="4">
        <f>T13+V13</f>
        <v>15812.41601194</v>
      </c>
      <c r="V13" s="4">
        <v>58.59</v>
      </c>
      <c r="W13" s="4">
        <v>47.1</v>
      </c>
      <c r="X13" s="4">
        <v>7.85</v>
      </c>
      <c r="Y13" s="4">
        <f>W13+X13</f>
        <v>54.95</v>
      </c>
      <c r="Z13" s="6"/>
      <c r="AA13" s="24">
        <v>87.974500000000006</v>
      </c>
      <c r="AC13" s="5">
        <v>84.96</v>
      </c>
      <c r="AD13" s="4">
        <f>AA13*P13/100</f>
        <v>16451.231500000002</v>
      </c>
      <c r="AE13" s="4">
        <v>374</v>
      </c>
      <c r="AF13" s="4">
        <v>8.23</v>
      </c>
      <c r="AG13" s="4">
        <f>AD13-AE13-AF13</f>
        <v>16069.001500000002</v>
      </c>
      <c r="AH13" s="4">
        <f>AD13-S13</f>
        <v>752.35548806000043</v>
      </c>
      <c r="AI13" s="4">
        <f>AG13-T13</f>
        <v>315.17548806000195</v>
      </c>
      <c r="AJ13" s="4">
        <f>AI13+O13+AC13</f>
        <v>429.43548806000194</v>
      </c>
      <c r="AK13">
        <f>A13-D13</f>
        <v>8</v>
      </c>
      <c r="AL13" s="18">
        <f>AJ13/T13</f>
        <v>2.7259123449410193E-2</v>
      </c>
      <c r="AM13" s="18">
        <f>AJ13/T13*365/AK13</f>
        <v>1.2436975073793402</v>
      </c>
      <c r="AN13" s="18">
        <f>POWER((1+AL13),(365/AK13))-1</f>
        <v>2.411146115627202</v>
      </c>
      <c r="AO13" s="21">
        <f>TitulosVendidos[[#This Row],[Comisión Santa Fe
Venta]]+TitulosVendidos[[#This Row],[Comisión Santa Fé
Compra]]</f>
        <v>421.1</v>
      </c>
      <c r="AP13" s="7"/>
    </row>
    <row r="14" spans="1:42" x14ac:dyDescent="0.25">
      <c r="A14" s="3">
        <v>44979</v>
      </c>
      <c r="B14" s="3" t="s">
        <v>42</v>
      </c>
      <c r="C14" t="s">
        <v>44</v>
      </c>
      <c r="D14" s="3">
        <v>44916</v>
      </c>
      <c r="E14" s="3">
        <v>44944</v>
      </c>
      <c r="F14" s="3">
        <v>44883</v>
      </c>
      <c r="G14" s="3">
        <v>45614</v>
      </c>
      <c r="H14" s="4">
        <v>3.82</v>
      </c>
      <c r="I14" s="4">
        <f>K14*12/T14*100</f>
        <v>4.1660081344438478</v>
      </c>
      <c r="J14" s="4">
        <v>9.5</v>
      </c>
      <c r="K14" s="4">
        <f>P14*H14/100/12</f>
        <v>9.4067500000000006</v>
      </c>
      <c r="L14" s="4">
        <f>K14-V14</f>
        <v>8.4667500000000011</v>
      </c>
      <c r="M14">
        <f>IF(E14="", 0, IF(A14&gt;E14,INT((A14-E14)/30),0))</f>
        <v>1</v>
      </c>
      <c r="N14" s="5"/>
      <c r="O14" s="4">
        <f>K14*M14+L14+IF(A14&gt;E14,N14,0)</f>
        <v>17.8735</v>
      </c>
      <c r="P14" s="4">
        <v>2955</v>
      </c>
      <c r="Q14" s="24">
        <v>91.331040329999993</v>
      </c>
      <c r="R14" s="24">
        <v>91.694492106649733</v>
      </c>
      <c r="S14" s="4">
        <f>P14*Q14/100</f>
        <v>2698.8322417514996</v>
      </c>
      <c r="T14" s="4">
        <f>P14*R14/100</f>
        <v>2709.5722417514999</v>
      </c>
      <c r="U14" s="4">
        <f>T14+V14</f>
        <v>2710.5122417514999</v>
      </c>
      <c r="V14" s="4">
        <v>0.94</v>
      </c>
      <c r="W14" s="4">
        <v>9.39</v>
      </c>
      <c r="X14" s="4">
        <v>1.35</v>
      </c>
      <c r="Y14" s="4">
        <f>W14+X14</f>
        <v>10.74</v>
      </c>
      <c r="Z14" s="6"/>
      <c r="AA14" s="24">
        <v>95.25649507</v>
      </c>
      <c r="AC14" s="5">
        <v>1.57</v>
      </c>
      <c r="AD14" s="4">
        <f>AA14*P14/100</f>
        <v>2814.8294293184999</v>
      </c>
      <c r="AE14" s="4">
        <v>59.1</v>
      </c>
      <c r="AF14" s="4">
        <v>4</v>
      </c>
      <c r="AG14" s="4">
        <f>AD14-AE14-AF14</f>
        <v>2751.7294293185</v>
      </c>
      <c r="AH14" s="4">
        <f>AD14-S14</f>
        <v>115.99718756700031</v>
      </c>
      <c r="AI14" s="4">
        <f>AG14-T14</f>
        <v>42.157187567000165</v>
      </c>
      <c r="AJ14" s="4">
        <f>AI14+O14+AC14</f>
        <v>61.600687567000165</v>
      </c>
      <c r="AK14">
        <f>A14-D14</f>
        <v>63</v>
      </c>
      <c r="AL14" s="18">
        <f>AJ14/T14</f>
        <v>2.2734469529102033E-2</v>
      </c>
      <c r="AM14" s="18">
        <f>AJ14/T14*365/AK14</f>
        <v>0.13171557743051179</v>
      </c>
      <c r="AN14" s="18">
        <f>POWER((1+AL14),(365/AK14))-1</f>
        <v>0.13910247328491421</v>
      </c>
      <c r="AO14" s="21">
        <f>TitulosVendidos[[#This Row],[Comisión Santa Fe
Venta]]+TitulosVendidos[[#This Row],[Comisión Santa Fé
Compra]]</f>
        <v>68.490000000000009</v>
      </c>
      <c r="AP14" s="7"/>
    </row>
    <row r="15" spans="1:42" x14ac:dyDescent="0.25">
      <c r="A15" s="3">
        <v>44991</v>
      </c>
      <c r="B15" s="3" t="s">
        <v>42</v>
      </c>
      <c r="C15" t="s">
        <v>43</v>
      </c>
      <c r="D15" s="3">
        <v>44902</v>
      </c>
      <c r="E15" s="3">
        <v>44927</v>
      </c>
      <c r="F15" s="3">
        <v>44866</v>
      </c>
      <c r="G15" s="3">
        <v>47788</v>
      </c>
      <c r="H15" s="4">
        <v>5.93</v>
      </c>
      <c r="I15" s="4">
        <f>K15*12/T15*100</f>
        <v>7.2029779954845798</v>
      </c>
      <c r="J15" s="4">
        <v>9.5</v>
      </c>
      <c r="K15" s="4">
        <f>P15*H15/100/12</f>
        <v>229.04624999999999</v>
      </c>
      <c r="L15" s="4">
        <f>K15-V15</f>
        <v>183.23624999999998</v>
      </c>
      <c r="M15">
        <f>IF(E15="", 0, IF(A15&gt;E15,INT((A15-E15)/30),0))</f>
        <v>2</v>
      </c>
      <c r="N15" s="5"/>
      <c r="O15" s="4">
        <f>K15*M15+L15+IF(A15&gt;E15,N15,0)</f>
        <v>641.3287499999999</v>
      </c>
      <c r="P15" s="4">
        <v>46350</v>
      </c>
      <c r="Q15" s="24">
        <v>82.039918459999996</v>
      </c>
      <c r="R15" s="24">
        <v>82.327059776073341</v>
      </c>
      <c r="S15" s="4">
        <f>P15*Q15/100</f>
        <v>38025.502206209996</v>
      </c>
      <c r="T15" s="4">
        <f>P15*R15/100</f>
        <v>38158.592206209993</v>
      </c>
      <c r="U15" s="4">
        <f>T15+V15</f>
        <v>38204.40220620999</v>
      </c>
      <c r="V15" s="4">
        <v>45.81</v>
      </c>
      <c r="W15" s="4">
        <v>114.08</v>
      </c>
      <c r="X15" s="4">
        <v>19.010000000000002</v>
      </c>
      <c r="Y15" s="4">
        <f>W15+X15</f>
        <v>133.09</v>
      </c>
      <c r="Z15" s="6"/>
      <c r="AA15" s="24">
        <v>88.429304999999999</v>
      </c>
      <c r="AC15" s="5">
        <v>45.81</v>
      </c>
      <c r="AD15" s="4">
        <f>AA15*P15/100</f>
        <v>40986.982867500003</v>
      </c>
      <c r="AE15" s="4">
        <v>927</v>
      </c>
      <c r="AF15" s="4">
        <v>20.49</v>
      </c>
      <c r="AG15" s="4">
        <f>AD15-AE15-AF15</f>
        <v>40039.492867500005</v>
      </c>
      <c r="AH15" s="4">
        <f>AD15-S15</f>
        <v>2961.4806612900065</v>
      </c>
      <c r="AI15" s="4">
        <f>AG15-T15</f>
        <v>1880.9006612900121</v>
      </c>
      <c r="AJ15" s="4">
        <f>AI15+O15+AC15</f>
        <v>2568.0394112900117</v>
      </c>
      <c r="AK15">
        <f>A15-D15</f>
        <v>89</v>
      </c>
      <c r="AL15" s="18">
        <f>AJ15/T15</f>
        <v>6.7299113065080129E-2</v>
      </c>
      <c r="AM15" s="18">
        <f>AJ15/T15*365/AK15</f>
        <v>0.27600198054780056</v>
      </c>
      <c r="AN15" s="18">
        <f>POWER((1+AL15),(365/AK15))-1</f>
        <v>0.30618589941119034</v>
      </c>
      <c r="AO15" s="21">
        <f>TitulosVendidos[[#This Row],[Comisión Santa Fe
Venta]]+TitulosVendidos[[#This Row],[Comisión Santa Fé
Compra]]</f>
        <v>1041.08</v>
      </c>
      <c r="AP15" s="7"/>
    </row>
    <row r="16" spans="1:42" x14ac:dyDescent="0.25">
      <c r="A16" s="3">
        <v>44999</v>
      </c>
      <c r="B16" s="3" t="s">
        <v>42</v>
      </c>
      <c r="C16" t="s">
        <v>44</v>
      </c>
      <c r="D16" s="3">
        <v>44917</v>
      </c>
      <c r="E16" s="3">
        <v>44923</v>
      </c>
      <c r="F16" s="3">
        <v>44832</v>
      </c>
      <c r="G16" s="3">
        <v>47024</v>
      </c>
      <c r="H16" s="4">
        <v>5.36</v>
      </c>
      <c r="I16" s="4">
        <f>K16*12/T16*100</f>
        <v>6.5397424909382762</v>
      </c>
      <c r="J16" s="4">
        <v>9.67</v>
      </c>
      <c r="K16" s="4">
        <f>P16*H16/100/12</f>
        <v>25.253416666666666</v>
      </c>
      <c r="L16" s="4">
        <f>K16-V16</f>
        <v>5.0534166666666671</v>
      </c>
      <c r="M16">
        <f>IF(E16="", 0, IF(A16&gt;E16,INT((A16-E16)/30),0))</f>
        <v>2</v>
      </c>
      <c r="N16" s="5"/>
      <c r="O16" s="4">
        <f>K16*M16+L16+IF(A16&gt;E16,N16,0)</f>
        <v>55.560249999999996</v>
      </c>
      <c r="P16" s="4">
        <v>5653.75</v>
      </c>
      <c r="Q16" s="24">
        <v>81.644729999999996</v>
      </c>
      <c r="R16" s="24">
        <v>81.960413692542573</v>
      </c>
      <c r="S16" s="4">
        <f>P16*Q16/100</f>
        <v>4615.9889223749997</v>
      </c>
      <c r="T16" s="4">
        <f>P16*R16/100</f>
        <v>4633.836889142126</v>
      </c>
      <c r="U16" s="4">
        <f>T16+V16</f>
        <v>4654.0368891421258</v>
      </c>
      <c r="V16" s="4">
        <v>20.2</v>
      </c>
      <c r="W16" s="4">
        <v>13.847966767125</v>
      </c>
      <c r="X16" s="4">
        <v>4</v>
      </c>
      <c r="Y16" s="4">
        <f>W16+X16</f>
        <v>17.847966767125001</v>
      </c>
      <c r="Z16" s="6"/>
      <c r="AA16" s="24">
        <v>88.654296790000004</v>
      </c>
      <c r="AC16" s="5">
        <v>14.31</v>
      </c>
      <c r="AD16" s="4">
        <f>AA16*P16/100</f>
        <v>5012.2923047646254</v>
      </c>
      <c r="AE16" s="4">
        <v>113.08</v>
      </c>
      <c r="AF16" s="4">
        <v>4</v>
      </c>
      <c r="AG16" s="4">
        <f>AD16-AE16-AF16</f>
        <v>4895.2123047646255</v>
      </c>
      <c r="AH16" s="4">
        <f>AD16-S16</f>
        <v>396.30338238962577</v>
      </c>
      <c r="AI16" s="4">
        <f>AG16-T16</f>
        <v>261.37541562249953</v>
      </c>
      <c r="AJ16" s="4">
        <f>AI16+O16+AC16</f>
        <v>331.24566562249953</v>
      </c>
      <c r="AK16">
        <f>A16-D16</f>
        <v>82</v>
      </c>
      <c r="AL16" s="18">
        <f>AJ16/T16</f>
        <v>7.148410130677342E-2</v>
      </c>
      <c r="AM16" s="18">
        <f>AJ16/T16*365/AK16</f>
        <v>0.31819142654844268</v>
      </c>
      <c r="AN16" s="18">
        <f>POWER((1+AL16),(365/AK16))-1</f>
        <v>0.35979384960542315</v>
      </c>
      <c r="AO16" s="21">
        <f>TitulosVendidos[[#This Row],[Comisión Santa Fe
Venta]]+TitulosVendidos[[#This Row],[Comisión Santa Fé
Compra]]</f>
        <v>126.927966767125</v>
      </c>
      <c r="AP16" s="7"/>
    </row>
    <row r="17" spans="1:42" x14ac:dyDescent="0.25">
      <c r="A17" s="3">
        <v>44999</v>
      </c>
      <c r="B17" s="3" t="s">
        <v>42</v>
      </c>
      <c r="C17" t="s">
        <v>43</v>
      </c>
      <c r="D17" s="3">
        <v>44930</v>
      </c>
      <c r="E17" s="3">
        <v>44954</v>
      </c>
      <c r="F17" s="3">
        <v>44832</v>
      </c>
      <c r="G17" s="3">
        <v>45928</v>
      </c>
      <c r="H17" s="4">
        <v>4.3</v>
      </c>
      <c r="I17" s="4">
        <f>K17*12/T17*100</f>
        <v>4.9513817016898294</v>
      </c>
      <c r="J17" s="4">
        <v>10.5</v>
      </c>
      <c r="K17" s="4">
        <f>P17*H17/100/12</f>
        <v>24.841458333333335</v>
      </c>
      <c r="L17" s="4">
        <f>K17-V17</f>
        <v>19.041458333333335</v>
      </c>
      <c r="M17">
        <f>IF(E17="", 0, IF(A17&gt;E17,INT((A17-E17)/30),0))</f>
        <v>1</v>
      </c>
      <c r="N17" s="5"/>
      <c r="O17" s="4">
        <f>K17*M17+L17+IF(A17&gt;E17,N17,0)</f>
        <v>43.882916666666674</v>
      </c>
      <c r="P17" s="4">
        <v>6932.5</v>
      </c>
      <c r="Q17" s="24">
        <v>86.527100000000004</v>
      </c>
      <c r="R17" s="24">
        <v>86.844445834835923</v>
      </c>
      <c r="S17" s="4">
        <f>P17*Q17/100</f>
        <v>5998.4912075000002</v>
      </c>
      <c r="T17" s="4">
        <f>P17*R17/100</f>
        <v>6020.4912075000002</v>
      </c>
      <c r="U17" s="4">
        <f>T17+V17</f>
        <v>6026.2912075000004</v>
      </c>
      <c r="V17" s="4">
        <v>5.8</v>
      </c>
      <c r="W17" s="4">
        <v>18</v>
      </c>
      <c r="X17" s="4">
        <v>4</v>
      </c>
      <c r="Y17" s="4">
        <f>W17+X17</f>
        <v>22</v>
      </c>
      <c r="Z17" s="6"/>
      <c r="AA17" s="24">
        <v>93.302435029999998</v>
      </c>
      <c r="AC17" s="5">
        <v>14.08</v>
      </c>
      <c r="AD17" s="4">
        <f>AA17*P17/100</f>
        <v>6468.1913084547505</v>
      </c>
      <c r="AE17" s="4">
        <v>138.65</v>
      </c>
      <c r="AF17" s="4">
        <v>4</v>
      </c>
      <c r="AG17" s="4">
        <f>AD17-AE17-AF17</f>
        <v>6325.5413084547508</v>
      </c>
      <c r="AH17" s="4">
        <f>AD17-S17</f>
        <v>469.70010095475027</v>
      </c>
      <c r="AI17" s="4">
        <f>AG17-T17</f>
        <v>305.05010095475063</v>
      </c>
      <c r="AJ17" s="4">
        <f>AI17+O17+AC17</f>
        <v>363.0130176214173</v>
      </c>
      <c r="AK17">
        <f>A17-D17</f>
        <v>69</v>
      </c>
      <c r="AL17" s="18">
        <f>AJ17/T17</f>
        <v>6.0296245789578672E-2</v>
      </c>
      <c r="AM17" s="18">
        <f>AJ17/T17*365/AK17</f>
        <v>0.31895840164052486</v>
      </c>
      <c r="AN17" s="18">
        <f>POWER((1+AL17),(365/AK17))-1</f>
        <v>0.3630328672526324</v>
      </c>
      <c r="AO17" s="21">
        <f>TitulosVendidos[[#This Row],[Comisión Santa Fe
Venta]]+TitulosVendidos[[#This Row],[Comisión Santa Fé
Compra]]</f>
        <v>156.65</v>
      </c>
      <c r="AP17" s="7"/>
    </row>
    <row r="18" spans="1:42" x14ac:dyDescent="0.25">
      <c r="A18" s="3">
        <v>45005</v>
      </c>
      <c r="B18" s="3" t="s">
        <v>42</v>
      </c>
      <c r="C18" t="s">
        <v>43</v>
      </c>
      <c r="D18" s="3">
        <v>44804</v>
      </c>
      <c r="E18" s="3">
        <v>44814</v>
      </c>
      <c r="F18" s="3">
        <v>44783</v>
      </c>
      <c r="G18" s="3">
        <v>46975</v>
      </c>
      <c r="H18" s="4">
        <v>5.36</v>
      </c>
      <c r="I18" s="4">
        <f>K18*12/T18*100</f>
        <v>6.6116027612547352</v>
      </c>
      <c r="J18" s="4">
        <v>9.85</v>
      </c>
      <c r="K18" s="4">
        <f>P18*H18/100/12</f>
        <v>26.889333333333337</v>
      </c>
      <c r="L18" s="4">
        <f>K18-V18</f>
        <v>8.0693333333333364</v>
      </c>
      <c r="M18">
        <f>IF(E18="", 0, IF(A18&gt;E18,INT((A18-E18)/30),0))</f>
        <v>6</v>
      </c>
      <c r="N18" s="5"/>
      <c r="O18" s="4">
        <f>K18*M18+L18+IF(A18&gt;E18,N18,0)</f>
        <v>169.40533333333335</v>
      </c>
      <c r="P18" s="4">
        <v>6020</v>
      </c>
      <c r="Q18" s="24">
        <v>80.817441860000002</v>
      </c>
      <c r="R18" s="24">
        <v>81.069601328903659</v>
      </c>
      <c r="S18" s="4">
        <f>P18*Q18/100</f>
        <v>4865.2099999720003</v>
      </c>
      <c r="T18" s="4">
        <f>P18*R18/100</f>
        <v>4880.3900000000003</v>
      </c>
      <c r="U18" s="4">
        <f>T18+V18</f>
        <v>4899.21</v>
      </c>
      <c r="V18" s="4">
        <v>18.82</v>
      </c>
      <c r="W18" s="4">
        <v>30</v>
      </c>
      <c r="X18" s="4">
        <v>4</v>
      </c>
      <c r="Y18" s="4">
        <f>W18+X18</f>
        <v>34</v>
      </c>
      <c r="Z18" s="6"/>
      <c r="AA18" s="24">
        <v>88.919700000000006</v>
      </c>
      <c r="AC18" s="5">
        <v>10.76</v>
      </c>
      <c r="AD18" s="4">
        <f>AA18*P18/100</f>
        <v>5352.96594</v>
      </c>
      <c r="AE18" s="4">
        <v>120.4</v>
      </c>
      <c r="AF18" s="4">
        <v>4</v>
      </c>
      <c r="AG18" s="4">
        <f>AD18-AE18-AF18</f>
        <v>5228.5659400000004</v>
      </c>
      <c r="AH18" s="4">
        <f>AD18-S18</f>
        <v>487.75594002799971</v>
      </c>
      <c r="AI18" s="4">
        <f>AG18-T18</f>
        <v>348.17594000000008</v>
      </c>
      <c r="AJ18" s="4">
        <f>AI18+O18+AC18</f>
        <v>528.34127333333345</v>
      </c>
      <c r="AK18">
        <f>A18-D18</f>
        <v>201</v>
      </c>
      <c r="AL18" s="18">
        <f>AJ18/T18</f>
        <v>0.10825800260498308</v>
      </c>
      <c r="AM18" s="18">
        <f>AJ18/T18*365/AK18</f>
        <v>0.19658791517820309</v>
      </c>
      <c r="AN18" s="18">
        <f>POWER((1+AL18),(365/AK18))-1</f>
        <v>0.20521430355814707</v>
      </c>
      <c r="AO18" s="21">
        <f>TitulosVendidos[[#This Row],[Comisión Santa Fe
Venta]]+TitulosVendidos[[#This Row],[Comisión Santa Fé
Compra]]</f>
        <v>150.4</v>
      </c>
      <c r="AP18" s="7"/>
    </row>
    <row r="19" spans="1:42" x14ac:dyDescent="0.25">
      <c r="A19" s="3">
        <v>45009</v>
      </c>
      <c r="B19" s="3" t="s">
        <v>42</v>
      </c>
      <c r="C19" t="s">
        <v>44</v>
      </c>
      <c r="D19" s="3">
        <v>44916</v>
      </c>
      <c r="E19" s="3">
        <v>44934</v>
      </c>
      <c r="F19" s="3">
        <v>44781</v>
      </c>
      <c r="G19" s="3">
        <v>46973</v>
      </c>
      <c r="H19" s="4">
        <v>5.36</v>
      </c>
      <c r="I19" s="4">
        <f>K19*12/T19*100</f>
        <v>6.4649518480052679</v>
      </c>
      <c r="J19" s="4">
        <v>9.5</v>
      </c>
      <c r="K19" s="4">
        <f>P19*H19/100/12</f>
        <v>58.513333333333328</v>
      </c>
      <c r="L19" s="4">
        <f>K19-V19</f>
        <v>33.153333333333329</v>
      </c>
      <c r="M19">
        <f>IF(E19="", 0, IF(A19&gt;E19,INT((A19-E19)/30),0))</f>
        <v>2</v>
      </c>
      <c r="N19" s="5"/>
      <c r="O19" s="4">
        <f>K19*M19+L19+IF(A19&gt;E19,N19,0)</f>
        <v>150.17999999999998</v>
      </c>
      <c r="P19" s="4">
        <v>13100</v>
      </c>
      <c r="Q19" s="24">
        <v>82.619427490000007</v>
      </c>
      <c r="R19" s="24">
        <v>82.908583482393666</v>
      </c>
      <c r="S19" s="4">
        <f>P19*Q19/100</f>
        <v>10823.14500119</v>
      </c>
      <c r="T19" s="4">
        <f>P19*R19/100</f>
        <v>10861.024436193569</v>
      </c>
      <c r="U19" s="4">
        <f>T19+V19</f>
        <v>10886.38443619357</v>
      </c>
      <c r="V19" s="4">
        <v>25.36</v>
      </c>
      <c r="W19" s="4">
        <v>32.469435003569998</v>
      </c>
      <c r="X19" s="4">
        <v>5.41</v>
      </c>
      <c r="Y19" s="4">
        <f>W19+X19</f>
        <v>37.879435003569995</v>
      </c>
      <c r="Z19" s="6"/>
      <c r="AA19" s="24">
        <v>88.958600000000004</v>
      </c>
      <c r="AC19" s="5">
        <v>39.01</v>
      </c>
      <c r="AD19" s="4">
        <f>AA19*P19/100</f>
        <v>11653.576600000002</v>
      </c>
      <c r="AE19" s="4">
        <v>262</v>
      </c>
      <c r="AF19" s="4">
        <v>5.83</v>
      </c>
      <c r="AG19" s="4">
        <f>AD19-AE19-AF19</f>
        <v>11385.746600000002</v>
      </c>
      <c r="AH19" s="4">
        <f>AD19-S19</f>
        <v>830.43159881000247</v>
      </c>
      <c r="AI19" s="4">
        <f>AG19-T19</f>
        <v>524.72216380643295</v>
      </c>
      <c r="AJ19" s="4">
        <f>AI19+O19+AC19</f>
        <v>713.91216380643289</v>
      </c>
      <c r="AK19">
        <f>A19-D19</f>
        <v>93</v>
      </c>
      <c r="AL19" s="18">
        <f>AJ19/T19</f>
        <v>6.5731567772499694E-2</v>
      </c>
      <c r="AM19" s="18">
        <f>AJ19/T19*365/AK19</f>
        <v>0.25797873373077834</v>
      </c>
      <c r="AN19" s="18">
        <f>POWER((1+AL19),(365/AK19))-1</f>
        <v>0.28383822114968771</v>
      </c>
      <c r="AO19" s="21">
        <f>TitulosVendidos[[#This Row],[Comisión Santa Fe
Venta]]+TitulosVendidos[[#This Row],[Comisión Santa Fé
Compra]]</f>
        <v>294.46943500356997</v>
      </c>
      <c r="AP19" s="7"/>
    </row>
    <row r="20" spans="1:42" x14ac:dyDescent="0.25">
      <c r="A20" s="3">
        <v>45026</v>
      </c>
      <c r="B20" s="3" t="s">
        <v>42</v>
      </c>
      <c r="C20" t="s">
        <v>44</v>
      </c>
      <c r="D20" s="3">
        <v>44491</v>
      </c>
      <c r="E20" s="3">
        <v>44497</v>
      </c>
      <c r="F20" s="3">
        <v>44467</v>
      </c>
      <c r="G20" s="3">
        <v>47024</v>
      </c>
      <c r="H20" s="4">
        <v>5.64</v>
      </c>
      <c r="I20" s="4">
        <f>K20*12/T20*100</f>
        <v>6.4641759722911489</v>
      </c>
      <c r="J20" s="4">
        <v>8.1999999999999993</v>
      </c>
      <c r="K20" s="4">
        <f>P20*H20/100/12</f>
        <v>4.798559</v>
      </c>
      <c r="L20" s="4">
        <f>K20-V20</f>
        <v>-23.011440999999998</v>
      </c>
      <c r="M20">
        <f>IF(E20="", 0, IF(A20&gt;E20,INT((A20-E20)/30),0))</f>
        <v>17</v>
      </c>
      <c r="N20" s="5"/>
      <c r="O20" s="4">
        <f>K20*M20+L20+IF(A20&gt;E20,N20,0)</f>
        <v>58.564062</v>
      </c>
      <c r="P20" s="4">
        <v>1020.97</v>
      </c>
      <c r="Q20" s="24">
        <v>87.250100000000003</v>
      </c>
      <c r="R20" s="24">
        <v>87.250100000000003</v>
      </c>
      <c r="S20" s="4">
        <f>P20*Q20/100</f>
        <v>890.79734597000004</v>
      </c>
      <c r="T20" s="4">
        <f>P20*R20/100</f>
        <v>890.79734597000004</v>
      </c>
      <c r="U20" s="4">
        <f>T20+V20</f>
        <v>918.60734596999998</v>
      </c>
      <c r="V20" s="4">
        <v>27.81</v>
      </c>
      <c r="W20" s="4">
        <v>6.6809800947750002</v>
      </c>
      <c r="X20" s="4">
        <v>4</v>
      </c>
      <c r="Y20" s="4">
        <f>W20+X20</f>
        <v>10.680980094775</v>
      </c>
      <c r="Z20" s="6"/>
      <c r="AA20" s="24">
        <v>89.988799999999998</v>
      </c>
      <c r="AC20" s="5">
        <v>2.08</v>
      </c>
      <c r="AD20" s="4">
        <f>AA20*P20/100</f>
        <v>918.75865135999993</v>
      </c>
      <c r="AE20" s="4">
        <v>30</v>
      </c>
      <c r="AF20" s="4">
        <v>4</v>
      </c>
      <c r="AG20" s="4">
        <f>AD20-AE20-AF20</f>
        <v>884.75865135999993</v>
      </c>
      <c r="AH20" s="4">
        <f>AD20-S20</f>
        <v>27.961305389999893</v>
      </c>
      <c r="AI20" s="4">
        <f>AG20-T20</f>
        <v>-6.0386946100001069</v>
      </c>
      <c r="AJ20" s="4">
        <f>AI20+O20+AC20</f>
        <v>54.605367389999891</v>
      </c>
      <c r="AK20">
        <f>A20-D20</f>
        <v>535</v>
      </c>
      <c r="AL20" s="18">
        <f>AJ20/T20</f>
        <v>6.1299427571306291E-2</v>
      </c>
      <c r="AM20" s="18">
        <f>AJ20/T20*365/AK20</f>
        <v>4.1821104791638877E-2</v>
      </c>
      <c r="AN20" s="18">
        <f>POWER((1+AL20),(365/AK20))-1</f>
        <v>4.142439493240313E-2</v>
      </c>
      <c r="AO20" s="21">
        <f>TitulosVendidos[[#This Row],[Comisión Santa Fe
Venta]]+TitulosVendidos[[#This Row],[Comisión Santa Fé
Compra]]</f>
        <v>36.680980094775002</v>
      </c>
      <c r="AP20" s="7"/>
    </row>
    <row r="21" spans="1:42" x14ac:dyDescent="0.25">
      <c r="A21" s="3">
        <v>45203</v>
      </c>
      <c r="B21" s="3" t="s">
        <v>42</v>
      </c>
      <c r="C21" t="s">
        <v>43</v>
      </c>
      <c r="D21" s="3">
        <v>45173</v>
      </c>
      <c r="E21" s="3">
        <v>45190</v>
      </c>
      <c r="F21" s="3">
        <v>45037</v>
      </c>
      <c r="G21" s="3">
        <v>47229</v>
      </c>
      <c r="H21" s="4">
        <v>5.36</v>
      </c>
      <c r="I21" s="4">
        <f>K21*12/T21*100</f>
        <v>7.359450372932681</v>
      </c>
      <c r="J21" s="4">
        <v>12.5</v>
      </c>
      <c r="K21" s="4">
        <f>P21*H21/100/12</f>
        <v>13.609933333333332</v>
      </c>
      <c r="L21" s="4">
        <f>K21-V21</f>
        <v>7.2599333333333327</v>
      </c>
      <c r="M21">
        <f>IF(E21="", 0, IF(A21&gt;E21,INT((A21-E21)/30),0))</f>
        <v>0</v>
      </c>
      <c r="N21" s="5"/>
      <c r="O21" s="4">
        <f>K21*M21+L21+IF(A21&gt;E21,N21,0)</f>
        <v>7.2599333333333327</v>
      </c>
      <c r="P21" s="4">
        <v>3047</v>
      </c>
      <c r="Q21" s="24">
        <v>72.159061120000004</v>
      </c>
      <c r="R21" s="24">
        <v>72.831525839396122</v>
      </c>
      <c r="S21" s="4">
        <f>P21*Q21/100</f>
        <v>2198.6865923263999</v>
      </c>
      <c r="T21" s="4">
        <f>P21*R21/100</f>
        <v>2219.1765923263997</v>
      </c>
      <c r="U21" s="4">
        <f>T21+V21</f>
        <v>2225.5265923263996</v>
      </c>
      <c r="V21" s="4">
        <v>6.35</v>
      </c>
      <c r="W21" s="4">
        <v>16.489999999999998</v>
      </c>
      <c r="X21" s="4">
        <v>4</v>
      </c>
      <c r="Y21" s="4">
        <f>W21+X21</f>
        <v>20.49</v>
      </c>
      <c r="Z21" s="6"/>
      <c r="AA21" s="24">
        <v>76.594774000000001</v>
      </c>
      <c r="AC21" s="5">
        <v>6.35</v>
      </c>
      <c r="AD21" s="4">
        <f>AA21*P21/100</f>
        <v>2333.84276378</v>
      </c>
      <c r="AE21" s="4">
        <v>7</v>
      </c>
      <c r="AF21" s="4">
        <v>4</v>
      </c>
      <c r="AG21" s="4">
        <f>AD21-AE21-AF21</f>
        <v>2322.84276378</v>
      </c>
      <c r="AH21" s="4">
        <f>AD21-S21</f>
        <v>135.15617145360011</v>
      </c>
      <c r="AI21" s="4">
        <f>AG21-T21</f>
        <v>103.66617145360033</v>
      </c>
      <c r="AJ21" s="4">
        <f>AI21+O21+AC21</f>
        <v>117.27610478693366</v>
      </c>
      <c r="AK21">
        <f>A21-D21</f>
        <v>30</v>
      </c>
      <c r="AL21" s="18">
        <f>AJ21/T21</f>
        <v>5.2846675290491939E-2</v>
      </c>
      <c r="AM21" s="18">
        <f>AJ21/T21*365/AK21</f>
        <v>0.64296788270098526</v>
      </c>
      <c r="AN21" s="18">
        <f>POWER((1+AL21),(365/AK21))-1</f>
        <v>0.87115206049915361</v>
      </c>
      <c r="AO21" s="21">
        <f>TitulosVendidos[[#This Row],[Comisión Santa Fe
Venta]]+TitulosVendidos[[#This Row],[Comisión Santa Fé
Compra]]</f>
        <v>23.49</v>
      </c>
      <c r="AP21" s="7"/>
    </row>
    <row r="22" spans="1:42" x14ac:dyDescent="0.25">
      <c r="A22" s="3">
        <v>45203</v>
      </c>
      <c r="B22" s="3" t="s">
        <v>42</v>
      </c>
      <c r="C22" t="s">
        <v>43</v>
      </c>
      <c r="D22" s="3">
        <v>45173</v>
      </c>
      <c r="E22" s="3">
        <v>45195</v>
      </c>
      <c r="F22" s="3">
        <v>45042</v>
      </c>
      <c r="G22" s="3">
        <v>46869</v>
      </c>
      <c r="H22" s="4">
        <v>5.07</v>
      </c>
      <c r="I22" s="4">
        <f>K22*12/T22*100</f>
        <v>6.579605025140137</v>
      </c>
      <c r="J22" s="4">
        <v>12</v>
      </c>
      <c r="K22" s="4">
        <f>P22*H22/100/12</f>
        <v>41.827500000000001</v>
      </c>
      <c r="L22" s="4">
        <f>K22-V22</f>
        <v>29.2775</v>
      </c>
      <c r="M22">
        <f>IF(E22="", 0, IF(A22&gt;E22,INT((A22-E22)/30),0))</f>
        <v>0</v>
      </c>
      <c r="N22" s="5"/>
      <c r="O22" s="4">
        <f>K22*M22+L22+IF(A22&gt;E22,N22,0)</f>
        <v>29.2775</v>
      </c>
      <c r="P22" s="4">
        <v>9900</v>
      </c>
      <c r="Q22" s="24">
        <v>76.448216349999996</v>
      </c>
      <c r="R22" s="24">
        <v>77.056297158080795</v>
      </c>
      <c r="S22" s="4">
        <f>P22*Q22/100</f>
        <v>7568.3734186499996</v>
      </c>
      <c r="T22" s="4">
        <f>P22*R22/100</f>
        <v>7628.5734186499985</v>
      </c>
      <c r="U22" s="4">
        <f>T22+V22</f>
        <v>7641.1234186499987</v>
      </c>
      <c r="V22" s="4">
        <v>12.55</v>
      </c>
      <c r="W22" s="4">
        <v>56.2</v>
      </c>
      <c r="X22" s="4">
        <v>4</v>
      </c>
      <c r="Y22" s="4">
        <f>W22+X22</f>
        <v>60.2</v>
      </c>
      <c r="Z22" s="6"/>
      <c r="AA22" s="24">
        <v>78.988888000000003</v>
      </c>
      <c r="AC22" s="5">
        <v>12.55</v>
      </c>
      <c r="AD22" s="4">
        <f>AA22*P22/100</f>
        <v>7819.8999120000008</v>
      </c>
      <c r="AE22" s="4">
        <v>23.46</v>
      </c>
      <c r="AF22" s="4">
        <v>4</v>
      </c>
      <c r="AG22" s="4">
        <f>AD22-AE22-AF22</f>
        <v>7792.4399120000007</v>
      </c>
      <c r="AH22" s="4">
        <f>AD22-S22</f>
        <v>251.52649335000115</v>
      </c>
      <c r="AI22" s="4">
        <f>AG22-T22</f>
        <v>163.8664933500022</v>
      </c>
      <c r="AJ22" s="4">
        <f>AI22+O22+AC22</f>
        <v>205.69399335000222</v>
      </c>
      <c r="AK22">
        <f>A22-D22</f>
        <v>30</v>
      </c>
      <c r="AL22" s="18">
        <f>AJ22/T22</f>
        <v>2.6963625053031626E-2</v>
      </c>
      <c r="AM22" s="18">
        <f>AJ22/T22*365/AK22</f>
        <v>0.32805743814521809</v>
      </c>
      <c r="AN22" s="18">
        <f>POWER((1+AL22),(365/AK22))-1</f>
        <v>0.3822499343204413</v>
      </c>
      <c r="AO22" s="21">
        <f>TitulosVendidos[[#This Row],[Comisión Santa Fe
Venta]]+TitulosVendidos[[#This Row],[Comisión Santa Fé
Compra]]</f>
        <v>79.66</v>
      </c>
      <c r="AP22" s="7"/>
    </row>
    <row r="23" spans="1:42" x14ac:dyDescent="0.25">
      <c r="A23" s="3">
        <v>45203</v>
      </c>
      <c r="B23" s="3" t="s">
        <v>42</v>
      </c>
      <c r="C23" t="s">
        <v>43</v>
      </c>
      <c r="D23" s="3">
        <v>45173</v>
      </c>
      <c r="E23" s="3">
        <v>45202</v>
      </c>
      <c r="F23" s="3">
        <v>45110</v>
      </c>
      <c r="G23" s="3">
        <v>46937</v>
      </c>
      <c r="H23" s="4">
        <v>5.07</v>
      </c>
      <c r="I23" s="4">
        <f>K23*12/T23*100</f>
        <v>6.6414636162968694</v>
      </c>
      <c r="J23" s="4">
        <v>12</v>
      </c>
      <c r="K23" s="4">
        <f>P23*H23/100/12</f>
        <v>22.867812499999999</v>
      </c>
      <c r="L23" s="4">
        <f>K23-V23</f>
        <v>21.3478125</v>
      </c>
      <c r="M23">
        <f>IF(E23="", 0, IF(A23&gt;E23,INT((A23-E23)/30),0))</f>
        <v>0</v>
      </c>
      <c r="N23" s="5"/>
      <c r="O23" s="4">
        <f>K23*M23+L23+IF(A23&gt;E23,N23,0)</f>
        <v>21.3478125</v>
      </c>
      <c r="P23" s="4">
        <v>5412.5</v>
      </c>
      <c r="Q23" s="24">
        <v>75.696932000000004</v>
      </c>
      <c r="R23" s="24">
        <v>76.33859481755195</v>
      </c>
      <c r="S23" s="4">
        <f>P23*Q23/100</f>
        <v>4097.0964445</v>
      </c>
      <c r="T23" s="4">
        <f>P23*R23/100</f>
        <v>4131.8264444999986</v>
      </c>
      <c r="U23" s="4">
        <f>T23+V23</f>
        <v>4133.3464444999991</v>
      </c>
      <c r="V23" s="4">
        <v>1.52</v>
      </c>
      <c r="W23" s="4">
        <v>30.73</v>
      </c>
      <c r="X23" s="4">
        <v>4</v>
      </c>
      <c r="Y23" s="4">
        <f>W23+X23</f>
        <v>34.730000000000004</v>
      </c>
      <c r="Z23" s="6"/>
      <c r="AA23" s="24">
        <v>78.289547999999996</v>
      </c>
      <c r="AC23" s="5">
        <v>1.52</v>
      </c>
      <c r="AD23" s="4">
        <f>AA23*P23/100</f>
        <v>4237.4217854999997</v>
      </c>
      <c r="AE23" s="4">
        <v>12.71</v>
      </c>
      <c r="AF23" s="4">
        <v>4</v>
      </c>
      <c r="AG23" s="4">
        <f>AD23-AE23-AF23</f>
        <v>4220.7117854999997</v>
      </c>
      <c r="AH23" s="4">
        <f>AD23-S23</f>
        <v>140.32534099999975</v>
      </c>
      <c r="AI23" s="4">
        <f>AG23-T23</f>
        <v>88.885341000001063</v>
      </c>
      <c r="AJ23" s="4">
        <f>AI23+O23+AC23</f>
        <v>111.75315350000106</v>
      </c>
      <c r="AK23">
        <f>A23-D23</f>
        <v>30</v>
      </c>
      <c r="AL23" s="18">
        <f>AJ23/T23</f>
        <v>2.7046913756205593E-2</v>
      </c>
      <c r="AM23" s="18">
        <f>AJ23/T23*365/AK23</f>
        <v>0.32907078403383472</v>
      </c>
      <c r="AN23" s="18">
        <f>POWER((1+AL23),(365/AK23))-1</f>
        <v>0.3836144731321689</v>
      </c>
      <c r="AO23" s="21">
        <f>TitulosVendidos[[#This Row],[Comisión Santa Fe
Venta]]+TitulosVendidos[[#This Row],[Comisión Santa Fé
Compra]]</f>
        <v>43.44</v>
      </c>
      <c r="AP23" s="7"/>
    </row>
    <row r="24" spans="1:42" x14ac:dyDescent="0.25">
      <c r="A24" s="3">
        <v>45203</v>
      </c>
      <c r="B24" s="3" t="s">
        <v>42</v>
      </c>
      <c r="C24" t="s">
        <v>43</v>
      </c>
      <c r="D24" s="3">
        <v>45139</v>
      </c>
      <c r="E24" s="3">
        <v>45158</v>
      </c>
      <c r="F24" s="3">
        <v>43728</v>
      </c>
      <c r="G24" s="3">
        <v>46285</v>
      </c>
      <c r="H24" s="4">
        <v>5.64</v>
      </c>
      <c r="I24" s="4">
        <f>K24*12/T24*100</f>
        <v>6.6837475228745236</v>
      </c>
      <c r="J24" s="4">
        <v>13</v>
      </c>
      <c r="K24" s="4">
        <f>P24*H24/100/12</f>
        <v>17.671999999999997</v>
      </c>
      <c r="L24" s="4">
        <f>K24-V24</f>
        <v>10.601999999999997</v>
      </c>
      <c r="M24">
        <f>IF(E24="", 0, IF(A24&gt;E24,INT((A24-E24)/30),0))</f>
        <v>1</v>
      </c>
      <c r="N24" s="5"/>
      <c r="O24" s="4">
        <f>K24*M24+L24+IF(A24&gt;E24,N24,0)</f>
        <v>28.273999999999994</v>
      </c>
      <c r="P24" s="4">
        <v>3760</v>
      </c>
      <c r="Q24" s="24">
        <v>83.745500000000007</v>
      </c>
      <c r="R24" s="24">
        <v>84.383797872340423</v>
      </c>
      <c r="S24" s="4">
        <f>P24*Q24/100</f>
        <v>3148.8308000000002</v>
      </c>
      <c r="T24" s="4">
        <f>P24*R24/100</f>
        <v>3172.8308000000002</v>
      </c>
      <c r="U24" s="4">
        <f>T24+V24</f>
        <v>3179.9008000000003</v>
      </c>
      <c r="V24" s="4">
        <v>7.07</v>
      </c>
      <c r="W24" s="4">
        <v>20</v>
      </c>
      <c r="X24" s="4">
        <v>4</v>
      </c>
      <c r="Y24" s="4">
        <f>W24+X24</f>
        <v>24</v>
      </c>
      <c r="Z24" s="6"/>
      <c r="AA24" s="24">
        <v>88.059096999999994</v>
      </c>
      <c r="AC24" s="5">
        <v>8.84</v>
      </c>
      <c r="AD24" s="4">
        <f>AA24*P24/100</f>
        <v>3311.0220471999996</v>
      </c>
      <c r="AE24" s="4">
        <v>9.93</v>
      </c>
      <c r="AF24" s="4">
        <v>4</v>
      </c>
      <c r="AG24" s="4">
        <f>AD24-AE24-AF24</f>
        <v>3297.0920471999998</v>
      </c>
      <c r="AH24" s="4">
        <f>AD24-S24</f>
        <v>162.19124719999945</v>
      </c>
      <c r="AI24" s="4">
        <f>AG24-T24</f>
        <v>124.26124719999962</v>
      </c>
      <c r="AJ24" s="4">
        <f>AI24+O24+AC24</f>
        <v>161.37524719999962</v>
      </c>
      <c r="AK24">
        <f>A24-D24</f>
        <v>64</v>
      </c>
      <c r="AL24" s="18">
        <f>AJ24/T24</f>
        <v>5.0861598796884983E-2</v>
      </c>
      <c r="AM24" s="18">
        <f>AJ24/T24*365/AK24</f>
        <v>0.29007005563848465</v>
      </c>
      <c r="AN24" s="18">
        <f>POWER((1+AL24),(365/AK24))-1</f>
        <v>0.32701797508479369</v>
      </c>
      <c r="AO24" s="21">
        <f>TitulosVendidos[[#This Row],[Comisión Santa Fe
Venta]]+TitulosVendidos[[#This Row],[Comisión Santa Fé
Compra]]</f>
        <v>29.93</v>
      </c>
      <c r="AP24" s="7"/>
    </row>
    <row r="25" spans="1:42" x14ac:dyDescent="0.25">
      <c r="A25" s="3">
        <v>45203</v>
      </c>
      <c r="B25" s="3" t="s">
        <v>42</v>
      </c>
      <c r="C25" t="s">
        <v>46</v>
      </c>
      <c r="D25" s="3">
        <v>45167</v>
      </c>
      <c r="E25" s="3">
        <v>45190</v>
      </c>
      <c r="F25" s="3">
        <v>45037</v>
      </c>
      <c r="G25" s="3">
        <v>47229</v>
      </c>
      <c r="H25" s="4">
        <v>5.36</v>
      </c>
      <c r="I25" s="4">
        <f>K25*12/T25*100</f>
        <v>7.3936015502011774</v>
      </c>
      <c r="J25" s="4">
        <v>12.5</v>
      </c>
      <c r="K25" s="4">
        <f>P25*H25/100/12</f>
        <v>64.766666666666666</v>
      </c>
      <c r="L25" s="4">
        <f>K25-V25</f>
        <v>47.49666666666667</v>
      </c>
      <c r="M25">
        <f>IF(E25="", 0, IF(A25&gt;E25,INT((A25-E25)/30),0))</f>
        <v>0</v>
      </c>
      <c r="N25" s="5"/>
      <c r="O25" s="4">
        <f>K25*M25+L25+IF(A25&gt;E25,N25,0)</f>
        <v>47.49666666666667</v>
      </c>
      <c r="P25" s="4">
        <v>14500</v>
      </c>
      <c r="Q25" s="24">
        <v>72.098563999999996</v>
      </c>
      <c r="R25" s="24">
        <v>72.495115724137932</v>
      </c>
      <c r="S25" s="4">
        <f>P25*Q25/100</f>
        <v>10454.29178</v>
      </c>
      <c r="T25" s="4">
        <f>P25*R25/100</f>
        <v>10511.791780000001</v>
      </c>
      <c r="U25" s="4">
        <f>T25+V25</f>
        <v>10529.061780000002</v>
      </c>
      <c r="V25" s="4">
        <v>17.27</v>
      </c>
      <c r="W25" s="4">
        <v>52.27</v>
      </c>
      <c r="X25" s="4">
        <v>5.23</v>
      </c>
      <c r="Y25" s="4">
        <f>W25+X25</f>
        <v>57.5</v>
      </c>
      <c r="Z25" s="6"/>
      <c r="AA25" s="24">
        <v>76.594774000000001</v>
      </c>
      <c r="AC25" s="5">
        <v>30.22</v>
      </c>
      <c r="AD25" s="4">
        <f>AA25*P25/100</f>
        <v>11106.24223</v>
      </c>
      <c r="AE25" s="4">
        <v>33.32</v>
      </c>
      <c r="AF25" s="4">
        <v>5.55</v>
      </c>
      <c r="AG25" s="4">
        <f>AD25-AE25-AF25</f>
        <v>11067.372230000001</v>
      </c>
      <c r="AH25" s="4">
        <f>AD25-S25</f>
        <v>651.95045000000027</v>
      </c>
      <c r="AI25" s="4">
        <f>AG25-T25</f>
        <v>555.58044999999947</v>
      </c>
      <c r="AJ25" s="4">
        <f>AI25+O25+AC25</f>
        <v>633.29711666666617</v>
      </c>
      <c r="AK25">
        <f>A25-D25</f>
        <v>36</v>
      </c>
      <c r="AL25" s="18">
        <f>AJ25/T25</f>
        <v>6.0246352850290771E-2</v>
      </c>
      <c r="AM25" s="18">
        <f>AJ25/T25*365/AK25</f>
        <v>0.61083107750989252</v>
      </c>
      <c r="AN25" s="18">
        <f>POWER((1+AL25),(365/AK25))-1</f>
        <v>0.80965835587237422</v>
      </c>
      <c r="AO25" s="21">
        <f>TitulosVendidos[[#This Row],[Comisión Santa Fe
Venta]]+TitulosVendidos[[#This Row],[Comisión Santa Fé
Compra]]</f>
        <v>85.59</v>
      </c>
      <c r="AP25" s="7"/>
    </row>
    <row r="26" spans="1:42" x14ac:dyDescent="0.25">
      <c r="A26" s="3">
        <v>45491</v>
      </c>
      <c r="B26" s="3" t="s">
        <v>42</v>
      </c>
      <c r="C26" t="s">
        <v>45</v>
      </c>
      <c r="D26" s="3">
        <v>45308</v>
      </c>
      <c r="E26" s="3">
        <v>45315</v>
      </c>
      <c r="F26" s="3">
        <v>45070</v>
      </c>
      <c r="G26" s="3">
        <v>45801</v>
      </c>
      <c r="H26" s="4">
        <v>3.82</v>
      </c>
      <c r="I26" s="4">
        <f>K26*12/T26*100</f>
        <v>4.1329711058936107</v>
      </c>
      <c r="J26" s="4">
        <v>11.5</v>
      </c>
      <c r="K26" s="4">
        <f>P26*H26/100/12</f>
        <v>75.596208333333337</v>
      </c>
      <c r="L26" s="4">
        <f>K26-V26</f>
        <v>17.636208333333336</v>
      </c>
      <c r="M26">
        <f>IF(E26="", 0, IF(A26&gt;E26,INT((A26-E26)/30),0))</f>
        <v>5</v>
      </c>
      <c r="N26" s="5"/>
      <c r="O26" s="4">
        <f>K26*M26+L26+IF(A26&gt;E26,N26,0)</f>
        <v>395.61725000000001</v>
      </c>
      <c r="P26" s="4">
        <v>23747.5</v>
      </c>
      <c r="Q26" s="24">
        <v>92.105062950000004</v>
      </c>
      <c r="R26" s="24">
        <v>92.427454780719032</v>
      </c>
      <c r="S26" s="4">
        <f>P26*Q26/100</f>
        <v>21872.649824051252</v>
      </c>
      <c r="T26" s="4">
        <f>P26*R26/100</f>
        <v>21949.209824051253</v>
      </c>
      <c r="U26" s="4">
        <f>T26+V26</f>
        <v>22007.169824051252</v>
      </c>
      <c r="V26" s="4">
        <v>57.96</v>
      </c>
      <c r="W26" s="4">
        <v>65.62</v>
      </c>
      <c r="X26" s="4">
        <v>10.94</v>
      </c>
      <c r="Y26" s="4">
        <f>W26+X26</f>
        <v>76.56</v>
      </c>
      <c r="Z26" s="6"/>
      <c r="AA26" s="24">
        <v>96.715592000000001</v>
      </c>
      <c r="AC26" s="5">
        <v>60.48</v>
      </c>
      <c r="AD26" s="4">
        <f>AA26*P26/100</f>
        <v>22967.5352102</v>
      </c>
      <c r="AE26" s="4">
        <v>68.900000000000006</v>
      </c>
      <c r="AF26" s="4">
        <v>9.76</v>
      </c>
      <c r="AG26" s="4">
        <f>AD26-AE26-AF26</f>
        <v>22888.8752102</v>
      </c>
      <c r="AH26" s="4">
        <f>AD26-S26</f>
        <v>1094.8853861487478</v>
      </c>
      <c r="AI26" s="4">
        <f>AG26-T26</f>
        <v>939.66538614874662</v>
      </c>
      <c r="AJ26" s="4">
        <f>AI26+O26+AC26</f>
        <v>1395.7626361487467</v>
      </c>
      <c r="AK26">
        <f>A26-D26</f>
        <v>183</v>
      </c>
      <c r="AL26" s="18">
        <f>AJ26/T26</f>
        <v>6.3590564186019757E-2</v>
      </c>
      <c r="AM26" s="18">
        <f>AJ26/T26*365/AK26</f>
        <v>0.12683363895025798</v>
      </c>
      <c r="AN26" s="18">
        <f>POWER((1+AL26),(365/AK26))-1</f>
        <v>0.13084385629208173</v>
      </c>
      <c r="AO26" s="21">
        <f>TitulosVendidos[[#This Row],[Comisión Santa Fe
Venta]]+TitulosVendidos[[#This Row],[Comisión Santa Fé
Compra]]</f>
        <v>134.52000000000001</v>
      </c>
      <c r="AP26" s="7"/>
    </row>
    <row r="27" spans="1:42" x14ac:dyDescent="0.25">
      <c r="A27" s="3">
        <v>45491</v>
      </c>
      <c r="B27" s="3" t="s">
        <v>42</v>
      </c>
      <c r="C27" t="s">
        <v>44</v>
      </c>
      <c r="D27" s="3">
        <v>45302</v>
      </c>
      <c r="E27" s="3">
        <v>45309</v>
      </c>
      <c r="F27" s="3">
        <v>44883</v>
      </c>
      <c r="G27" s="3">
        <v>45979</v>
      </c>
      <c r="H27" s="4">
        <v>4.3</v>
      </c>
      <c r="I27" s="4">
        <f>K27*12/T27*100</f>
        <v>4.7861715282830222</v>
      </c>
      <c r="J27" s="4">
        <v>11.5</v>
      </c>
      <c r="K27" s="4">
        <f>P27*H27/100/12</f>
        <v>48.563125000000007</v>
      </c>
      <c r="L27" s="4">
        <f>K27-V27</f>
        <v>11.33312500000001</v>
      </c>
      <c r="M27">
        <f>IF(E27="", 0, IF(A27&gt;E27,INT((A27-E27)/30),0))</f>
        <v>6</v>
      </c>
      <c r="N27" s="5"/>
      <c r="O27" s="4">
        <f>K27*M27+L27+IF(A27&gt;E27,N27,0)</f>
        <v>302.71187500000002</v>
      </c>
      <c r="P27" s="4">
        <v>13552.5</v>
      </c>
      <c r="Q27" s="24">
        <v>89.527829310000001</v>
      </c>
      <c r="R27" s="24">
        <v>89.842162458865531</v>
      </c>
      <c r="S27" s="4">
        <f>P27*Q27/100</f>
        <v>12133.25906723775</v>
      </c>
      <c r="T27" s="4">
        <f>P27*R27/100</f>
        <v>12175.859067237752</v>
      </c>
      <c r="U27" s="4">
        <f>T27+V27</f>
        <v>12213.089067237752</v>
      </c>
      <c r="V27" s="4">
        <v>37.229999999999997</v>
      </c>
      <c r="W27" s="4">
        <v>36.53</v>
      </c>
      <c r="X27" s="4">
        <v>6.07</v>
      </c>
      <c r="Y27" s="4">
        <f>W27+X27</f>
        <v>42.6</v>
      </c>
      <c r="Z27" s="6"/>
      <c r="AA27" s="24">
        <v>94.680695999999998</v>
      </c>
      <c r="AC27" s="5">
        <v>6.42</v>
      </c>
      <c r="AD27" s="4">
        <f>AA27*P27/100</f>
        <v>12831.601325399999</v>
      </c>
      <c r="AE27" s="4">
        <v>38.49</v>
      </c>
      <c r="AF27" s="4">
        <v>6.42</v>
      </c>
      <c r="AG27" s="4">
        <f>AD27-AE27-AF27</f>
        <v>12786.691325399999</v>
      </c>
      <c r="AH27" s="4">
        <f>AD27-S27</f>
        <v>698.34225816224898</v>
      </c>
      <c r="AI27" s="4">
        <f>AG27-T27</f>
        <v>610.83225816224694</v>
      </c>
      <c r="AJ27" s="4">
        <f>AI27+O27+AC27</f>
        <v>919.96413316224687</v>
      </c>
      <c r="AK27">
        <f>A27-D27</f>
        <v>189</v>
      </c>
      <c r="AL27" s="18">
        <f>AJ27/T27</f>
        <v>7.5556404528173665E-2</v>
      </c>
      <c r="AM27" s="18">
        <f>AJ27/T27*365/AK27</f>
        <v>0.14591580768668461</v>
      </c>
      <c r="AN27" s="18">
        <f>POWER((1+AL27),(365/AK27))-1</f>
        <v>0.15104036383309549</v>
      </c>
      <c r="AO27" s="21">
        <f>TitulosVendidos[[#This Row],[Comisión Santa Fe
Venta]]+TitulosVendidos[[#This Row],[Comisión Santa Fé
Compra]]</f>
        <v>75.02000000000001</v>
      </c>
      <c r="AP27" s="7"/>
    </row>
    <row r="28" spans="1:42" x14ac:dyDescent="0.25">
      <c r="A28" s="3">
        <v>45492</v>
      </c>
      <c r="B28" s="3" t="s">
        <v>42</v>
      </c>
      <c r="C28" t="s">
        <v>43</v>
      </c>
      <c r="D28" s="3">
        <v>45337</v>
      </c>
      <c r="E28" s="3">
        <v>45363</v>
      </c>
      <c r="F28" s="3">
        <v>44328</v>
      </c>
      <c r="G28" s="3">
        <v>45789</v>
      </c>
      <c r="H28" s="4">
        <v>4.71</v>
      </c>
      <c r="I28" s="4">
        <f>K28*12/T28*100</f>
        <v>5.0963106828659743</v>
      </c>
      <c r="J28" s="4">
        <v>13.34</v>
      </c>
      <c r="K28" s="4">
        <f>P28*H28/100/12</f>
        <v>24.6048045</v>
      </c>
      <c r="L28" s="4">
        <f>K28-V28</f>
        <v>21.324804499999999</v>
      </c>
      <c r="M28">
        <f>IF(E28="", 0, IF(A28&gt;E28,INT((A28-E28)/30),0))</f>
        <v>4</v>
      </c>
      <c r="N28" s="5"/>
      <c r="O28" s="4">
        <f>K28*M28+L28+IF(A28&gt;E28,N28,0)</f>
        <v>119.7440225</v>
      </c>
      <c r="P28" s="4">
        <v>6268.74</v>
      </c>
      <c r="Q28" s="24">
        <v>92.079696999999996</v>
      </c>
      <c r="R28" s="24">
        <v>92.419797243430082</v>
      </c>
      <c r="S28" s="4">
        <f>P28*Q28/100</f>
        <v>5772.2367977177992</v>
      </c>
      <c r="T28" s="4">
        <f>P28*R28/100</f>
        <v>5793.5567977177989</v>
      </c>
      <c r="U28" s="4">
        <f>T28+V28</f>
        <v>5796.8367977177986</v>
      </c>
      <c r="V28" s="4">
        <v>3.28</v>
      </c>
      <c r="W28" s="4">
        <v>17.32</v>
      </c>
      <c r="X28" s="4">
        <v>4</v>
      </c>
      <c r="Y28" s="4">
        <f>W28+X28</f>
        <v>21.32</v>
      </c>
      <c r="Z28" s="6"/>
      <c r="AA28" s="24">
        <v>97.393225000000001</v>
      </c>
      <c r="AC28" s="5">
        <v>5.7399938956431473</v>
      </c>
      <c r="AD28" s="4">
        <f>AA28*P28/100</f>
        <v>6105.3280528650002</v>
      </c>
      <c r="AE28" s="4">
        <v>18.31331385752814</v>
      </c>
      <c r="AF28" s="4">
        <v>2.666663830728524</v>
      </c>
      <c r="AG28" s="4">
        <f>AD28-AE28-AF28</f>
        <v>6084.3480751767429</v>
      </c>
      <c r="AH28" s="4">
        <f>AD28-S28</f>
        <v>333.09125514720108</v>
      </c>
      <c r="AI28" s="4">
        <f>AG28-T28</f>
        <v>290.79127745894402</v>
      </c>
      <c r="AJ28" s="4">
        <f>AI28+O28+AC28</f>
        <v>416.27529385458718</v>
      </c>
      <c r="AK28">
        <f>A28-D28</f>
        <v>155</v>
      </c>
      <c r="AL28" s="18">
        <f>AJ28/T28</f>
        <v>7.1851421913834798E-2</v>
      </c>
      <c r="AM28" s="18">
        <f>AJ28/T28*365/AK28</f>
        <v>0.16919850966806257</v>
      </c>
      <c r="AN28" s="18">
        <f>POWER((1+AL28),(365/AK28))-1</f>
        <v>0.17750319801146386</v>
      </c>
      <c r="AO28" s="21">
        <f>TitulosVendidos[[#This Row],[Comisión Santa Fe
Venta]]+TitulosVendidos[[#This Row],[Comisión Santa Fé
Compra]]</f>
        <v>35.633313857528137</v>
      </c>
      <c r="AP28" s="7"/>
    </row>
    <row r="29" spans="1:42" x14ac:dyDescent="0.25">
      <c r="A29" s="3">
        <v>45492</v>
      </c>
      <c r="B29" s="3" t="s">
        <v>42</v>
      </c>
      <c r="C29" t="s">
        <v>43</v>
      </c>
      <c r="D29" s="3">
        <v>45350</v>
      </c>
      <c r="E29" s="3">
        <v>45363</v>
      </c>
      <c r="F29" s="3">
        <v>44328</v>
      </c>
      <c r="G29" s="3">
        <v>45789</v>
      </c>
      <c r="H29" s="4">
        <v>4.71</v>
      </c>
      <c r="I29" s="4">
        <f>K29*12/T29*100</f>
        <v>5.0789625709419246</v>
      </c>
      <c r="J29" s="4">
        <v>13.34</v>
      </c>
      <c r="K29" s="4">
        <f>P29*H29/100/12</f>
        <v>12.3024415</v>
      </c>
      <c r="L29" s="4">
        <f>K29-V29</f>
        <v>5.7424415000000009</v>
      </c>
      <c r="M29">
        <f>IF(E29="", 0, IF(A29&gt;E29,INT((A29-E29)/30),0))</f>
        <v>4</v>
      </c>
      <c r="N29" s="5"/>
      <c r="O29" s="4">
        <f>K29*M29+L29+IF(A29&gt;E29,N29,0)</f>
        <v>54.9522075</v>
      </c>
      <c r="P29" s="4">
        <v>3134.38</v>
      </c>
      <c r="Q29" s="24">
        <v>92.330928</v>
      </c>
      <c r="R29" s="24">
        <v>92.735473715580113</v>
      </c>
      <c r="S29" s="4">
        <f>P29*Q29/100</f>
        <v>2894.0021410464001</v>
      </c>
      <c r="T29" s="4">
        <f>P29*R29/100</f>
        <v>2906.6821410463999</v>
      </c>
      <c r="U29" s="4">
        <f>T29+V29</f>
        <v>2913.2421410463999</v>
      </c>
      <c r="V29" s="4">
        <v>6.56</v>
      </c>
      <c r="W29" s="4">
        <v>8.68</v>
      </c>
      <c r="X29" s="4">
        <v>4</v>
      </c>
      <c r="Y29" s="4">
        <f>W29+X29</f>
        <v>12.68</v>
      </c>
      <c r="Z29" s="6"/>
      <c r="AA29" s="24">
        <v>97.393225000000001</v>
      </c>
      <c r="AC29" s="5">
        <v>2.8700061043568521</v>
      </c>
      <c r="AD29" s="4">
        <f>AA29*P29/100</f>
        <v>3052.6737657550002</v>
      </c>
      <c r="AE29" s="4">
        <v>9.1566861424718624</v>
      </c>
      <c r="AF29" s="4">
        <v>1.333336169271476</v>
      </c>
      <c r="AG29" s="4">
        <f>AD29-AE29-AF29</f>
        <v>3042.1837434432568</v>
      </c>
      <c r="AH29" s="4">
        <f>AD29-S29</f>
        <v>158.67162470860012</v>
      </c>
      <c r="AI29" s="4">
        <f>AG29-T29</f>
        <v>135.50160239685692</v>
      </c>
      <c r="AJ29" s="4">
        <f>AI29+O29+AC29</f>
        <v>193.32381600121377</v>
      </c>
      <c r="AK29">
        <f>A29-D29</f>
        <v>142</v>
      </c>
      <c r="AL29" s="18">
        <f>AJ29/T29</f>
        <v>6.6510133072760949E-2</v>
      </c>
      <c r="AM29" s="18">
        <f>AJ29/T29*365/AK29</f>
        <v>0.17095914487012498</v>
      </c>
      <c r="AN29" s="18">
        <f>POWER((1+AL29),(365/AK29))-1</f>
        <v>0.17999951953730098</v>
      </c>
      <c r="AO29" s="21">
        <f>TitulosVendidos[[#This Row],[Comisión Santa Fe
Venta]]+TitulosVendidos[[#This Row],[Comisión Santa Fé
Compra]]</f>
        <v>17.836686142471862</v>
      </c>
      <c r="AP29" s="7"/>
    </row>
    <row r="30" spans="1:42" x14ac:dyDescent="0.25">
      <c r="A30" s="3">
        <v>45565</v>
      </c>
      <c r="B30" s="3" t="s">
        <v>42</v>
      </c>
      <c r="C30" t="s">
        <v>43</v>
      </c>
      <c r="D30" s="3">
        <v>45352</v>
      </c>
      <c r="E30" s="3">
        <v>45379</v>
      </c>
      <c r="F30" s="3">
        <v>44923</v>
      </c>
      <c r="G30" s="3">
        <v>47480</v>
      </c>
      <c r="H30" s="4">
        <v>5.64</v>
      </c>
      <c r="I30" s="4">
        <f>K30*12/T30*100</f>
        <v>7.9013385859350649</v>
      </c>
      <c r="J30" s="4">
        <v>13.25</v>
      </c>
      <c r="K30" s="4">
        <f>P30*H30/100/12</f>
        <v>68.885220999999987</v>
      </c>
      <c r="L30" s="4">
        <f>K30-V30</f>
        <v>55.105220999999986</v>
      </c>
      <c r="M30">
        <f>IF(E30="", 0, IF(A30&gt;E30,INT((A30-E30)/30),0))</f>
        <v>6</v>
      </c>
      <c r="N30" s="5"/>
      <c r="O30" s="4">
        <f>K30*M30+L30+IF(A30&gt;E30,N30,0)</f>
        <v>468.41654699999987</v>
      </c>
      <c r="P30" s="4">
        <v>14656.43</v>
      </c>
      <c r="Q30" s="24">
        <v>71.131341070000005</v>
      </c>
      <c r="R30" s="24">
        <v>71.380310293746845</v>
      </c>
      <c r="S30" s="4">
        <f>P30*Q30/100</f>
        <v>10425.315211985802</v>
      </c>
      <c r="T30" s="4">
        <f>P30*R30/100</f>
        <v>10461.8052119858</v>
      </c>
      <c r="U30" s="4">
        <f>T30+V30</f>
        <v>10475.585211985801</v>
      </c>
      <c r="V30" s="4">
        <v>13.78</v>
      </c>
      <c r="W30" s="4">
        <v>31.28</v>
      </c>
      <c r="X30" s="4">
        <v>5.21</v>
      </c>
      <c r="Y30" s="4">
        <f>W30+X30</f>
        <v>36.49</v>
      </c>
      <c r="Z30" s="6"/>
      <c r="AA30" s="24">
        <v>75.60051842</v>
      </c>
      <c r="AC30" s="5">
        <v>4.59</v>
      </c>
      <c r="AD30" s="4">
        <f>AA30*P30/100</f>
        <v>11080.337061864406</v>
      </c>
      <c r="AE30" s="4">
        <v>33.24</v>
      </c>
      <c r="AF30" s="4">
        <v>5.54</v>
      </c>
      <c r="AG30" s="4">
        <f>AD30-AE30-AF30</f>
        <v>11041.557061864405</v>
      </c>
      <c r="AH30" s="4">
        <f>AD30-S30</f>
        <v>655.02184987860346</v>
      </c>
      <c r="AI30" s="4">
        <f>AG30-T30</f>
        <v>579.75184987860484</v>
      </c>
      <c r="AJ30" s="4">
        <f>AI30+O30+AC30</f>
        <v>1052.7583968786046</v>
      </c>
      <c r="AK30">
        <f>A30-D30</f>
        <v>213</v>
      </c>
      <c r="AL30" s="18">
        <f>AJ30/T30</f>
        <v>0.1006287514962034</v>
      </c>
      <c r="AM30" s="18">
        <f>AJ30/T30*365/AK30</f>
        <v>0.17243894035734386</v>
      </c>
      <c r="AN30" s="18">
        <f>POWER((1+AL30),(365/AK30))-1</f>
        <v>0.17857274148163915</v>
      </c>
      <c r="AO30" s="21">
        <f>TitulosVendidos[[#This Row],[Comisión Santa Fe
Venta]]+TitulosVendidos[[#This Row],[Comisión Santa Fé
Compra]]</f>
        <v>64.52000000000001</v>
      </c>
      <c r="AP30" s="7"/>
    </row>
    <row r="31" spans="1:42" x14ac:dyDescent="0.25">
      <c r="A31" s="3">
        <v>45565</v>
      </c>
      <c r="B31" s="3" t="s">
        <v>42</v>
      </c>
      <c r="C31" t="s">
        <v>43</v>
      </c>
      <c r="D31" s="3">
        <v>45462</v>
      </c>
      <c r="E31" s="3">
        <v>45467</v>
      </c>
      <c r="F31" s="3">
        <v>45070</v>
      </c>
      <c r="G31" s="3">
        <v>47262</v>
      </c>
      <c r="H31" s="4">
        <v>5.36</v>
      </c>
      <c r="I31" s="4">
        <f>K31*12/T31*100</f>
        <v>7.8790293788781716</v>
      </c>
      <c r="J31" s="4">
        <v>15</v>
      </c>
      <c r="K31" s="4">
        <f>P31*H31/100/12</f>
        <v>55.833333333333336</v>
      </c>
      <c r="L31" s="4">
        <f>K31-V31</f>
        <v>7.4433333333333351</v>
      </c>
      <c r="M31">
        <f>IF(E31="", 0, IF(A31&gt;E31,INT((A31-E31)/30),0))</f>
        <v>3</v>
      </c>
      <c r="N31" s="5"/>
      <c r="O31" s="4">
        <f>K31*M31+L31+IF(A31&gt;E31,N31,0)</f>
        <v>174.94333333333333</v>
      </c>
      <c r="P31" s="4">
        <v>12500</v>
      </c>
      <c r="Q31" s="24">
        <v>67.754844019999993</v>
      </c>
      <c r="R31" s="24">
        <v>68.02868402</v>
      </c>
      <c r="S31" s="4">
        <f>P31*Q31/100</f>
        <v>8469.3555025000005</v>
      </c>
      <c r="T31" s="4">
        <f>P31*R31/100</f>
        <v>8503.5855025000001</v>
      </c>
      <c r="U31" s="4">
        <f>T31+V31</f>
        <v>8551.9755024999995</v>
      </c>
      <c r="V31" s="4">
        <v>48.39</v>
      </c>
      <c r="W31" s="4">
        <v>30</v>
      </c>
      <c r="X31" s="4">
        <v>4.2300000000000004</v>
      </c>
      <c r="Y31" s="4">
        <f>W31+X31</f>
        <v>34.230000000000004</v>
      </c>
      <c r="Z31" s="6"/>
      <c r="AA31" s="24">
        <v>75.944861779999997</v>
      </c>
      <c r="AC31" s="5">
        <v>11.17</v>
      </c>
      <c r="AD31" s="4">
        <f>AA31*P31/100</f>
        <v>9493.107722499999</v>
      </c>
      <c r="AE31" s="4">
        <v>28.48</v>
      </c>
      <c r="AF31" s="4">
        <v>4.75</v>
      </c>
      <c r="AG31" s="4">
        <f>AD31-AE31-AF31</f>
        <v>9459.8777224999994</v>
      </c>
      <c r="AH31" s="4">
        <f>AD31-S31</f>
        <v>1023.7522199999985</v>
      </c>
      <c r="AI31" s="4">
        <f>AG31-T31</f>
        <v>956.29221999999936</v>
      </c>
      <c r="AJ31" s="4">
        <f>AI31+O31+AC31</f>
        <v>1142.4055533333328</v>
      </c>
      <c r="AK31">
        <f>A31-D31</f>
        <v>103</v>
      </c>
      <c r="AL31" s="18">
        <f>AJ31/T31</f>
        <v>0.13434398384040153</v>
      </c>
      <c r="AM31" s="18">
        <f>AJ31/T31*365/AK31</f>
        <v>0.47607334079365587</v>
      </c>
      <c r="AN31" s="18">
        <f>POWER((1+AL31),(365/AK31))-1</f>
        <v>0.5631421142996913</v>
      </c>
      <c r="AO31" s="21">
        <f>TitulosVendidos[[#This Row],[Comisión Santa Fe
Venta]]+TitulosVendidos[[#This Row],[Comisión Santa Fé
Compra]]</f>
        <v>58.480000000000004</v>
      </c>
      <c r="AP31" s="7"/>
    </row>
    <row r="32" spans="1:42" x14ac:dyDescent="0.25">
      <c r="A32" s="3">
        <v>45565</v>
      </c>
      <c r="B32" s="3" t="s">
        <v>42</v>
      </c>
      <c r="C32" t="s">
        <v>43</v>
      </c>
      <c r="D32" s="3">
        <v>45350</v>
      </c>
      <c r="E32" s="3">
        <v>45369</v>
      </c>
      <c r="F32" s="3">
        <v>45217</v>
      </c>
      <c r="G32" s="3">
        <v>47409</v>
      </c>
      <c r="H32" s="4">
        <v>5.36</v>
      </c>
      <c r="I32" s="4">
        <f>K32*12/T32*100</f>
        <v>7.6588381951471103</v>
      </c>
      <c r="J32" s="4">
        <v>13.25</v>
      </c>
      <c r="K32" s="4">
        <f>P32*H32/100/12</f>
        <v>112.82800000000002</v>
      </c>
      <c r="L32" s="4">
        <f>K32-V32</f>
        <v>75.218000000000018</v>
      </c>
      <c r="M32">
        <f>IF(E32="", 0, IF(A32&gt;E32,INT((A32-E32)/30),0))</f>
        <v>6</v>
      </c>
      <c r="N32" s="5"/>
      <c r="O32" s="4">
        <f>K32*M32+L32+IF(A32&gt;E32,N32,0)</f>
        <v>752.18600000000015</v>
      </c>
      <c r="P32" s="4">
        <v>25260</v>
      </c>
      <c r="Q32" s="24">
        <v>69.740839129999998</v>
      </c>
      <c r="R32" s="24">
        <v>69.984505004901024</v>
      </c>
      <c r="S32" s="4">
        <f>P32*Q32/100</f>
        <v>17616.535964237999</v>
      </c>
      <c r="T32" s="4">
        <f>P32*R32/100</f>
        <v>17678.085964237998</v>
      </c>
      <c r="U32" s="4">
        <f>T32+V32</f>
        <v>17715.695964237999</v>
      </c>
      <c r="V32" s="4">
        <v>37.61</v>
      </c>
      <c r="W32" s="4">
        <v>52.74</v>
      </c>
      <c r="X32" s="4">
        <v>8.81</v>
      </c>
      <c r="Y32" s="4">
        <f>W32+X32</f>
        <v>61.550000000000004</v>
      </c>
      <c r="Z32" s="6"/>
      <c r="AA32" s="24">
        <v>74.340201460000003</v>
      </c>
      <c r="AC32" s="5">
        <v>45.13</v>
      </c>
      <c r="AD32" s="4">
        <f>AA32*P32/100</f>
        <v>18778.334888796002</v>
      </c>
      <c r="AE32" s="4">
        <v>56.33</v>
      </c>
      <c r="AF32" s="4">
        <v>9.39</v>
      </c>
      <c r="AG32" s="4">
        <f>AD32-AE32-AF32</f>
        <v>18712.614888796001</v>
      </c>
      <c r="AH32" s="4">
        <f>AD32-S32</f>
        <v>1161.7989245580029</v>
      </c>
      <c r="AI32" s="4">
        <f>AG32-T32</f>
        <v>1034.5289245580025</v>
      </c>
      <c r="AJ32" s="4">
        <f>AI32+O32+AC32</f>
        <v>1831.8449245580027</v>
      </c>
      <c r="AK32">
        <f>A32-D32</f>
        <v>215</v>
      </c>
      <c r="AL32" s="18">
        <f>AJ32/T32</f>
        <v>0.10362235641707737</v>
      </c>
      <c r="AM32" s="18">
        <f>AJ32/T32*365/AK32</f>
        <v>0.17591702368480577</v>
      </c>
      <c r="AN32" s="18">
        <f>POWER((1+AL32),(365/AK32))-1</f>
        <v>0.1822116906192901</v>
      </c>
      <c r="AO32" s="21">
        <f>TitulosVendidos[[#This Row],[Comisión Santa Fe
Venta]]+TitulosVendidos[[#This Row],[Comisión Santa Fé
Compra]]</f>
        <v>109.07</v>
      </c>
      <c r="AP32" s="7"/>
    </row>
    <row r="33" spans="1:42" x14ac:dyDescent="0.25">
      <c r="A33" s="3">
        <v>45565</v>
      </c>
      <c r="B33" s="3" t="s">
        <v>42</v>
      </c>
      <c r="C33" t="s">
        <v>43</v>
      </c>
      <c r="D33" s="3">
        <v>45309</v>
      </c>
      <c r="E33" s="3">
        <v>45340</v>
      </c>
      <c r="F33" s="3">
        <v>45217</v>
      </c>
      <c r="G33" s="3">
        <v>46313</v>
      </c>
      <c r="H33" s="4">
        <v>4.3</v>
      </c>
      <c r="I33" s="4">
        <f>K33*12/T33*100</f>
        <v>5.1042876750002844</v>
      </c>
      <c r="J33" s="4">
        <v>11.75</v>
      </c>
      <c r="K33" s="4">
        <f>P33*H33/100/12</f>
        <v>65.073333333333338</v>
      </c>
      <c r="L33" s="4">
        <f>K33-V33</f>
        <v>65.073333333333338</v>
      </c>
      <c r="M33">
        <f>IF(E33="", 0, IF(A33&gt;E33,INT((A33-E33)/30),0))</f>
        <v>7</v>
      </c>
      <c r="N33" s="5"/>
      <c r="O33" s="4">
        <f>K33*M33+L33+IF(A33&gt;E33,N33,0)</f>
        <v>520.5866666666667</v>
      </c>
      <c r="P33" s="4">
        <v>18160</v>
      </c>
      <c r="Q33" s="24">
        <v>83.949068150000002</v>
      </c>
      <c r="R33" s="24">
        <v>84.242900749118945</v>
      </c>
      <c r="S33" s="4">
        <f>P33*Q33/100</f>
        <v>15245.15077604</v>
      </c>
      <c r="T33" s="4">
        <f>P33*R33/100</f>
        <v>15298.510776040001</v>
      </c>
      <c r="U33" s="4">
        <f>T33+V33</f>
        <v>15298.510776040001</v>
      </c>
      <c r="V33" s="4">
        <v>0</v>
      </c>
      <c r="W33" s="4">
        <v>45.74</v>
      </c>
      <c r="X33" s="4">
        <v>7.62</v>
      </c>
      <c r="Y33" s="4">
        <f>W33+X33</f>
        <v>53.36</v>
      </c>
      <c r="Z33" s="6"/>
      <c r="AA33" s="24">
        <v>89.887737000000001</v>
      </c>
      <c r="AC33" s="5">
        <v>26.02720562390158</v>
      </c>
      <c r="AD33" s="4">
        <f>AA33*P33/100</f>
        <v>16323.613039200001</v>
      </c>
      <c r="AE33" s="4">
        <v>48.974551845342702</v>
      </c>
      <c r="AF33" s="4">
        <v>8.1624253075571165</v>
      </c>
      <c r="AG33" s="4">
        <f>AD33-AE33-AF33</f>
        <v>16266.476062047102</v>
      </c>
      <c r="AH33" s="4">
        <f>AD33-S33</f>
        <v>1078.4622631600014</v>
      </c>
      <c r="AI33" s="4">
        <f>AG33-T33</f>
        <v>967.96528600710189</v>
      </c>
      <c r="AJ33" s="4">
        <f>AI33+O33+AC33</f>
        <v>1514.5791582976701</v>
      </c>
      <c r="AK33">
        <f>A33-D33</f>
        <v>256</v>
      </c>
      <c r="AL33" s="18">
        <f>AJ33/T33</f>
        <v>9.900173817374118E-2</v>
      </c>
      <c r="AM33" s="18">
        <f>AJ33/T33*365/AK33</f>
        <v>0.14115482200552942</v>
      </c>
      <c r="AN33" s="18">
        <f>POWER((1+AL33),(365/AK33))-1</f>
        <v>0.14407559235853773</v>
      </c>
      <c r="AO33" s="21">
        <f>TitulosVendidos[[#This Row],[Comisión Santa Fe
Venta]]+TitulosVendidos[[#This Row],[Comisión Santa Fé
Compra]]</f>
        <v>94.714551845342697</v>
      </c>
      <c r="AP33" s="7"/>
    </row>
    <row r="34" spans="1:42" x14ac:dyDescent="0.25">
      <c r="A34" s="3">
        <v>45565</v>
      </c>
      <c r="B34" s="3" t="s">
        <v>42</v>
      </c>
      <c r="C34" t="s">
        <v>43</v>
      </c>
      <c r="D34" s="3">
        <v>45443</v>
      </c>
      <c r="E34" s="3">
        <v>45461</v>
      </c>
      <c r="F34" s="3">
        <v>45217</v>
      </c>
      <c r="G34" s="3">
        <v>46313</v>
      </c>
      <c r="H34" s="4">
        <v>4.3</v>
      </c>
      <c r="I34" s="4">
        <f>K34*12/T34*100</f>
        <v>4.9531648935973216</v>
      </c>
      <c r="J34" s="4">
        <v>11.5</v>
      </c>
      <c r="K34" s="4">
        <f>P34*H34/100/12</f>
        <v>16.483333333333334</v>
      </c>
      <c r="L34" s="4">
        <f>K34-V34</f>
        <v>9.8933333333333344</v>
      </c>
      <c r="M34">
        <f>IF(E34="", 0, IF(A34&gt;E34,INT((A34-E34)/30),0))</f>
        <v>3</v>
      </c>
      <c r="N34" s="5"/>
      <c r="O34" s="4">
        <f>K34*M34+L34+IF(A34&gt;E34,N34,0)</f>
        <v>59.343333333333334</v>
      </c>
      <c r="P34" s="4">
        <v>4600</v>
      </c>
      <c r="Q34" s="24">
        <v>86.456007</v>
      </c>
      <c r="R34" s="24">
        <v>86.813180913043482</v>
      </c>
      <c r="S34" s="4">
        <f>P34*Q34/100</f>
        <v>3976.976322</v>
      </c>
      <c r="T34" s="4">
        <f>P34*R34/100</f>
        <v>3993.4063219999998</v>
      </c>
      <c r="U34" s="4">
        <f>T34+V34</f>
        <v>3999.996322</v>
      </c>
      <c r="V34" s="4">
        <v>6.59</v>
      </c>
      <c r="W34" s="4">
        <v>12.43</v>
      </c>
      <c r="X34" s="4">
        <v>4</v>
      </c>
      <c r="Y34" s="4">
        <f>W34+X34</f>
        <v>16.43</v>
      </c>
      <c r="Z34" s="6"/>
      <c r="AA34" s="24">
        <v>89.887737000000001</v>
      </c>
      <c r="AC34" s="5">
        <v>6.5927943760984169</v>
      </c>
      <c r="AD34" s="4">
        <f>AA34*P34/100</f>
        <v>4134.8359020000007</v>
      </c>
      <c r="AE34" s="4">
        <v>12.405448154657289</v>
      </c>
      <c r="AF34" s="4">
        <v>2.0675746924428822</v>
      </c>
      <c r="AG34" s="4">
        <f>AD34-AE34-AF34</f>
        <v>4120.3628791529009</v>
      </c>
      <c r="AH34" s="4">
        <f>AD34-S34</f>
        <v>157.85958000000073</v>
      </c>
      <c r="AI34" s="4">
        <f>AG34-T34</f>
        <v>126.95655715290104</v>
      </c>
      <c r="AJ34" s="4">
        <f>AI34+O34+AC34</f>
        <v>192.8926848623328</v>
      </c>
      <c r="AK34">
        <f>A34-D34</f>
        <v>122</v>
      </c>
      <c r="AL34" s="18">
        <f>AJ34/T34</f>
        <v>4.8302794483914981E-2</v>
      </c>
      <c r="AM34" s="18">
        <f>AJ34/T34*365/AK34</f>
        <v>0.14451245890679482</v>
      </c>
      <c r="AN34" s="18">
        <f>POWER((1+AL34),(365/AK34))-1</f>
        <v>0.15157520776803723</v>
      </c>
      <c r="AO34" s="21">
        <f>TitulosVendidos[[#This Row],[Comisión Santa Fe
Venta]]+TitulosVendidos[[#This Row],[Comisión Santa Fé
Compra]]</f>
        <v>24.835448154657289</v>
      </c>
      <c r="AP34" s="7"/>
    </row>
    <row r="35" spans="1:42" x14ac:dyDescent="0.25">
      <c r="A35" s="3">
        <v>45565</v>
      </c>
      <c r="B35" s="3" t="s">
        <v>42</v>
      </c>
      <c r="C35" t="s">
        <v>45</v>
      </c>
      <c r="D35" s="3">
        <v>45492</v>
      </c>
      <c r="E35" s="3">
        <v>45500</v>
      </c>
      <c r="F35" s="3">
        <v>44739</v>
      </c>
      <c r="G35" s="3">
        <v>47296</v>
      </c>
      <c r="H35" s="4">
        <v>5.64</v>
      </c>
      <c r="I35" s="4">
        <f>K35*12/T35*100</f>
        <v>7.6737585416208969</v>
      </c>
      <c r="J35" s="4">
        <v>13.75</v>
      </c>
      <c r="K35" s="4">
        <f>P35*H35/100/12</f>
        <v>82.72</v>
      </c>
      <c r="L35" s="4">
        <f>K35-V35</f>
        <v>22.060000000000002</v>
      </c>
      <c r="M35">
        <f>IF(E35="", 0, IF(A35&gt;E35,INT((A35-E35)/30),0))</f>
        <v>2</v>
      </c>
      <c r="N35" s="5"/>
      <c r="O35" s="4">
        <f>K35*M35+L35+IF(A35&gt;E35,N35,0)</f>
        <v>187.5</v>
      </c>
      <c r="P35" s="4">
        <v>17600</v>
      </c>
      <c r="Q35" s="24">
        <v>73.240866819999994</v>
      </c>
      <c r="R35" s="24">
        <v>73.497230456363638</v>
      </c>
      <c r="S35" s="4">
        <f>P35*Q35/100</f>
        <v>12890.392560319999</v>
      </c>
      <c r="T35" s="4">
        <f>P35*R35/100</f>
        <v>12935.512560320001</v>
      </c>
      <c r="U35" s="4">
        <f>T35+V35</f>
        <v>12996.172560320001</v>
      </c>
      <c r="V35" s="4">
        <v>60.66</v>
      </c>
      <c r="W35" s="4">
        <v>38.67</v>
      </c>
      <c r="X35" s="4">
        <v>6.45</v>
      </c>
      <c r="Y35" s="4">
        <f>W35+X35</f>
        <v>45.120000000000005</v>
      </c>
      <c r="Z35" s="6"/>
      <c r="AA35" s="24">
        <v>77.567003799999995</v>
      </c>
      <c r="AC35" s="5">
        <v>8.27</v>
      </c>
      <c r="AD35" s="4">
        <f>AA35*P35/100</f>
        <v>13651.792668800001</v>
      </c>
      <c r="AE35" s="4">
        <v>40.96</v>
      </c>
      <c r="AF35" s="4">
        <v>6.83</v>
      </c>
      <c r="AG35" s="4">
        <f>AD35-AE35-AF35</f>
        <v>13604.002668800002</v>
      </c>
      <c r="AH35" s="4">
        <f>AD35-S35</f>
        <v>761.40010848000202</v>
      </c>
      <c r="AI35" s="4">
        <f>AG35-T35</f>
        <v>668.49010848000034</v>
      </c>
      <c r="AJ35" s="4">
        <f>AI35+O35+AC35</f>
        <v>864.26010848000033</v>
      </c>
      <c r="AK35">
        <f>A35-D35</f>
        <v>73</v>
      </c>
      <c r="AL35" s="18">
        <f>AJ35/T35</f>
        <v>6.6812977410043967E-2</v>
      </c>
      <c r="AM35" s="18">
        <f>AJ35/T35*365/AK35</f>
        <v>0.33406488705021981</v>
      </c>
      <c r="AN35" s="18">
        <f>POWER((1+AL35),(365/AK35))-1</f>
        <v>0.38178810716482547</v>
      </c>
      <c r="AO35" s="21">
        <f>TitulosVendidos[[#This Row],[Comisión Santa Fe
Venta]]+TitulosVendidos[[#This Row],[Comisión Santa Fé
Compra]]</f>
        <v>79.63</v>
      </c>
      <c r="AP35" s="7"/>
    </row>
    <row r="36" spans="1:42" x14ac:dyDescent="0.25">
      <c r="A36" s="3">
        <v>45565</v>
      </c>
      <c r="B36" s="3" t="s">
        <v>42</v>
      </c>
      <c r="C36" t="s">
        <v>44</v>
      </c>
      <c r="D36" s="3">
        <v>45278</v>
      </c>
      <c r="E36" s="3">
        <v>45309</v>
      </c>
      <c r="F36" s="3">
        <v>45217</v>
      </c>
      <c r="G36" s="3">
        <v>47409</v>
      </c>
      <c r="H36" s="4">
        <v>5.36</v>
      </c>
      <c r="I36" s="4">
        <f>K36*12/T36*100</f>
        <v>7.4892877848131976</v>
      </c>
      <c r="J36" s="4">
        <v>13</v>
      </c>
      <c r="K36" s="4">
        <f>P36*H36/100/12</f>
        <v>2.0278666666666667</v>
      </c>
      <c r="L36" s="4">
        <f>K36-V36</f>
        <v>1.9578666666666666</v>
      </c>
      <c r="M36">
        <f>IF(E36="", 0, IF(A36&gt;E36,INT((A36-E36)/30),0))</f>
        <v>8</v>
      </c>
      <c r="N36" s="5"/>
      <c r="O36" s="4">
        <f>K36*M36+L36+IF(A36&gt;E36,N36,0)</f>
        <v>18.180800000000001</v>
      </c>
      <c r="P36" s="4">
        <v>454</v>
      </c>
      <c r="Q36" s="24">
        <v>69.806773640000003</v>
      </c>
      <c r="R36" s="24">
        <v>71.568888177444933</v>
      </c>
      <c r="S36" s="4">
        <f>P36*Q36/100</f>
        <v>316.92275232560002</v>
      </c>
      <c r="T36" s="4">
        <f>P36*R36/100</f>
        <v>324.92275232560002</v>
      </c>
      <c r="U36" s="4">
        <f>T36+V36</f>
        <v>324.99275232560001</v>
      </c>
      <c r="V36" s="4">
        <v>7.0000000000000007E-2</v>
      </c>
      <c r="W36" s="4">
        <v>4</v>
      </c>
      <c r="X36" s="4">
        <v>4</v>
      </c>
      <c r="Y36" s="4">
        <f>W36+X36</f>
        <v>8</v>
      </c>
      <c r="Z36" s="6"/>
      <c r="AA36" s="24">
        <v>74.340201460000003</v>
      </c>
      <c r="AC36" s="5">
        <v>0.81111368216764956</v>
      </c>
      <c r="AD36" s="4">
        <f>AA36*P36/100</f>
        <v>337.50451462839999</v>
      </c>
      <c r="AE36" s="4">
        <v>1.0125789355825929</v>
      </c>
      <c r="AF36" s="4">
        <v>0.1687631559304322</v>
      </c>
      <c r="AG36" s="4">
        <f>AD36-AE36-AF36</f>
        <v>336.32317253688694</v>
      </c>
      <c r="AH36" s="4">
        <f>AD36-S36</f>
        <v>20.581762302799973</v>
      </c>
      <c r="AI36" s="4">
        <f>AG36-T36</f>
        <v>11.400420211286928</v>
      </c>
      <c r="AJ36" s="4">
        <f>AI36+O36+AC36</f>
        <v>30.39233389345458</v>
      </c>
      <c r="AK36">
        <f>A36-D36</f>
        <v>287</v>
      </c>
      <c r="AL36" s="18">
        <f>AJ36/T36</f>
        <v>9.3537105899555162E-2</v>
      </c>
      <c r="AM36" s="18">
        <f>AJ36/T36*365/AK36</f>
        <v>0.11895834025553183</v>
      </c>
      <c r="AN36" s="18">
        <f>POWER((1+AL36),(365/AK36))-1</f>
        <v>0.12043736350314194</v>
      </c>
      <c r="AO36" s="21">
        <f>TitulosVendidos[[#This Row],[Comisión Santa Fe
Venta]]+TitulosVendidos[[#This Row],[Comisión Santa Fé
Compra]]</f>
        <v>5.0125789355825932</v>
      </c>
      <c r="AP36" s="7"/>
    </row>
    <row r="37" spans="1:42" x14ac:dyDescent="0.25">
      <c r="A37" s="3">
        <v>45565</v>
      </c>
      <c r="B37" s="3" t="s">
        <v>42</v>
      </c>
      <c r="C37" t="s">
        <v>44</v>
      </c>
      <c r="D37" s="3">
        <v>45350</v>
      </c>
      <c r="E37" s="3">
        <v>45369</v>
      </c>
      <c r="F37" s="3">
        <v>45217</v>
      </c>
      <c r="G37" s="3">
        <v>47409</v>
      </c>
      <c r="H37" s="4">
        <v>5.36</v>
      </c>
      <c r="I37" s="4">
        <f>K37*12/T37*100</f>
        <v>7.6588366986934764</v>
      </c>
      <c r="J37" s="4">
        <v>13.25</v>
      </c>
      <c r="K37" s="4">
        <f>P37*H37/100/12</f>
        <v>110.952</v>
      </c>
      <c r="L37" s="4">
        <f>K37-V37</f>
        <v>73.972000000000008</v>
      </c>
      <c r="M37">
        <f>IF(E37="", 0, IF(A37&gt;E37,INT((A37-E37)/30),0))</f>
        <v>6</v>
      </c>
      <c r="N37" s="5"/>
      <c r="O37" s="4">
        <f>K37*M37+L37+IF(A37&gt;E37,N37,0)</f>
        <v>739.68399999999997</v>
      </c>
      <c r="P37" s="4">
        <v>24840</v>
      </c>
      <c r="Q37" s="24">
        <v>69.740839129999998</v>
      </c>
      <c r="R37" s="24">
        <v>69.984518679114331</v>
      </c>
      <c r="S37" s="4">
        <f>P37*Q37/100</f>
        <v>17323.624439891999</v>
      </c>
      <c r="T37" s="4">
        <f>P37*R37/100</f>
        <v>17384.154439892001</v>
      </c>
      <c r="U37" s="4">
        <f>T37+V37</f>
        <v>17421.134439892001</v>
      </c>
      <c r="V37" s="4">
        <v>36.979999999999997</v>
      </c>
      <c r="W37" s="4">
        <v>51.87</v>
      </c>
      <c r="X37" s="4">
        <v>8.66</v>
      </c>
      <c r="Y37" s="4">
        <f>W37+X37</f>
        <v>60.53</v>
      </c>
      <c r="Z37" s="6"/>
      <c r="AA37" s="24">
        <v>74.340201460000003</v>
      </c>
      <c r="AC37" s="5">
        <v>44.378995297454658</v>
      </c>
      <c r="AD37" s="4">
        <f>AA37*P37/100</f>
        <v>18466.106042664</v>
      </c>
      <c r="AE37" s="4">
        <v>55.401895946853777</v>
      </c>
      <c r="AF37" s="4">
        <v>9.2336493244756319</v>
      </c>
      <c r="AG37" s="4">
        <f>AD37-AE37-AF37</f>
        <v>18401.470497392671</v>
      </c>
      <c r="AH37" s="4">
        <f>AD37-S37</f>
        <v>1142.4816027720008</v>
      </c>
      <c r="AI37" s="4">
        <f>AG37-T37</f>
        <v>1017.3160575006696</v>
      </c>
      <c r="AJ37" s="4">
        <f>AI37+O37+AC37</f>
        <v>1801.3790527981241</v>
      </c>
      <c r="AK37">
        <f>A37-D37</f>
        <v>215</v>
      </c>
      <c r="AL37" s="18">
        <f>AJ37/T37</f>
        <v>0.10362189653955439</v>
      </c>
      <c r="AM37" s="18">
        <f>AJ37/T37*365/AK37</f>
        <v>0.17591624296249933</v>
      </c>
      <c r="AN37" s="18">
        <f>POWER((1+AL37),(365/AK37))-1</f>
        <v>0.18221085430159656</v>
      </c>
      <c r="AO37" s="21">
        <f>TitulosVendidos[[#This Row],[Comisión Santa Fe
Venta]]+TitulosVendidos[[#This Row],[Comisión Santa Fé
Compra]]</f>
        <v>107.27189594685377</v>
      </c>
      <c r="AP37" s="7"/>
    </row>
    <row r="38" spans="1:42" x14ac:dyDescent="0.25">
      <c r="A38" s="3">
        <v>45565</v>
      </c>
      <c r="B38" s="3" t="s">
        <v>42</v>
      </c>
      <c r="C38" t="s">
        <v>44</v>
      </c>
      <c r="D38" s="3">
        <v>45265</v>
      </c>
      <c r="E38" s="3">
        <v>45278</v>
      </c>
      <c r="F38" s="3">
        <v>45217</v>
      </c>
      <c r="G38" s="3">
        <v>47409</v>
      </c>
      <c r="H38" s="4">
        <v>5.36</v>
      </c>
      <c r="I38" s="4">
        <f>K38*12/T38*100</f>
        <v>7.6420483560114727</v>
      </c>
      <c r="J38" s="4">
        <v>13</v>
      </c>
      <c r="K38" s="4">
        <f>P38*H38/100/12</f>
        <v>6.7</v>
      </c>
      <c r="L38" s="4">
        <f>K38-V38</f>
        <v>2.9000000000000004</v>
      </c>
      <c r="M38">
        <f>IF(E38="", 0, IF(A38&gt;E38,INT((A38-E38)/30),0))</f>
        <v>9</v>
      </c>
      <c r="N38" s="5"/>
      <c r="O38" s="4">
        <f>K38*M38+L38+IF(A38&gt;E38,N38,0)</f>
        <v>63.2</v>
      </c>
      <c r="P38" s="4">
        <v>1500</v>
      </c>
      <c r="Q38" s="24">
        <v>69.662930000000003</v>
      </c>
      <c r="R38" s="24">
        <v>70.138263333333356</v>
      </c>
      <c r="S38" s="4">
        <f>P38*Q38/100</f>
        <v>1044.9439500000001</v>
      </c>
      <c r="T38" s="4">
        <f>P38*R38/100</f>
        <v>1052.0739500000004</v>
      </c>
      <c r="U38" s="4">
        <f>T38+V38</f>
        <v>1055.8739500000004</v>
      </c>
      <c r="V38" s="4">
        <v>3.8</v>
      </c>
      <c r="W38" s="4">
        <v>3.13</v>
      </c>
      <c r="X38" s="4">
        <v>4</v>
      </c>
      <c r="Y38" s="4">
        <f>W38+X38</f>
        <v>7.13</v>
      </c>
      <c r="Z38" s="6"/>
      <c r="AA38" s="24">
        <v>74.340201460000003</v>
      </c>
      <c r="AC38" s="5">
        <v>2.679891020377696</v>
      </c>
      <c r="AD38" s="4">
        <f>AA38*P38/100</f>
        <v>1115.1030218999999</v>
      </c>
      <c r="AE38" s="4">
        <v>3.3455251175636338</v>
      </c>
      <c r="AF38" s="4">
        <v>0.55758751959393904</v>
      </c>
      <c r="AG38" s="4">
        <f>AD38-AE38-AF38</f>
        <v>1111.1999092628423</v>
      </c>
      <c r="AH38" s="4">
        <f>AD38-S38</f>
        <v>70.159071899999844</v>
      </c>
      <c r="AI38" s="4">
        <f>AG38-T38</f>
        <v>59.125959262841889</v>
      </c>
      <c r="AJ38" s="4">
        <f>AI38+O38+AC38</f>
        <v>125.00585028321959</v>
      </c>
      <c r="AK38">
        <f>A38-D38</f>
        <v>300</v>
      </c>
      <c r="AL38" s="18">
        <f>AJ38/T38</f>
        <v>0.11881850157322071</v>
      </c>
      <c r="AM38" s="18">
        <f>AJ38/T38*365/AK38</f>
        <v>0.14456251024741854</v>
      </c>
      <c r="AN38" s="18">
        <f>POWER((1+AL38),(365/AK38))-1</f>
        <v>0.1463684581719058</v>
      </c>
      <c r="AO38" s="21">
        <f>TitulosVendidos[[#This Row],[Comisión Santa Fe
Venta]]+TitulosVendidos[[#This Row],[Comisión Santa Fé
Compra]]</f>
        <v>6.4755251175636337</v>
      </c>
      <c r="AP38" s="7"/>
    </row>
    <row r="39" spans="1:42" x14ac:dyDescent="0.25">
      <c r="A39" s="3">
        <v>45565</v>
      </c>
      <c r="B39" s="3" t="s">
        <v>42</v>
      </c>
      <c r="C39" t="s">
        <v>44</v>
      </c>
      <c r="D39" s="3">
        <v>45278</v>
      </c>
      <c r="E39" s="3">
        <v>45369</v>
      </c>
      <c r="F39" s="3">
        <v>45217</v>
      </c>
      <c r="G39" s="3">
        <v>47409</v>
      </c>
      <c r="H39" s="4">
        <v>5.36</v>
      </c>
      <c r="I39" s="4">
        <f>K39*12/T39*100</f>
        <v>7.6549588514761249</v>
      </c>
      <c r="J39" s="4">
        <v>13.25</v>
      </c>
      <c r="K39" s="4">
        <f>P39*H39/100/12</f>
        <v>119.67986666666667</v>
      </c>
      <c r="L39" s="4">
        <f>K39-V39</f>
        <v>78.829866666666675</v>
      </c>
      <c r="M39">
        <f>IF(E39="", 0, IF(A39&gt;E39,INT((A39-E39)/30),0))</f>
        <v>6</v>
      </c>
      <c r="N39" s="5"/>
      <c r="O39" s="4">
        <f>K39*M39+L39+IF(A39&gt;E39,N39,0)</f>
        <v>796.90906666666672</v>
      </c>
      <c r="P39" s="4">
        <v>26794</v>
      </c>
      <c r="Q39" s="24">
        <v>69.740839129999998</v>
      </c>
      <c r="R39" s="24">
        <v>70.019971419786515</v>
      </c>
      <c r="S39" s="4">
        <f>P39*Q39/100</f>
        <v>18686.360436492199</v>
      </c>
      <c r="T39" s="4">
        <f>P39*R39/100</f>
        <v>18761.151142217597</v>
      </c>
      <c r="U39" s="4">
        <f>T39+V39</f>
        <v>18802.001142217596</v>
      </c>
      <c r="V39" s="4">
        <v>40.849999999999987</v>
      </c>
      <c r="W39" s="4">
        <v>59</v>
      </c>
      <c r="X39" s="4">
        <v>16.66</v>
      </c>
      <c r="Y39" s="4">
        <f>W39+X39</f>
        <v>75.66</v>
      </c>
      <c r="Z39" s="6"/>
      <c r="AA39" s="24">
        <v>74.340201460000003</v>
      </c>
      <c r="AC39" s="5">
        <v>47.87</v>
      </c>
      <c r="AD39" s="4">
        <f>AA39*P39/100</f>
        <v>19918.713579192401</v>
      </c>
      <c r="AE39" s="4">
        <v>59.76</v>
      </c>
      <c r="AF39" s="4">
        <v>9.9600000000000009</v>
      </c>
      <c r="AG39" s="4">
        <f>AD39-AE39-AF39</f>
        <v>19848.993579192404</v>
      </c>
      <c r="AH39" s="4">
        <f>AD39-S39</f>
        <v>1232.3531427002017</v>
      </c>
      <c r="AI39" s="4">
        <f>AG39-T39</f>
        <v>1087.8424369748063</v>
      </c>
      <c r="AJ39" s="4">
        <f>AI39+O39+AC39</f>
        <v>1932.6215036414728</v>
      </c>
      <c r="AK39">
        <f>A39-D39</f>
        <v>287</v>
      </c>
      <c r="AL39" s="18">
        <f>AJ39/T39</f>
        <v>0.10301188285256967</v>
      </c>
      <c r="AM39" s="18">
        <f>AJ39/T39*365/AK39</f>
        <v>0.1310081436975189</v>
      </c>
      <c r="AN39" s="18">
        <f>POWER((1+AL39),(365/AK39))-1</f>
        <v>0.13279808957352102</v>
      </c>
      <c r="AO39" s="21">
        <f>TitulosVendidos[[#This Row],[Comisión Santa Fe
Venta]]+TitulosVendidos[[#This Row],[Comisión Santa Fé
Compra]]</f>
        <v>118.75999999999999</v>
      </c>
      <c r="AP39" s="7"/>
    </row>
    <row r="40" spans="1:42" x14ac:dyDescent="0.25">
      <c r="A40" s="3">
        <v>45574</v>
      </c>
      <c r="B40" s="3" t="s">
        <v>42</v>
      </c>
      <c r="C40" t="s">
        <v>43</v>
      </c>
      <c r="D40" s="3">
        <v>45545</v>
      </c>
      <c r="E40" s="3">
        <v>45550</v>
      </c>
      <c r="F40" s="3">
        <v>45488</v>
      </c>
      <c r="G40" s="3">
        <v>46949</v>
      </c>
      <c r="H40" s="4">
        <v>4.71</v>
      </c>
      <c r="I40" s="4">
        <f>K40*12/T40*100</f>
        <v>6.3507422593875678</v>
      </c>
      <c r="J40" s="4">
        <v>14</v>
      </c>
      <c r="K40" s="4">
        <f>P40*H40/100/12</f>
        <v>27.867500000000003</v>
      </c>
      <c r="L40" s="4">
        <f>K40-V40</f>
        <v>4.6475000000000044</v>
      </c>
      <c r="M40">
        <f>IF(E40="", 0, IF(A40&gt;E40,INT((A40-E40)/30),0))</f>
        <v>0</v>
      </c>
      <c r="N40" s="5"/>
      <c r="O40" s="4">
        <f>K40*M40+L40+IF(A40&gt;E40,N40,0)</f>
        <v>4.6475000000000044</v>
      </c>
      <c r="P40" s="4">
        <v>7100</v>
      </c>
      <c r="Q40" s="24">
        <v>73.886530989999997</v>
      </c>
      <c r="R40" s="24">
        <v>74.164559159014075</v>
      </c>
      <c r="S40" s="4">
        <f>P40*Q40/100</f>
        <v>5245.9437002899995</v>
      </c>
      <c r="T40" s="4">
        <f>P40*R40/100</f>
        <v>5265.6837002900002</v>
      </c>
      <c r="U40" s="4">
        <f>T40+V40</f>
        <v>5288.9037002900004</v>
      </c>
      <c r="V40" s="4">
        <v>23.22</v>
      </c>
      <c r="W40" s="4">
        <v>15.74</v>
      </c>
      <c r="X40" s="4">
        <v>4</v>
      </c>
      <c r="Y40" s="4">
        <f>W40+X40</f>
        <v>19.740000000000002</v>
      </c>
      <c r="Z40" s="6"/>
      <c r="AA40" s="24">
        <v>79.18690221</v>
      </c>
      <c r="AC40" s="5">
        <v>22.29</v>
      </c>
      <c r="AD40" s="4">
        <f>AA40*P40/100</f>
        <v>5622.2700569100007</v>
      </c>
      <c r="AE40" s="4">
        <v>16.87</v>
      </c>
      <c r="AF40" s="4">
        <v>4</v>
      </c>
      <c r="AG40" s="4">
        <f>AD40-AE40-AF40</f>
        <v>5601.4000569100008</v>
      </c>
      <c r="AH40" s="4">
        <f>AD40-S40</f>
        <v>376.32635662000121</v>
      </c>
      <c r="AI40" s="4">
        <f>AG40-T40</f>
        <v>335.71635662000062</v>
      </c>
      <c r="AJ40" s="4">
        <f>AI40+O40+AC40</f>
        <v>362.65385662000062</v>
      </c>
      <c r="AK40">
        <f>A40-D40</f>
        <v>29</v>
      </c>
      <c r="AL40" s="18">
        <f>AJ40/T40</f>
        <v>6.8871181267501497E-2</v>
      </c>
      <c r="AM40" s="18">
        <f>AJ40/T40*365/AK40</f>
        <v>0.86682693664269117</v>
      </c>
      <c r="AN40" s="18">
        <f>POWER((1+AL40),(365/AK40))-1</f>
        <v>1.312387772987893</v>
      </c>
      <c r="AO40" s="21">
        <f>TitulosVendidos[[#This Row],[Comisión Santa Fe
Venta]]+TitulosVendidos[[#This Row],[Comisión Santa Fé
Compra]]</f>
        <v>32.61</v>
      </c>
      <c r="AP40" s="7"/>
    </row>
    <row r="41" spans="1:42" x14ac:dyDescent="0.25">
      <c r="A41" s="3">
        <v>45590</v>
      </c>
      <c r="B41" s="3" t="s">
        <v>42</v>
      </c>
      <c r="C41" t="s">
        <v>43</v>
      </c>
      <c r="D41" s="3">
        <v>45062</v>
      </c>
      <c r="E41" s="3">
        <v>45072</v>
      </c>
      <c r="F41" s="3">
        <v>45042</v>
      </c>
      <c r="G41" s="3">
        <v>46138</v>
      </c>
      <c r="H41" s="4">
        <v>4.3</v>
      </c>
      <c r="I41" s="4">
        <f>K41*12/T41*100</f>
        <v>4.9474265506522261</v>
      </c>
      <c r="J41" s="4">
        <v>10</v>
      </c>
      <c r="K41" s="4">
        <f>P41*H41/100/12</f>
        <v>51.958333333333336</v>
      </c>
      <c r="L41" s="4">
        <f>K41-V41</f>
        <v>15.588333333333338</v>
      </c>
      <c r="M41">
        <f>IF(E41="", 0, IF(A41&gt;E41,INT((A41-E41)/30),0))</f>
        <v>17</v>
      </c>
      <c r="N41" s="5"/>
      <c r="O41" s="4">
        <f>K41*M41+L41+IF(A41&gt;E41,N41,0)</f>
        <v>898.88000000000011</v>
      </c>
      <c r="P41" s="4">
        <v>14500</v>
      </c>
      <c r="Q41" s="24">
        <v>86.610699999999994</v>
      </c>
      <c r="R41" s="24">
        <v>86.913872413793086</v>
      </c>
      <c r="S41" s="4">
        <f>P41*Q41/100</f>
        <v>12558.5515</v>
      </c>
      <c r="T41" s="4">
        <f>P41*R41/100</f>
        <v>12602.511499999997</v>
      </c>
      <c r="U41" s="4">
        <f>T41+V41</f>
        <v>12638.881499999998</v>
      </c>
      <c r="V41" s="4">
        <v>36.369999999999997</v>
      </c>
      <c r="W41" s="4">
        <v>37.68</v>
      </c>
      <c r="X41" s="4">
        <v>6.28</v>
      </c>
      <c r="Y41" s="4">
        <f>W41+X41</f>
        <v>43.96</v>
      </c>
      <c r="Z41" s="6"/>
      <c r="AA41" s="24">
        <v>92.769223570000008</v>
      </c>
      <c r="AC41" s="5">
        <v>50.23</v>
      </c>
      <c r="AD41" s="4">
        <f>AA41*P41/100</f>
        <v>13451.537417650001</v>
      </c>
      <c r="AE41" s="4">
        <v>40.35</v>
      </c>
      <c r="AF41" s="4">
        <v>6.73</v>
      </c>
      <c r="AG41" s="4">
        <f>AD41-AE41-AF41</f>
        <v>13404.457417650001</v>
      </c>
      <c r="AH41" s="4">
        <f>AD41-S41</f>
        <v>892.98591765000128</v>
      </c>
      <c r="AI41" s="4">
        <f>AG41-T41</f>
        <v>801.94591765000405</v>
      </c>
      <c r="AJ41" s="4">
        <f>AI41+O41+AC41</f>
        <v>1751.0559176500042</v>
      </c>
      <c r="AK41">
        <f>A41-D41</f>
        <v>528</v>
      </c>
      <c r="AL41" s="18">
        <f>AJ41/T41</f>
        <v>0.13894499661039822</v>
      </c>
      <c r="AM41" s="18">
        <f>AJ41/T41*365/AK41</f>
        <v>9.6050991974991201E-2</v>
      </c>
      <c r="AN41" s="18">
        <f>POWER((1+AL41),(365/AK41))-1</f>
        <v>9.4106673300638155E-2</v>
      </c>
      <c r="AO41" s="21">
        <f>TitulosVendidos[[#This Row],[Comisión Santa Fe
Venta]]+TitulosVendidos[[#This Row],[Comisión Santa Fé
Compra]]</f>
        <v>78.03</v>
      </c>
      <c r="AP41" s="7"/>
    </row>
    <row r="42" spans="1:42" x14ac:dyDescent="0.25">
      <c r="A42" s="3">
        <v>45701</v>
      </c>
      <c r="B42" s="3" t="s">
        <v>42</v>
      </c>
      <c r="C42" t="s">
        <v>44</v>
      </c>
      <c r="D42" s="3">
        <v>44908</v>
      </c>
      <c r="E42" s="3">
        <v>44893</v>
      </c>
      <c r="F42" s="3">
        <v>44832</v>
      </c>
      <c r="G42" s="3">
        <v>47754</v>
      </c>
      <c r="H42" s="4">
        <v>5.93</v>
      </c>
      <c r="I42" s="4">
        <f>K42*12/T42*100</f>
        <v>7.7850460796964587</v>
      </c>
      <c r="J42" s="4">
        <v>11</v>
      </c>
      <c r="K42" s="4">
        <f>P42*H42/100/12</f>
        <v>76.410520833333337</v>
      </c>
      <c r="L42" s="4">
        <f>K42-V42</f>
        <v>38.200520833333336</v>
      </c>
      <c r="M42">
        <f>IF(E42="", 0, IF(A42&gt;E42,INT((A42-E42)/30),0))</f>
        <v>26</v>
      </c>
      <c r="N42" s="5"/>
      <c r="O42" s="4">
        <f>K42*M42+L42+IF(A42&gt;E42,N42,0)</f>
        <v>2024.8740625</v>
      </c>
      <c r="P42" s="4">
        <v>15462.5</v>
      </c>
      <c r="Q42" s="24">
        <v>75.906000000000006</v>
      </c>
      <c r="R42" s="24">
        <v>76.171675020210188</v>
      </c>
      <c r="S42" s="4">
        <f>P42*Q42/100</f>
        <v>11736.965250000001</v>
      </c>
      <c r="T42" s="4">
        <f>P42*R42/100</f>
        <v>11778.045250000001</v>
      </c>
      <c r="U42" s="4">
        <f>T42+V42</f>
        <v>11816.25525</v>
      </c>
      <c r="V42" s="4">
        <v>38.21</v>
      </c>
      <c r="W42" s="4">
        <v>35.21</v>
      </c>
      <c r="X42" s="4">
        <v>5.87</v>
      </c>
      <c r="Y42" s="4">
        <f>W42+X42</f>
        <v>41.08</v>
      </c>
      <c r="Z42" s="6"/>
      <c r="AA42" s="24">
        <v>81.795956770000004</v>
      </c>
      <c r="AC42" s="5">
        <v>37.900498274878743</v>
      </c>
      <c r="AD42" s="4">
        <f>AA42*P42/100</f>
        <v>12647.699815561249</v>
      </c>
      <c r="AE42" s="4">
        <v>37.639115528155443</v>
      </c>
      <c r="AF42" s="4">
        <v>6.2731859213592394</v>
      </c>
      <c r="AG42" s="4">
        <f>AD42-AE42-AF42</f>
        <v>12603.787514111733</v>
      </c>
      <c r="AH42" s="4">
        <f>AD42-S42</f>
        <v>910.73456556124802</v>
      </c>
      <c r="AI42" s="4">
        <f>AG42-T42</f>
        <v>825.74226411173186</v>
      </c>
      <c r="AJ42" s="4">
        <f>AI42+O42+AC42</f>
        <v>2888.5168248866107</v>
      </c>
      <c r="AK42">
        <f>A42-D42</f>
        <v>793</v>
      </c>
      <c r="AL42" s="18">
        <f>AJ42/T42</f>
        <v>0.24524585901778653</v>
      </c>
      <c r="AM42" s="18">
        <f>AJ42/T42*365/AK42</f>
        <v>0.11288113309141498</v>
      </c>
      <c r="AN42" s="18">
        <f>POWER((1+AL42),(365/AK42))-1</f>
        <v>0.10622577995049598</v>
      </c>
      <c r="AO42" s="21">
        <f>TitulosVendidos[[#This Row],[Comisión Santa Fe
Venta]]+TitulosVendidos[[#This Row],[Comisión Santa Fé
Compra]]</f>
        <v>72.849115528155437</v>
      </c>
      <c r="AP42" s="7"/>
    </row>
    <row r="43" spans="1:42" x14ac:dyDescent="0.25">
      <c r="A43" s="3">
        <v>45701</v>
      </c>
      <c r="B43" s="3" t="s">
        <v>42</v>
      </c>
      <c r="C43" t="s">
        <v>44</v>
      </c>
      <c r="D43" s="3">
        <v>44925</v>
      </c>
      <c r="E43" s="3">
        <v>44954</v>
      </c>
      <c r="F43" s="3">
        <v>44832</v>
      </c>
      <c r="G43" s="3">
        <v>47754</v>
      </c>
      <c r="H43" s="4">
        <v>5.93</v>
      </c>
      <c r="I43" s="4">
        <f>K43*12/T43*100</f>
        <v>7.158811879256616</v>
      </c>
      <c r="J43" s="4">
        <v>9.5</v>
      </c>
      <c r="K43" s="4">
        <f>P43*H43/100/12</f>
        <v>7.6927913333333331</v>
      </c>
      <c r="L43" s="4">
        <f>K43-V43</f>
        <v>7.1827913333333333</v>
      </c>
      <c r="M43">
        <f>IF(E43="", 0, IF(A43&gt;E43,INT((A43-E43)/30),0))</f>
        <v>24</v>
      </c>
      <c r="N43" s="5"/>
      <c r="O43" s="4">
        <f>K43*M43+L43+IF(A43&gt;E43,N43,0)</f>
        <v>191.80978333333334</v>
      </c>
      <c r="P43" s="4">
        <v>1556.72</v>
      </c>
      <c r="Q43" s="24">
        <v>82.33103097</v>
      </c>
      <c r="R43" s="24">
        <v>82.834974574241528</v>
      </c>
      <c r="S43" s="4">
        <f>P43*Q43/100</f>
        <v>1281.6636253161842</v>
      </c>
      <c r="T43" s="4">
        <f>P43*R43/100</f>
        <v>1289.5086161921326</v>
      </c>
      <c r="U43" s="4">
        <f>T43+V43</f>
        <v>1290.0186161921326</v>
      </c>
      <c r="V43" s="4">
        <v>0.51</v>
      </c>
      <c r="W43" s="4">
        <v>3.844990875948552</v>
      </c>
      <c r="X43" s="4">
        <v>4</v>
      </c>
      <c r="Y43" s="4">
        <f>W43+X43</f>
        <v>7.844990875948552</v>
      </c>
      <c r="Z43" s="6"/>
      <c r="AA43" s="24">
        <v>81.795956770000004</v>
      </c>
      <c r="AC43" s="5">
        <v>4.1495017251212536</v>
      </c>
      <c r="AD43" s="4">
        <f>AA43*P43/100</f>
        <v>1273.3340182299441</v>
      </c>
      <c r="AE43" s="4">
        <v>4.1208844718445556</v>
      </c>
      <c r="AF43" s="4">
        <v>0.68681407864075938</v>
      </c>
      <c r="AG43" s="4">
        <f>AD43-AE43-AF43</f>
        <v>1268.5263196794588</v>
      </c>
      <c r="AH43" s="4">
        <f>AD43-S43</f>
        <v>-8.3296070862400029</v>
      </c>
      <c r="AI43" s="4">
        <f>AG43-T43</f>
        <v>-20.982296512673884</v>
      </c>
      <c r="AJ43" s="4">
        <f>AI43+O43+AC43</f>
        <v>174.9769885457807</v>
      </c>
      <c r="AK43">
        <f>A43-D43</f>
        <v>776</v>
      </c>
      <c r="AL43" s="18">
        <f>AJ43/T43</f>
        <v>0.13569276416506681</v>
      </c>
      <c r="AM43" s="18">
        <f>AJ43/T43*365/AK43</f>
        <v>6.38245604642389E-2</v>
      </c>
      <c r="AN43" s="18">
        <f>POWER((1+AL43),(365/AK43))-1</f>
        <v>6.167732790871594E-2</v>
      </c>
      <c r="AO43" s="21">
        <f>TitulosVendidos[[#This Row],[Comisión Santa Fe
Venta]]+TitulosVendidos[[#This Row],[Comisión Santa Fé
Compra]]</f>
        <v>7.9658753477931077</v>
      </c>
      <c r="AP43" s="7"/>
    </row>
    <row r="44" spans="1:42" x14ac:dyDescent="0.25">
      <c r="A44" s="3">
        <v>45701</v>
      </c>
      <c r="B44" s="3" t="s">
        <v>42</v>
      </c>
      <c r="C44" t="s">
        <v>44</v>
      </c>
      <c r="D44" s="3">
        <v>44979</v>
      </c>
      <c r="E44" s="3">
        <v>44984</v>
      </c>
      <c r="F44" s="3">
        <v>44922</v>
      </c>
      <c r="G44" s="3">
        <v>48209</v>
      </c>
      <c r="H44" s="4">
        <v>6.21</v>
      </c>
      <c r="I44" s="4">
        <f>K44*12/T44*100</f>
        <v>8.1173219901419813</v>
      </c>
      <c r="J44" s="4">
        <v>11</v>
      </c>
      <c r="K44" s="4">
        <f>P44*H44/100/12</f>
        <v>198.72</v>
      </c>
      <c r="L44" s="4">
        <f>K44-V44</f>
        <v>26.5</v>
      </c>
      <c r="M44">
        <f>IF(E44="", 0, IF(A44&gt;E44,INT((A44-E44)/30),0))</f>
        <v>23</v>
      </c>
      <c r="N44" s="5"/>
      <c r="O44" s="4">
        <f>K44*M44+L44+IF(A44&gt;E44,N44,0)</f>
        <v>4597.0600000000004</v>
      </c>
      <c r="P44" s="4">
        <v>38400</v>
      </c>
      <c r="Q44" s="24">
        <v>76.084599999999995</v>
      </c>
      <c r="R44" s="24">
        <v>76.503063541666663</v>
      </c>
      <c r="S44" s="4">
        <f>P44*Q44/100</f>
        <v>29216.486399999998</v>
      </c>
      <c r="T44" s="4">
        <f>P44*R44/100</f>
        <v>29377.176399999997</v>
      </c>
      <c r="U44" s="4">
        <f>T44+V44</f>
        <v>29549.396399999998</v>
      </c>
      <c r="V44" s="4">
        <v>172.22</v>
      </c>
      <c r="W44" s="4">
        <v>146.08000000000001</v>
      </c>
      <c r="X44" s="4">
        <v>14.61</v>
      </c>
      <c r="Y44" s="4">
        <f>W44+X44</f>
        <v>160.69</v>
      </c>
      <c r="Z44" s="6"/>
      <c r="AA44" s="24">
        <v>80.816188220000001</v>
      </c>
      <c r="AC44" s="5">
        <v>105.98</v>
      </c>
      <c r="AD44" s="4">
        <f>AA44*P44/100</f>
        <v>31033.416276480002</v>
      </c>
      <c r="AE44" s="4">
        <v>93.1</v>
      </c>
      <c r="AF44" s="4">
        <v>15.52</v>
      </c>
      <c r="AG44" s="4">
        <f>AD44-AE44-AF44</f>
        <v>30924.796276480003</v>
      </c>
      <c r="AH44" s="4">
        <f>AD44-S44</f>
        <v>1816.9298764800042</v>
      </c>
      <c r="AI44" s="4">
        <f>AG44-T44</f>
        <v>1547.6198764800065</v>
      </c>
      <c r="AJ44" s="4">
        <f>AI44+O44+AC44</f>
        <v>6250.6598764800065</v>
      </c>
      <c r="AK44">
        <f>A44-D44</f>
        <v>722</v>
      </c>
      <c r="AL44" s="18">
        <f>AJ44/T44</f>
        <v>0.21277265695555436</v>
      </c>
      <c r="AM44" s="18">
        <f>AJ44/T44*365/AK44</f>
        <v>0.10756512436118745</v>
      </c>
      <c r="AN44" s="18">
        <f>POWER((1+AL44),(365/AK44))-1</f>
        <v>0.10243717667691898</v>
      </c>
      <c r="AO44" s="21">
        <f>TitulosVendidos[[#This Row],[Comisión Santa Fe
Venta]]+TitulosVendidos[[#This Row],[Comisión Santa Fé
Compra]]</f>
        <v>239.18</v>
      </c>
      <c r="AP44" s="7"/>
    </row>
    <row r="45" spans="1:42" x14ac:dyDescent="0.25">
      <c r="A45" s="3">
        <v>45701</v>
      </c>
      <c r="B45" s="3" t="s">
        <v>42</v>
      </c>
      <c r="C45" t="s">
        <v>44</v>
      </c>
      <c r="D45" s="3">
        <v>45077</v>
      </c>
      <c r="E45" s="3">
        <v>45094</v>
      </c>
      <c r="F45" s="3">
        <v>45063</v>
      </c>
      <c r="G45" s="3">
        <v>47255</v>
      </c>
      <c r="H45" s="4">
        <v>5.36</v>
      </c>
      <c r="I45" s="4">
        <f>K45*12/T45*100</f>
        <v>7.012208260738408</v>
      </c>
      <c r="J45" s="4">
        <v>11</v>
      </c>
      <c r="K45" s="4">
        <f>P45*H45/100/12</f>
        <v>60.74666666666667</v>
      </c>
      <c r="L45" s="4">
        <f>K45-V45</f>
        <v>32.396666666666668</v>
      </c>
      <c r="M45">
        <f>IF(E45="", 0, IF(A45&gt;E45,INT((A45-E45)/30),0))</f>
        <v>20</v>
      </c>
      <c r="N45" s="5"/>
      <c r="O45" s="4">
        <f>K45*M45+L45+IF(A45&gt;E45,N45,0)</f>
        <v>1247.3300000000002</v>
      </c>
      <c r="P45" s="4">
        <v>13600</v>
      </c>
      <c r="Q45" s="24">
        <v>76.171499999999995</v>
      </c>
      <c r="R45" s="24">
        <v>76.438117647058817</v>
      </c>
      <c r="S45" s="4">
        <f>P45*Q45/100</f>
        <v>10359.323999999999</v>
      </c>
      <c r="T45" s="4">
        <f>P45*R45/100</f>
        <v>10395.583999999999</v>
      </c>
      <c r="U45" s="4">
        <f>T45+V45</f>
        <v>10423.933999999999</v>
      </c>
      <c r="V45" s="4">
        <v>28.35</v>
      </c>
      <c r="W45" s="4">
        <v>31.08</v>
      </c>
      <c r="X45" s="4">
        <v>5.18</v>
      </c>
      <c r="Y45" s="4">
        <f>W45+X45</f>
        <v>36.26</v>
      </c>
      <c r="Z45" s="6"/>
      <c r="AA45" s="24">
        <v>81.786947710000007</v>
      </c>
      <c r="AC45" s="5">
        <v>52.65</v>
      </c>
      <c r="AD45" s="4">
        <f>AA45*P45/100</f>
        <v>11123.024888560001</v>
      </c>
      <c r="AE45" s="4">
        <v>33.369999999999997</v>
      </c>
      <c r="AF45" s="4">
        <v>5.56</v>
      </c>
      <c r="AG45" s="4">
        <f>AD45-AE45-AF45</f>
        <v>11084.094888560001</v>
      </c>
      <c r="AH45" s="4">
        <f>AD45-S45</f>
        <v>763.70088856000257</v>
      </c>
      <c r="AI45" s="4">
        <f>AG45-T45</f>
        <v>688.51088856000206</v>
      </c>
      <c r="AJ45" s="4">
        <f>AI45+O45+AC45</f>
        <v>1988.4908885600023</v>
      </c>
      <c r="AK45">
        <f>A45-D45</f>
        <v>624</v>
      </c>
      <c r="AL45" s="18">
        <f>AJ45/T45</f>
        <v>0.19128226837087772</v>
      </c>
      <c r="AM45" s="18">
        <f>AJ45/T45*365/AK45</f>
        <v>0.11188786531309354</v>
      </c>
      <c r="AN45" s="18">
        <f>POWER((1+AL45),(365/AK45))-1</f>
        <v>0.10780600164362708</v>
      </c>
      <c r="AO45" s="21">
        <f>TitulosVendidos[[#This Row],[Comisión Santa Fe
Venta]]+TitulosVendidos[[#This Row],[Comisión Santa Fé
Compra]]</f>
        <v>64.449999999999989</v>
      </c>
      <c r="AP45" s="7"/>
    </row>
    <row r="46" spans="1:42" x14ac:dyDescent="0.25">
      <c r="A46" s="3">
        <v>45701</v>
      </c>
      <c r="B46" s="3" t="s">
        <v>42</v>
      </c>
      <c r="C46" t="s">
        <v>44</v>
      </c>
      <c r="D46" s="3">
        <v>45302</v>
      </c>
      <c r="E46" s="3">
        <v>45309</v>
      </c>
      <c r="F46" s="3">
        <v>45217</v>
      </c>
      <c r="G46" s="3">
        <v>46313</v>
      </c>
      <c r="H46" s="4">
        <v>4.3</v>
      </c>
      <c r="I46" s="4">
        <f>K46*12/T46*100</f>
        <v>5.1094359464330195</v>
      </c>
      <c r="J46" s="4">
        <v>11.75</v>
      </c>
      <c r="K46" s="4">
        <f>P46*H46/100/12</f>
        <v>21.965833333333332</v>
      </c>
      <c r="L46" s="4">
        <f>K46-V46</f>
        <v>5.1258333333333326</v>
      </c>
      <c r="M46">
        <f>IF(E46="", 0, IF(A46&gt;E46,INT((A46-E46)/30),0))</f>
        <v>13</v>
      </c>
      <c r="N46" s="5"/>
      <c r="O46" s="4">
        <f>K46*M46+L46+IF(A46&gt;E46,N46,0)</f>
        <v>290.68166666666667</v>
      </c>
      <c r="P46" s="4">
        <v>6130</v>
      </c>
      <c r="Q46" s="24">
        <v>83.841214930000007</v>
      </c>
      <c r="R46" s="24">
        <v>84.158017540114187</v>
      </c>
      <c r="S46" s="4">
        <f>P46*Q46/100</f>
        <v>5139.4664752090002</v>
      </c>
      <c r="T46" s="4">
        <f>P46*R46/100</f>
        <v>5158.8864752089994</v>
      </c>
      <c r="U46" s="4">
        <f>T46+V46</f>
        <v>5175.7264752089995</v>
      </c>
      <c r="V46" s="4">
        <v>16.84</v>
      </c>
      <c r="W46" s="4">
        <v>15.42</v>
      </c>
      <c r="X46" s="4">
        <v>4</v>
      </c>
      <c r="Y46" s="4">
        <f>W46+X46</f>
        <v>19.420000000000002</v>
      </c>
      <c r="Z46" s="6"/>
      <c r="AA46" s="24">
        <v>91.187966490000008</v>
      </c>
      <c r="AC46" s="5">
        <v>18.7</v>
      </c>
      <c r="AD46" s="4">
        <f>AA46*P46/100</f>
        <v>5589.8223458370012</v>
      </c>
      <c r="AE46" s="4">
        <v>16.77</v>
      </c>
      <c r="AF46" s="4">
        <v>4.4000000000000004</v>
      </c>
      <c r="AG46" s="4">
        <f>AD46-AE46-AF46</f>
        <v>5568.6523458370011</v>
      </c>
      <c r="AH46" s="4">
        <f>AD46-S46</f>
        <v>450.35587062800096</v>
      </c>
      <c r="AI46" s="4">
        <f>AG46-T46</f>
        <v>409.76587062800172</v>
      </c>
      <c r="AJ46" s="4">
        <f>AI46+O46+AC46</f>
        <v>719.14753729466838</v>
      </c>
      <c r="AK46">
        <f>A46-D46</f>
        <v>399</v>
      </c>
      <c r="AL46" s="18">
        <f>AJ46/T46</f>
        <v>0.13939976015183275</v>
      </c>
      <c r="AM46" s="18">
        <f>AJ46/T46*365/AK46</f>
        <v>0.12752108384816782</v>
      </c>
      <c r="AN46" s="18">
        <f>POWER((1+AL46),(365/AK46))-1</f>
        <v>0.12679932803899718</v>
      </c>
      <c r="AO46" s="21">
        <f>TitulosVendidos[[#This Row],[Comisión Santa Fe
Venta]]+TitulosVendidos[[#This Row],[Comisión Santa Fé
Compra]]</f>
        <v>32.19</v>
      </c>
      <c r="AP46" s="7"/>
    </row>
    <row r="47" spans="1:42" x14ac:dyDescent="0.25">
      <c r="A47" s="3">
        <v>45705</v>
      </c>
      <c r="B47" s="3" t="s">
        <v>42</v>
      </c>
      <c r="C47" t="s">
        <v>43</v>
      </c>
      <c r="D47" s="3">
        <v>45110</v>
      </c>
      <c r="E47" s="3">
        <v>45124</v>
      </c>
      <c r="F47" s="3">
        <v>45063</v>
      </c>
      <c r="G47" s="3">
        <v>47985</v>
      </c>
      <c r="H47" s="4">
        <v>5.93</v>
      </c>
      <c r="I47" s="4">
        <f>K47*12/T47*100</f>
        <v>7.7723835905781931</v>
      </c>
      <c r="J47" s="4">
        <v>11</v>
      </c>
      <c r="K47" s="4">
        <f>P47*H47/100/12</f>
        <v>29.155833333333334</v>
      </c>
      <c r="L47" s="4">
        <f>K47-V47</f>
        <v>12.635833333333334</v>
      </c>
      <c r="M47">
        <f>IF(E47="", 0, IF(A47&gt;E47,INT((A47-E47)/30),0))</f>
        <v>19</v>
      </c>
      <c r="N47" s="5"/>
      <c r="O47" s="4">
        <f>K47*M47+L47+IF(A47&gt;E47,N47,0)</f>
        <v>566.59666666666669</v>
      </c>
      <c r="P47" s="4">
        <v>5900</v>
      </c>
      <c r="Q47" s="24">
        <v>75.719499999999996</v>
      </c>
      <c r="R47" s="24">
        <v>76.295771186440675</v>
      </c>
      <c r="S47" s="4">
        <f>P47*Q47/100</f>
        <v>4467.4504999999999</v>
      </c>
      <c r="T47" s="4">
        <f>P47*R47/100</f>
        <v>4501.4504999999999</v>
      </c>
      <c r="U47" s="4">
        <f>T47+V47</f>
        <v>4517.9705000000004</v>
      </c>
      <c r="V47" s="4">
        <v>16.52</v>
      </c>
      <c r="W47" s="4">
        <v>30</v>
      </c>
      <c r="X47" s="4">
        <v>4</v>
      </c>
      <c r="Y47" s="4">
        <f>W47+X47</f>
        <v>34</v>
      </c>
      <c r="Z47" s="6"/>
      <c r="AA47" s="24">
        <v>79.951835840000001</v>
      </c>
      <c r="AC47" s="5">
        <v>0</v>
      </c>
      <c r="AD47" s="4">
        <f>AA47*P47/100</f>
        <v>4717.1583145599998</v>
      </c>
      <c r="AE47" s="4">
        <v>14.15</v>
      </c>
      <c r="AF47" s="4">
        <v>4</v>
      </c>
      <c r="AG47" s="4">
        <f>AD47-AE47-AF47</f>
        <v>4699.0083145600001</v>
      </c>
      <c r="AH47" s="4">
        <f>AD47-S47</f>
        <v>249.70781455999986</v>
      </c>
      <c r="AI47" s="4">
        <f>AG47-T47</f>
        <v>197.55781456000022</v>
      </c>
      <c r="AJ47" s="4">
        <f>AI47+O47+AC47</f>
        <v>764.15448122666692</v>
      </c>
      <c r="AK47">
        <f>A47-D47</f>
        <v>595</v>
      </c>
      <c r="AL47" s="18">
        <f>AJ47/T47</f>
        <v>0.16975738847437441</v>
      </c>
      <c r="AM47" s="18">
        <f>AJ47/T47*365/AK47</f>
        <v>0.10413688536663304</v>
      </c>
      <c r="AN47" s="18">
        <f>POWER((1+AL47),(365/AK47))-1</f>
        <v>0.1009638315599104</v>
      </c>
      <c r="AO47" s="21">
        <f>TitulosVendidos[[#This Row],[Comisión Santa Fe
Venta]]+TitulosVendidos[[#This Row],[Comisión Santa Fé
Compra]]</f>
        <v>44.15</v>
      </c>
      <c r="AP47" s="7"/>
    </row>
    <row r="48" spans="1:42" x14ac:dyDescent="0.25">
      <c r="A48" s="3">
        <v>45713</v>
      </c>
      <c r="B48" s="3" t="s">
        <v>42</v>
      </c>
      <c r="C48" t="s">
        <v>43</v>
      </c>
      <c r="D48" s="3">
        <v>44925</v>
      </c>
      <c r="E48" s="3">
        <v>44954</v>
      </c>
      <c r="F48" s="3">
        <v>44923</v>
      </c>
      <c r="G48" s="3">
        <v>47845</v>
      </c>
      <c r="H48" s="4">
        <v>5.93</v>
      </c>
      <c r="I48" s="4">
        <f>K48*12/T48*100</f>
        <v>7.2183190553416541</v>
      </c>
      <c r="J48" s="4">
        <v>9.5</v>
      </c>
      <c r="K48" s="4">
        <f>P48*H48/100/12</f>
        <v>176.17041666666668</v>
      </c>
      <c r="L48" s="4">
        <f>K48-V48</f>
        <v>164.4233554587218</v>
      </c>
      <c r="M48">
        <f>IF(E48="", 0, IF(A48&gt;E48,INT((A48-E48)/30),0))</f>
        <v>25</v>
      </c>
      <c r="N48" s="5"/>
      <c r="O48" s="4">
        <f>K48*M48+L48+IF(A48&gt;E48,N48,0)</f>
        <v>4568.6837721253887</v>
      </c>
      <c r="P48" s="4">
        <v>35650</v>
      </c>
      <c r="Q48" s="24">
        <v>81.865555509999993</v>
      </c>
      <c r="R48" s="24">
        <v>82.152090459505516</v>
      </c>
      <c r="S48" s="4">
        <f>P48*Q48/100</f>
        <v>29185.070539314998</v>
      </c>
      <c r="T48" s="4">
        <f>P48*R48/100</f>
        <v>29287.220248813719</v>
      </c>
      <c r="U48" s="4">
        <f>T48+V48</f>
        <v>29298.967310021664</v>
      </c>
      <c r="V48" s="4">
        <v>11.747061207944871</v>
      </c>
      <c r="W48" s="4">
        <v>87.55911363329281</v>
      </c>
      <c r="X48" s="4">
        <v>14.590595865423589</v>
      </c>
      <c r="Y48" s="4">
        <f>W48+X48</f>
        <v>102.1497094987164</v>
      </c>
      <c r="Z48" s="6"/>
      <c r="AA48" s="24">
        <v>84.952536999999992</v>
      </c>
      <c r="AC48" s="5">
        <v>164.43</v>
      </c>
      <c r="AD48" s="4">
        <f>AA48*P48/100</f>
        <v>30285.579440499994</v>
      </c>
      <c r="AE48" s="4">
        <v>90.86</v>
      </c>
      <c r="AF48" s="4">
        <v>15.14</v>
      </c>
      <c r="AG48" s="4">
        <f>AD48-AE48-AF48</f>
        <v>30179.579440499994</v>
      </c>
      <c r="AH48" s="4">
        <f>AD48-S48</f>
        <v>1100.5089011849959</v>
      </c>
      <c r="AI48" s="4">
        <f>AG48-T48</f>
        <v>892.35919168627515</v>
      </c>
      <c r="AJ48" s="4">
        <f>AI48+O48+AC48</f>
        <v>5625.4729638116642</v>
      </c>
      <c r="AK48">
        <f>A48-D48</f>
        <v>788</v>
      </c>
      <c r="AL48" s="18">
        <f>AJ48/T48</f>
        <v>0.19207944338928937</v>
      </c>
      <c r="AM48" s="18">
        <f>AJ48/T48*365/AK48</f>
        <v>8.8970808168896715E-2</v>
      </c>
      <c r="AN48" s="18">
        <f>POWER((1+AL48),(365/AK48))-1</f>
        <v>8.4786853136563423E-2</v>
      </c>
      <c r="AO48" s="21">
        <f>TitulosVendidos[[#This Row],[Comisión Santa Fe
Venta]]+TitulosVendidos[[#This Row],[Comisión Santa Fé
Compra]]</f>
        <v>178.4191136332928</v>
      </c>
      <c r="AP48" s="7"/>
    </row>
    <row r="49" spans="1:42" x14ac:dyDescent="0.25">
      <c r="A49" s="3">
        <v>45771</v>
      </c>
      <c r="B49" s="3" t="s">
        <v>42</v>
      </c>
      <c r="C49" t="s">
        <v>43</v>
      </c>
      <c r="D49" s="3">
        <v>44992</v>
      </c>
      <c r="E49" s="3">
        <v>45012</v>
      </c>
      <c r="F49" s="3">
        <v>44922</v>
      </c>
      <c r="G49" s="3">
        <v>47844</v>
      </c>
      <c r="H49" s="4">
        <v>5.93</v>
      </c>
      <c r="I49" s="4">
        <f>K49*12/T49*100</f>
        <v>6.9958823628203852</v>
      </c>
      <c r="J49" s="4">
        <v>9</v>
      </c>
      <c r="K49" s="4">
        <f>P49*H49/100/12</f>
        <v>262.40249999999997</v>
      </c>
      <c r="L49" s="4">
        <f>K49-V49</f>
        <v>174.93249999999998</v>
      </c>
      <c r="M49">
        <f>IF(E49="", 0, IF(A49&gt;E49,INT((A49-E49)/30),0))</f>
        <v>25</v>
      </c>
      <c r="N49" s="5"/>
      <c r="O49" s="4">
        <f>K49*M49+L49+IF(A49&gt;E49,N49,0)</f>
        <v>6734.994999999999</v>
      </c>
      <c r="P49" s="4">
        <v>53100</v>
      </c>
      <c r="Q49" s="24">
        <v>84.468497139999997</v>
      </c>
      <c r="R49" s="24">
        <v>84.764146857514106</v>
      </c>
      <c r="S49" s="4">
        <f>P49*Q49/100</f>
        <v>44852.771981339996</v>
      </c>
      <c r="T49" s="4">
        <f>P49*R49/100</f>
        <v>45009.761981339994</v>
      </c>
      <c r="U49" s="4">
        <f>T49+V49</f>
        <v>45097.231981339995</v>
      </c>
      <c r="V49" s="4">
        <v>87.47</v>
      </c>
      <c r="W49" s="4">
        <v>134.56</v>
      </c>
      <c r="X49" s="4">
        <v>22.43</v>
      </c>
      <c r="Y49" s="4">
        <f>W49+X49</f>
        <v>156.99</v>
      </c>
      <c r="Z49" s="6"/>
      <c r="AA49" s="24">
        <v>84.942212979999994</v>
      </c>
      <c r="AC49" s="5">
        <v>244.91</v>
      </c>
      <c r="AD49" s="4">
        <f>AA49*P49/100</f>
        <v>45104.315092379999</v>
      </c>
      <c r="AE49" s="4">
        <v>126.68</v>
      </c>
      <c r="AF49" s="4">
        <v>22.55</v>
      </c>
      <c r="AG49" s="4">
        <f>AD49-AE49-AF49</f>
        <v>44955.085092379995</v>
      </c>
      <c r="AH49" s="4">
        <f>AD49-S49</f>
        <v>251.54311104000226</v>
      </c>
      <c r="AI49" s="4">
        <f>AG49-T49</f>
        <v>-54.676888959998905</v>
      </c>
      <c r="AJ49" s="4">
        <f>AI49+O49+AC49</f>
        <v>6925.2281110399999</v>
      </c>
      <c r="AK49">
        <f>A49-D49</f>
        <v>779</v>
      </c>
      <c r="AL49" s="18">
        <f>AJ49/T49</f>
        <v>0.15386058059829419</v>
      </c>
      <c r="AM49" s="18">
        <f>AJ49/T49*365/AK49</f>
        <v>7.2091286159662871E-2</v>
      </c>
      <c r="AN49" s="18">
        <f>POWER((1+AL49),(365/AK49))-1</f>
        <v>6.9355013870578075E-2</v>
      </c>
      <c r="AO49" s="21">
        <f>TitulosVendidos[[#This Row],[Comisión Santa Fe
Venta]]+TitulosVendidos[[#This Row],[Comisión Santa Fé
Compra]]</f>
        <v>261.24</v>
      </c>
      <c r="AP49" s="7"/>
    </row>
    <row r="50" spans="1:42" x14ac:dyDescent="0.25">
      <c r="A50" s="3">
        <v>45791</v>
      </c>
      <c r="B50" s="3" t="s">
        <v>42</v>
      </c>
      <c r="C50" t="s">
        <v>43</v>
      </c>
      <c r="D50" s="3">
        <v>44925</v>
      </c>
      <c r="E50" s="3">
        <v>44954</v>
      </c>
      <c r="F50" s="3">
        <v>44923</v>
      </c>
      <c r="G50" s="3">
        <v>47845</v>
      </c>
      <c r="H50" s="4">
        <v>5.93</v>
      </c>
      <c r="I50" s="4">
        <f>K50*12/T50*100</f>
        <v>7.2174787033628922</v>
      </c>
      <c r="J50" s="4">
        <v>9.5</v>
      </c>
      <c r="K50" s="4">
        <f>P50*H50/100/12</f>
        <v>50.583888333333334</v>
      </c>
      <c r="L50" s="4">
        <f>K50-V50</f>
        <v>47.210949541278211</v>
      </c>
      <c r="M50">
        <f>IF(E50="", 0, IF(A50&gt;E50,INT((A50-E50)/30),0))</f>
        <v>27</v>
      </c>
      <c r="N50" s="5"/>
      <c r="O50" s="4">
        <f>K50*M50+L50+IF(A50&gt;E50,N50,0)</f>
        <v>1412.9759345412783</v>
      </c>
      <c r="P50" s="4">
        <v>10236.200000000001</v>
      </c>
      <c r="Q50" s="24">
        <v>81.865555509999993</v>
      </c>
      <c r="R50" s="24">
        <v>82.161655665668846</v>
      </c>
      <c r="S50" s="4">
        <f>P50*Q50/100</f>
        <v>8379.9219931146199</v>
      </c>
      <c r="T50" s="4">
        <f>P50*R50/100</f>
        <v>8410.2313972491938</v>
      </c>
      <c r="U50" s="4">
        <f>T50+V50</f>
        <v>8413.6043360412496</v>
      </c>
      <c r="V50" s="4">
        <v>3.3729387920551268</v>
      </c>
      <c r="W50" s="4">
        <v>26.12</v>
      </c>
      <c r="X50" s="4">
        <v>4.1894041345764066</v>
      </c>
      <c r="Y50" s="4">
        <f>W50+X50</f>
        <v>30.309404134576408</v>
      </c>
      <c r="Z50" s="6"/>
      <c r="AA50" s="24">
        <v>85.069828999999999</v>
      </c>
      <c r="AC50" s="5">
        <v>25</v>
      </c>
      <c r="AD50" s="4">
        <f>AA50*P50/100</f>
        <v>8707.9178360980004</v>
      </c>
      <c r="AE50" s="4">
        <v>20</v>
      </c>
      <c r="AF50" s="4">
        <v>2</v>
      </c>
      <c r="AG50" s="4">
        <f>AD50-AE50-AF50</f>
        <v>8685.9178360980004</v>
      </c>
      <c r="AH50" s="4">
        <f>AD50-S50</f>
        <v>327.9958429833805</v>
      </c>
      <c r="AI50" s="4">
        <f>AG50-T50</f>
        <v>275.68643884880657</v>
      </c>
      <c r="AJ50" s="4">
        <f>AI50+O50+AC50</f>
        <v>1713.6623733900849</v>
      </c>
      <c r="AK50">
        <f>A50-D50</f>
        <v>866</v>
      </c>
      <c r="AL50" s="18">
        <f>AJ50/T50</f>
        <v>0.20375924186230918</v>
      </c>
      <c r="AM50" s="18">
        <f>AJ50/T50*365/AK50</f>
        <v>8.5880049976608377E-2</v>
      </c>
      <c r="AN50" s="18">
        <f>POWER((1+AL50),(365/AK50))-1</f>
        <v>8.1298719979468803E-2</v>
      </c>
      <c r="AO50" s="21">
        <f>TitulosVendidos[[#This Row],[Comisión Santa Fe
Venta]]+TitulosVendidos[[#This Row],[Comisión Santa Fé
Compra]]</f>
        <v>46.120000000000005</v>
      </c>
      <c r="AP50" s="7"/>
    </row>
    <row r="51" spans="1:42" x14ac:dyDescent="0.25">
      <c r="A51" s="3">
        <v>45791</v>
      </c>
      <c r="B51" s="3" t="s">
        <v>42</v>
      </c>
      <c r="C51" t="s">
        <v>44</v>
      </c>
      <c r="D51" s="3">
        <v>44964</v>
      </c>
      <c r="E51" s="3">
        <v>44985</v>
      </c>
      <c r="F51" s="3">
        <v>44923</v>
      </c>
      <c r="G51" s="3">
        <v>47480</v>
      </c>
      <c r="H51" s="4">
        <v>5.64</v>
      </c>
      <c r="I51" s="4">
        <f>K51*12/T51*100</f>
        <v>6.7116271647248009</v>
      </c>
      <c r="J51" s="4">
        <v>9</v>
      </c>
      <c r="K51" s="4">
        <f>P51*H51/100/12</f>
        <v>70.5</v>
      </c>
      <c r="L51" s="4">
        <f>K51-V51</f>
        <v>47</v>
      </c>
      <c r="M51">
        <f>IF(E51="", 0, IF(A51&gt;E51,INT((A51-E51)/30),0))</f>
        <v>26</v>
      </c>
      <c r="N51" s="5"/>
      <c r="O51" s="4">
        <f>K51*M51+L51+IF(A51&gt;E51,N51,0)</f>
        <v>1880</v>
      </c>
      <c r="P51" s="4">
        <v>15000</v>
      </c>
      <c r="Q51" s="24">
        <v>83.740206659999998</v>
      </c>
      <c r="R51" s="24">
        <v>84.033273326666674</v>
      </c>
      <c r="S51" s="4">
        <f>P51*Q51/100</f>
        <v>12561.030999000001</v>
      </c>
      <c r="T51" s="4">
        <f>P51*R51/100</f>
        <v>12604.990999</v>
      </c>
      <c r="U51" s="4">
        <f>T51+V51</f>
        <v>12628.490999</v>
      </c>
      <c r="V51" s="4">
        <v>23.5</v>
      </c>
      <c r="W51" s="4">
        <v>37.68</v>
      </c>
      <c r="X51" s="4">
        <v>6.28</v>
      </c>
      <c r="Y51" s="4">
        <f>W51+X51</f>
        <v>43.96</v>
      </c>
      <c r="Z51" s="6"/>
      <c r="AA51" s="24">
        <v>86.906742999999992</v>
      </c>
      <c r="AC51" s="5">
        <v>20</v>
      </c>
      <c r="AD51" s="4">
        <f>AA51*P51/100</f>
        <v>13036.011449999998</v>
      </c>
      <c r="AE51" s="4">
        <v>25</v>
      </c>
      <c r="AF51" s="4">
        <v>2.5</v>
      </c>
      <c r="AG51" s="4">
        <f>AD51-AE51-AF51</f>
        <v>13008.511449999998</v>
      </c>
      <c r="AH51" s="4">
        <f>AD51-S51</f>
        <v>474.98045099999763</v>
      </c>
      <c r="AI51" s="4">
        <f>AG51-T51</f>
        <v>403.5204509999985</v>
      </c>
      <c r="AJ51" s="4">
        <f>AI51+O51+AC51</f>
        <v>2303.5204509999985</v>
      </c>
      <c r="AK51">
        <f>A51-D51</f>
        <v>827</v>
      </c>
      <c r="AL51" s="18">
        <f>AJ51/T51</f>
        <v>0.18274669543062311</v>
      </c>
      <c r="AM51" s="18">
        <f>AJ51/T51*365/AK51</f>
        <v>8.0656038491145637E-2</v>
      </c>
      <c r="AN51" s="18">
        <f>POWER((1+AL51),(365/AK51))-1</f>
        <v>7.6889354517904573E-2</v>
      </c>
      <c r="AO51" s="21">
        <f>TitulosVendidos[[#This Row],[Comisión Santa Fe
Venta]]+TitulosVendidos[[#This Row],[Comisión Santa Fé
Compra]]</f>
        <v>62.68</v>
      </c>
      <c r="AP51" s="7"/>
    </row>
    <row r="52" spans="1:42" x14ac:dyDescent="0.25">
      <c r="A52" s="3">
        <v>45791</v>
      </c>
      <c r="B52" s="3" t="s">
        <v>42</v>
      </c>
      <c r="C52" t="s">
        <v>44</v>
      </c>
      <c r="D52" s="3">
        <v>45713</v>
      </c>
      <c r="E52" s="3">
        <v>45716</v>
      </c>
      <c r="F52" s="3">
        <v>44923</v>
      </c>
      <c r="G52" s="3">
        <v>47845</v>
      </c>
      <c r="H52" s="4">
        <v>5.93</v>
      </c>
      <c r="I52" s="4">
        <f>K52*12/T52*100</f>
        <v>7.1361689397646462</v>
      </c>
      <c r="J52" s="4">
        <v>10.5</v>
      </c>
      <c r="K52" s="4">
        <f>P52*H52/100/12</f>
        <v>58.805833333333332</v>
      </c>
      <c r="L52" s="4">
        <f>K52-V52</f>
        <v>5.8758333333333326</v>
      </c>
      <c r="M52">
        <f>IF(E52="", 0, IF(A52&gt;E52,INT((A52-E52)/30),0))</f>
        <v>2</v>
      </c>
      <c r="N52" s="5"/>
      <c r="O52" s="4">
        <f>K52*M52+L52+IF(A52&gt;E52,N52,0)</f>
        <v>123.4875</v>
      </c>
      <c r="P52" s="4">
        <v>11900</v>
      </c>
      <c r="Q52" s="24">
        <v>82.807976569999994</v>
      </c>
      <c r="R52" s="24">
        <v>83.097808502773105</v>
      </c>
      <c r="S52" s="4">
        <f>P52*Q52/100</f>
        <v>9854.1492118299993</v>
      </c>
      <c r="T52" s="4">
        <f>P52*R52/100</f>
        <v>9888.6392118299991</v>
      </c>
      <c r="U52" s="4">
        <f>T52+V52</f>
        <v>9941.5692118299994</v>
      </c>
      <c r="V52" s="4">
        <v>52.93</v>
      </c>
      <c r="W52" s="4">
        <v>29.56</v>
      </c>
      <c r="X52" s="4">
        <v>4.93</v>
      </c>
      <c r="Y52" s="4">
        <f>W52+X52</f>
        <v>34.489999999999995</v>
      </c>
      <c r="Z52" s="6"/>
      <c r="AA52" s="24">
        <v>85.069828999999999</v>
      </c>
      <c r="AC52" s="5">
        <v>30</v>
      </c>
      <c r="AD52" s="4">
        <f>AA52*P52/100</f>
        <v>10123.309651</v>
      </c>
      <c r="AE52" s="4">
        <v>20</v>
      </c>
      <c r="AF52" s="4">
        <v>2</v>
      </c>
      <c r="AG52" s="4">
        <f>AD52-AE52-AF52</f>
        <v>10101.309651</v>
      </c>
      <c r="AH52" s="4">
        <f>AD52-S52</f>
        <v>269.16043917000025</v>
      </c>
      <c r="AI52" s="4">
        <f>AG52-T52</f>
        <v>212.67043917000046</v>
      </c>
      <c r="AJ52" s="4">
        <f>AI52+O52+AC52</f>
        <v>366.15793917000047</v>
      </c>
      <c r="AK52">
        <f>A52-D52</f>
        <v>78</v>
      </c>
      <c r="AL52" s="18">
        <f>AJ52/T52</f>
        <v>3.7028142227290242E-2</v>
      </c>
      <c r="AM52" s="18">
        <f>AJ52/T52*365/AK52</f>
        <v>0.17327271683283255</v>
      </c>
      <c r="AN52" s="18">
        <f>POWER((1+AL52),(365/AK52))-1</f>
        <v>0.18547292508147084</v>
      </c>
      <c r="AO52" s="21">
        <f>TitulosVendidos[[#This Row],[Comisión Santa Fe
Venta]]+TitulosVendidos[[#This Row],[Comisión Santa Fé
Compra]]</f>
        <v>49.56</v>
      </c>
      <c r="AP52" s="7"/>
    </row>
    <row r="53" spans="1:42" x14ac:dyDescent="0.25">
      <c r="A53" s="3">
        <v>45791</v>
      </c>
      <c r="B53" s="3" t="s">
        <v>42</v>
      </c>
      <c r="C53" t="s">
        <v>44</v>
      </c>
      <c r="D53" s="3">
        <v>44925</v>
      </c>
      <c r="E53" s="3">
        <v>44954</v>
      </c>
      <c r="F53" s="3">
        <v>44923</v>
      </c>
      <c r="G53" s="3">
        <v>47845</v>
      </c>
      <c r="H53" s="4">
        <v>5.93</v>
      </c>
      <c r="I53" s="4">
        <f>K53*12/T53*100</f>
        <v>7.2121733771431025</v>
      </c>
      <c r="J53" s="4">
        <v>9.5</v>
      </c>
      <c r="K53" s="4">
        <f>P53*H53/100/12</f>
        <v>35.648195000000001</v>
      </c>
      <c r="L53" s="4">
        <f>K53-V53</f>
        <v>33.268194999999999</v>
      </c>
      <c r="M53">
        <f>IF(E53="", 0, IF(A53&gt;E53,INT((A53-E53)/30),0))</f>
        <v>27</v>
      </c>
      <c r="N53" s="5"/>
      <c r="O53" s="4">
        <f>K53*M53+L53+IF(A53&gt;E53,N53,0)</f>
        <v>995.76945999999998</v>
      </c>
      <c r="P53" s="4">
        <v>7213.8</v>
      </c>
      <c r="Q53" s="24">
        <v>81.865555509999993</v>
      </c>
      <c r="R53" s="24">
        <v>82.222094366081393</v>
      </c>
      <c r="S53" s="4">
        <f>P53*Q53/100</f>
        <v>5905.617443380379</v>
      </c>
      <c r="T53" s="4">
        <f>P53*R53/100</f>
        <v>5931.3374433803792</v>
      </c>
      <c r="U53" s="4">
        <f>T53+V53</f>
        <v>5933.7174433803793</v>
      </c>
      <c r="V53" s="4">
        <v>2.38</v>
      </c>
      <c r="W53" s="4">
        <v>21.72</v>
      </c>
      <c r="X53" s="4">
        <v>4</v>
      </c>
      <c r="Y53" s="4">
        <f>W53+X53</f>
        <v>25.72</v>
      </c>
      <c r="Z53" s="6"/>
      <c r="AA53" s="24">
        <v>85.069828999999999</v>
      </c>
      <c r="AC53" s="5">
        <v>20</v>
      </c>
      <c r="AD53" s="4">
        <f>AA53*P53/100</f>
        <v>6136.7673244020007</v>
      </c>
      <c r="AE53" s="4">
        <v>15</v>
      </c>
      <c r="AF53" s="4">
        <v>1.5</v>
      </c>
      <c r="AG53" s="4">
        <f>AD53-AE53-AF53</f>
        <v>6120.2673244020007</v>
      </c>
      <c r="AH53" s="4">
        <f>AD53-S53</f>
        <v>231.1498810216217</v>
      </c>
      <c r="AI53" s="4">
        <f>AG53-T53</f>
        <v>188.92988102162144</v>
      </c>
      <c r="AJ53" s="4">
        <f>AI53+O53+AC53</f>
        <v>1204.6993410216214</v>
      </c>
      <c r="AK53">
        <f>A53-D53</f>
        <v>866</v>
      </c>
      <c r="AL53" s="18">
        <f>AJ53/T53</f>
        <v>0.20310753730022835</v>
      </c>
      <c r="AM53" s="18">
        <f>AJ53/T53*365/AK53</f>
        <v>8.5605370802059294E-2</v>
      </c>
      <c r="AN53" s="18">
        <f>POWER((1+AL53),(365/AK53))-1</f>
        <v>8.1051945744589737E-2</v>
      </c>
      <c r="AO53" s="21">
        <f>TitulosVendidos[[#This Row],[Comisión Santa Fe
Venta]]+TitulosVendidos[[#This Row],[Comisión Santa Fé
Compra]]</f>
        <v>36.72</v>
      </c>
      <c r="AP53" s="7"/>
    </row>
    <row r="54" spans="1:42" x14ac:dyDescent="0.25">
      <c r="A54" s="3">
        <v>45791</v>
      </c>
      <c r="B54" s="3" t="s">
        <v>42</v>
      </c>
      <c r="C54" t="s">
        <v>44</v>
      </c>
      <c r="D54" s="3">
        <v>45000</v>
      </c>
      <c r="E54" s="3">
        <v>45013</v>
      </c>
      <c r="F54" s="3">
        <v>44923</v>
      </c>
      <c r="G54" s="3">
        <v>47845</v>
      </c>
      <c r="H54" s="4">
        <v>5.93</v>
      </c>
      <c r="I54" s="4">
        <f>K54*12/T54*100</f>
        <v>7.0882603151031596</v>
      </c>
      <c r="J54" s="4">
        <v>9.25</v>
      </c>
      <c r="K54" s="4">
        <f>P54*H54/100/12</f>
        <v>64.735833333333332</v>
      </c>
      <c r="L54" s="4">
        <f>K54-V54</f>
        <v>28.055833333333332</v>
      </c>
      <c r="M54">
        <f>IF(E54="", 0, IF(A54&gt;E54,INT((A54-E54)/30),0))</f>
        <v>25</v>
      </c>
      <c r="N54" s="5"/>
      <c r="O54" s="4">
        <f>K54*M54+L54+IF(A54&gt;E54,N54,0)</f>
        <v>1646.4516666666666</v>
      </c>
      <c r="P54" s="4">
        <v>13100</v>
      </c>
      <c r="Q54" s="24">
        <v>83.367699999999999</v>
      </c>
      <c r="R54" s="24">
        <v>83.659455725190824</v>
      </c>
      <c r="S54" s="4">
        <f>P54*Q54/100</f>
        <v>10921.168699999998</v>
      </c>
      <c r="T54" s="4">
        <f>P54*R54/100</f>
        <v>10959.3887</v>
      </c>
      <c r="U54" s="4">
        <f>T54+V54</f>
        <v>10996.0687</v>
      </c>
      <c r="V54" s="4">
        <v>36.68</v>
      </c>
      <c r="W54" s="4">
        <v>32.76</v>
      </c>
      <c r="X54" s="4">
        <v>5.46</v>
      </c>
      <c r="Y54" s="4">
        <f>W54+X54</f>
        <v>38.22</v>
      </c>
      <c r="Z54" s="6"/>
      <c r="AA54" s="24">
        <v>85.069828999999999</v>
      </c>
      <c r="AC54" s="5">
        <v>36</v>
      </c>
      <c r="AD54" s="4">
        <f>AA54*P54/100</f>
        <v>11144.147599</v>
      </c>
      <c r="AE54" s="4">
        <v>20</v>
      </c>
      <c r="AF54" s="4">
        <v>2</v>
      </c>
      <c r="AG54" s="4">
        <f>AD54-AE54-AF54</f>
        <v>11122.147599</v>
      </c>
      <c r="AH54" s="4">
        <f>AD54-S54</f>
        <v>222.97889900000155</v>
      </c>
      <c r="AI54" s="4">
        <f>AG54-T54</f>
        <v>162.75889900000038</v>
      </c>
      <c r="AJ54" s="4">
        <f>AI54+O54+AC54</f>
        <v>1845.210565666667</v>
      </c>
      <c r="AK54">
        <f>A54-D54</f>
        <v>791</v>
      </c>
      <c r="AL54" s="18">
        <f>AJ54/T54</f>
        <v>0.168368019072694</v>
      </c>
      <c r="AM54" s="18">
        <f>AJ54/T54*365/AK54</f>
        <v>7.7691943061356905E-2</v>
      </c>
      <c r="AN54" s="18">
        <f>POWER((1+AL54),(365/AK54))-1</f>
        <v>7.444463262828771E-2</v>
      </c>
      <c r="AO54" s="21">
        <f>TitulosVendidos[[#This Row],[Comisión Santa Fe
Venta]]+TitulosVendidos[[#This Row],[Comisión Santa Fé
Compra]]</f>
        <v>52.76</v>
      </c>
      <c r="AP54" s="7"/>
    </row>
    <row r="55" spans="1:42" x14ac:dyDescent="0.25">
      <c r="A55" s="3">
        <v>45805</v>
      </c>
      <c r="B55" s="3" t="s">
        <v>42</v>
      </c>
      <c r="C55" t="s">
        <v>43</v>
      </c>
      <c r="D55" s="3">
        <v>45008</v>
      </c>
      <c r="E55" s="3">
        <v>45013</v>
      </c>
      <c r="F55" s="3">
        <v>44923</v>
      </c>
      <c r="G55" s="3">
        <v>47115</v>
      </c>
      <c r="H55" s="4">
        <v>5.36</v>
      </c>
      <c r="I55" s="4">
        <f>K55*12/T55*100</f>
        <v>6.341326638659142</v>
      </c>
      <c r="J55" s="4">
        <v>9</v>
      </c>
      <c r="K55" s="4">
        <f>P55*H55/100/12</f>
        <v>44.666666666666664</v>
      </c>
      <c r="L55" s="4">
        <f>K55-V55</f>
        <v>7.4466666666666654</v>
      </c>
      <c r="M55">
        <f>IF(E55="", 0, IF(A55&gt;E55,INT((A55-E55)/30),0))</f>
        <v>26</v>
      </c>
      <c r="N55" s="5"/>
      <c r="O55" s="4">
        <f>K55*M55+L55+IF(A55&gt;E55,N55,0)</f>
        <v>1168.78</v>
      </c>
      <c r="P55" s="4">
        <v>10000</v>
      </c>
      <c r="Q55" s="24">
        <v>84.230099999999993</v>
      </c>
      <c r="R55" s="24">
        <v>84.524899999999974</v>
      </c>
      <c r="S55" s="4">
        <f>P55*Q55/100</f>
        <v>8423.0099999999984</v>
      </c>
      <c r="T55" s="4">
        <f>P55*R55/100</f>
        <v>8452.489999999998</v>
      </c>
      <c r="U55" s="4">
        <f>T55+V55</f>
        <v>8489.7099999999973</v>
      </c>
      <c r="V55" s="4">
        <v>37.22</v>
      </c>
      <c r="W55" s="4">
        <v>25.27</v>
      </c>
      <c r="X55" s="4">
        <v>4.21</v>
      </c>
      <c r="Y55" s="4">
        <f>W55+X55</f>
        <v>29.48</v>
      </c>
      <c r="Z55" s="6"/>
      <c r="AA55" s="24">
        <v>91.515747849999997</v>
      </c>
      <c r="AC55" s="5"/>
      <c r="AD55" s="4">
        <f>AA55*P55/100</f>
        <v>9151.5747849999989</v>
      </c>
      <c r="AE55" s="4">
        <v>27.45</v>
      </c>
      <c r="AF55" s="4">
        <v>4.58</v>
      </c>
      <c r="AG55" s="4">
        <f>AD55-AE55-AF55</f>
        <v>9119.5447849999982</v>
      </c>
      <c r="AH55" s="4">
        <f>AD55-S55</f>
        <v>728.56478500000048</v>
      </c>
      <c r="AI55" s="4">
        <f>AG55-T55</f>
        <v>667.05478500000027</v>
      </c>
      <c r="AJ55" s="4">
        <f>AI55+O55+AC55</f>
        <v>1835.8347850000002</v>
      </c>
      <c r="AK55">
        <f>A55-D55</f>
        <v>797</v>
      </c>
      <c r="AL55" s="18">
        <f>AJ55/T55</f>
        <v>0.21719455272943247</v>
      </c>
      <c r="AM55" s="18">
        <f>AJ55/T55*365/AK55</f>
        <v>9.9468019756891915E-2</v>
      </c>
      <c r="AN55" s="18">
        <f>POWER((1+AL55),(365/AK55))-1</f>
        <v>9.4188372533719589E-2</v>
      </c>
      <c r="AO55" s="21">
        <f>TitulosVendidos[[#This Row],[Comisión Santa Fe
Venta]]+TitulosVendidos[[#This Row],[Comisión Santa Fé
Compra]]</f>
        <v>52.72</v>
      </c>
      <c r="AP55" s="7"/>
    </row>
    <row r="56" spans="1:42" x14ac:dyDescent="0.25">
      <c r="A56" s="3">
        <v>45805</v>
      </c>
      <c r="B56" s="3" t="s">
        <v>42</v>
      </c>
      <c r="C56" t="s">
        <v>43</v>
      </c>
      <c r="D56" s="3">
        <v>45714</v>
      </c>
      <c r="E56" s="3">
        <v>45718</v>
      </c>
      <c r="F56" s="3">
        <v>45628</v>
      </c>
      <c r="G56" s="3">
        <v>48184</v>
      </c>
      <c r="H56" s="4">
        <v>5.64</v>
      </c>
      <c r="I56" s="4">
        <f>K56*12/T56*100</f>
        <v>7.4097610761020265</v>
      </c>
      <c r="J56" s="4">
        <v>11</v>
      </c>
      <c r="K56" s="4">
        <f>P56*H56/100/12</f>
        <v>71.158000000000001</v>
      </c>
      <c r="L56" s="4">
        <f>K56-V56</f>
        <v>11.859401888772304</v>
      </c>
      <c r="M56">
        <f>IF(E56="", 0, IF(A56&gt;E56,INT((A56-E56)/30),0))</f>
        <v>2</v>
      </c>
      <c r="N56" s="5"/>
      <c r="O56" s="4">
        <f>K56*M56+L56+IF(A56&gt;E56,N56,0)</f>
        <v>154.17540188877231</v>
      </c>
      <c r="P56" s="4">
        <v>15140</v>
      </c>
      <c r="Q56" s="24">
        <v>75.850337120000006</v>
      </c>
      <c r="R56" s="24">
        <v>76.11581455966423</v>
      </c>
      <c r="S56" s="4">
        <f>P56*Q56/100</f>
        <v>11483.741039968001</v>
      </c>
      <c r="T56" s="4">
        <f>P56*R56/100</f>
        <v>11523.934324333164</v>
      </c>
      <c r="U56" s="4">
        <f>T56+V56</f>
        <v>11583.232922444391</v>
      </c>
      <c r="V56" s="4">
        <v>59.298598111227697</v>
      </c>
      <c r="W56" s="4">
        <v>34.451840503672607</v>
      </c>
      <c r="X56" s="4">
        <v>5.7414438614900316</v>
      </c>
      <c r="Y56" s="4">
        <f>W56+X56</f>
        <v>40.19328436516264</v>
      </c>
      <c r="Z56" s="6"/>
      <c r="AA56" s="24">
        <v>78.43812702000001</v>
      </c>
      <c r="AC56" s="5">
        <v>61.67</v>
      </c>
      <c r="AD56" s="4">
        <f>AA56*P56/100</f>
        <v>11875.532430828001</v>
      </c>
      <c r="AE56" s="4">
        <v>35.630000000000003</v>
      </c>
      <c r="AF56" s="4">
        <v>5.94</v>
      </c>
      <c r="AG56" s="4">
        <f>AD56-AE56-AF56</f>
        <v>11833.962430828002</v>
      </c>
      <c r="AH56" s="4">
        <f>AD56-S56</f>
        <v>391.79139086000032</v>
      </c>
      <c r="AI56" s="4">
        <f>AG56-T56</f>
        <v>310.02810649483763</v>
      </c>
      <c r="AJ56" s="4">
        <f>AI56+O56+AC56</f>
        <v>525.87350838360987</v>
      </c>
      <c r="AK56">
        <f>A56-D56</f>
        <v>91</v>
      </c>
      <c r="AL56" s="18">
        <f>AJ56/T56</f>
        <v>4.5633157356095889E-2</v>
      </c>
      <c r="AM56" s="18">
        <f>AJ56/T56*365/AK56</f>
        <v>0.18303409269203297</v>
      </c>
      <c r="AN56" s="18">
        <f>POWER((1+AL56),(365/AK56))-1</f>
        <v>0.19599770276001549</v>
      </c>
      <c r="AO56" s="21">
        <f>TitulosVendidos[[#This Row],[Comisión Santa Fe
Venta]]+TitulosVendidos[[#This Row],[Comisión Santa Fé
Compra]]</f>
        <v>70.081840503672609</v>
      </c>
      <c r="AP56" s="7"/>
    </row>
    <row r="57" spans="1:42" x14ac:dyDescent="0.25">
      <c r="A57" s="3">
        <v>46056</v>
      </c>
      <c r="B57" s="3" t="s">
        <v>42</v>
      </c>
      <c r="C57" t="s">
        <v>43</v>
      </c>
      <c r="D57" s="3">
        <v>45875</v>
      </c>
      <c r="E57" s="3">
        <v>45887</v>
      </c>
      <c r="F57" s="3">
        <v>45217</v>
      </c>
      <c r="G57" s="3">
        <v>46678</v>
      </c>
      <c r="H57" s="4">
        <v>4.71</v>
      </c>
      <c r="I57" s="4">
        <f>K57*12/T57*100</f>
        <v>5.0299444746008</v>
      </c>
      <c r="J57" s="4">
        <v>8.5</v>
      </c>
      <c r="K57" s="4">
        <f>P57*H57/100/12</f>
        <v>82.817499999999995</v>
      </c>
      <c r="L57" s="4">
        <f>K57-V57</f>
        <v>33.127499999999998</v>
      </c>
      <c r="M57">
        <f>IF(E57="", 0, IF(A57&gt;E57,INT((A57-E57)/30),0))</f>
        <v>5</v>
      </c>
      <c r="N57" s="5"/>
      <c r="O57" s="4">
        <f>K57*M57+L57+IF(A57&gt;E57,N57,0)</f>
        <v>447.21499999999997</v>
      </c>
      <c r="P57" s="4">
        <v>21100</v>
      </c>
      <c r="Q57" s="24">
        <v>93.219725969999999</v>
      </c>
      <c r="R57" s="24">
        <v>93.639204642985788</v>
      </c>
      <c r="S57" s="4">
        <f>P57*Q57/100</f>
        <v>19669.362179670003</v>
      </c>
      <c r="T57" s="4">
        <f>P57*R57/100</f>
        <v>19757.872179670001</v>
      </c>
      <c r="U57" s="4">
        <f>T57+V57</f>
        <v>19807.56217967</v>
      </c>
      <c r="V57" s="4">
        <v>49.69</v>
      </c>
      <c r="W57" s="4">
        <v>78.680000000000007</v>
      </c>
      <c r="X57" s="4">
        <v>9.83</v>
      </c>
      <c r="Y57" s="4">
        <f>W57+X57</f>
        <v>88.51</v>
      </c>
      <c r="Z57" s="6"/>
      <c r="AA57" s="24">
        <v>94.167547999999996</v>
      </c>
      <c r="AB57" s="24">
        <v>94.117599999999996</v>
      </c>
      <c r="AC57" s="5">
        <v>41.41096638655462</v>
      </c>
      <c r="AD57" s="4">
        <f>AA57*P57/100</f>
        <v>19869.352628000001</v>
      </c>
      <c r="AE57" s="4">
        <v>42.004957983193279</v>
      </c>
      <c r="AF57" s="4">
        <v>9.9382773109243701</v>
      </c>
      <c r="AG57" s="4">
        <f>AD57-AE57-AF57</f>
        <v>19817.409392705882</v>
      </c>
      <c r="AH57" s="4">
        <f>AD57-S57</f>
        <v>199.99044832999789</v>
      </c>
      <c r="AI57" s="4">
        <f>AG57-T57</f>
        <v>59.537213035880995</v>
      </c>
      <c r="AJ57" s="4">
        <f>AI57+O57+AC57</f>
        <v>548.16317942243563</v>
      </c>
      <c r="AK57">
        <f>A57-D57</f>
        <v>181</v>
      </c>
      <c r="AL57" s="18">
        <f>AJ57/T57</f>
        <v>2.7744039157540049E-2</v>
      </c>
      <c r="AM57" s="18">
        <f>AJ57/T57*365/AK57</f>
        <v>5.5947924267967505E-2</v>
      </c>
      <c r="AN57" s="18">
        <f>POWER((1+AL57),(365/AK57))-1</f>
        <v>5.6737018801689576E-2</v>
      </c>
      <c r="AO57" s="21">
        <f>TitulosVendidos[[#This Row],[Comisión Santa Fe
Venta]]+TitulosVendidos[[#This Row],[Comisión Santa Fé
Compra]]</f>
        <v>120.68495798319329</v>
      </c>
      <c r="AP57" s="7"/>
    </row>
    <row r="58" spans="1:42" x14ac:dyDescent="0.25">
      <c r="A58" s="3">
        <v>46056</v>
      </c>
      <c r="B58" s="3" t="s">
        <v>42</v>
      </c>
      <c r="C58" t="s">
        <v>43</v>
      </c>
      <c r="D58" s="3">
        <v>45419</v>
      </c>
      <c r="E58" s="3">
        <v>45430</v>
      </c>
      <c r="F58" s="3">
        <v>45217</v>
      </c>
      <c r="G58" s="3">
        <v>46678</v>
      </c>
      <c r="H58" s="4">
        <v>4.71</v>
      </c>
      <c r="I58" s="4">
        <f>K58*12/T58*100</f>
        <v>5.7620048929969228</v>
      </c>
      <c r="J58" s="4">
        <v>11.75</v>
      </c>
      <c r="K58" s="4">
        <f>P58*H58/100/12</f>
        <v>10.5975</v>
      </c>
      <c r="L58" s="4">
        <f>K58-V58</f>
        <v>3.8875000000000002</v>
      </c>
      <c r="M58">
        <f>IF(E58="", 0, IF(A58&gt;E58,INT((A58-E58)/30),0))</f>
        <v>20</v>
      </c>
      <c r="N58" s="5"/>
      <c r="O58" s="4">
        <f>K58*M58+L58+IF(A58&gt;E58,N58,0)</f>
        <v>215.83749999999998</v>
      </c>
      <c r="P58" s="4">
        <v>2700</v>
      </c>
      <c r="Q58" s="24">
        <v>81.328677420000005</v>
      </c>
      <c r="R58" s="24">
        <v>81.742381123703694</v>
      </c>
      <c r="S58" s="4">
        <f>P58*Q58/100</f>
        <v>2195.8742903399998</v>
      </c>
      <c r="T58" s="4">
        <f>P58*R58/100</f>
        <v>2207.0442903399999</v>
      </c>
      <c r="U58" s="4">
        <f>T58+V58</f>
        <v>2213.7542903399999</v>
      </c>
      <c r="V58" s="4">
        <v>6.71</v>
      </c>
      <c r="W58" s="4">
        <v>7.17</v>
      </c>
      <c r="X58" s="4">
        <v>4</v>
      </c>
      <c r="Y58" s="4">
        <f>W58+X58</f>
        <v>11.17</v>
      </c>
      <c r="Z58" s="6"/>
      <c r="AA58" s="24">
        <v>94.167547999999996</v>
      </c>
      <c r="AB58" s="24">
        <v>94.117599999999996</v>
      </c>
      <c r="AC58" s="5">
        <v>5.2990336134453777</v>
      </c>
      <c r="AD58" s="4">
        <f>AA58*P58/100</f>
        <v>2542.5237959999999</v>
      </c>
      <c r="AE58" s="4">
        <v>5.3750420168067219</v>
      </c>
      <c r="AF58" s="4">
        <v>1.2717226890756299</v>
      </c>
      <c r="AG58" s="4">
        <f>AD58-AE58-AF58</f>
        <v>2535.8770312941178</v>
      </c>
      <c r="AH58" s="4">
        <f>AD58-S58</f>
        <v>346.64950566000016</v>
      </c>
      <c r="AI58" s="4">
        <f>AG58-T58</f>
        <v>328.83274095411798</v>
      </c>
      <c r="AJ58" s="4">
        <f>AI58+O58+AC58</f>
        <v>549.96927456756339</v>
      </c>
      <c r="AK58">
        <f>A58-D58</f>
        <v>637</v>
      </c>
      <c r="AL58" s="18">
        <f>AJ58/T58</f>
        <v>0.24918814587216076</v>
      </c>
      <c r="AM58" s="18">
        <f>AJ58/T58*365/AK58</f>
        <v>0.14278441639456621</v>
      </c>
      <c r="AN58" s="18">
        <f>POWER((1+AL58),(365/AK58))-1</f>
        <v>0.13597195305347354</v>
      </c>
      <c r="AO58" s="21">
        <f>TitulosVendidos[[#This Row],[Comisión Santa Fe
Venta]]+TitulosVendidos[[#This Row],[Comisión Santa Fé
Compra]]</f>
        <v>12.545042016806722</v>
      </c>
      <c r="AP58" s="7"/>
    </row>
    <row r="59" spans="1:42" x14ac:dyDescent="0.25">
      <c r="A59" s="3">
        <v>46065</v>
      </c>
      <c r="B59" s="3" t="s">
        <v>42</v>
      </c>
      <c r="C59" t="s">
        <v>44</v>
      </c>
      <c r="D59" s="3">
        <v>45875</v>
      </c>
      <c r="E59" s="3">
        <v>45887</v>
      </c>
      <c r="F59" s="3">
        <v>45217</v>
      </c>
      <c r="G59" s="3">
        <v>46678</v>
      </c>
      <c r="H59" s="4">
        <v>4.71</v>
      </c>
      <c r="I59" s="4">
        <f>K59*12/T59*100</f>
        <v>5.029943328994392</v>
      </c>
      <c r="J59" s="4">
        <v>8.5</v>
      </c>
      <c r="K59" s="4">
        <f>P59*H59/100/12</f>
        <v>125.60000000000001</v>
      </c>
      <c r="L59" s="4">
        <f>K59-V59</f>
        <v>50.240000000000009</v>
      </c>
      <c r="M59">
        <f>IF(E59="", 0, IF(A59&gt;E59,INT((A59-E59)/30),0))</f>
        <v>5</v>
      </c>
      <c r="N59" s="5"/>
      <c r="O59" s="4">
        <f>K59*M59+L59+IF(A59&gt;E59,N59,0)</f>
        <v>678.24</v>
      </c>
      <c r="P59" s="4">
        <v>32000</v>
      </c>
      <c r="Q59" s="24">
        <v>93.219725969999999</v>
      </c>
      <c r="R59" s="24">
        <v>93.639225970000012</v>
      </c>
      <c r="S59" s="4">
        <f>P59*Q59/100</f>
        <v>29830.312310400001</v>
      </c>
      <c r="T59" s="4">
        <f>P59*R59/100</f>
        <v>29964.552310400006</v>
      </c>
      <c r="U59" s="4">
        <f>T59+V59</f>
        <v>30039.912310400006</v>
      </c>
      <c r="V59" s="4">
        <v>75.36</v>
      </c>
      <c r="W59" s="4">
        <v>119.32</v>
      </c>
      <c r="X59" s="4">
        <v>14.92</v>
      </c>
      <c r="Y59" s="4">
        <f>W59+X59</f>
        <v>134.23999999999998</v>
      </c>
      <c r="Z59" s="6"/>
      <c r="AA59" s="24">
        <v>95.565690050000001</v>
      </c>
      <c r="AC59" s="5"/>
      <c r="AD59" s="4">
        <f>AA59*P59/100</f>
        <v>30581.020816</v>
      </c>
      <c r="AE59" s="4">
        <v>91.13</v>
      </c>
      <c r="AF59" s="4">
        <v>15.29</v>
      </c>
      <c r="AG59" s="4">
        <f>AD59-AE59-AF59</f>
        <v>30474.600815999998</v>
      </c>
      <c r="AH59" s="4">
        <f>AD59-S59</f>
        <v>750.70850559999963</v>
      </c>
      <c r="AI59" s="4">
        <f>AG59-T59</f>
        <v>510.0485055999925</v>
      </c>
      <c r="AJ59" s="4">
        <f>AI59+O59+AC59</f>
        <v>1188.2885055999925</v>
      </c>
      <c r="AK59">
        <f>A59-D59</f>
        <v>190</v>
      </c>
      <c r="AL59" s="18">
        <f>AJ59/T59</f>
        <v>3.9656474533329336E-2</v>
      </c>
      <c r="AM59" s="18">
        <f>AJ59/T59*365/AK59</f>
        <v>7.6182174761395827E-2</v>
      </c>
      <c r="AN59" s="18">
        <f>POWER((1+AL59),(365/AK59))-1</f>
        <v>7.7572041728130037E-2</v>
      </c>
      <c r="AO59" s="21">
        <f>TitulosVendidos[[#This Row],[Comisión Santa Fe
Venta]]+TitulosVendidos[[#This Row],[Comisión Santa Fé
Compra]]</f>
        <v>210.45</v>
      </c>
      <c r="AP59" s="7"/>
    </row>
    <row r="60" spans="1:42" x14ac:dyDescent="0.25">
      <c r="A60" s="3">
        <v>46076</v>
      </c>
      <c r="B60" s="3" t="s">
        <v>42</v>
      </c>
      <c r="C60" t="s">
        <v>44</v>
      </c>
      <c r="D60" s="3">
        <v>45709</v>
      </c>
      <c r="E60" s="3">
        <v>45735</v>
      </c>
      <c r="F60" s="3">
        <v>45645</v>
      </c>
      <c r="G60" s="3">
        <v>47471</v>
      </c>
      <c r="H60" s="4">
        <v>5.07</v>
      </c>
      <c r="I60" s="4">
        <f>K60*12/T60*100</f>
        <v>6.4115926045731717</v>
      </c>
      <c r="J60" s="4">
        <v>11</v>
      </c>
      <c r="K60" s="4">
        <f>P60*H60/100/12</f>
        <v>21.125</v>
      </c>
      <c r="L60" s="4">
        <f>K60-V60</f>
        <v>19.715</v>
      </c>
      <c r="M60">
        <f>IF(E60="", 0, IF(A60&gt;E60,INT((A60-E60)/30),0))</f>
        <v>11</v>
      </c>
      <c r="N60" s="5"/>
      <c r="O60" s="4">
        <f>K60*M60+L60+IF(A60&gt;E60,N60,0)</f>
        <v>252.09</v>
      </c>
      <c r="P60" s="4">
        <v>5000</v>
      </c>
      <c r="Q60" s="24">
        <v>78.759316999999996</v>
      </c>
      <c r="R60" s="24">
        <v>79.075516999999991</v>
      </c>
      <c r="S60" s="4">
        <f>P60*Q60/100</f>
        <v>3937.9658499999996</v>
      </c>
      <c r="T60" s="4">
        <f>P60*R60/100</f>
        <v>3953.7758499999995</v>
      </c>
      <c r="U60" s="4">
        <f>T60+V60</f>
        <v>3955.1858499999994</v>
      </c>
      <c r="V60" s="4">
        <v>1.41</v>
      </c>
      <c r="W60" s="4">
        <v>11.81</v>
      </c>
      <c r="X60" s="4">
        <v>4</v>
      </c>
      <c r="Y60" s="4">
        <f>W60+X60</f>
        <v>15.81</v>
      </c>
      <c r="Z60" s="6"/>
      <c r="AA60" s="24">
        <v>88.040100590000009</v>
      </c>
      <c r="AC60" s="5">
        <v>2.8196022727272729</v>
      </c>
      <c r="AD60" s="4">
        <f>AA60*P60/100</f>
        <v>4402.0050295000001</v>
      </c>
      <c r="AE60" s="4">
        <v>11.00852272727273</v>
      </c>
      <c r="AF60" s="4">
        <v>2.8409090909090908</v>
      </c>
      <c r="AG60" s="4">
        <f>AD60-AE60-AF60</f>
        <v>4388.1555976818181</v>
      </c>
      <c r="AH60" s="4">
        <f>AD60-S60</f>
        <v>464.0391795000005</v>
      </c>
      <c r="AI60" s="4">
        <f>AG60-T60</f>
        <v>434.37974768181857</v>
      </c>
      <c r="AJ60" s="4">
        <f>AI60+O60+AC60</f>
        <v>689.28934995454586</v>
      </c>
      <c r="AK60">
        <f>A60-D60</f>
        <v>367</v>
      </c>
      <c r="AL60" s="18">
        <f>AJ60/T60</f>
        <v>0.17433698219248972</v>
      </c>
      <c r="AM60" s="18">
        <f>AJ60/T60*365/AK60</f>
        <v>0.17338691689443803</v>
      </c>
      <c r="AN60" s="18">
        <f>POWER((1+AL60),(365/AK60))-1</f>
        <v>0.17330898379782211</v>
      </c>
      <c r="AO60" s="21">
        <f>TitulosVendidos[[#This Row],[Comisión Santa Fe
Venta]]+TitulosVendidos[[#This Row],[Comisión Santa Fé
Compra]]</f>
        <v>22.818522727272729</v>
      </c>
      <c r="AP60" s="7"/>
    </row>
    <row r="61" spans="1:42" x14ac:dyDescent="0.25">
      <c r="A61" s="3">
        <v>46076</v>
      </c>
      <c r="B61" s="3" t="s">
        <v>42</v>
      </c>
      <c r="C61" t="s">
        <v>44</v>
      </c>
      <c r="D61" s="3">
        <v>45982</v>
      </c>
      <c r="E61" s="3">
        <v>46010</v>
      </c>
      <c r="F61" s="3">
        <v>45645</v>
      </c>
      <c r="G61" s="3">
        <v>47471</v>
      </c>
      <c r="H61" s="4">
        <v>5.07</v>
      </c>
      <c r="I61" s="4">
        <f>K61*12/T61*100</f>
        <v>5.9214308397326523</v>
      </c>
      <c r="J61" s="4">
        <v>10</v>
      </c>
      <c r="K61" s="4">
        <f>P61*H61/100/12</f>
        <v>8.6190000000000015</v>
      </c>
      <c r="L61" s="4">
        <f>K61-V61</f>
        <v>7.179000000000002</v>
      </c>
      <c r="M61">
        <f>IF(E61="", 0, IF(A61&gt;E61,INT((A61-E61)/30),0))</f>
        <v>2</v>
      </c>
      <c r="N61" s="5"/>
      <c r="O61" s="4">
        <f>K61*M61+L61+IF(A61&gt;E61,N61,0)</f>
        <v>24.417000000000005</v>
      </c>
      <c r="P61" s="4">
        <v>2040</v>
      </c>
      <c r="Q61" s="24">
        <v>84.412374069999998</v>
      </c>
      <c r="R61" s="24">
        <v>85.621197599411758</v>
      </c>
      <c r="S61" s="4">
        <f>P61*Q61/100</f>
        <v>1722.0124310279998</v>
      </c>
      <c r="T61" s="4">
        <f>P61*R61/100</f>
        <v>1746.6724310279999</v>
      </c>
      <c r="U61" s="4">
        <f>T61+V61</f>
        <v>1748.1124310279999</v>
      </c>
      <c r="V61" s="4">
        <v>1.44</v>
      </c>
      <c r="W61" s="4">
        <v>20.66</v>
      </c>
      <c r="X61" s="4">
        <v>4</v>
      </c>
      <c r="Y61" s="4">
        <f>W61+X61</f>
        <v>24.66</v>
      </c>
      <c r="Z61" s="6"/>
      <c r="AA61" s="24">
        <v>88.040100590000009</v>
      </c>
      <c r="AC61" s="5">
        <v>1.150397727272727</v>
      </c>
      <c r="AD61" s="4">
        <f>AA61*P61/100</f>
        <v>1796.0180520360002</v>
      </c>
      <c r="AE61" s="4">
        <v>4.4914772727272716</v>
      </c>
      <c r="AF61" s="4">
        <v>1.1590909090909089</v>
      </c>
      <c r="AG61" s="4">
        <f>AD61-AE61-AF61</f>
        <v>1790.367483854182</v>
      </c>
      <c r="AH61" s="4">
        <f>AD61-S61</f>
        <v>74.005621008000389</v>
      </c>
      <c r="AI61" s="4">
        <f>AG61-T61</f>
        <v>43.695052826182064</v>
      </c>
      <c r="AJ61" s="4">
        <f>AI61+O61+AC61</f>
        <v>69.262450553454798</v>
      </c>
      <c r="AK61">
        <f>A61-D61</f>
        <v>94</v>
      </c>
      <c r="AL61" s="18">
        <f>AJ61/T61</f>
        <v>3.9653943878126333E-2</v>
      </c>
      <c r="AM61" s="18">
        <f>AJ61/T61*365/AK61</f>
        <v>0.15397542037783099</v>
      </c>
      <c r="AN61" s="18">
        <f>POWER((1+AL61),(365/AK61))-1</f>
        <v>0.16299774314735238</v>
      </c>
      <c r="AO61" s="21">
        <f>TitulosVendidos[[#This Row],[Comisión Santa Fe
Venta]]+TitulosVendidos[[#This Row],[Comisión Santa Fé
Compra]]</f>
        <v>25.15147727272727</v>
      </c>
      <c r="AP61" s="7"/>
    </row>
    <row r="62" spans="1:42" x14ac:dyDescent="0.25">
      <c r="A62" s="3">
        <v>46076</v>
      </c>
      <c r="B62" s="3" t="s">
        <v>42</v>
      </c>
      <c r="C62" t="s">
        <v>44</v>
      </c>
      <c r="D62" s="3">
        <v>46006</v>
      </c>
      <c r="E62" s="3">
        <v>46019</v>
      </c>
      <c r="F62" s="3">
        <v>44923</v>
      </c>
      <c r="G62" s="3">
        <v>47480</v>
      </c>
      <c r="H62" s="4">
        <v>5.64</v>
      </c>
      <c r="I62" s="4">
        <f>K62*12/T62*100</f>
        <v>6.4356826961201916</v>
      </c>
      <c r="J62" s="4">
        <v>10</v>
      </c>
      <c r="K62" s="4">
        <f>P62*H62/100/12</f>
        <v>17.953999999999997</v>
      </c>
      <c r="L62" s="4">
        <f>K62-V62</f>
        <v>7.7839999999999971</v>
      </c>
      <c r="M62">
        <f>IF(E62="", 0, IF(A62&gt;E62,INT((A62-E62)/30),0))</f>
        <v>1</v>
      </c>
      <c r="N62" s="5"/>
      <c r="O62" s="4">
        <f>K62*M62+L62+IF(A62&gt;E62,N62,0)</f>
        <v>25.737999999999992</v>
      </c>
      <c r="P62" s="4">
        <v>3820</v>
      </c>
      <c r="Q62" s="24">
        <v>87.096076069999995</v>
      </c>
      <c r="R62" s="24">
        <v>87.636390206125654</v>
      </c>
      <c r="S62" s="4">
        <f>P62*Q62/100</f>
        <v>3327.0701058740001</v>
      </c>
      <c r="T62" s="4">
        <f>P62*R62/100</f>
        <v>3347.710105874</v>
      </c>
      <c r="U62" s="4">
        <f>T62+V62</f>
        <v>3357.880105874</v>
      </c>
      <c r="V62" s="4">
        <v>10.17</v>
      </c>
      <c r="W62" s="4">
        <v>16.64</v>
      </c>
      <c r="X62" s="4">
        <v>4</v>
      </c>
      <c r="Y62" s="4">
        <f>W62+X62</f>
        <v>20.64</v>
      </c>
      <c r="Z62" s="6"/>
      <c r="AA62" s="24">
        <v>90.347949020000001</v>
      </c>
      <c r="AC62" s="5">
        <v>14.96</v>
      </c>
      <c r="AD62" s="4">
        <f>AA62*P62/100</f>
        <v>3451.2916525640003</v>
      </c>
      <c r="AE62" s="4">
        <v>8.6300000000000008</v>
      </c>
      <c r="AF62" s="4">
        <v>4</v>
      </c>
      <c r="AG62" s="4">
        <f>AD62-AE62-AF62</f>
        <v>3438.6616525640002</v>
      </c>
      <c r="AH62" s="4">
        <f>AD62-S62</f>
        <v>124.2215466900002</v>
      </c>
      <c r="AI62" s="4">
        <f>AG62-T62</f>
        <v>90.951546690000214</v>
      </c>
      <c r="AJ62" s="4">
        <f>AI62+O62+AC62</f>
        <v>131.64954669000022</v>
      </c>
      <c r="AK62">
        <f>A62-D62</f>
        <v>70</v>
      </c>
      <c r="AL62" s="18">
        <f>AJ62/T62</f>
        <v>3.9325252942004653E-2</v>
      </c>
      <c r="AM62" s="18">
        <f>AJ62/T62*365/AK62</f>
        <v>0.20505310462616713</v>
      </c>
      <c r="AN62" s="18">
        <f>POWER((1+AL62),(365/AK62))-1</f>
        <v>0.22277626758729419</v>
      </c>
      <c r="AO62" s="21">
        <f>TitulosVendidos[[#This Row],[Comisión Santa Fe
Venta]]+TitulosVendidos[[#This Row],[Comisión Santa Fé
Compra]]</f>
        <v>25.270000000000003</v>
      </c>
      <c r="AP62" s="7"/>
    </row>
    <row r="63" spans="1:42" x14ac:dyDescent="0.25">
      <c r="A63" s="3">
        <v>46076</v>
      </c>
      <c r="B63" s="3" t="s">
        <v>42</v>
      </c>
      <c r="C63" t="s">
        <v>44</v>
      </c>
      <c r="D63" s="3">
        <v>45707</v>
      </c>
      <c r="E63" s="3">
        <v>45716</v>
      </c>
      <c r="F63" s="3">
        <v>45532</v>
      </c>
      <c r="G63" s="3">
        <v>47723</v>
      </c>
      <c r="H63" s="4">
        <v>5.36</v>
      </c>
      <c r="I63" s="4">
        <f>K63*12/T63*100</f>
        <v>6.8966957379669989</v>
      </c>
      <c r="J63" s="4">
        <v>11</v>
      </c>
      <c r="K63" s="4">
        <f>P63*H63/100/12</f>
        <v>36.18</v>
      </c>
      <c r="L63" s="4">
        <f>K63-V63</f>
        <v>10.850000000000001</v>
      </c>
      <c r="M63">
        <f>IF(E63="", 0, IF(A63&gt;E63,INT((A63-E63)/30),0))</f>
        <v>12</v>
      </c>
      <c r="N63" s="5"/>
      <c r="O63" s="4">
        <f>K63*M63+L63+IF(A63&gt;E63,N63,0)</f>
        <v>445.01</v>
      </c>
      <c r="P63" s="4">
        <v>8100</v>
      </c>
      <c r="Q63" s="24">
        <v>77.513932639999993</v>
      </c>
      <c r="R63" s="24">
        <v>77.718377084444441</v>
      </c>
      <c r="S63" s="4">
        <f>P63*Q63/100</f>
        <v>6278.6285438399991</v>
      </c>
      <c r="T63" s="4">
        <f>P63*R63/100</f>
        <v>6295.1885438399995</v>
      </c>
      <c r="U63" s="4">
        <f>T63+V63</f>
        <v>6320.5185438399994</v>
      </c>
      <c r="V63" s="4">
        <v>25.33</v>
      </c>
      <c r="W63" s="4">
        <v>12.56</v>
      </c>
      <c r="X63" s="4">
        <v>4</v>
      </c>
      <c r="Y63" s="4">
        <f>W63+X63</f>
        <v>16.560000000000002</v>
      </c>
      <c r="Z63" s="6"/>
      <c r="AA63" s="24">
        <v>86.343850029999999</v>
      </c>
      <c r="AC63" s="5">
        <v>30.15</v>
      </c>
      <c r="AD63" s="4">
        <f>AA63*P63/100</f>
        <v>6993.8518524300007</v>
      </c>
      <c r="AE63" s="4">
        <v>17.48</v>
      </c>
      <c r="AF63" s="4">
        <v>4</v>
      </c>
      <c r="AG63" s="4">
        <f>AD63-AE63-AF63</f>
        <v>6972.3718524300011</v>
      </c>
      <c r="AH63" s="4">
        <f>AD63-S63</f>
        <v>715.22330859000158</v>
      </c>
      <c r="AI63" s="4">
        <f>AG63-T63</f>
        <v>677.18330859000162</v>
      </c>
      <c r="AJ63" s="4">
        <f>AI63+O63+AC63</f>
        <v>1152.3433085900017</v>
      </c>
      <c r="AK63">
        <f>A63-D63</f>
        <v>369</v>
      </c>
      <c r="AL63" s="18">
        <f>AJ63/T63</f>
        <v>0.18305143691329129</v>
      </c>
      <c r="AM63" s="18">
        <f>AJ63/T63*365/AK63</f>
        <v>0.18106713949417702</v>
      </c>
      <c r="AN63" s="18">
        <f>POWER((1+AL63),(365/AK63))-1</f>
        <v>0.1808976548423733</v>
      </c>
      <c r="AO63" s="21">
        <f>TitulosVendidos[[#This Row],[Comisión Santa Fe
Venta]]+TitulosVendidos[[#This Row],[Comisión Santa Fé
Compra]]</f>
        <v>30.04</v>
      </c>
      <c r="AP63" s="7"/>
    </row>
    <row r="64" spans="1:42" x14ac:dyDescent="0.25">
      <c r="A64" s="3">
        <v>46076</v>
      </c>
      <c r="B64" s="3" t="s">
        <v>42</v>
      </c>
      <c r="C64" t="s">
        <v>44</v>
      </c>
      <c r="D64" s="3">
        <v>46043</v>
      </c>
      <c r="E64" s="3">
        <v>46059</v>
      </c>
      <c r="F64" s="3">
        <v>45967</v>
      </c>
      <c r="G64" s="3">
        <v>47793</v>
      </c>
      <c r="H64" s="4">
        <v>7.13</v>
      </c>
      <c r="I64" s="4">
        <f>K64*12/T64*100</f>
        <v>8.191695033435515</v>
      </c>
      <c r="J64" s="4">
        <v>11</v>
      </c>
      <c r="K64" s="4">
        <f>P64*H64/100/12</f>
        <v>6.8032083333333331</v>
      </c>
      <c r="L64" s="4">
        <f>K64-V64</f>
        <v>3.4032083333333332</v>
      </c>
      <c r="M64">
        <f>IF(E64="", 0, IF(A64&gt;E64,INT((A64-E64)/30),0))</f>
        <v>0</v>
      </c>
      <c r="N64" s="5"/>
      <c r="O64" s="4">
        <f>K64*M64+L64+IF(A64&gt;E64,N64,0)</f>
        <v>3.4032083333333332</v>
      </c>
      <c r="P64" s="4">
        <v>1145</v>
      </c>
      <c r="Q64" s="24">
        <v>86.221905809999996</v>
      </c>
      <c r="R64" s="24">
        <v>87.039373058908282</v>
      </c>
      <c r="S64" s="4">
        <f>P64*Q64/100</f>
        <v>987.24082152449989</v>
      </c>
      <c r="T64" s="4">
        <f>P64*R64/100</f>
        <v>996.60082152449979</v>
      </c>
      <c r="U64" s="4">
        <f>T64+V64</f>
        <v>1000.0008215244998</v>
      </c>
      <c r="V64" s="4">
        <v>3.4</v>
      </c>
      <c r="W64" s="4">
        <v>5.36</v>
      </c>
      <c r="X64" s="4">
        <v>4</v>
      </c>
      <c r="Y64" s="4">
        <f>W64+X64</f>
        <v>9.36</v>
      </c>
      <c r="Z64" s="6"/>
      <c r="AA64" s="24">
        <v>92.29010006</v>
      </c>
      <c r="AC64" s="5">
        <v>3.8552665978672169</v>
      </c>
      <c r="AD64" s="4">
        <f>AA64*P64/100</f>
        <v>1056.7216456870001</v>
      </c>
      <c r="AE64" s="4">
        <v>2.6421259029927762</v>
      </c>
      <c r="AF64" s="4">
        <v>0.52858273133814926</v>
      </c>
      <c r="AG64" s="4">
        <f>AD64-AE64-AF64</f>
        <v>1053.550937052669</v>
      </c>
      <c r="AH64" s="4">
        <f>AD64-S64</f>
        <v>69.480824162500198</v>
      </c>
      <c r="AI64" s="4">
        <f>AG64-T64</f>
        <v>56.950115528169249</v>
      </c>
      <c r="AJ64" s="4">
        <f>AI64+O64+AC64</f>
        <v>64.208590459369802</v>
      </c>
      <c r="AK64">
        <f>A64-D64</f>
        <v>33</v>
      </c>
      <c r="AL64" s="18">
        <f>AJ64/T64</f>
        <v>6.4427591341084736E-2</v>
      </c>
      <c r="AM64" s="18">
        <f>AJ64/T64*365/AK64</f>
        <v>0.71260820725745233</v>
      </c>
      <c r="AN64" s="18">
        <f>POWER((1+AL64),(365/AK64))-1</f>
        <v>0.99489829858984669</v>
      </c>
      <c r="AO64" s="21">
        <f>TitulosVendidos[[#This Row],[Comisión Santa Fe
Venta]]+TitulosVendidos[[#This Row],[Comisión Santa Fé
Compra]]</f>
        <v>8.0021259029927769</v>
      </c>
      <c r="AP64" s="7"/>
    </row>
    <row r="65" spans="1:42" x14ac:dyDescent="0.25">
      <c r="A65" s="3">
        <v>46076</v>
      </c>
      <c r="B65" s="3" t="s">
        <v>42</v>
      </c>
      <c r="C65" t="s">
        <v>44</v>
      </c>
      <c r="D65" s="3">
        <v>45993</v>
      </c>
      <c r="E65" s="3">
        <v>45997</v>
      </c>
      <c r="F65" s="3">
        <v>45967</v>
      </c>
      <c r="G65" s="3">
        <v>47793</v>
      </c>
      <c r="H65" s="4">
        <v>7.13</v>
      </c>
      <c r="I65" s="4">
        <f>K65*12/T65*100</f>
        <v>8.0089627016022824</v>
      </c>
      <c r="J65" s="4">
        <v>10.25</v>
      </c>
      <c r="K65" s="4">
        <f>P65*H65/100/12</f>
        <v>68.923333333333332</v>
      </c>
      <c r="L65" s="4">
        <f>K65-V65</f>
        <v>9.1933333333333351</v>
      </c>
      <c r="M65">
        <f>IF(E65="", 0, IF(A65&gt;E65,INT((A65-E65)/30),0))</f>
        <v>2</v>
      </c>
      <c r="N65" s="5"/>
      <c r="O65" s="4">
        <f>K65*M65+L65+IF(A65&gt;E65,N65,0)</f>
        <v>147.04</v>
      </c>
      <c r="P65" s="4">
        <v>11600</v>
      </c>
      <c r="Q65" s="24">
        <v>88.45034785</v>
      </c>
      <c r="R65" s="24">
        <v>89.025261643103462</v>
      </c>
      <c r="S65" s="4">
        <f>P65*Q65/100</f>
        <v>10260.240350600001</v>
      </c>
      <c r="T65" s="4">
        <f>P65*R65/100</f>
        <v>10326.930350600001</v>
      </c>
      <c r="U65" s="4">
        <f>T65+V65</f>
        <v>10386.660350600001</v>
      </c>
      <c r="V65" s="4">
        <v>59.73</v>
      </c>
      <c r="W65" s="4">
        <v>61.56</v>
      </c>
      <c r="X65" s="4">
        <v>5.13</v>
      </c>
      <c r="Y65" s="4">
        <f>W65+X65</f>
        <v>66.69</v>
      </c>
      <c r="Z65" s="6"/>
      <c r="AA65" s="24">
        <v>92.29010006</v>
      </c>
      <c r="AC65" s="5">
        <v>39.057722738218089</v>
      </c>
      <c r="AD65" s="4">
        <f>AA65*P65/100</f>
        <v>10705.65160696</v>
      </c>
      <c r="AE65" s="4">
        <v>26.76738906088751</v>
      </c>
      <c r="AF65" s="4">
        <v>5.3550739594083243</v>
      </c>
      <c r="AG65" s="4">
        <f>AD65-AE65-AF65</f>
        <v>10673.529143939704</v>
      </c>
      <c r="AH65" s="4">
        <f>AD65-S65</f>
        <v>445.41125635999924</v>
      </c>
      <c r="AI65" s="4">
        <f>AG65-T65</f>
        <v>346.59879333970275</v>
      </c>
      <c r="AJ65" s="4">
        <f>AI65+O65+AC65</f>
        <v>532.69651607792082</v>
      </c>
      <c r="AK65">
        <f>A65-D65</f>
        <v>83</v>
      </c>
      <c r="AL65" s="18">
        <f>AJ65/T65</f>
        <v>5.1583238967712296E-2</v>
      </c>
      <c r="AM65" s="18">
        <f>AJ65/T65*365/AK65</f>
        <v>0.22684195449656613</v>
      </c>
      <c r="AN65" s="18">
        <f>POWER((1+AL65),(365/AK65))-1</f>
        <v>0.247554273305848</v>
      </c>
      <c r="AO65" s="21">
        <f>TitulosVendidos[[#This Row],[Comisión Santa Fe
Venta]]+TitulosVendidos[[#This Row],[Comisión Santa Fé
Compra]]</f>
        <v>88.327389060887512</v>
      </c>
      <c r="AP65" s="7"/>
    </row>
    <row r="66" spans="1:42" x14ac:dyDescent="0.25">
      <c r="A66" s="3">
        <v>46076</v>
      </c>
      <c r="B66" s="3" t="s">
        <v>42</v>
      </c>
      <c r="C66" t="s">
        <v>44</v>
      </c>
      <c r="D66" s="3">
        <v>45993</v>
      </c>
      <c r="E66" s="3">
        <v>45997</v>
      </c>
      <c r="F66" s="3">
        <v>45967</v>
      </c>
      <c r="G66" s="3">
        <v>47793</v>
      </c>
      <c r="H66" s="4">
        <v>7.13</v>
      </c>
      <c r="I66" s="4">
        <f>K66*12/T66*100</f>
        <v>7.9561942009378797</v>
      </c>
      <c r="J66" s="4">
        <v>10.25</v>
      </c>
      <c r="K66" s="4">
        <f>P66*H66/100/12</f>
        <v>10.635583333333333</v>
      </c>
      <c r="L66" s="4">
        <f>K66-V66</f>
        <v>1.4155833333333323</v>
      </c>
      <c r="M66">
        <f>IF(E66="", 0, IF(A66&gt;E66,INT((A66-E66)/30),0))</f>
        <v>2</v>
      </c>
      <c r="N66" s="5"/>
      <c r="O66" s="4">
        <f>K66*M66+L66+IF(A66&gt;E66,N66,0)</f>
        <v>22.686749999999996</v>
      </c>
      <c r="P66" s="4">
        <v>1790</v>
      </c>
      <c r="Q66" s="24">
        <v>88.45034785</v>
      </c>
      <c r="R66" s="24">
        <v>89.615710978491606</v>
      </c>
      <c r="S66" s="4">
        <f>P66*Q66/100</f>
        <v>1583.2612265149999</v>
      </c>
      <c r="T66" s="4">
        <f>P66*R66/100</f>
        <v>1604.1212265149998</v>
      </c>
      <c r="U66" s="4">
        <f>T66+V66</f>
        <v>1613.3412265149998</v>
      </c>
      <c r="V66" s="4">
        <v>9.2200000000000006</v>
      </c>
      <c r="W66" s="4">
        <v>16.86</v>
      </c>
      <c r="X66" s="4">
        <v>4</v>
      </c>
      <c r="Y66" s="4">
        <f>W66+X66</f>
        <v>20.86</v>
      </c>
      <c r="Z66" s="6"/>
      <c r="AA66" s="24">
        <v>92.29010006</v>
      </c>
      <c r="AC66" s="5">
        <v>6.0270106639146874</v>
      </c>
      <c r="AD66" s="4">
        <f>AA66*P66/100</f>
        <v>1651.992791074</v>
      </c>
      <c r="AE66" s="4">
        <v>4.1304850361197101</v>
      </c>
      <c r="AF66" s="4">
        <v>0.82634330925352595</v>
      </c>
      <c r="AG66" s="4">
        <f>AD66-AE66-AF66</f>
        <v>1647.0359627286266</v>
      </c>
      <c r="AH66" s="4">
        <f>AD66-S66</f>
        <v>68.731564559000162</v>
      </c>
      <c r="AI66" s="4">
        <f>AG66-T66</f>
        <v>42.914736213626838</v>
      </c>
      <c r="AJ66" s="4">
        <f>AI66+O66+AC66</f>
        <v>71.628496877541522</v>
      </c>
      <c r="AK66">
        <f>A66-D66</f>
        <v>83</v>
      </c>
      <c r="AL66" s="18">
        <f>AJ66/T66</f>
        <v>4.4652795370806561E-2</v>
      </c>
      <c r="AM66" s="18">
        <f>AJ66/T66*365/AK66</f>
        <v>0.19636470253426982</v>
      </c>
      <c r="AN66" s="18">
        <f>POWER((1+AL66),(365/AK66))-1</f>
        <v>0.21180002074516313</v>
      </c>
      <c r="AO66" s="21">
        <f>TitulosVendidos[[#This Row],[Comisión Santa Fe
Venta]]+TitulosVendidos[[#This Row],[Comisión Santa Fé
Compra]]</f>
        <v>20.990485036119708</v>
      </c>
      <c r="AP66" s="7"/>
    </row>
    <row r="67" spans="1:42" x14ac:dyDescent="0.25">
      <c r="A67" s="3">
        <v>46076</v>
      </c>
      <c r="B67" s="3" t="s">
        <v>42</v>
      </c>
      <c r="C67" t="s">
        <v>44</v>
      </c>
      <c r="D67" s="3">
        <v>45796</v>
      </c>
      <c r="E67" s="3">
        <v>45802</v>
      </c>
      <c r="F67" s="3">
        <v>45498</v>
      </c>
      <c r="G67" s="3">
        <v>48054</v>
      </c>
      <c r="H67" s="4">
        <v>5.64</v>
      </c>
      <c r="I67" s="4">
        <f>K67*12/T67*100</f>
        <v>7.0867606176273146</v>
      </c>
      <c r="J67" s="4">
        <v>10.5</v>
      </c>
      <c r="K67" s="4">
        <f>P67*H67/100/12</f>
        <v>55.835999999999991</v>
      </c>
      <c r="L67" s="4">
        <f>K67-V67</f>
        <v>9.3059999999999903</v>
      </c>
      <c r="M67">
        <f>IF(E67="", 0, IF(A67&gt;E67,INT((A67-E67)/30),0))</f>
        <v>9</v>
      </c>
      <c r="N67" s="5"/>
      <c r="O67" s="4">
        <f>K67*M67+L67+IF(A67&gt;E67,N67,0)</f>
        <v>511.82999999999993</v>
      </c>
      <c r="P67" s="4">
        <v>11880</v>
      </c>
      <c r="Q67" s="24">
        <v>79.307412619999994</v>
      </c>
      <c r="R67" s="24">
        <v>79.585022047609414</v>
      </c>
      <c r="S67" s="4">
        <f>P67*Q67/100</f>
        <v>9421.7206192559988</v>
      </c>
      <c r="T67" s="4">
        <f>P67*R67/100</f>
        <v>9454.7006192559984</v>
      </c>
      <c r="U67" s="4">
        <f>T67+V67</f>
        <v>9501.230619255999</v>
      </c>
      <c r="V67" s="4">
        <v>46.53</v>
      </c>
      <c r="W67" s="4">
        <v>28.27</v>
      </c>
      <c r="X67" s="4">
        <v>4.71</v>
      </c>
      <c r="Y67" s="4">
        <f>W67+X67</f>
        <v>32.979999999999997</v>
      </c>
      <c r="Z67" s="6"/>
      <c r="AA67" s="24">
        <v>84.899334979999992</v>
      </c>
      <c r="AC67" s="5">
        <v>52.11</v>
      </c>
      <c r="AD67" s="4">
        <f>AA67*P67/100</f>
        <v>10086.040995623998</v>
      </c>
      <c r="AE67" s="4">
        <v>25.22</v>
      </c>
      <c r="AF67" s="4">
        <v>5.04</v>
      </c>
      <c r="AG67" s="4">
        <f>AD67-AE67-AF67</f>
        <v>10055.780995623998</v>
      </c>
      <c r="AH67" s="4">
        <f>AD67-S67</f>
        <v>664.32037636799942</v>
      </c>
      <c r="AI67" s="4">
        <f>AG67-T67</f>
        <v>601.08037636799963</v>
      </c>
      <c r="AJ67" s="4">
        <f>AI67+O67+AC67</f>
        <v>1165.0203763679995</v>
      </c>
      <c r="AK67">
        <f>A67-D67</f>
        <v>280</v>
      </c>
      <c r="AL67" s="18">
        <f>AJ67/T67</f>
        <v>0.12322128677403603</v>
      </c>
      <c r="AM67" s="18">
        <f>AJ67/T67*365/AK67</f>
        <v>0.16062774883043981</v>
      </c>
      <c r="AN67" s="18">
        <f>POWER((1+AL67),(365/AK67))-1</f>
        <v>0.16355028357035439</v>
      </c>
      <c r="AO67" s="21">
        <f>TitulosVendidos[[#This Row],[Comisión Santa Fe
Venta]]+TitulosVendidos[[#This Row],[Comisión Santa Fé
Compra]]</f>
        <v>53.489999999999995</v>
      </c>
      <c r="AP67" s="7"/>
    </row>
    <row r="68" spans="1:42" x14ac:dyDescent="0.25">
      <c r="A68" s="3">
        <v>46076</v>
      </c>
      <c r="B68" s="3" t="s">
        <v>42</v>
      </c>
      <c r="C68" t="s">
        <v>44</v>
      </c>
      <c r="D68" s="3">
        <v>46014</v>
      </c>
      <c r="E68" s="3">
        <v>46019</v>
      </c>
      <c r="F68" s="3">
        <v>45532</v>
      </c>
      <c r="G68" s="3">
        <v>48088</v>
      </c>
      <c r="H68" s="4">
        <v>5.64</v>
      </c>
      <c r="I68" s="4">
        <f>K68*12/T68*100</f>
        <v>7.1033269154054306</v>
      </c>
      <c r="J68" s="4">
        <v>11</v>
      </c>
      <c r="K68" s="4">
        <f>P68*H68/100/12</f>
        <v>31.49</v>
      </c>
      <c r="L68" s="4">
        <f>K68-V68</f>
        <v>5.25</v>
      </c>
      <c r="M68">
        <f>IF(E68="", 0, IF(A68&gt;E68,INT((A68-E68)/30),0))</f>
        <v>1</v>
      </c>
      <c r="N68" s="5"/>
      <c r="O68" s="4">
        <f>K68*M68+L68+IF(A68&gt;E68,N68,0)</f>
        <v>36.739999999999995</v>
      </c>
      <c r="P68" s="4">
        <v>6700</v>
      </c>
      <c r="Q68" s="24">
        <v>78.945832679999995</v>
      </c>
      <c r="R68" s="24">
        <v>79.399414769552237</v>
      </c>
      <c r="S68" s="4">
        <f>P68*Q68/100</f>
        <v>5289.3707895599991</v>
      </c>
      <c r="T68" s="4">
        <f>P68*R68/100</f>
        <v>5319.7607895600004</v>
      </c>
      <c r="U68" s="4">
        <f>T68+V68</f>
        <v>5346.0007895600002</v>
      </c>
      <c r="V68" s="4">
        <v>26.24</v>
      </c>
      <c r="W68" s="4">
        <v>26.39</v>
      </c>
      <c r="X68" s="4">
        <v>4</v>
      </c>
      <c r="Y68" s="4">
        <f>W68+X68</f>
        <v>30.39</v>
      </c>
      <c r="Z68" s="6"/>
      <c r="AA68" s="24">
        <v>84.678693240000001</v>
      </c>
      <c r="AC68" s="5">
        <v>26.24</v>
      </c>
      <c r="AD68" s="4">
        <f>AA68*P68/100</f>
        <v>5673.4724470800002</v>
      </c>
      <c r="AE68" s="4">
        <v>14.18</v>
      </c>
      <c r="AF68" s="4">
        <v>4</v>
      </c>
      <c r="AG68" s="4">
        <f>AD68-AE68-AF68</f>
        <v>5655.2924470799999</v>
      </c>
      <c r="AH68" s="4">
        <f>AD68-S68</f>
        <v>384.10165752000103</v>
      </c>
      <c r="AI68" s="4">
        <f>AG68-T68</f>
        <v>335.5316575199995</v>
      </c>
      <c r="AJ68" s="4">
        <f>AI68+O68+AC68</f>
        <v>398.51165751999952</v>
      </c>
      <c r="AK68">
        <f>A68-D68</f>
        <v>62</v>
      </c>
      <c r="AL68" s="18">
        <f>AJ68/T68</f>
        <v>7.4911574652393453E-2</v>
      </c>
      <c r="AM68" s="18">
        <f>AJ68/T68*365/AK68</f>
        <v>0.44101168948586472</v>
      </c>
      <c r="AN68" s="18">
        <f>POWER((1+AL68),(365/AK68))-1</f>
        <v>0.53001029438053693</v>
      </c>
      <c r="AO68" s="21">
        <f>TitulosVendidos[[#This Row],[Comisión Santa Fe
Venta]]+TitulosVendidos[[#This Row],[Comisión Santa Fé
Compra]]</f>
        <v>40.57</v>
      </c>
      <c r="AP68" s="7"/>
    </row>
    <row r="69" spans="1:42" x14ac:dyDescent="0.25">
      <c r="A69" s="3">
        <v>46076</v>
      </c>
      <c r="B69" s="3" t="s">
        <v>42</v>
      </c>
      <c r="C69" t="s">
        <v>43</v>
      </c>
      <c r="D69" s="3">
        <v>45848</v>
      </c>
      <c r="E69" s="3">
        <v>45866</v>
      </c>
      <c r="F69" s="3">
        <v>45532</v>
      </c>
      <c r="G69" s="3">
        <v>47723</v>
      </c>
      <c r="H69" s="4">
        <v>5.36</v>
      </c>
      <c r="I69" s="4">
        <f>K69*12/T69*100</f>
        <v>6.6257184317530537</v>
      </c>
      <c r="J69" s="4">
        <v>10.5</v>
      </c>
      <c r="K69" s="4">
        <f>P69*H69/100/12</f>
        <v>31.266666666666666</v>
      </c>
      <c r="L69" s="4">
        <f>K69-V69</f>
        <v>18.756666666666668</v>
      </c>
      <c r="M69">
        <f>IF(E69="", 0, IF(A69&gt;E69,INT((A69-E69)/30),0))</f>
        <v>7</v>
      </c>
      <c r="N69" s="5"/>
      <c r="O69" s="4">
        <f>K69*M69+L69+IF(A69&gt;E69,N69,0)</f>
        <v>237.62333333333333</v>
      </c>
      <c r="P69" s="4">
        <v>7000</v>
      </c>
      <c r="Q69" s="24">
        <v>80.437601999999998</v>
      </c>
      <c r="R69" s="24">
        <v>80.896887714285711</v>
      </c>
      <c r="S69" s="4">
        <f>P69*Q69/100</f>
        <v>5630.6321400000006</v>
      </c>
      <c r="T69" s="4">
        <f>P69*R69/100</f>
        <v>5662.7821399999993</v>
      </c>
      <c r="U69" s="4">
        <f>T69+V69</f>
        <v>5675.2921399999996</v>
      </c>
      <c r="V69" s="4">
        <v>12.51</v>
      </c>
      <c r="W69" s="4">
        <v>28.15</v>
      </c>
      <c r="X69" s="4">
        <v>4</v>
      </c>
      <c r="Y69" s="4">
        <f>W69+X69</f>
        <v>32.15</v>
      </c>
      <c r="Z69" s="6"/>
      <c r="AA69" s="24">
        <v>86.343850000000003</v>
      </c>
      <c r="AC69" s="5">
        <v>26.02</v>
      </c>
      <c r="AD69" s="4">
        <f>AA69*P69/100</f>
        <v>6044.0695000000005</v>
      </c>
      <c r="AE69" s="4">
        <v>15.11</v>
      </c>
      <c r="AF69" s="4">
        <v>4</v>
      </c>
      <c r="AG69" s="4">
        <f>AD69-AE69-AF69</f>
        <v>6024.9595000000008</v>
      </c>
      <c r="AH69" s="4">
        <f>AD69-S69</f>
        <v>413.4373599999999</v>
      </c>
      <c r="AI69" s="4">
        <f>AG69-T69</f>
        <v>362.1773600000015</v>
      </c>
      <c r="AJ69" s="4">
        <f>AI69+O69+AC69</f>
        <v>625.82069333333482</v>
      </c>
      <c r="AK69">
        <f>A69-D69</f>
        <v>228</v>
      </c>
      <c r="AL69" s="18">
        <f>AJ69/T69</f>
        <v>0.11051470423217356</v>
      </c>
      <c r="AM69" s="18">
        <f>AJ69/T69*365/AK69</f>
        <v>0.17692046949448836</v>
      </c>
      <c r="AN69" s="18">
        <f>POWER((1+AL69),(365/AK69))-1</f>
        <v>0.18271154181990146</v>
      </c>
      <c r="AO69" s="21">
        <f>TitulosVendidos[[#This Row],[Comisión Santa Fe
Venta]]+TitulosVendidos[[#This Row],[Comisión Santa Fé
Compra]]</f>
        <v>43.26</v>
      </c>
      <c r="AP69" s="7"/>
    </row>
    <row r="70" spans="1:42" x14ac:dyDescent="0.25">
      <c r="A70" s="3">
        <v>46076</v>
      </c>
      <c r="B70" s="3" t="s">
        <v>42</v>
      </c>
      <c r="C70" t="s">
        <v>43</v>
      </c>
      <c r="D70" s="3">
        <v>44908</v>
      </c>
      <c r="E70" s="3">
        <v>44893</v>
      </c>
      <c r="F70" s="3">
        <v>44832</v>
      </c>
      <c r="G70" s="3">
        <v>47754</v>
      </c>
      <c r="H70" s="4">
        <v>5.93</v>
      </c>
      <c r="I70" s="4">
        <f>K70*12/T70*100</f>
        <v>7.7597838832578994</v>
      </c>
      <c r="J70" s="4">
        <v>11</v>
      </c>
      <c r="K70" s="4">
        <f>P70*H70/100/12</f>
        <v>33.989623416666667</v>
      </c>
      <c r="L70" s="4">
        <f>K70-V70</f>
        <v>16.999623416666669</v>
      </c>
      <c r="M70">
        <f>IF(E70="", 0, IF(A70&gt;E70,INT((A70-E70)/30),0))</f>
        <v>39</v>
      </c>
      <c r="N70" s="5"/>
      <c r="O70" s="4">
        <f>K70*M70+L70+IF(A70&gt;E70,N70,0)</f>
        <v>1342.5949366666669</v>
      </c>
      <c r="P70" s="4">
        <v>6878.17</v>
      </c>
      <c r="Q70" s="24">
        <v>75.906000000000006</v>
      </c>
      <c r="R70" s="24">
        <v>76.4196540678698</v>
      </c>
      <c r="S70" s="4">
        <f>P70*Q70/100</f>
        <v>5220.9437202000008</v>
      </c>
      <c r="T70" s="4">
        <f>P70*R70/100</f>
        <v>5256.2737201999998</v>
      </c>
      <c r="U70" s="4">
        <f>T70+V70</f>
        <v>5273.2637201999996</v>
      </c>
      <c r="V70" s="4">
        <v>16.989999999999998</v>
      </c>
      <c r="W70" s="4">
        <v>31.33</v>
      </c>
      <c r="X70" s="4">
        <v>4</v>
      </c>
      <c r="Y70" s="4">
        <f>W70+X70</f>
        <v>35.33</v>
      </c>
      <c r="Z70" s="6"/>
      <c r="AA70" s="24">
        <v>89.946522180000002</v>
      </c>
      <c r="AC70" s="5">
        <v>28.32</v>
      </c>
      <c r="AD70" s="4">
        <f>AA70*P70/100</f>
        <v>6186.6747046281062</v>
      </c>
      <c r="AE70" s="4">
        <v>15.47</v>
      </c>
      <c r="AF70" s="4">
        <v>4</v>
      </c>
      <c r="AG70" s="4">
        <f>AD70-AE70-AF70</f>
        <v>6167.2047046281059</v>
      </c>
      <c r="AH70" s="4">
        <f>AD70-S70</f>
        <v>965.73098442810533</v>
      </c>
      <c r="AI70" s="4">
        <f>AG70-T70</f>
        <v>910.93098442810606</v>
      </c>
      <c r="AJ70" s="4">
        <f>AI70+O70+AC70</f>
        <v>2281.8459210947731</v>
      </c>
      <c r="AK70">
        <f>A70-D70</f>
        <v>1168</v>
      </c>
      <c r="AL70" s="18">
        <f>AJ70/T70</f>
        <v>0.43411854910172931</v>
      </c>
      <c r="AM70" s="18">
        <f>AJ70/T70*365/AK70</f>
        <v>0.1356620465942904</v>
      </c>
      <c r="AN70" s="18">
        <f>POWER((1+AL70),(365/AK70))-1</f>
        <v>0.11926475703784822</v>
      </c>
      <c r="AO70" s="21">
        <f>TitulosVendidos[[#This Row],[Comisión Santa Fe
Venta]]+TitulosVendidos[[#This Row],[Comisión Santa Fé
Compra]]</f>
        <v>46.8</v>
      </c>
      <c r="AP70" s="7"/>
    </row>
    <row r="71" spans="1:42" x14ac:dyDescent="0.25">
      <c r="A71" s="3">
        <v>46076</v>
      </c>
      <c r="B71" s="3" t="s">
        <v>42</v>
      </c>
      <c r="C71" t="s">
        <v>43</v>
      </c>
      <c r="D71" s="3">
        <v>45775</v>
      </c>
      <c r="E71" s="3">
        <v>45765</v>
      </c>
      <c r="F71" s="3">
        <v>45614</v>
      </c>
      <c r="G71" s="3">
        <v>47805</v>
      </c>
      <c r="H71" s="4">
        <v>5.36</v>
      </c>
      <c r="I71" s="4">
        <f>K71*12/T71*100</f>
        <v>6.6704590191575219</v>
      </c>
      <c r="J71" s="4">
        <v>10.25</v>
      </c>
      <c r="K71" s="4">
        <f>P71*H71/100/12</f>
        <v>39.206166666666668</v>
      </c>
      <c r="L71" s="4">
        <f>K71-V71</f>
        <v>24.826166666666666</v>
      </c>
      <c r="M71">
        <f>IF(E71="", 0, IF(A71&gt;E71,INT((A71-E71)/30),0))</f>
        <v>10</v>
      </c>
      <c r="N71" s="5"/>
      <c r="O71" s="4">
        <f>K71*M71+L71+IF(A71&gt;E71,N71,0)</f>
        <v>416.88783333333333</v>
      </c>
      <c r="P71" s="4">
        <v>8777.5</v>
      </c>
      <c r="Q71" s="24">
        <v>80.068559669999999</v>
      </c>
      <c r="R71" s="24">
        <v>80.3542902310937</v>
      </c>
      <c r="S71" s="4">
        <f>P71*Q71/100</f>
        <v>7028.0178250342506</v>
      </c>
      <c r="T71" s="4">
        <f>P71*R71/100</f>
        <v>7053.0978250342487</v>
      </c>
      <c r="U71" s="4">
        <f>T71+V71</f>
        <v>7067.4778250342488</v>
      </c>
      <c r="V71" s="4">
        <v>14.38</v>
      </c>
      <c r="W71" s="4">
        <v>21.08</v>
      </c>
      <c r="X71" s="4">
        <v>4</v>
      </c>
      <c r="Y71" s="4">
        <f>W71+X71</f>
        <v>25.08</v>
      </c>
      <c r="Z71" s="6"/>
      <c r="AA71" s="24">
        <v>85.768299999999996</v>
      </c>
      <c r="AC71" s="5">
        <v>6.53</v>
      </c>
      <c r="AD71" s="4">
        <f>AA71*P71/100</f>
        <v>7528.3125324999992</v>
      </c>
      <c r="AE71" s="4">
        <v>18.82</v>
      </c>
      <c r="AF71" s="4">
        <v>4</v>
      </c>
      <c r="AG71" s="4">
        <f>AD71-AE71-AF71</f>
        <v>7505.4925324999995</v>
      </c>
      <c r="AH71" s="4">
        <f>AD71-S71</f>
        <v>500.29470746574862</v>
      </c>
      <c r="AI71" s="4">
        <f>AG71-T71</f>
        <v>452.3947074657508</v>
      </c>
      <c r="AJ71" s="4">
        <f>AI71+O71+AC71</f>
        <v>875.8125407990841</v>
      </c>
      <c r="AK71">
        <f>A71-D71</f>
        <v>301</v>
      </c>
      <c r="AL71" s="18">
        <f>AJ71/T71</f>
        <v>0.12417416609344013</v>
      </c>
      <c r="AM71" s="18">
        <f>AJ71/T71*365/AK71</f>
        <v>0.15057664659171313</v>
      </c>
      <c r="AN71" s="18">
        <f>POWER((1+AL71),(365/AK71))-1</f>
        <v>0.15250302536612237</v>
      </c>
      <c r="AO71" s="21">
        <f>TitulosVendidos[[#This Row],[Comisión Santa Fe
Venta]]+TitulosVendidos[[#This Row],[Comisión Santa Fé
Compra]]</f>
        <v>39.9</v>
      </c>
      <c r="AP71" s="7"/>
    </row>
    <row r="72" spans="1:42" x14ac:dyDescent="0.25">
      <c r="A72" s="3">
        <v>46076</v>
      </c>
      <c r="B72" s="3" t="s">
        <v>42</v>
      </c>
      <c r="C72" t="s">
        <v>43</v>
      </c>
      <c r="D72" s="3">
        <v>45721</v>
      </c>
      <c r="E72" s="3">
        <v>45743</v>
      </c>
      <c r="F72" s="3">
        <v>45470</v>
      </c>
      <c r="G72" s="3">
        <v>48026</v>
      </c>
      <c r="H72" s="4">
        <v>5.64</v>
      </c>
      <c r="I72" s="4">
        <f>K72*12/T72*100</f>
        <v>7.2856806056515149</v>
      </c>
      <c r="J72" s="4">
        <v>11</v>
      </c>
      <c r="K72" s="4">
        <f>P72*H72/100/12</f>
        <v>23.105199999999996</v>
      </c>
      <c r="L72" s="4">
        <f>K72-V72</f>
        <v>16.945199999999996</v>
      </c>
      <c r="M72">
        <f>IF(E72="", 0, IF(A72&gt;E72,INT((A72-E72)/30),0))</f>
        <v>11</v>
      </c>
      <c r="N72" s="5"/>
      <c r="O72" s="4">
        <f>K72*M72+L72+IF(A72&gt;E72,N72,0)</f>
        <v>271.10239999999993</v>
      </c>
      <c r="P72" s="4">
        <v>4916</v>
      </c>
      <c r="Q72" s="24">
        <v>77.099469999999997</v>
      </c>
      <c r="R72" s="24">
        <v>77.412122563059398</v>
      </c>
      <c r="S72" s="4">
        <f>P72*Q72/100</f>
        <v>3790.2099452000002</v>
      </c>
      <c r="T72" s="4">
        <f>P72*R72/100</f>
        <v>3805.5799452000001</v>
      </c>
      <c r="U72" s="4">
        <f>T72+V72</f>
        <v>3811.7399452</v>
      </c>
      <c r="V72" s="4">
        <v>6.16</v>
      </c>
      <c r="W72" s="4">
        <v>11.37</v>
      </c>
      <c r="X72" s="4">
        <v>4</v>
      </c>
      <c r="Y72" s="4">
        <f>W72+X72</f>
        <v>15.37</v>
      </c>
      <c r="Z72" s="6"/>
      <c r="AA72" s="24">
        <v>85.087832370000001</v>
      </c>
      <c r="AC72" s="5">
        <v>20.02</v>
      </c>
      <c r="AD72" s="4">
        <f>AA72*P72/100</f>
        <v>4182.9178393091997</v>
      </c>
      <c r="AE72" s="4">
        <v>10.46</v>
      </c>
      <c r="AF72" s="4">
        <v>4</v>
      </c>
      <c r="AG72" s="4">
        <f>AD72-AE72-AF72</f>
        <v>4168.4578393091997</v>
      </c>
      <c r="AH72" s="4">
        <f>AD72-S72</f>
        <v>392.70789410919951</v>
      </c>
      <c r="AI72" s="4">
        <f>AG72-T72</f>
        <v>362.87789410919959</v>
      </c>
      <c r="AJ72" s="4">
        <f>AI72+O72+AC72</f>
        <v>654.00029410919956</v>
      </c>
      <c r="AK72">
        <f>A72-D72</f>
        <v>355</v>
      </c>
      <c r="AL72" s="18">
        <f>AJ72/T72</f>
        <v>0.17185299048416888</v>
      </c>
      <c r="AM72" s="18">
        <f>AJ72/T72*365/AK72</f>
        <v>0.17669391979358209</v>
      </c>
      <c r="AN72" s="18">
        <f>POWER((1+AL72),(365/AK72))-1</f>
        <v>0.17709962377462873</v>
      </c>
      <c r="AO72" s="21">
        <f>TitulosVendidos[[#This Row],[Comisión Santa Fe
Venta]]+TitulosVendidos[[#This Row],[Comisión Santa Fé
Compra]]</f>
        <v>21.83</v>
      </c>
      <c r="AP72" s="7"/>
    </row>
    <row r="73" spans="1:42" x14ac:dyDescent="0.25">
      <c r="A73" s="3">
        <v>46076</v>
      </c>
      <c r="B73" s="3" t="s">
        <v>42</v>
      </c>
      <c r="C73" t="s">
        <v>43</v>
      </c>
      <c r="D73" s="3">
        <v>45714</v>
      </c>
      <c r="E73" s="3">
        <v>45718</v>
      </c>
      <c r="F73" s="3">
        <v>45628</v>
      </c>
      <c r="G73" s="3">
        <v>48184</v>
      </c>
      <c r="H73" s="4">
        <v>5.64</v>
      </c>
      <c r="I73" s="4">
        <f>K73*12/T73*100</f>
        <v>7.4097600926261427</v>
      </c>
      <c r="J73" s="4">
        <v>11</v>
      </c>
      <c r="K73" s="4">
        <f>P73*H73/100/12</f>
        <v>152.797</v>
      </c>
      <c r="L73" s="4">
        <f>K73-V73</f>
        <v>25.466999999999999</v>
      </c>
      <c r="M73">
        <f>IF(E73="", 0, IF(A73&gt;E73,INT((A73-E73)/30),0))</f>
        <v>11</v>
      </c>
      <c r="N73" s="5"/>
      <c r="O73" s="4">
        <f>K73*M73+L73+IF(A73&gt;E73,N73,0)</f>
        <v>1706.2340000000002</v>
      </c>
      <c r="P73" s="4">
        <v>32510</v>
      </c>
      <c r="Q73" s="24">
        <v>75.850337120000006</v>
      </c>
      <c r="R73" s="24">
        <v>76.115824662294685</v>
      </c>
      <c r="S73" s="4">
        <f>P73*Q73/100</f>
        <v>24658.944597712001</v>
      </c>
      <c r="T73" s="4">
        <f>P73*R73/100</f>
        <v>24745.254597712003</v>
      </c>
      <c r="U73" s="4">
        <f>T73+V73</f>
        <v>24872.584597712004</v>
      </c>
      <c r="V73" s="4">
        <v>127.33</v>
      </c>
      <c r="W73" s="4">
        <v>73.98</v>
      </c>
      <c r="X73" s="4">
        <v>12.33</v>
      </c>
      <c r="Y73" s="4">
        <f>W73+X73</f>
        <v>86.31</v>
      </c>
      <c r="Z73" s="6"/>
      <c r="AA73" s="24">
        <v>84.060854449999994</v>
      </c>
      <c r="AC73" s="5">
        <v>106.96</v>
      </c>
      <c r="AD73" s="4">
        <f>AA73*P73/100</f>
        <v>27328.183781694999</v>
      </c>
      <c r="AE73" s="4">
        <v>68.319999999999993</v>
      </c>
      <c r="AF73" s="4">
        <v>13.66</v>
      </c>
      <c r="AG73" s="4">
        <f>AD73-AE73-AF73</f>
        <v>27246.203781695</v>
      </c>
      <c r="AH73" s="4">
        <f>AD73-S73</f>
        <v>2669.2391839829979</v>
      </c>
      <c r="AI73" s="4">
        <f>AG73-T73</f>
        <v>2500.9491839829971</v>
      </c>
      <c r="AJ73" s="4">
        <f>AI73+O73+AC73</f>
        <v>4314.1431839829975</v>
      </c>
      <c r="AK73">
        <f>A73-D73</f>
        <v>362</v>
      </c>
      <c r="AL73" s="18">
        <f>AJ73/T73</f>
        <v>0.17434224274992474</v>
      </c>
      <c r="AM73" s="18">
        <f>AJ73/T73*365/AK73</f>
        <v>0.17578706796608434</v>
      </c>
      <c r="AN73" s="18">
        <f>POWER((1+AL73),(365/AK73))-1</f>
        <v>0.17590731587544162</v>
      </c>
      <c r="AO73" s="21">
        <f>TitulosVendidos[[#This Row],[Comisión Santa Fe
Venta]]+TitulosVendidos[[#This Row],[Comisión Santa Fé
Compra]]</f>
        <v>142.30000000000001</v>
      </c>
      <c r="AP73" s="7"/>
    </row>
    <row r="74" spans="1:42" x14ac:dyDescent="0.25">
      <c r="A74" s="3">
        <v>46076</v>
      </c>
      <c r="B74" s="3" t="s">
        <v>42</v>
      </c>
      <c r="C74" t="s">
        <v>43</v>
      </c>
      <c r="D74" s="3">
        <v>45819</v>
      </c>
      <c r="E74" s="3">
        <v>45842</v>
      </c>
      <c r="F74" s="3">
        <v>45630</v>
      </c>
      <c r="G74" s="3">
        <v>48186</v>
      </c>
      <c r="H74" s="4">
        <v>5.64</v>
      </c>
      <c r="I74" s="4">
        <f>K74*12/T74*100</f>
        <v>7.0634950046632019</v>
      </c>
      <c r="J74" s="4">
        <v>10.25</v>
      </c>
      <c r="K74" s="4">
        <f>P74*H74/100/12</f>
        <v>43.945</v>
      </c>
      <c r="L74" s="4">
        <f>K74-V74</f>
        <v>33.695</v>
      </c>
      <c r="M74">
        <f>IF(E74="", 0, IF(A74&gt;E74,INT((A74-E74)/30),0))</f>
        <v>7</v>
      </c>
      <c r="N74" s="5"/>
      <c r="O74" s="4">
        <f>K74*M74+L74+IF(A74&gt;E74,N74,0)</f>
        <v>341.31</v>
      </c>
      <c r="P74" s="4">
        <v>9350</v>
      </c>
      <c r="Q74" s="24">
        <v>79.483521400000001</v>
      </c>
      <c r="R74" s="24">
        <v>79.847157763636361</v>
      </c>
      <c r="S74" s="4">
        <f>P74*Q74/100</f>
        <v>7431.7092509000004</v>
      </c>
      <c r="T74" s="4">
        <f>P74*R74/100</f>
        <v>7465.7092508999995</v>
      </c>
      <c r="U74" s="4">
        <f>T74+V74</f>
        <v>7475.9592508999995</v>
      </c>
      <c r="V74" s="4">
        <v>10.25</v>
      </c>
      <c r="W74" s="4">
        <v>30</v>
      </c>
      <c r="X74" s="4">
        <v>4</v>
      </c>
      <c r="Y74" s="4">
        <f>W74+X74</f>
        <v>34</v>
      </c>
      <c r="Z74" s="6"/>
      <c r="AA74" s="24">
        <v>84.047799999999995</v>
      </c>
      <c r="AC74" s="5">
        <v>27.829654359780051</v>
      </c>
      <c r="AD74" s="4">
        <f>AA74*P74/100</f>
        <v>7858.4692999999997</v>
      </c>
      <c r="AE74" s="4">
        <v>19.6474862529458</v>
      </c>
      <c r="AF74" s="4">
        <v>3.9294972505891601</v>
      </c>
      <c r="AG74" s="4">
        <f>AD74-AE74-AF74</f>
        <v>7834.8923164964644</v>
      </c>
      <c r="AH74" s="4">
        <f>AD74-S74</f>
        <v>426.76004909999938</v>
      </c>
      <c r="AI74" s="4">
        <f>AG74-T74</f>
        <v>369.18306559646498</v>
      </c>
      <c r="AJ74" s="4">
        <f>AI74+O74+AC74</f>
        <v>738.32271995624501</v>
      </c>
      <c r="AK74">
        <f>A74-D74</f>
        <v>257</v>
      </c>
      <c r="AL74" s="18">
        <f>AJ74/T74</f>
        <v>9.8895188004708243E-2</v>
      </c>
      <c r="AM74" s="18">
        <f>AJ74/T74*365/AK74</f>
        <v>0.14045425533742611</v>
      </c>
      <c r="AN74" s="18">
        <f>POWER((1+AL74),(365/AK74))-1</f>
        <v>0.14331912300052707</v>
      </c>
      <c r="AO74" s="21">
        <f>TitulosVendidos[[#This Row],[Comisión Santa Fe
Venta]]+TitulosVendidos[[#This Row],[Comisión Santa Fé
Compra]]</f>
        <v>49.647486252945797</v>
      </c>
      <c r="AP74" s="7"/>
    </row>
    <row r="75" spans="1:42" x14ac:dyDescent="0.25">
      <c r="A75" s="3">
        <v>46076</v>
      </c>
      <c r="B75" s="3" t="s">
        <v>42</v>
      </c>
      <c r="C75" t="s">
        <v>43</v>
      </c>
      <c r="D75" s="3">
        <v>45824</v>
      </c>
      <c r="E75" s="3">
        <v>45842</v>
      </c>
      <c r="F75" s="3">
        <v>45630</v>
      </c>
      <c r="G75" s="3">
        <v>48186</v>
      </c>
      <c r="H75" s="4">
        <v>5.64</v>
      </c>
      <c r="I75" s="4">
        <f>K75*12/T75*100</f>
        <v>7.0548745789121154</v>
      </c>
      <c r="J75" s="4">
        <v>10.25</v>
      </c>
      <c r="K75" s="4">
        <f>P75*H75/100/12</f>
        <v>15.886000000000001</v>
      </c>
      <c r="L75" s="4">
        <f>K75-V75</f>
        <v>9.5360000000000014</v>
      </c>
      <c r="M75">
        <f>IF(E75="", 0, IF(A75&gt;E75,INT((A75-E75)/30),0))</f>
        <v>7</v>
      </c>
      <c r="N75" s="5"/>
      <c r="O75" s="4">
        <f>K75*M75+L75+IF(A75&gt;E75,N75,0)</f>
        <v>120.73800000000001</v>
      </c>
      <c r="P75" s="4">
        <v>3380</v>
      </c>
      <c r="Q75" s="24">
        <v>79.518096630000002</v>
      </c>
      <c r="R75" s="24">
        <v>79.944723848934913</v>
      </c>
      <c r="S75" s="4">
        <f>P75*Q75/100</f>
        <v>2687.7116660940001</v>
      </c>
      <c r="T75" s="4">
        <f>P75*R75/100</f>
        <v>2702.1316660940001</v>
      </c>
      <c r="U75" s="4">
        <f>T75+V75</f>
        <v>2708.481666094</v>
      </c>
      <c r="V75" s="4">
        <v>6.35</v>
      </c>
      <c r="W75" s="4">
        <v>10.42</v>
      </c>
      <c r="X75" s="4">
        <v>4</v>
      </c>
      <c r="Y75" s="4">
        <f>W75+X75</f>
        <v>14.42</v>
      </c>
      <c r="Z75" s="6"/>
      <c r="AA75" s="24">
        <v>84.047799999999995</v>
      </c>
      <c r="AC75" s="5">
        <v>10.06034564021995</v>
      </c>
      <c r="AD75" s="4">
        <f>AA75*P75/100</f>
        <v>2840.8156399999993</v>
      </c>
      <c r="AE75" s="4">
        <v>7.1025137470542026</v>
      </c>
      <c r="AF75" s="4">
        <v>1.42050274941084</v>
      </c>
      <c r="AG75" s="4">
        <f>AD75-AE75-AF75</f>
        <v>2832.2926235035343</v>
      </c>
      <c r="AH75" s="4">
        <f>AD75-S75</f>
        <v>153.10397390599928</v>
      </c>
      <c r="AI75" s="4">
        <f>AG75-T75</f>
        <v>130.16095740953415</v>
      </c>
      <c r="AJ75" s="4">
        <f>AI75+O75+AC75</f>
        <v>260.95930304975411</v>
      </c>
      <c r="AK75">
        <f>A75-D75</f>
        <v>252</v>
      </c>
      <c r="AL75" s="18">
        <f>AJ75/T75</f>
        <v>9.6575346910085028E-2</v>
      </c>
      <c r="AM75" s="18">
        <f>AJ75/T75*365/AK75</f>
        <v>0.13988095881817872</v>
      </c>
      <c r="AN75" s="18">
        <f>POWER((1+AL75),(365/AK75))-1</f>
        <v>0.14285791344863741</v>
      </c>
      <c r="AO75" s="21">
        <f>TitulosVendidos[[#This Row],[Comisión Santa Fe
Venta]]+TitulosVendidos[[#This Row],[Comisión Santa Fé
Compra]]</f>
        <v>17.522513747054202</v>
      </c>
      <c r="AP75" s="7"/>
    </row>
    <row r="76" spans="1:42" x14ac:dyDescent="0.25">
      <c r="A76" s="3">
        <v>46076</v>
      </c>
      <c r="B76" s="3" t="s">
        <v>42</v>
      </c>
      <c r="C76" t="s">
        <v>43</v>
      </c>
      <c r="D76" s="3">
        <v>46021</v>
      </c>
      <c r="E76" s="3">
        <v>46030</v>
      </c>
      <c r="F76" s="3">
        <v>45999</v>
      </c>
      <c r="G76" s="3">
        <v>48190</v>
      </c>
      <c r="H76" s="4">
        <v>7.35</v>
      </c>
      <c r="I76" s="4">
        <f>K76*12/T76*100</f>
        <v>8.6585201873284436</v>
      </c>
      <c r="J76" s="4">
        <v>11</v>
      </c>
      <c r="K76" s="4">
        <f>P76*H76/100/12</f>
        <v>64.924999999999997</v>
      </c>
      <c r="L76" s="4">
        <f>K76-V76</f>
        <v>17.314999999999998</v>
      </c>
      <c r="M76">
        <f>IF(E76="", 0, IF(A76&gt;E76,INT((A76-E76)/30),0))</f>
        <v>1</v>
      </c>
      <c r="N76" s="5"/>
      <c r="O76" s="4">
        <f>K76*M76+L76+IF(A76&gt;E76,N76,0)</f>
        <v>82.24</v>
      </c>
      <c r="P76" s="4">
        <v>10600</v>
      </c>
      <c r="Q76" s="24">
        <v>84.622107349999993</v>
      </c>
      <c r="R76" s="24">
        <v>84.887484708490547</v>
      </c>
      <c r="S76" s="4">
        <f>P76*Q76/100</f>
        <v>8969.9433790999992</v>
      </c>
      <c r="T76" s="4">
        <f>P76*R76/100</f>
        <v>8998.0733790999984</v>
      </c>
      <c r="U76" s="4">
        <f>T76+V76</f>
        <v>9045.683379099999</v>
      </c>
      <c r="V76" s="4">
        <v>47.61</v>
      </c>
      <c r="W76" s="4">
        <v>23.65</v>
      </c>
      <c r="X76" s="4">
        <v>4.4800000000000004</v>
      </c>
      <c r="Y76" s="4">
        <f>W76+X76</f>
        <v>28.13</v>
      </c>
      <c r="Z76" s="6"/>
      <c r="AA76" s="24">
        <v>90.767629999999997</v>
      </c>
      <c r="AC76" s="5">
        <v>32.46</v>
      </c>
      <c r="AD76" s="4">
        <f>AA76*P76/100</f>
        <v>9621.3687799999989</v>
      </c>
      <c r="AE76" s="4">
        <v>24.05</v>
      </c>
      <c r="AF76" s="4">
        <v>4.8099999999999996</v>
      </c>
      <c r="AG76" s="4">
        <f>AD76-AE76-AF76</f>
        <v>9592.5087800000001</v>
      </c>
      <c r="AH76" s="4">
        <f>AD76-S76</f>
        <v>651.42540089999966</v>
      </c>
      <c r="AI76" s="4">
        <f>AG76-T76</f>
        <v>594.4354009000017</v>
      </c>
      <c r="AJ76" s="4">
        <f>AI76+O76+AC76</f>
        <v>709.13540090000174</v>
      </c>
      <c r="AK76">
        <f>A76-D76</f>
        <v>55</v>
      </c>
      <c r="AL76" s="18">
        <f>AJ76/T76</f>
        <v>7.8809693033524766E-2</v>
      </c>
      <c r="AM76" s="18">
        <f>AJ76/T76*365/AK76</f>
        <v>0.52300978104066431</v>
      </c>
      <c r="AN76" s="18">
        <f>POWER((1+AL76),(365/AK76))-1</f>
        <v>0.65437491965803618</v>
      </c>
      <c r="AO76" s="21">
        <f>TitulosVendidos[[#This Row],[Comisión Santa Fe
Venta]]+TitulosVendidos[[#This Row],[Comisión Santa Fé
Compra]]</f>
        <v>47.7</v>
      </c>
      <c r="AP76" s="7"/>
    </row>
    <row r="77" spans="1:42" x14ac:dyDescent="0.25">
      <c r="A77" s="3">
        <v>46118</v>
      </c>
      <c r="B77" s="3" t="s">
        <v>42</v>
      </c>
      <c r="C77" t="s">
        <v>45</v>
      </c>
      <c r="D77" s="3">
        <v>45308</v>
      </c>
      <c r="E77" s="3">
        <v>45309</v>
      </c>
      <c r="F77" s="3">
        <v>45217</v>
      </c>
      <c r="G77" s="3">
        <v>47409</v>
      </c>
      <c r="H77" s="4">
        <v>5.36</v>
      </c>
      <c r="I77" s="4">
        <f>K77*12/T77*100</f>
        <v>7.6179723637082812</v>
      </c>
      <c r="J77" s="4">
        <v>13</v>
      </c>
      <c r="K77" s="4">
        <f>P77*H77/100/12</f>
        <v>33.053333333333335</v>
      </c>
      <c r="L77" s="4">
        <f>K77-V77</f>
        <v>1.1033333333333353</v>
      </c>
      <c r="M77">
        <f>IF(E77="", 0, IF(A77&gt;E77,INT((A77-E77)/30),0))</f>
        <v>26</v>
      </c>
      <c r="N77" s="5"/>
      <c r="O77" s="4">
        <f>K77*M77+L77+IF(A77&gt;E77,N77,0)</f>
        <v>860.49</v>
      </c>
      <c r="P77" s="4">
        <v>7400</v>
      </c>
      <c r="Q77" s="24">
        <v>70.095605379999995</v>
      </c>
      <c r="R77" s="24">
        <v>70.359929704324315</v>
      </c>
      <c r="S77" s="4">
        <f>P77*Q77/100</f>
        <v>5187.0747981199993</v>
      </c>
      <c r="T77" s="4">
        <f>P77*R77/100</f>
        <v>5206.6347981199997</v>
      </c>
      <c r="U77" s="4">
        <f>T77+V77</f>
        <v>5238.5847981199995</v>
      </c>
      <c r="V77" s="4">
        <v>31.95</v>
      </c>
      <c r="W77" s="4">
        <v>15.56</v>
      </c>
      <c r="X77" s="4">
        <v>4</v>
      </c>
      <c r="Y77" s="4">
        <f>W77+X77</f>
        <v>19.560000000000002</v>
      </c>
      <c r="Z77" s="6"/>
      <c r="AA77" s="24">
        <v>91.037367149999994</v>
      </c>
      <c r="AB77" s="24">
        <v>90.340900000000005</v>
      </c>
      <c r="AC77" s="5">
        <v>19.829999999999998</v>
      </c>
      <c r="AD77" s="4">
        <f>AA77*P77/100</f>
        <v>6736.7651691000001</v>
      </c>
      <c r="AE77" s="4">
        <v>67.37</v>
      </c>
      <c r="AF77" s="4">
        <v>4</v>
      </c>
      <c r="AG77" s="4">
        <f>AD77-AE77-AF77</f>
        <v>6665.3951691000002</v>
      </c>
      <c r="AH77" s="4">
        <f>AD77-S77</f>
        <v>1549.6903709800008</v>
      </c>
      <c r="AI77" s="4">
        <f>AG77-T77</f>
        <v>1458.7603709800005</v>
      </c>
      <c r="AJ77" s="4">
        <f>AI77+O77+AC77</f>
        <v>2339.0803709800002</v>
      </c>
      <c r="AK77">
        <f>A77-D77</f>
        <v>810</v>
      </c>
      <c r="AL77" s="18">
        <f>AJ77/T77</f>
        <v>0.44924994006197444</v>
      </c>
      <c r="AM77" s="18">
        <f>AJ77/T77*365/AK77</f>
        <v>0.20243978780570454</v>
      </c>
      <c r="AN77" s="18">
        <f>POWER((1+AL77),(365/AK77))-1</f>
        <v>0.18199040785959508</v>
      </c>
      <c r="AO77" s="21">
        <f>TitulosVendidos[[#This Row],[Comisión Santa Fe
Venta]]+TitulosVendidos[[#This Row],[Comisión Santa Fé
Compra]]</f>
        <v>82.93</v>
      </c>
      <c r="AP77" s="7"/>
    </row>
    <row r="78" spans="1:42" x14ac:dyDescent="0.25">
      <c r="A78" s="3">
        <v>46118</v>
      </c>
      <c r="B78" s="3" t="s">
        <v>42</v>
      </c>
      <c r="C78" t="s">
        <v>45</v>
      </c>
      <c r="D78" s="3">
        <v>45492</v>
      </c>
      <c r="E78" s="3">
        <v>45521</v>
      </c>
      <c r="F78" s="3">
        <v>45063</v>
      </c>
      <c r="G78" s="3">
        <v>48351</v>
      </c>
      <c r="H78" s="4">
        <v>6.21</v>
      </c>
      <c r="I78" s="4">
        <f>K78*12/T78*100</f>
        <v>9.135973464212535</v>
      </c>
      <c r="J78" s="4">
        <v>14</v>
      </c>
      <c r="K78" s="4">
        <f>P78*H78/100/12</f>
        <v>29.280150000000003</v>
      </c>
      <c r="L78" s="4">
        <f>K78-V78</f>
        <v>27.330150000000003</v>
      </c>
      <c r="M78">
        <f>IF(E78="", 0, IF(A78&gt;E78,INT((A78-E78)/30),0))</f>
        <v>19</v>
      </c>
      <c r="N78" s="5"/>
      <c r="O78" s="4">
        <f>K78*M78+L78+IF(A78&gt;E78,N78,0)</f>
        <v>583.65300000000002</v>
      </c>
      <c r="P78" s="4">
        <v>5658</v>
      </c>
      <c r="Q78" s="24">
        <v>67.699280419999994</v>
      </c>
      <c r="R78" s="24">
        <v>67.973052070759977</v>
      </c>
      <c r="S78" s="4">
        <f>P78*Q78/100</f>
        <v>3830.4252861635996</v>
      </c>
      <c r="T78" s="4">
        <f>P78*R78/100</f>
        <v>3845.9152861635994</v>
      </c>
      <c r="U78" s="4">
        <f>T78+V78</f>
        <v>3847.8652861635992</v>
      </c>
      <c r="V78" s="4">
        <v>1.95</v>
      </c>
      <c r="W78" s="4">
        <v>11.49</v>
      </c>
      <c r="X78" s="4">
        <v>4</v>
      </c>
      <c r="Y78" s="4">
        <f>W78+X78</f>
        <v>15.49</v>
      </c>
      <c r="Z78" s="6"/>
      <c r="AA78" s="24">
        <v>89.07777256</v>
      </c>
      <c r="AB78" s="24">
        <v>89.077799999999996</v>
      </c>
      <c r="AC78" s="5">
        <v>18.54</v>
      </c>
      <c r="AD78" s="4">
        <f>AA78*P78/100</f>
        <v>5040.0203714447998</v>
      </c>
      <c r="AE78" s="4">
        <v>50.4</v>
      </c>
      <c r="AF78" s="4">
        <v>4</v>
      </c>
      <c r="AG78" s="4">
        <f>AD78-AE78-AF78</f>
        <v>4985.6203714448002</v>
      </c>
      <c r="AH78" s="4">
        <f>AD78-S78</f>
        <v>1209.5950852812002</v>
      </c>
      <c r="AI78" s="4">
        <f>AG78-T78</f>
        <v>1139.7050852812008</v>
      </c>
      <c r="AJ78" s="4">
        <f>AI78+O78+AC78</f>
        <v>1741.8980852812008</v>
      </c>
      <c r="AK78">
        <f>A78-D78</f>
        <v>626</v>
      </c>
      <c r="AL78" s="18">
        <f>AJ78/T78</f>
        <v>0.45292159490564066</v>
      </c>
      <c r="AM78" s="18">
        <f>AJ78/T78*365/AK78</f>
        <v>0.26408367754082879</v>
      </c>
      <c r="AN78" s="18">
        <f>POWER((1+AL78),(365/AK78))-1</f>
        <v>0.24336338934534241</v>
      </c>
      <c r="AO78" s="21">
        <f>TitulosVendidos[[#This Row],[Comisión Santa Fe
Venta]]+TitulosVendidos[[#This Row],[Comisión Santa Fé
Compra]]</f>
        <v>61.89</v>
      </c>
      <c r="AP78" s="7"/>
    </row>
    <row r="79" spans="1:42" x14ac:dyDescent="0.25">
      <c r="A79" s="3">
        <v>46118</v>
      </c>
      <c r="B79" s="3" t="s">
        <v>42</v>
      </c>
      <c r="C79" t="s">
        <v>45</v>
      </c>
      <c r="D79" s="3">
        <v>45492</v>
      </c>
      <c r="E79" s="3">
        <v>45497</v>
      </c>
      <c r="F79" s="3">
        <v>45070</v>
      </c>
      <c r="G79" s="3">
        <v>47627</v>
      </c>
      <c r="H79" s="4">
        <v>5.64</v>
      </c>
      <c r="I79" s="4">
        <f>K79*12/T79*100</f>
        <v>8.1769429055954088</v>
      </c>
      <c r="J79" s="4">
        <v>14</v>
      </c>
      <c r="K79" s="4">
        <f>P79*H79/100/12</f>
        <v>41.547999999999995</v>
      </c>
      <c r="L79" s="4">
        <f>K79-V79</f>
        <v>6.9279999999999973</v>
      </c>
      <c r="M79">
        <f>IF(E79="", 0, IF(A79&gt;E79,INT((A79-E79)/30),0))</f>
        <v>20</v>
      </c>
      <c r="N79" s="5"/>
      <c r="O79" s="4">
        <f>K79*M79+L79+IF(A79&gt;E79,N79,0)</f>
        <v>837.88799999999992</v>
      </c>
      <c r="P79" s="4">
        <v>8840</v>
      </c>
      <c r="Q79" s="24">
        <v>68.722962339999995</v>
      </c>
      <c r="R79" s="24">
        <v>68.974432928235288</v>
      </c>
      <c r="S79" s="4">
        <f>P79*Q79/100</f>
        <v>6075.1098708559994</v>
      </c>
      <c r="T79" s="4">
        <f>P79*R79/100</f>
        <v>6097.3398708559989</v>
      </c>
      <c r="U79" s="4">
        <f>T79+V79</f>
        <v>6131.9598708559988</v>
      </c>
      <c r="V79" s="4">
        <v>34.619999999999997</v>
      </c>
      <c r="W79" s="4">
        <v>18.23</v>
      </c>
      <c r="X79" s="4">
        <v>4</v>
      </c>
      <c r="Y79" s="4">
        <f>W79+X79</f>
        <v>22.23</v>
      </c>
      <c r="Z79" s="6"/>
      <c r="AA79" s="24">
        <v>90.374424860000005</v>
      </c>
      <c r="AB79" s="24">
        <v>89.613500000000002</v>
      </c>
      <c r="AC79" s="5">
        <v>16.62</v>
      </c>
      <c r="AD79" s="4">
        <f>AA79*P79/100</f>
        <v>7989.0991576240003</v>
      </c>
      <c r="AE79" s="4">
        <v>79.89</v>
      </c>
      <c r="AF79" s="4">
        <v>4</v>
      </c>
      <c r="AG79" s="4">
        <f>AD79-AE79-AF79</f>
        <v>7905.209157624</v>
      </c>
      <c r="AH79" s="4">
        <f>AD79-S79</f>
        <v>1913.989286768001</v>
      </c>
      <c r="AI79" s="4">
        <f>AG79-T79</f>
        <v>1807.8692867680011</v>
      </c>
      <c r="AJ79" s="4">
        <f>AI79+O79+AC79</f>
        <v>2662.3772867680009</v>
      </c>
      <c r="AK79">
        <f>A79-D79</f>
        <v>626</v>
      </c>
      <c r="AL79" s="18">
        <f>AJ79/T79</f>
        <v>0.4366457083184101</v>
      </c>
      <c r="AM79" s="18">
        <f>AJ79/T79*365/AK79</f>
        <v>0.25459374366808257</v>
      </c>
      <c r="AN79" s="18">
        <f>POWER((1+AL79),(365/AK79))-1</f>
        <v>0.23522314410442369</v>
      </c>
      <c r="AO79" s="21">
        <f>TitulosVendidos[[#This Row],[Comisión Santa Fe
Venta]]+TitulosVendidos[[#This Row],[Comisión Santa Fé
Compra]]</f>
        <v>98.12</v>
      </c>
      <c r="AP79" s="7"/>
    </row>
    <row r="80" spans="1:42" x14ac:dyDescent="0.25">
      <c r="A80" s="3">
        <v>46118</v>
      </c>
      <c r="B80" s="3" t="s">
        <v>42</v>
      </c>
      <c r="C80" t="s">
        <v>44</v>
      </c>
      <c r="D80" s="3">
        <v>45260</v>
      </c>
      <c r="E80" s="3">
        <v>45277</v>
      </c>
      <c r="F80" s="3">
        <v>45063</v>
      </c>
      <c r="G80" s="3">
        <v>48351</v>
      </c>
      <c r="H80" s="4">
        <v>6.21</v>
      </c>
      <c r="I80" s="4">
        <f>K80*12/T80*100</f>
        <v>8.9388314888665032</v>
      </c>
      <c r="J80" s="4">
        <v>13</v>
      </c>
      <c r="K80" s="4">
        <f>P80*H80/100/12</f>
        <v>52.2468</v>
      </c>
      <c r="L80" s="4">
        <f>K80-V80</f>
        <v>27.866800000000001</v>
      </c>
      <c r="M80">
        <f>IF(E80="", 0, IF(A80&gt;E80,INT((A80-E80)/30),0))</f>
        <v>28</v>
      </c>
      <c r="N80" s="5"/>
      <c r="O80" s="4">
        <f>K80*M80+L80+IF(A80&gt;E80,N80,0)</f>
        <v>1490.7772</v>
      </c>
      <c r="P80" s="4">
        <v>10096</v>
      </c>
      <c r="Q80" s="24">
        <v>69.224841999999995</v>
      </c>
      <c r="R80" s="24">
        <v>69.472167673534074</v>
      </c>
      <c r="S80" s="4">
        <f>P80*Q80/100</f>
        <v>6988.9400483199997</v>
      </c>
      <c r="T80" s="4">
        <f>P80*R80/100</f>
        <v>7013.91004832</v>
      </c>
      <c r="U80" s="4">
        <f>T80+V80</f>
        <v>7038.2900483200001</v>
      </c>
      <c r="V80" s="4">
        <v>24.38</v>
      </c>
      <c r="W80" s="4">
        <v>20.97</v>
      </c>
      <c r="X80" s="4">
        <v>4</v>
      </c>
      <c r="Y80" s="4">
        <f>W80+X80</f>
        <v>24.97</v>
      </c>
      <c r="Z80" s="6"/>
      <c r="AA80" s="24">
        <v>89.599852729999995</v>
      </c>
      <c r="AB80" s="24">
        <v>88.986800000000002</v>
      </c>
      <c r="AC80" s="5">
        <v>33.088388429752072</v>
      </c>
      <c r="AD80" s="4">
        <f>AA80*P80/100</f>
        <v>9046.0011316208002</v>
      </c>
      <c r="AE80" s="4">
        <v>90.45854338842976</v>
      </c>
      <c r="AF80" s="4">
        <v>4.5239049586776856</v>
      </c>
      <c r="AG80" s="4">
        <f>AD80-AE80-AF80</f>
        <v>8951.0186832736927</v>
      </c>
      <c r="AH80" s="4">
        <f>AD80-S80</f>
        <v>2057.0610833008004</v>
      </c>
      <c r="AI80" s="4">
        <f>AG80-T80</f>
        <v>1937.1086349536927</v>
      </c>
      <c r="AJ80" s="4">
        <f>AI80+O80+AC80</f>
        <v>3460.974223383445</v>
      </c>
      <c r="AK80">
        <f>A80-D80</f>
        <v>858</v>
      </c>
      <c r="AL80" s="18">
        <f>AJ80/T80</f>
        <v>0.49344434125048858</v>
      </c>
      <c r="AM80" s="18">
        <f>AJ80/T80*365/AK80</f>
        <v>0.20991513351565075</v>
      </c>
      <c r="AN80" s="18">
        <f>POWER((1+AL80),(365/AK80))-1</f>
        <v>0.18604563311973821</v>
      </c>
      <c r="AO80" s="21">
        <f>TitulosVendidos[[#This Row],[Comisión Santa Fe
Venta]]+TitulosVendidos[[#This Row],[Comisión Santa Fé
Compra]]</f>
        <v>111.42854338842976</v>
      </c>
      <c r="AP80" s="7"/>
    </row>
    <row r="81" spans="1:42" x14ac:dyDescent="0.25">
      <c r="A81" s="3">
        <v>46118</v>
      </c>
      <c r="B81" s="3" t="s">
        <v>42</v>
      </c>
      <c r="C81" t="s">
        <v>44</v>
      </c>
      <c r="D81" s="3">
        <v>46083</v>
      </c>
      <c r="E81" s="3">
        <v>46098</v>
      </c>
      <c r="F81" s="3">
        <v>45063</v>
      </c>
      <c r="G81" s="3">
        <v>48351</v>
      </c>
      <c r="H81" s="4">
        <v>6.21</v>
      </c>
      <c r="I81" s="4">
        <f>K81*12/T81*100</f>
        <v>7.3455808860519944</v>
      </c>
      <c r="J81" s="4">
        <v>10.5</v>
      </c>
      <c r="K81" s="4">
        <f>P81*H81/100/12</f>
        <v>108.05400000000002</v>
      </c>
      <c r="L81" s="4">
        <f>K81-V81</f>
        <v>54.024000000000015</v>
      </c>
      <c r="M81">
        <f>IF(E81="", 0, IF(A81&gt;E81,INT((A81-E81)/30),0))</f>
        <v>0</v>
      </c>
      <c r="N81" s="5"/>
      <c r="O81" s="4">
        <f>K81*M81+L81+IF(A81&gt;E81,N81,0)</f>
        <v>54.024000000000015</v>
      </c>
      <c r="P81" s="4">
        <v>20880</v>
      </c>
      <c r="Q81" s="24">
        <v>84.287751560000004</v>
      </c>
      <c r="R81" s="24">
        <v>84.540625123218391</v>
      </c>
      <c r="S81" s="4">
        <f>P81*Q81/100</f>
        <v>17599.282525728002</v>
      </c>
      <c r="T81" s="4">
        <f>P81*R81/100</f>
        <v>17652.082525728001</v>
      </c>
      <c r="U81" s="4">
        <f>T81+V81</f>
        <v>17706.112525728</v>
      </c>
      <c r="V81" s="4">
        <v>54.03</v>
      </c>
      <c r="W81" s="4">
        <v>44</v>
      </c>
      <c r="X81" s="4">
        <v>8.8000000000000007</v>
      </c>
      <c r="Y81" s="4">
        <f>W81+X81</f>
        <v>52.8</v>
      </c>
      <c r="Z81" s="6"/>
      <c r="AA81" s="24">
        <v>89.599852729999995</v>
      </c>
      <c r="AB81" s="24">
        <v>88.986800000000002</v>
      </c>
      <c r="AC81" s="5">
        <v>68.431611570247924</v>
      </c>
      <c r="AD81" s="4">
        <f>AA81*P81/100</f>
        <v>18708.449250023998</v>
      </c>
      <c r="AE81" s="4">
        <v>187.08145661157019</v>
      </c>
      <c r="AF81" s="4">
        <v>9.3560950413223143</v>
      </c>
      <c r="AG81" s="4">
        <f>AD81-AE81-AF81</f>
        <v>18512.011698371105</v>
      </c>
      <c r="AH81" s="4">
        <f>AD81-S81</f>
        <v>1109.1667242959957</v>
      </c>
      <c r="AI81" s="4">
        <f>AG81-T81</f>
        <v>859.92917264310381</v>
      </c>
      <c r="AJ81" s="4">
        <f>AI81+O81+AC81</f>
        <v>982.38478421335174</v>
      </c>
      <c r="AK81">
        <f>A81-D81</f>
        <v>35</v>
      </c>
      <c r="AL81" s="18">
        <f>AJ81/T81</f>
        <v>5.565262811237829E-2</v>
      </c>
      <c r="AM81" s="18">
        <f>AJ81/T81*365/AK81</f>
        <v>0.58037740745765931</v>
      </c>
      <c r="AN81" s="18">
        <f>POWER((1+AL81),(365/AK81))-1</f>
        <v>0.75910099900971884</v>
      </c>
      <c r="AO81" s="21">
        <f>TitulosVendidos[[#This Row],[Comisión Santa Fe
Venta]]+TitulosVendidos[[#This Row],[Comisión Santa Fé
Compra]]</f>
        <v>231.08145661157019</v>
      </c>
      <c r="AP81" s="7"/>
    </row>
    <row r="82" spans="1:42" x14ac:dyDescent="0.25">
      <c r="A82" s="3">
        <v>46118</v>
      </c>
      <c r="B82" s="3" t="s">
        <v>42</v>
      </c>
      <c r="C82" t="s">
        <v>44</v>
      </c>
      <c r="D82" s="3">
        <v>45286</v>
      </c>
      <c r="E82" s="3">
        <v>45315</v>
      </c>
      <c r="F82" s="3">
        <v>45042</v>
      </c>
      <c r="G82" s="3">
        <v>47627</v>
      </c>
      <c r="H82" s="4">
        <v>5.64</v>
      </c>
      <c r="I82" s="4">
        <f>K82*12/T82*100</f>
        <v>8.1448013262861192</v>
      </c>
      <c r="J82" s="4">
        <v>13.25</v>
      </c>
      <c r="K82" s="4">
        <f>P82*H82/100/12</f>
        <v>35.278199999999998</v>
      </c>
      <c r="L82" s="4">
        <f>K82-V82</f>
        <v>32.928199999999997</v>
      </c>
      <c r="M82">
        <f>IF(E82="", 0, IF(A82&gt;E82,INT((A82-E82)/30),0))</f>
        <v>26</v>
      </c>
      <c r="N82" s="5"/>
      <c r="O82" s="4">
        <f>K82*M82+L82+IF(A82&gt;E82,N82,0)</f>
        <v>950.16139999999984</v>
      </c>
      <c r="P82" s="4">
        <v>7506</v>
      </c>
      <c r="Q82" s="24">
        <v>68.979371749999999</v>
      </c>
      <c r="R82" s="24">
        <v>69.246624614375179</v>
      </c>
      <c r="S82" s="4">
        <f>P82*Q82/100</f>
        <v>5177.5916435549998</v>
      </c>
      <c r="T82" s="4">
        <f>P82*R82/100</f>
        <v>5197.6516435550011</v>
      </c>
      <c r="U82" s="4">
        <f>T82+V82</f>
        <v>5200.0016435550015</v>
      </c>
      <c r="V82" s="4">
        <v>2.35</v>
      </c>
      <c r="W82" s="4">
        <v>16.059999999999999</v>
      </c>
      <c r="X82" s="4">
        <v>4</v>
      </c>
      <c r="Y82" s="4">
        <f>W82+X82</f>
        <v>20.059999999999999</v>
      </c>
      <c r="Z82" s="6"/>
      <c r="AA82" s="24">
        <v>90.374424860000005</v>
      </c>
      <c r="AB82" s="24">
        <v>89.613500000000002</v>
      </c>
      <c r="AC82" s="5">
        <v>14.10979475844648</v>
      </c>
      <c r="AD82" s="4">
        <f>AA82*P82/100</f>
        <v>6783.5043299916006</v>
      </c>
      <c r="AE82" s="4">
        <v>67.835247868645396</v>
      </c>
      <c r="AF82" s="4">
        <v>3.393144932112409</v>
      </c>
      <c r="AG82" s="4">
        <f>AD82-AE82-AF82</f>
        <v>6712.2759371908423</v>
      </c>
      <c r="AH82" s="4">
        <f>AD82-S82</f>
        <v>1605.9126864366008</v>
      </c>
      <c r="AI82" s="4">
        <f>AG82-T82</f>
        <v>1514.6242936358412</v>
      </c>
      <c r="AJ82" s="4">
        <f>AI82+O82+AC82</f>
        <v>2478.8954883942879</v>
      </c>
      <c r="AK82">
        <f>A82-D82</f>
        <v>832</v>
      </c>
      <c r="AL82" s="18">
        <f>AJ82/T82</f>
        <v>0.4769260539936484</v>
      </c>
      <c r="AM82" s="18">
        <f>AJ82/T82*365/AK82</f>
        <v>0.20922837705250202</v>
      </c>
      <c r="AN82" s="18">
        <f>POWER((1+AL82),(365/AK82))-1</f>
        <v>0.18658269436929653</v>
      </c>
      <c r="AO82" s="21">
        <f>TitulosVendidos[[#This Row],[Comisión Santa Fe
Venta]]+TitulosVendidos[[#This Row],[Comisión Santa Fé
Compra]]</f>
        <v>83.895247868645399</v>
      </c>
      <c r="AP82" s="7"/>
    </row>
    <row r="83" spans="1:42" x14ac:dyDescent="0.25">
      <c r="A83" s="3">
        <v>46118</v>
      </c>
      <c r="B83" s="3" t="s">
        <v>42</v>
      </c>
      <c r="C83" t="s">
        <v>44</v>
      </c>
      <c r="D83" s="3">
        <v>45622</v>
      </c>
      <c r="E83" s="3">
        <v>45650</v>
      </c>
      <c r="F83" s="3">
        <v>45070</v>
      </c>
      <c r="G83" s="3">
        <v>47627</v>
      </c>
      <c r="H83" s="4">
        <v>5.64</v>
      </c>
      <c r="I83" s="4">
        <f>K83*12/T83*100</f>
        <v>7.6813457298500696</v>
      </c>
      <c r="J83" s="4">
        <v>13</v>
      </c>
      <c r="K83" s="4">
        <f>P83*H83/100/12</f>
        <v>54.031199999999991</v>
      </c>
      <c r="L83" s="4">
        <f>K83-V83</f>
        <v>50.43119999999999</v>
      </c>
      <c r="M83">
        <f>IF(E83="", 0, IF(A83&gt;E83,INT((A83-E83)/30),0))</f>
        <v>15</v>
      </c>
      <c r="N83" s="5"/>
      <c r="O83" s="4">
        <f>K83*M83+L83+IF(A83&gt;E83,N83,0)</f>
        <v>860.89919999999984</v>
      </c>
      <c r="P83" s="4">
        <v>11496</v>
      </c>
      <c r="Q83" s="24">
        <v>73.127139369999995</v>
      </c>
      <c r="R83" s="24">
        <v>73.424634150793324</v>
      </c>
      <c r="S83" s="4">
        <f>P83*Q83/100</f>
        <v>8406.6959419752002</v>
      </c>
      <c r="T83" s="4">
        <f>P83*R83/100</f>
        <v>8440.8959419752009</v>
      </c>
      <c r="U83" s="4">
        <f>T83+V83</f>
        <v>8444.4959419752013</v>
      </c>
      <c r="V83" s="4">
        <v>3.6</v>
      </c>
      <c r="W83" s="4">
        <v>30</v>
      </c>
      <c r="X83" s="4">
        <v>4.2</v>
      </c>
      <c r="Y83" s="4">
        <f>W83+X83</f>
        <v>34.200000000000003</v>
      </c>
      <c r="Z83" s="6"/>
      <c r="AA83" s="24">
        <v>90.374424860000005</v>
      </c>
      <c r="AB83" s="24">
        <v>89.613500000000002</v>
      </c>
      <c r="AC83" s="5">
        <v>21.610205241553519</v>
      </c>
      <c r="AD83" s="4">
        <f>AA83*P83/100</f>
        <v>10389.443881905601</v>
      </c>
      <c r="AE83" s="4">
        <v>103.89475213135459</v>
      </c>
      <c r="AF83" s="4">
        <v>5.1968550678875909</v>
      </c>
      <c r="AG83" s="4">
        <f>AD83-AE83-AF83</f>
        <v>10280.352274706358</v>
      </c>
      <c r="AH83" s="4">
        <f>AD83-S83</f>
        <v>1982.7479399304011</v>
      </c>
      <c r="AI83" s="4">
        <f>AG83-T83</f>
        <v>1839.4563327311571</v>
      </c>
      <c r="AJ83" s="4">
        <f>AI83+O83+AC83</f>
        <v>2721.9657379727105</v>
      </c>
      <c r="AK83">
        <f>A83-D83</f>
        <v>496</v>
      </c>
      <c r="AL83" s="18">
        <f>AJ83/T83</f>
        <v>0.32247355691672708</v>
      </c>
      <c r="AM83" s="18">
        <f>AJ83/T83*365/AK83</f>
        <v>0.23730412958589794</v>
      </c>
      <c r="AN83" s="18">
        <f>POWER((1+AL83),(365/AK83))-1</f>
        <v>0.22836412682539042</v>
      </c>
      <c r="AO83" s="21">
        <f>TitulosVendidos[[#This Row],[Comisión Santa Fe
Venta]]+TitulosVendidos[[#This Row],[Comisión Santa Fé
Compra]]</f>
        <v>133.89475213135461</v>
      </c>
      <c r="AP83" s="7"/>
    </row>
    <row r="84" spans="1:42" x14ac:dyDescent="0.25">
      <c r="A84" s="3">
        <v>46118</v>
      </c>
      <c r="B84" s="3" t="s">
        <v>42</v>
      </c>
      <c r="C84" t="s">
        <v>44</v>
      </c>
      <c r="D84" s="3">
        <v>45260</v>
      </c>
      <c r="E84" s="3">
        <v>45275</v>
      </c>
      <c r="F84" s="3">
        <v>44910</v>
      </c>
      <c r="G84" s="3">
        <v>47832</v>
      </c>
      <c r="H84" s="4">
        <v>5.93</v>
      </c>
      <c r="I84" s="4">
        <f>K84*12/T84*100</f>
        <v>8.3637129200416602</v>
      </c>
      <c r="J84" s="4">
        <v>13</v>
      </c>
      <c r="K84" s="4">
        <f>P84*H84/100/12</f>
        <v>72.148333333333326</v>
      </c>
      <c r="L84" s="4">
        <f>K84-V84</f>
        <v>36.078333333333326</v>
      </c>
      <c r="M84">
        <f>IF(E84="", 0, IF(A84&gt;E84,INT((A84-E84)/30),0))</f>
        <v>28</v>
      </c>
      <c r="N84" s="5"/>
      <c r="O84" s="4">
        <f>K84*M84+L84+IF(A84&gt;E84,N84,0)</f>
        <v>2056.2316666666666</v>
      </c>
      <c r="P84" s="4">
        <v>14600</v>
      </c>
      <c r="Q84" s="24">
        <v>70.654196150000004</v>
      </c>
      <c r="R84" s="24">
        <v>70.901524917123311</v>
      </c>
      <c r="S84" s="4">
        <f>P84*Q84/100</f>
        <v>10315.512637900001</v>
      </c>
      <c r="T84" s="4">
        <f>P84*R84/100</f>
        <v>10351.622637900004</v>
      </c>
      <c r="U84" s="4">
        <f>T84+V84</f>
        <v>10387.692637900003</v>
      </c>
      <c r="V84" s="4">
        <v>36.07</v>
      </c>
      <c r="W84" s="4">
        <v>30.95</v>
      </c>
      <c r="X84" s="4">
        <v>5.16</v>
      </c>
      <c r="Y84" s="4">
        <f>W84+X84</f>
        <v>36.11</v>
      </c>
      <c r="Z84" s="6"/>
      <c r="AA84" s="24">
        <v>91.189790529999996</v>
      </c>
      <c r="AB84" s="24">
        <v>90.578199999999995</v>
      </c>
      <c r="AC84" s="5">
        <v>50.50218380345769</v>
      </c>
      <c r="AD84" s="4">
        <f>AA84*P84/100</f>
        <v>13313.70941738</v>
      </c>
      <c r="AE84" s="4">
        <v>133.14030937215651</v>
      </c>
      <c r="AF84" s="4">
        <v>6.6556869881710652</v>
      </c>
      <c r="AG84" s="4">
        <f>AD84-AE84-AF84</f>
        <v>13173.913421019672</v>
      </c>
      <c r="AH84" s="4">
        <f>AD84-S84</f>
        <v>2998.1967794799984</v>
      </c>
      <c r="AI84" s="4">
        <f>AG84-T84</f>
        <v>2822.290783119668</v>
      </c>
      <c r="AJ84" s="4">
        <f>AI84+O84+AC84</f>
        <v>4929.0246335897928</v>
      </c>
      <c r="AK84">
        <f>A84-D84</f>
        <v>858</v>
      </c>
      <c r="AL84" s="18">
        <f>AJ84/T84</f>
        <v>0.47615961342556495</v>
      </c>
      <c r="AM84" s="18">
        <f>AJ84/T84*365/AK84</f>
        <v>0.20256207331040932</v>
      </c>
      <c r="AN84" s="18">
        <f>POWER((1+AL84),(365/AK84))-1</f>
        <v>0.1801865324553813</v>
      </c>
      <c r="AO84" s="21">
        <f>TitulosVendidos[[#This Row],[Comisión Santa Fe
Venta]]+TitulosVendidos[[#This Row],[Comisión Santa Fé
Compra]]</f>
        <v>164.0903093721565</v>
      </c>
      <c r="AP84" s="7"/>
    </row>
    <row r="85" spans="1:42" x14ac:dyDescent="0.25">
      <c r="A85" s="3">
        <v>46118</v>
      </c>
      <c r="B85" s="3" t="s">
        <v>42</v>
      </c>
      <c r="C85" t="s">
        <v>44</v>
      </c>
      <c r="D85" s="3">
        <v>45265</v>
      </c>
      <c r="E85" s="3">
        <v>45275</v>
      </c>
      <c r="F85" s="3">
        <v>44910</v>
      </c>
      <c r="G85" s="3">
        <v>47832</v>
      </c>
      <c r="H85" s="4">
        <v>5.93</v>
      </c>
      <c r="I85" s="4">
        <f>K85*12/T85*100</f>
        <v>8.3561686941264668</v>
      </c>
      <c r="J85" s="4">
        <v>13</v>
      </c>
      <c r="K85" s="4">
        <f>P85*H85/100/12</f>
        <v>36.469500000000004</v>
      </c>
      <c r="L85" s="4">
        <f>K85-V85</f>
        <v>12.159500000000005</v>
      </c>
      <c r="M85">
        <f>IF(E85="", 0, IF(A85&gt;E85,INT((A85-E85)/30),0))</f>
        <v>28</v>
      </c>
      <c r="N85" s="5"/>
      <c r="O85" s="4">
        <f>K85*M85+L85+IF(A85&gt;E85,N85,0)</f>
        <v>1033.3055000000002</v>
      </c>
      <c r="P85" s="4">
        <v>7380</v>
      </c>
      <c r="Q85" s="24">
        <v>70.699276999999995</v>
      </c>
      <c r="R85" s="24">
        <v>70.96553716260162</v>
      </c>
      <c r="S85" s="4">
        <f>P85*Q85/100</f>
        <v>5217.6066425999998</v>
      </c>
      <c r="T85" s="4">
        <f>P85*R85/100</f>
        <v>5237.2566425999994</v>
      </c>
      <c r="U85" s="4">
        <f>T85+V85</f>
        <v>5261.5666425999998</v>
      </c>
      <c r="V85" s="4">
        <v>24.31</v>
      </c>
      <c r="W85" s="4">
        <v>15.65</v>
      </c>
      <c r="X85" s="4">
        <v>4</v>
      </c>
      <c r="Y85" s="4">
        <f>W85+X85</f>
        <v>19.649999999999999</v>
      </c>
      <c r="Z85" s="6"/>
      <c r="AA85" s="24">
        <v>91.189790529999996</v>
      </c>
      <c r="AB85" s="24">
        <v>90.578199999999995</v>
      </c>
      <c r="AC85" s="5">
        <v>25.527816196542311</v>
      </c>
      <c r="AD85" s="4">
        <f>AA85*P85/100</f>
        <v>6729.8065411140005</v>
      </c>
      <c r="AE85" s="4">
        <v>67.299690627843503</v>
      </c>
      <c r="AF85" s="4">
        <v>3.3643130118289348</v>
      </c>
      <c r="AG85" s="4">
        <f>AD85-AE85-AF85</f>
        <v>6659.1425374743285</v>
      </c>
      <c r="AH85" s="4">
        <f>AD85-S85</f>
        <v>1512.1998985140008</v>
      </c>
      <c r="AI85" s="4">
        <f>AG85-T85</f>
        <v>1421.8858948743291</v>
      </c>
      <c r="AJ85" s="4">
        <f>AI85+O85+AC85</f>
        <v>2480.719211070872</v>
      </c>
      <c r="AK85">
        <f>A85-D85</f>
        <v>853</v>
      </c>
      <c r="AL85" s="18">
        <f>AJ85/T85</f>
        <v>0.47366768145227583</v>
      </c>
      <c r="AM85" s="18">
        <f>AJ85/T85*365/AK85</f>
        <v>0.20268312277852368</v>
      </c>
      <c r="AN85" s="18">
        <f>POWER((1+AL85),(365/AK85))-1</f>
        <v>0.18047944142310812</v>
      </c>
      <c r="AO85" s="21">
        <f>TitulosVendidos[[#This Row],[Comisión Santa Fe
Venta]]+TitulosVendidos[[#This Row],[Comisión Santa Fé
Compra]]</f>
        <v>82.949690627843509</v>
      </c>
      <c r="AP85" s="7"/>
    </row>
    <row r="86" spans="1:42" x14ac:dyDescent="0.25">
      <c r="A86" s="3">
        <v>46119</v>
      </c>
      <c r="B86" s="3" t="s">
        <v>42</v>
      </c>
      <c r="C86" t="s">
        <v>43</v>
      </c>
      <c r="D86" s="3">
        <v>45191</v>
      </c>
      <c r="E86" s="3">
        <v>45216</v>
      </c>
      <c r="F86" s="3">
        <v>45063</v>
      </c>
      <c r="G86" s="3">
        <v>48351</v>
      </c>
      <c r="H86" s="4">
        <v>6.21</v>
      </c>
      <c r="I86" s="4">
        <f>K86*12/T86*100</f>
        <v>9.0035993977045425</v>
      </c>
      <c r="J86" s="4">
        <v>13</v>
      </c>
      <c r="K86" s="4">
        <f>P86*H86/100/12</f>
        <v>47.183062500000005</v>
      </c>
      <c r="L86" s="4">
        <f>K86-V86</f>
        <v>34.603062500000007</v>
      </c>
      <c r="M86">
        <f>IF(E86="", 0, IF(A86&gt;E86,INT((A86-E86)/30),0))</f>
        <v>30</v>
      </c>
      <c r="N86" s="5"/>
      <c r="O86" s="4">
        <f>K86*M86+L86+IF(A86&gt;E86,N86,0)</f>
        <v>1450.0949375000002</v>
      </c>
      <c r="P86" s="4">
        <v>9117.5</v>
      </c>
      <c r="Q86" s="24">
        <v>68.722347099999993</v>
      </c>
      <c r="R86" s="24">
        <v>68.972415649492731</v>
      </c>
      <c r="S86" s="4">
        <f>P86*Q86/100</f>
        <v>6265.7599968425002</v>
      </c>
      <c r="T86" s="4">
        <f>P86*R86/100</f>
        <v>6288.5599968424995</v>
      </c>
      <c r="U86" s="4">
        <f>T86+V86</f>
        <v>6301.1399968424994</v>
      </c>
      <c r="V86" s="4">
        <v>12.58</v>
      </c>
      <c r="W86" s="4">
        <v>18.8</v>
      </c>
      <c r="X86" s="4">
        <v>4</v>
      </c>
      <c r="Y86" s="4">
        <f>W86+X86</f>
        <v>22.8</v>
      </c>
      <c r="Z86" s="6"/>
      <c r="AA86" s="24">
        <v>89.605003530000005</v>
      </c>
      <c r="AC86" s="5">
        <v>31.455764304013659</v>
      </c>
      <c r="AD86" s="4">
        <f>AA86*P86/100</f>
        <v>8169.7361968477499</v>
      </c>
      <c r="AE86" s="4">
        <v>45.588449521984543</v>
      </c>
      <c r="AF86" s="4">
        <v>3.4638561996209201</v>
      </c>
      <c r="AG86" s="4">
        <f>AD86-AE86-AF86</f>
        <v>8120.6838911261448</v>
      </c>
      <c r="AH86" s="4">
        <f>AD86-S86</f>
        <v>1903.9762000052497</v>
      </c>
      <c r="AI86" s="4">
        <f>AG86-T86</f>
        <v>1832.1238942836453</v>
      </c>
      <c r="AJ86" s="4">
        <f>AI86+O86+AC86</f>
        <v>3313.6745960876592</v>
      </c>
      <c r="AK86">
        <f>A86-D86</f>
        <v>928</v>
      </c>
      <c r="AL86" s="18">
        <f>AJ86/T86</f>
        <v>0.52693694546151471</v>
      </c>
      <c r="AM86" s="18">
        <f>AJ86/T86*365/AK86</f>
        <v>0.207254294281738</v>
      </c>
      <c r="AN86" s="18">
        <f>POWER((1+AL86),(365/AK86))-1</f>
        <v>0.18113714109279599</v>
      </c>
      <c r="AO86" s="21">
        <f>TitulosVendidos[[#This Row],[Comisión Santa Fe
Venta]]+TitulosVendidos[[#This Row],[Comisión Santa Fé
Compra]]</f>
        <v>64.388449521984541</v>
      </c>
      <c r="AP86" s="7"/>
    </row>
    <row r="87" spans="1:42" x14ac:dyDescent="0.25">
      <c r="A87" s="3">
        <v>46119</v>
      </c>
      <c r="B87" s="3" t="s">
        <v>42</v>
      </c>
      <c r="C87" t="s">
        <v>43</v>
      </c>
      <c r="D87" s="3">
        <v>45231</v>
      </c>
      <c r="E87" s="3">
        <v>45247</v>
      </c>
      <c r="F87" s="3">
        <v>45063</v>
      </c>
      <c r="G87" s="3">
        <v>48351</v>
      </c>
      <c r="H87" s="4">
        <v>6.21</v>
      </c>
      <c r="I87" s="4">
        <f>K87*12/T87*100</f>
        <v>8.7050501907120896</v>
      </c>
      <c r="J87" s="4">
        <v>12.5</v>
      </c>
      <c r="K87" s="4">
        <f>P87*H87/100/12</f>
        <v>14.49</v>
      </c>
      <c r="L87" s="4">
        <f>K87-V87</f>
        <v>7.73</v>
      </c>
      <c r="M87">
        <f>IF(E87="", 0, IF(A87&gt;E87,INT((A87-E87)/30),0))</f>
        <v>29</v>
      </c>
      <c r="N87" s="5"/>
      <c r="O87" s="4">
        <f>K87*M87+L87+IF(A87&gt;E87,N87,0)</f>
        <v>427.94</v>
      </c>
      <c r="P87" s="4">
        <v>2800</v>
      </c>
      <c r="Q87" s="24">
        <v>70.837900000000005</v>
      </c>
      <c r="R87" s="24">
        <v>71.337900000000005</v>
      </c>
      <c r="S87" s="4">
        <f>P87*Q87/100</f>
        <v>1983.4612000000002</v>
      </c>
      <c r="T87" s="4">
        <f>P87*R87/100</f>
        <v>1997.4612000000002</v>
      </c>
      <c r="U87" s="4">
        <f>T87+V87</f>
        <v>2004.2212000000002</v>
      </c>
      <c r="V87" s="4">
        <v>6.76</v>
      </c>
      <c r="W87" s="4">
        <v>10</v>
      </c>
      <c r="X87" s="4">
        <v>4</v>
      </c>
      <c r="Y87" s="4">
        <f>W87+X87</f>
        <v>14</v>
      </c>
      <c r="Z87" s="6"/>
      <c r="AA87" s="24">
        <v>89.605003530000005</v>
      </c>
      <c r="AC87" s="5">
        <v>9.6601195559350987</v>
      </c>
      <c r="AD87" s="4">
        <f>AA87*P87/100</f>
        <v>2508.9400988399998</v>
      </c>
      <c r="AE87" s="4">
        <v>14.000291599841701</v>
      </c>
      <c r="AF87" s="4">
        <v>1.063756222532336</v>
      </c>
      <c r="AG87" s="4">
        <f>AD87-AE87-AF87</f>
        <v>2493.8760510176257</v>
      </c>
      <c r="AH87" s="4">
        <f>AD87-S87</f>
        <v>525.4788988399996</v>
      </c>
      <c r="AI87" s="4">
        <f>AG87-T87</f>
        <v>496.41485101762555</v>
      </c>
      <c r="AJ87" s="4">
        <f>AI87+O87+AC87</f>
        <v>934.01497057356073</v>
      </c>
      <c r="AK87">
        <f>A87-D87</f>
        <v>888</v>
      </c>
      <c r="AL87" s="18">
        <f>AJ87/T87</f>
        <v>0.46760105806989427</v>
      </c>
      <c r="AM87" s="18">
        <f>AJ87/T87*365/AK87</f>
        <v>0.19220088535530563</v>
      </c>
      <c r="AN87" s="18">
        <f>POWER((1+AL87),(365/AK87))-1</f>
        <v>0.17079780229007735</v>
      </c>
      <c r="AO87" s="21">
        <f>TitulosVendidos[[#This Row],[Comisión Santa Fe
Venta]]+TitulosVendidos[[#This Row],[Comisión Santa Fé
Compra]]</f>
        <v>24.000291599841702</v>
      </c>
      <c r="AP87" s="7"/>
    </row>
    <row r="88" spans="1:42" x14ac:dyDescent="0.25">
      <c r="A88" s="3">
        <v>46119</v>
      </c>
      <c r="B88" s="3" t="s">
        <v>42</v>
      </c>
      <c r="C88" t="s">
        <v>43</v>
      </c>
      <c r="D88" s="3">
        <v>45687</v>
      </c>
      <c r="E88" s="3">
        <v>45705</v>
      </c>
      <c r="F88" s="3">
        <v>45063</v>
      </c>
      <c r="G88" s="3">
        <v>48351</v>
      </c>
      <c r="H88" s="4">
        <v>6.21</v>
      </c>
      <c r="I88" s="4">
        <f>K88*12/T88*100</f>
        <v>8.1299147375194121</v>
      </c>
      <c r="J88" s="4">
        <v>12</v>
      </c>
      <c r="K88" s="4">
        <f>P88*H88/100/12</f>
        <v>50.663250000000005</v>
      </c>
      <c r="L88" s="4">
        <f>K88-V88</f>
        <v>28.713250000000006</v>
      </c>
      <c r="M88">
        <f>IF(E88="", 0, IF(A88&gt;E88,INT((A88-E88)/30),0))</f>
        <v>13</v>
      </c>
      <c r="N88" s="5"/>
      <c r="O88" s="4">
        <f>K88*M88+L88+IF(A88&gt;E88,N88,0)</f>
        <v>687.33550000000014</v>
      </c>
      <c r="P88" s="4">
        <v>9790</v>
      </c>
      <c r="Q88" s="24">
        <v>76.112654800000001</v>
      </c>
      <c r="R88" s="24">
        <v>76.384564912359551</v>
      </c>
      <c r="S88" s="4">
        <f>P88*Q88/100</f>
        <v>7451.4289049200006</v>
      </c>
      <c r="T88" s="4">
        <f>P88*R88/100</f>
        <v>7478.0489049200005</v>
      </c>
      <c r="U88" s="4">
        <f>T88+V88</f>
        <v>7499.9989049200003</v>
      </c>
      <c r="V88" s="4">
        <v>21.95</v>
      </c>
      <c r="W88" s="4">
        <v>22.62</v>
      </c>
      <c r="X88" s="4">
        <v>4</v>
      </c>
      <c r="Y88" s="4">
        <f>W88+X88</f>
        <v>26.62</v>
      </c>
      <c r="Z88" s="6"/>
      <c r="AA88" s="24">
        <v>89.605003530000005</v>
      </c>
      <c r="AC88" s="5">
        <v>33.775918018787358</v>
      </c>
      <c r="AD88" s="4">
        <f>AA88*P88/100</f>
        <v>8772.3298455870008</v>
      </c>
      <c r="AE88" s="4">
        <v>48.951019558017947</v>
      </c>
      <c r="AF88" s="4">
        <v>3.7193476494969899</v>
      </c>
      <c r="AG88" s="4">
        <f>AD88-AE88-AF88</f>
        <v>8719.6594783794844</v>
      </c>
      <c r="AH88" s="4">
        <f>AD88-S88</f>
        <v>1320.9009406670002</v>
      </c>
      <c r="AI88" s="4">
        <f>AG88-T88</f>
        <v>1241.6105734594839</v>
      </c>
      <c r="AJ88" s="4">
        <f>AI88+O88+AC88</f>
        <v>1962.7219914782713</v>
      </c>
      <c r="AK88">
        <f>A88-D88</f>
        <v>432</v>
      </c>
      <c r="AL88" s="18">
        <f>AJ88/T88</f>
        <v>0.26246444980948791</v>
      </c>
      <c r="AM88" s="18">
        <f>AJ88/T88*365/AK88</f>
        <v>0.22175815782514602</v>
      </c>
      <c r="AN88" s="18">
        <f>POWER((1+AL88),(365/AK88))-1</f>
        <v>0.21764535379356498</v>
      </c>
      <c r="AO88" s="21">
        <f>TitulosVendidos[[#This Row],[Comisión Santa Fe
Venta]]+TitulosVendidos[[#This Row],[Comisión Santa Fé
Compra]]</f>
        <v>71.571019558017952</v>
      </c>
      <c r="AP88" s="7"/>
    </row>
    <row r="89" spans="1:42" x14ac:dyDescent="0.25">
      <c r="A89" s="3">
        <v>46119</v>
      </c>
      <c r="B89" s="3" t="s">
        <v>42</v>
      </c>
      <c r="C89" t="s">
        <v>43</v>
      </c>
      <c r="D89" s="3">
        <v>45824</v>
      </c>
      <c r="E89" s="3">
        <v>45825</v>
      </c>
      <c r="F89" s="3">
        <v>45063</v>
      </c>
      <c r="G89" s="3">
        <v>48351</v>
      </c>
      <c r="H89" s="4">
        <v>6.21</v>
      </c>
      <c r="I89" s="4">
        <f>K89*12/T89*100</f>
        <v>7.397094759223533</v>
      </c>
      <c r="J89" s="4">
        <v>10.5</v>
      </c>
      <c r="K89" s="4">
        <f>P89*H89/100/12</f>
        <v>2.8255499999999998</v>
      </c>
      <c r="L89" s="4">
        <f>K89-V89</f>
        <v>9.5549999999999802E-2</v>
      </c>
      <c r="M89">
        <f>IF(E89="", 0, IF(A89&gt;E89,INT((A89-E89)/30),0))</f>
        <v>9</v>
      </c>
      <c r="N89" s="5"/>
      <c r="O89" s="4">
        <f>K89*M89+L89+IF(A89&gt;E89,N89,0)</f>
        <v>25.525499999999997</v>
      </c>
      <c r="P89" s="4">
        <v>546</v>
      </c>
      <c r="Q89" s="24">
        <v>82.486676970000005</v>
      </c>
      <c r="R89" s="24">
        <v>83.951878435201479</v>
      </c>
      <c r="S89" s="4">
        <f>P89*Q89/100</f>
        <v>450.37725625620004</v>
      </c>
      <c r="T89" s="4">
        <f>P89*R89/100</f>
        <v>458.37725625620004</v>
      </c>
      <c r="U89" s="4">
        <f>T89+V89</f>
        <v>461.10725625620006</v>
      </c>
      <c r="V89" s="4">
        <v>2.73</v>
      </c>
      <c r="W89" s="4">
        <v>4</v>
      </c>
      <c r="X89" s="4">
        <v>4</v>
      </c>
      <c r="Y89" s="4">
        <f>W89+X89</f>
        <v>8</v>
      </c>
      <c r="Z89" s="6"/>
      <c r="AA89" s="24">
        <v>89.605003530000005</v>
      </c>
      <c r="AC89" s="5">
        <v>1.8837233134073439</v>
      </c>
      <c r="AD89" s="4">
        <f>AA89*P89/100</f>
        <v>489.24331927380001</v>
      </c>
      <c r="AE89" s="4">
        <v>2.7300568619691319</v>
      </c>
      <c r="AF89" s="4">
        <v>0.20743246339380561</v>
      </c>
      <c r="AG89" s="4">
        <f>AD89-AE89-AF89</f>
        <v>486.30582994843707</v>
      </c>
      <c r="AH89" s="4">
        <f>AD89-S89</f>
        <v>38.86606301759997</v>
      </c>
      <c r="AI89" s="4">
        <f>AG89-T89</f>
        <v>27.928573692237023</v>
      </c>
      <c r="AJ89" s="4">
        <f>AI89+O89+AC89</f>
        <v>55.337797005644362</v>
      </c>
      <c r="AK89">
        <f>A89-D89</f>
        <v>295</v>
      </c>
      <c r="AL89" s="18">
        <f>AJ89/T89</f>
        <v>0.12072544230840829</v>
      </c>
      <c r="AM89" s="18">
        <f>AJ89/T89*365/AK89</f>
        <v>0.14937215743243737</v>
      </c>
      <c r="AN89" s="18">
        <f>POWER((1+AL89),(365/AK89))-1</f>
        <v>0.15144927730441959</v>
      </c>
      <c r="AO89" s="21">
        <f>TitulosVendidos[[#This Row],[Comisión Santa Fe
Venta]]+TitulosVendidos[[#This Row],[Comisión Santa Fé
Compra]]</f>
        <v>6.7300568619691319</v>
      </c>
      <c r="AP89" s="7"/>
    </row>
    <row r="90" spans="1:42" x14ac:dyDescent="0.25">
      <c r="A90" s="3">
        <v>46119</v>
      </c>
      <c r="B90" s="3" t="s">
        <v>42</v>
      </c>
      <c r="C90" t="s">
        <v>43</v>
      </c>
      <c r="D90" s="3">
        <v>46073</v>
      </c>
      <c r="E90" s="3">
        <v>46098</v>
      </c>
      <c r="F90" s="3">
        <v>45063</v>
      </c>
      <c r="G90" s="3">
        <v>48351</v>
      </c>
      <c r="H90" s="4">
        <v>6.21</v>
      </c>
      <c r="I90" s="4">
        <f>K90*12/T90*100</f>
        <v>7.3877592340912557</v>
      </c>
      <c r="J90" s="4">
        <v>10.75</v>
      </c>
      <c r="K90" s="4">
        <f>P90*H90/100/12</f>
        <v>9.0665999999999993</v>
      </c>
      <c r="L90" s="4">
        <f>K90-V90</f>
        <v>6.6465999999999994</v>
      </c>
      <c r="M90">
        <f>IF(E90="", 0, IF(A90&gt;E90,INT((A90-E90)/30),0))</f>
        <v>0</v>
      </c>
      <c r="N90" s="5"/>
      <c r="O90" s="4">
        <f>K90*M90+L90+IF(A90&gt;E90,N90,0)</f>
        <v>6.6465999999999994</v>
      </c>
      <c r="P90" s="4">
        <v>1752</v>
      </c>
      <c r="Q90" s="24">
        <v>83.412416089999994</v>
      </c>
      <c r="R90" s="24">
        <v>84.057964035205472</v>
      </c>
      <c r="S90" s="4">
        <f>P90*Q90/100</f>
        <v>1461.3855298968001</v>
      </c>
      <c r="T90" s="4">
        <f>P90*R90/100</f>
        <v>1472.6955298968001</v>
      </c>
      <c r="U90" s="4">
        <f>T90+V90</f>
        <v>1475.1155298968001</v>
      </c>
      <c r="V90" s="4">
        <v>2.42</v>
      </c>
      <c r="W90" s="4">
        <v>7.31</v>
      </c>
      <c r="X90" s="4">
        <v>4</v>
      </c>
      <c r="Y90" s="4">
        <f>W90+X90</f>
        <v>11.309999999999999</v>
      </c>
      <c r="Z90" s="6"/>
      <c r="AA90" s="24">
        <v>89.605003530000005</v>
      </c>
      <c r="AC90" s="5">
        <v>6.044474807856532</v>
      </c>
      <c r="AD90" s="4">
        <f>AA90*P90/100</f>
        <v>1569.8796618456001</v>
      </c>
      <c r="AE90" s="4">
        <v>8.7601824581866659</v>
      </c>
      <c r="AF90" s="4">
        <v>0.66560746495594758</v>
      </c>
      <c r="AG90" s="4">
        <f>AD90-AE90-AF90</f>
        <v>1560.4538719224577</v>
      </c>
      <c r="AH90" s="4">
        <f>AD90-S90</f>
        <v>108.49413194880003</v>
      </c>
      <c r="AI90" s="4">
        <f>AG90-T90</f>
        <v>87.758342025657612</v>
      </c>
      <c r="AJ90" s="4">
        <f>AI90+O90+AC90</f>
        <v>100.44941683351415</v>
      </c>
      <c r="AK90">
        <f>A90-D90</f>
        <v>46</v>
      </c>
      <c r="AL90" s="18">
        <f>AJ90/T90</f>
        <v>6.8207864283089933E-2</v>
      </c>
      <c r="AM90" s="18">
        <f>AJ90/T90*365/AK90</f>
        <v>0.54121457528973527</v>
      </c>
      <c r="AN90" s="18">
        <f>POWER((1+AL90),(365/AK90))-1</f>
        <v>0.68801893211710552</v>
      </c>
      <c r="AO90" s="21">
        <f>TitulosVendidos[[#This Row],[Comisión Santa Fe
Venta]]+TitulosVendidos[[#This Row],[Comisión Santa Fé
Compra]]</f>
        <v>16.070182458186665</v>
      </c>
      <c r="AP90" s="7"/>
    </row>
    <row r="91" spans="1:42" x14ac:dyDescent="0.25">
      <c r="A91" s="3">
        <v>46119</v>
      </c>
      <c r="B91" s="3" t="s">
        <v>42</v>
      </c>
      <c r="C91" t="s">
        <v>43</v>
      </c>
      <c r="D91" s="3">
        <v>45492</v>
      </c>
      <c r="E91" s="3">
        <v>45497</v>
      </c>
      <c r="F91" s="3">
        <v>45070</v>
      </c>
      <c r="G91" s="3">
        <v>47627</v>
      </c>
      <c r="H91" s="4">
        <v>5.64</v>
      </c>
      <c r="I91" s="4">
        <f>K91*12/T91*100</f>
        <v>8.176165230035517</v>
      </c>
      <c r="J91" s="4">
        <v>14</v>
      </c>
      <c r="K91" s="4">
        <f>P91*H91/100/12</f>
        <v>36.283999999999999</v>
      </c>
      <c r="L91" s="4">
        <f>K91-V91</f>
        <v>6.0440000000000005</v>
      </c>
      <c r="M91">
        <f>IF(E91="", 0, IF(A91&gt;E91,INT((A91-E91)/30),0))</f>
        <v>20</v>
      </c>
      <c r="N91" s="5"/>
      <c r="O91" s="4">
        <f>K91*M91+L91+IF(A91&gt;E91,N91,0)</f>
        <v>731.72399999999993</v>
      </c>
      <c r="P91" s="4">
        <v>7720</v>
      </c>
      <c r="Q91" s="24">
        <v>68.722962339999995</v>
      </c>
      <c r="R91" s="24">
        <v>68.980993428082911</v>
      </c>
      <c r="S91" s="4">
        <f>P91*Q91/100</f>
        <v>5305.4126926480003</v>
      </c>
      <c r="T91" s="4">
        <f>P91*R91/100</f>
        <v>5325.3326926480013</v>
      </c>
      <c r="U91" s="4">
        <f>T91+V91</f>
        <v>5355.5726926480011</v>
      </c>
      <c r="V91" s="4">
        <v>30.24</v>
      </c>
      <c r="W91" s="4">
        <v>15.92</v>
      </c>
      <c r="X91" s="4">
        <v>4</v>
      </c>
      <c r="Y91" s="4">
        <f>W91+X91</f>
        <v>19.920000000000002</v>
      </c>
      <c r="Z91" s="6"/>
      <c r="AA91" s="24">
        <v>90.380692679999996</v>
      </c>
      <c r="AC91" s="5">
        <v>15.72323252354982</v>
      </c>
      <c r="AD91" s="4">
        <f>AA91*P91/100</f>
        <v>6977.3894748959992</v>
      </c>
      <c r="AE91" s="4">
        <v>69.774714923153198</v>
      </c>
      <c r="AF91" s="4">
        <v>3.486822012890431</v>
      </c>
      <c r="AG91" s="4">
        <f>AD91-AE91-AF91</f>
        <v>6904.1279379599555</v>
      </c>
      <c r="AH91" s="4">
        <f>AD91-S91</f>
        <v>1671.9767822479989</v>
      </c>
      <c r="AI91" s="4">
        <f>AG91-T91</f>
        <v>1578.7952453119542</v>
      </c>
      <c r="AJ91" s="4">
        <f>AI91+O91+AC91</f>
        <v>2326.2424778355044</v>
      </c>
      <c r="AK91">
        <f>A91-D91</f>
        <v>627</v>
      </c>
      <c r="AL91" s="18">
        <f>AJ91/T91</f>
        <v>0.43682575570293414</v>
      </c>
      <c r="AM91" s="18">
        <f>AJ91/T91*365/AK91</f>
        <v>0.25429250531351033</v>
      </c>
      <c r="AN91" s="18">
        <f>POWER((1+AL91),(365/AK91))-1</f>
        <v>0.23489712183766098</v>
      </c>
      <c r="AO91" s="21">
        <f>TitulosVendidos[[#This Row],[Comisión Santa Fe
Venta]]+TitulosVendidos[[#This Row],[Comisión Santa Fé
Compra]]</f>
        <v>85.694714923153199</v>
      </c>
      <c r="AP91" s="7"/>
    </row>
    <row r="92" spans="1:42" x14ac:dyDescent="0.25">
      <c r="A92" s="3">
        <v>46119</v>
      </c>
      <c r="B92" s="3" t="s">
        <v>42</v>
      </c>
      <c r="C92" t="s">
        <v>43</v>
      </c>
      <c r="D92" s="3">
        <v>45637</v>
      </c>
      <c r="E92" s="3">
        <v>45650</v>
      </c>
      <c r="F92" s="3">
        <v>45070</v>
      </c>
      <c r="G92" s="3">
        <v>47627</v>
      </c>
      <c r="H92" s="4">
        <v>5.64</v>
      </c>
      <c r="I92" s="4">
        <f>K92*12/T92*100</f>
        <v>7.659996686390552</v>
      </c>
      <c r="J92" s="4">
        <v>13</v>
      </c>
      <c r="K92" s="4">
        <f>P92*H92/100/12</f>
        <v>58.514999999999993</v>
      </c>
      <c r="L92" s="4">
        <f>K92-V92</f>
        <v>25.354999999999997</v>
      </c>
      <c r="M92">
        <f>IF(E92="", 0, IF(A92&gt;E92,INT((A92-E92)/30),0))</f>
        <v>15</v>
      </c>
      <c r="N92" s="5"/>
      <c r="O92" s="4">
        <f>K92*M92+L92+IF(A92&gt;E92,N92,0)</f>
        <v>903.07999999999993</v>
      </c>
      <c r="P92" s="4">
        <v>12450</v>
      </c>
      <c r="Q92" s="24">
        <v>73.287346959999994</v>
      </c>
      <c r="R92" s="24">
        <v>73.629274670843358</v>
      </c>
      <c r="S92" s="4">
        <f>P92*Q92/100</f>
        <v>9124.2746965199985</v>
      </c>
      <c r="T92" s="4">
        <f>P92*R92/100</f>
        <v>9166.8446965199983</v>
      </c>
      <c r="U92" s="4">
        <f>T92+V92</f>
        <v>9200.0046965199981</v>
      </c>
      <c r="V92" s="4">
        <v>33.159999999999997</v>
      </c>
      <c r="W92" s="4">
        <v>38.01</v>
      </c>
      <c r="X92" s="4">
        <v>4.5599999999999996</v>
      </c>
      <c r="Y92" s="4">
        <f>W92+X92</f>
        <v>42.57</v>
      </c>
      <c r="Z92" s="6"/>
      <c r="AA92" s="24">
        <v>90.380692679999996</v>
      </c>
      <c r="AC92" s="5">
        <v>25.35676747645017</v>
      </c>
      <c r="AD92" s="4">
        <f>AA92*P92/100</f>
        <v>11252.39623866</v>
      </c>
      <c r="AE92" s="4">
        <v>112.5252850768468</v>
      </c>
      <c r="AF92" s="4">
        <v>5.6231779871095684</v>
      </c>
      <c r="AG92" s="4">
        <f>AD92-AE92-AF92</f>
        <v>11134.247775596043</v>
      </c>
      <c r="AH92" s="4">
        <f>AD92-S92</f>
        <v>2128.1215421400011</v>
      </c>
      <c r="AI92" s="4">
        <f>AG92-T92</f>
        <v>1967.4030790760444</v>
      </c>
      <c r="AJ92" s="4">
        <f>AI92+O92+AC92</f>
        <v>2895.8398465524947</v>
      </c>
      <c r="AK92">
        <f>A92-D92</f>
        <v>482</v>
      </c>
      <c r="AL92" s="18">
        <f>AJ92/T92</f>
        <v>0.31590366613845222</v>
      </c>
      <c r="AM92" s="18">
        <f>AJ92/T92*365/AK92</f>
        <v>0.23922165589322625</v>
      </c>
      <c r="AN92" s="18">
        <f>POWER((1+AL92),(365/AK92))-1</f>
        <v>0.23107300389190399</v>
      </c>
      <c r="AO92" s="21">
        <f>TitulosVendidos[[#This Row],[Comisión Santa Fe
Venta]]+TitulosVendidos[[#This Row],[Comisión Santa Fé
Compra]]</f>
        <v>150.5352850768468</v>
      </c>
      <c r="AP92" s="7"/>
    </row>
    <row r="93" spans="1:42" x14ac:dyDescent="0.25">
      <c r="A93" s="3">
        <v>46119</v>
      </c>
      <c r="B93" s="3" t="s">
        <v>42</v>
      </c>
      <c r="C93" t="s">
        <v>43</v>
      </c>
      <c r="D93" s="3">
        <v>45492</v>
      </c>
      <c r="E93" s="3">
        <v>45519</v>
      </c>
      <c r="F93" s="3">
        <v>44910</v>
      </c>
      <c r="G93" s="3">
        <v>47832</v>
      </c>
      <c r="H93" s="4">
        <v>5.93</v>
      </c>
      <c r="I93" s="4">
        <f>K93*12/T93*100</f>
        <v>8.4787172626193001</v>
      </c>
      <c r="J93" s="4">
        <v>14</v>
      </c>
      <c r="K93" s="4">
        <f>P93*H93/100/12</f>
        <v>131.89308333333332</v>
      </c>
      <c r="L93" s="4">
        <f>K93-V93</f>
        <v>114.30308333333332</v>
      </c>
      <c r="M93">
        <f>IF(E93="", 0, IF(A93&gt;E93,INT((A93-E93)/30),0))</f>
        <v>20</v>
      </c>
      <c r="N93" s="5"/>
      <c r="O93" s="4">
        <f>K93*M93+L93+IF(A93&gt;E93,N93,0)</f>
        <v>2752.1647499999999</v>
      </c>
      <c r="P93" s="4">
        <v>26690</v>
      </c>
      <c r="Q93" s="24">
        <v>69.695875770000001</v>
      </c>
      <c r="R93" s="24">
        <v>69.93982481458599</v>
      </c>
      <c r="S93" s="4">
        <f>P93*Q93/100</f>
        <v>18601.829243012999</v>
      </c>
      <c r="T93" s="4">
        <f>P93*R93/100</f>
        <v>18666.939243012999</v>
      </c>
      <c r="U93" s="4">
        <f>T93+V93</f>
        <v>18684.529243012999</v>
      </c>
      <c r="V93" s="4">
        <v>17.59</v>
      </c>
      <c r="W93" s="4">
        <v>55.81</v>
      </c>
      <c r="X93" s="4">
        <v>9.3000000000000007</v>
      </c>
      <c r="Y93" s="4">
        <f>W93+X93</f>
        <v>65.11</v>
      </c>
      <c r="Z93" s="6"/>
      <c r="AA93" s="24">
        <v>91.566382840000003</v>
      </c>
      <c r="AC93" s="5">
        <v>96.72</v>
      </c>
      <c r="AD93" s="4">
        <f>AA93*P93/100</f>
        <v>24439.067579996001</v>
      </c>
      <c r="AE93" s="4">
        <v>244.39</v>
      </c>
      <c r="AF93" s="4">
        <v>12.22</v>
      </c>
      <c r="AG93" s="4">
        <f>AD93-AE93-AF93</f>
        <v>24182.457579996</v>
      </c>
      <c r="AH93" s="4">
        <f>AD93-S93</f>
        <v>5837.2383369830022</v>
      </c>
      <c r="AI93" s="4">
        <f>AG93-T93</f>
        <v>5515.5183369830011</v>
      </c>
      <c r="AJ93" s="4">
        <f>AI93+O93+AC93</f>
        <v>8364.4030869830003</v>
      </c>
      <c r="AK93">
        <f>A93-D93</f>
        <v>627</v>
      </c>
      <c r="AL93" s="18">
        <f>AJ93/T93</f>
        <v>0.44808647942183566</v>
      </c>
      <c r="AM93" s="18">
        <f>AJ93/T93*365/AK93</f>
        <v>0.26084779105098888</v>
      </c>
      <c r="AN93" s="18">
        <f>POWER((1+AL93),(365/AK93))-1</f>
        <v>0.24052194938635196</v>
      </c>
      <c r="AO93" s="21">
        <f>TitulosVendidos[[#This Row],[Comisión Santa Fe
Venta]]+TitulosVendidos[[#This Row],[Comisión Santa Fé
Compra]]</f>
        <v>300.2</v>
      </c>
      <c r="AP93" s="7"/>
    </row>
    <row r="94" spans="1:42" x14ac:dyDescent="0.25">
      <c r="A94" s="3">
        <v>46119</v>
      </c>
      <c r="B94" s="3" t="s">
        <v>42</v>
      </c>
      <c r="C94" t="s">
        <v>43</v>
      </c>
      <c r="D94" s="3">
        <v>45805</v>
      </c>
      <c r="E94" s="3">
        <v>45816</v>
      </c>
      <c r="F94" s="3">
        <v>45785</v>
      </c>
      <c r="G94" s="3">
        <v>49072</v>
      </c>
      <c r="H94" s="4">
        <v>7.93</v>
      </c>
      <c r="I94" s="4">
        <f>K94*12/T94*100</f>
        <v>9.8593663519730139</v>
      </c>
      <c r="J94" s="4">
        <v>12</v>
      </c>
      <c r="K94" s="4">
        <f>P94*H94/100/12</f>
        <v>113.66333333333334</v>
      </c>
      <c r="L94" s="4">
        <f>K94-V94</f>
        <v>37.88333333333334</v>
      </c>
      <c r="M94">
        <f>IF(E94="", 0, IF(A94&gt;E94,INT((A94-E94)/30),0))</f>
        <v>10</v>
      </c>
      <c r="N94" s="5"/>
      <c r="O94" s="4">
        <f>K94*M94+L94+IF(A94&gt;E94,N94,0)</f>
        <v>1174.5166666666669</v>
      </c>
      <c r="P94" s="4">
        <v>17200</v>
      </c>
      <c r="Q94" s="24">
        <v>80.150609099999997</v>
      </c>
      <c r="R94" s="24">
        <v>80.431132355813958</v>
      </c>
      <c r="S94" s="4">
        <f>P94*Q94/100</f>
        <v>13785.904765200001</v>
      </c>
      <c r="T94" s="4">
        <f>P94*R94/100</f>
        <v>13834.154765200001</v>
      </c>
      <c r="U94" s="4">
        <f>T94+V94</f>
        <v>13909.934765200001</v>
      </c>
      <c r="V94" s="4">
        <v>75.78</v>
      </c>
      <c r="W94" s="4">
        <v>41.36</v>
      </c>
      <c r="X94" s="4">
        <v>6.89</v>
      </c>
      <c r="Y94" s="4">
        <f>W94+X94</f>
        <v>48.25</v>
      </c>
      <c r="Z94" s="6"/>
      <c r="AA94" s="24">
        <v>92.384955239999996</v>
      </c>
      <c r="AC94" s="5">
        <v>109.8737373737374</v>
      </c>
      <c r="AD94" s="4">
        <f>AA94*P94/100</f>
        <v>15890.21230128</v>
      </c>
      <c r="AE94" s="4">
        <v>158.90404040404039</v>
      </c>
      <c r="AF94" s="4">
        <v>7.9444444444444446</v>
      </c>
      <c r="AG94" s="4">
        <f>AD94-AE94-AF94</f>
        <v>15723.363816431514</v>
      </c>
      <c r="AH94" s="4">
        <f>AD94-S94</f>
        <v>2104.3075360799994</v>
      </c>
      <c r="AI94" s="4">
        <f>AG94-T94</f>
        <v>1889.2090512315135</v>
      </c>
      <c r="AJ94" s="4">
        <f>AI94+O94+AC94</f>
        <v>3173.5994552719176</v>
      </c>
      <c r="AK94">
        <f>A94-D94</f>
        <v>314</v>
      </c>
      <c r="AL94" s="18">
        <f>AJ94/T94</f>
        <v>0.22940320598806288</v>
      </c>
      <c r="AM94" s="18">
        <f>AJ94/T94*365/AK94</f>
        <v>0.26666296237465908</v>
      </c>
      <c r="AN94" s="18">
        <f>POWER((1+AL94),(365/AK94))-1</f>
        <v>0.27134239799444182</v>
      </c>
      <c r="AO94" s="21">
        <f>TitulosVendidos[[#This Row],[Comisión Santa Fe
Venta]]+TitulosVendidos[[#This Row],[Comisión Santa Fé
Compra]]</f>
        <v>200.26404040404037</v>
      </c>
      <c r="AP94" s="7"/>
    </row>
    <row r="95" spans="1:42" x14ac:dyDescent="0.25">
      <c r="A95" s="3">
        <v>46119</v>
      </c>
      <c r="B95" s="3" t="s">
        <v>42</v>
      </c>
      <c r="C95" t="s">
        <v>43</v>
      </c>
      <c r="D95" s="3">
        <v>45902</v>
      </c>
      <c r="E95" s="3">
        <v>45908</v>
      </c>
      <c r="F95" s="3">
        <v>45785</v>
      </c>
      <c r="G95" s="3">
        <v>49072</v>
      </c>
      <c r="H95" s="4">
        <v>7.93</v>
      </c>
      <c r="I95" s="4">
        <f>K95*12/T95*100</f>
        <v>8.8323509878686597</v>
      </c>
      <c r="J95" s="4">
        <v>10</v>
      </c>
      <c r="K95" s="4">
        <f>P95*H95/100/12</f>
        <v>58.523400000000002</v>
      </c>
      <c r="L95" s="4">
        <f>K95-V95</f>
        <v>9.7533999999999992</v>
      </c>
      <c r="M95">
        <f>IF(E95="", 0, IF(A95&gt;E95,INT((A95-E95)/30),0))</f>
        <v>7</v>
      </c>
      <c r="N95" s="5"/>
      <c r="O95" s="4">
        <f>K95*M95+L95+IF(A95&gt;E95,N95,0)</f>
        <v>419.41720000000004</v>
      </c>
      <c r="P95" s="4">
        <v>8856</v>
      </c>
      <c r="Q95" s="24">
        <v>89.487950850000004</v>
      </c>
      <c r="R95" s="24">
        <v>89.783569639521232</v>
      </c>
      <c r="S95" s="4">
        <f>P95*Q95/100</f>
        <v>7925.0529272760004</v>
      </c>
      <c r="T95" s="4">
        <f>P95*R95/100</f>
        <v>7951.2329272760007</v>
      </c>
      <c r="U95" s="4">
        <f>T95+V95</f>
        <v>8000.0029272760012</v>
      </c>
      <c r="V95" s="4">
        <v>48.77</v>
      </c>
      <c r="W95" s="4">
        <v>22.18</v>
      </c>
      <c r="X95" s="4">
        <v>4</v>
      </c>
      <c r="Y95" s="4">
        <f>W95+X95</f>
        <v>26.18</v>
      </c>
      <c r="Z95" s="6"/>
      <c r="AA95" s="24">
        <v>92.384955239999996</v>
      </c>
      <c r="AC95" s="5">
        <v>56.572198731501061</v>
      </c>
      <c r="AD95" s="4">
        <f>AA95*P95/100</f>
        <v>8181.6116360543992</v>
      </c>
      <c r="AE95" s="4">
        <v>81.817103594080336</v>
      </c>
      <c r="AF95" s="4">
        <v>4.0904651162790699</v>
      </c>
      <c r="AG95" s="4">
        <f>AD95-AE95-AF95</f>
        <v>8095.7040673440397</v>
      </c>
      <c r="AH95" s="4">
        <f>AD95-S95</f>
        <v>256.5587087783988</v>
      </c>
      <c r="AI95" s="4">
        <f>AG95-T95</f>
        <v>144.47114006803895</v>
      </c>
      <c r="AJ95" s="4">
        <f>AI95+O95+AC95</f>
        <v>620.46053879954013</v>
      </c>
      <c r="AK95">
        <f>A95-D95</f>
        <v>217</v>
      </c>
      <c r="AL95" s="18">
        <f>AJ95/T95</f>
        <v>7.8033248990996756E-2</v>
      </c>
      <c r="AM95" s="18">
        <f>AJ95/T95*365/AK95</f>
        <v>0.13125408240421113</v>
      </c>
      <c r="AN95" s="18">
        <f>POWER((1+AL95),(365/AK95))-1</f>
        <v>0.13471863755614577</v>
      </c>
      <c r="AO95" s="21">
        <f>TitulosVendidos[[#This Row],[Comisión Santa Fe
Venta]]+TitulosVendidos[[#This Row],[Comisión Santa Fé
Compra]]</f>
        <v>103.99710359408033</v>
      </c>
      <c r="AP95" s="7"/>
    </row>
    <row r="96" spans="1:42" x14ac:dyDescent="0.25">
      <c r="A96" s="3">
        <v>46119</v>
      </c>
      <c r="B96" s="3" t="s">
        <v>42</v>
      </c>
      <c r="C96" t="s">
        <v>43</v>
      </c>
      <c r="D96" s="3">
        <v>45902</v>
      </c>
      <c r="E96" s="3">
        <v>45915</v>
      </c>
      <c r="F96" s="3">
        <v>45785</v>
      </c>
      <c r="G96" s="3">
        <v>49072</v>
      </c>
      <c r="H96" s="4">
        <v>7.93</v>
      </c>
      <c r="I96" s="4">
        <f>K96*12/T96*100</f>
        <v>9.0619912131534655</v>
      </c>
      <c r="J96" s="4">
        <v>10.5</v>
      </c>
      <c r="K96" s="4">
        <f>P96*H96/100/12</f>
        <v>52.866666666666667</v>
      </c>
      <c r="L96" s="4">
        <f>K96-V96</f>
        <v>40.526666666666671</v>
      </c>
      <c r="M96">
        <f>IF(E96="", 0, IF(A96&gt;E96,INT((A96-E96)/30),0))</f>
        <v>6</v>
      </c>
      <c r="N96" s="5"/>
      <c r="O96" s="4">
        <f>K96*M96+L96+IF(A96&gt;E96,N96,0)</f>
        <v>357.72666666666669</v>
      </c>
      <c r="P96" s="4">
        <v>8000</v>
      </c>
      <c r="Q96" s="24">
        <v>87.196861170000005</v>
      </c>
      <c r="R96" s="24">
        <v>87.508361170000001</v>
      </c>
      <c r="S96" s="4">
        <f>P96*Q96/100</f>
        <v>6975.7488936</v>
      </c>
      <c r="T96" s="4">
        <f>P96*R96/100</f>
        <v>7000.6688936</v>
      </c>
      <c r="U96" s="4">
        <f>T96+V96</f>
        <v>7013.0088936000002</v>
      </c>
      <c r="V96" s="4">
        <v>12.34</v>
      </c>
      <c r="W96" s="4">
        <v>20.92</v>
      </c>
      <c r="X96" s="4">
        <v>4</v>
      </c>
      <c r="Y96" s="4">
        <f>W96+X96</f>
        <v>24.92</v>
      </c>
      <c r="Z96" s="6"/>
      <c r="AA96" s="24">
        <v>92.384955239999996</v>
      </c>
      <c r="AC96" s="5">
        <v>51.104063894761573</v>
      </c>
      <c r="AD96" s="4">
        <f>AA96*P96/100</f>
        <v>7390.7964191999999</v>
      </c>
      <c r="AE96" s="4">
        <v>73.908856001879244</v>
      </c>
      <c r="AF96" s="4">
        <v>3.6950904392764858</v>
      </c>
      <c r="AG96" s="4">
        <f>AD96-AE96-AF96</f>
        <v>7313.1924727588448</v>
      </c>
      <c r="AH96" s="4">
        <f>AD96-S96</f>
        <v>415.04752559999997</v>
      </c>
      <c r="AI96" s="4">
        <f>AG96-T96</f>
        <v>312.52357915884477</v>
      </c>
      <c r="AJ96" s="4">
        <f>AI96+O96+AC96</f>
        <v>721.35430972027302</v>
      </c>
      <c r="AK96">
        <f>A96-D96</f>
        <v>217</v>
      </c>
      <c r="AL96" s="18">
        <f>AJ96/T96</f>
        <v>0.10304076948700344</v>
      </c>
      <c r="AM96" s="18">
        <f>AJ96/T96*365/AK96</f>
        <v>0.17331742333067399</v>
      </c>
      <c r="AN96" s="18">
        <f>POWER((1+AL96),(365/AK96))-1</f>
        <v>0.17934315161409287</v>
      </c>
      <c r="AO96" s="21">
        <f>TitulosVendidos[[#This Row],[Comisión Santa Fe
Venta]]+TitulosVendidos[[#This Row],[Comisión Santa Fé
Compra]]</f>
        <v>94.828856001879245</v>
      </c>
      <c r="AP96" s="7"/>
    </row>
    <row r="97" spans="1:42" x14ac:dyDescent="0.25">
      <c r="A97" s="3">
        <v>46119</v>
      </c>
      <c r="B97" s="3" t="s">
        <v>42</v>
      </c>
      <c r="C97" t="s">
        <v>43</v>
      </c>
      <c r="D97" s="3">
        <v>45967</v>
      </c>
      <c r="E97" s="3">
        <v>45996</v>
      </c>
      <c r="F97" s="3">
        <v>45905</v>
      </c>
      <c r="G97" s="3">
        <v>48462</v>
      </c>
      <c r="H97" s="4">
        <v>7.54</v>
      </c>
      <c r="I97" s="4">
        <f>K97*12/T97*100</f>
        <v>8.4534171083638459</v>
      </c>
      <c r="J97" s="4">
        <v>10</v>
      </c>
      <c r="K97" s="4">
        <f>P97*H97/100/12</f>
        <v>64.09</v>
      </c>
      <c r="L97" s="4">
        <f>K97-V97</f>
        <v>61.95</v>
      </c>
      <c r="M97">
        <f>IF(E97="", 0, IF(A97&gt;E97,INT((A97-E97)/30),0))</f>
        <v>4</v>
      </c>
      <c r="N97" s="5"/>
      <c r="O97" s="4">
        <f>K97*M97+L97+IF(A97&gt;E97,N97,0)</f>
        <v>318.31</v>
      </c>
      <c r="P97" s="4">
        <v>10200</v>
      </c>
      <c r="Q97" s="24">
        <v>88.512248670000005</v>
      </c>
      <c r="R97" s="24">
        <v>89.194699650392167</v>
      </c>
      <c r="S97" s="4">
        <f>P97*Q97/100</f>
        <v>9028.2493643400012</v>
      </c>
      <c r="T97" s="4">
        <f>P97*R97/100</f>
        <v>9097.8593643400018</v>
      </c>
      <c r="U97" s="4">
        <f>T97+V97</f>
        <v>9099.9993643400012</v>
      </c>
      <c r="V97" s="4">
        <v>2.14</v>
      </c>
      <c r="W97" s="4">
        <v>65.099999999999994</v>
      </c>
      <c r="X97" s="4">
        <v>4.51</v>
      </c>
      <c r="Y97" s="4">
        <f>W97+X97</f>
        <v>69.61</v>
      </c>
      <c r="Z97" s="6"/>
      <c r="AA97" s="24">
        <v>93.335567310000002</v>
      </c>
      <c r="AC97" s="5">
        <v>4.2732591054916016</v>
      </c>
      <c r="AD97" s="4">
        <f>AA97*P97/100</f>
        <v>9520.2278656199996</v>
      </c>
      <c r="AE97" s="4">
        <v>95.201283260992639</v>
      </c>
      <c r="AF97" s="4">
        <v>4.7583317607095674</v>
      </c>
      <c r="AG97" s="4">
        <f>AD97-AE97-AF97</f>
        <v>9420.2682505982975</v>
      </c>
      <c r="AH97" s="4">
        <f>AD97-S97</f>
        <v>491.97850127999845</v>
      </c>
      <c r="AI97" s="4">
        <f>AG97-T97</f>
        <v>322.40888625829575</v>
      </c>
      <c r="AJ97" s="4">
        <f>AI97+O97+AC97</f>
        <v>644.99214536378724</v>
      </c>
      <c r="AK97">
        <f>A97-D97</f>
        <v>152</v>
      </c>
      <c r="AL97" s="18">
        <f>AJ97/T97</f>
        <v>7.0894934680118329E-2</v>
      </c>
      <c r="AM97" s="18">
        <f>AJ97/T97*365/AK97</f>
        <v>0.17024112604107364</v>
      </c>
      <c r="AN97" s="18">
        <f>POWER((1+AL97),(365/AK97))-1</f>
        <v>0.17877689596052337</v>
      </c>
      <c r="AO97" s="21">
        <f>TitulosVendidos[[#This Row],[Comisión Santa Fe
Venta]]+TitulosVendidos[[#This Row],[Comisión Santa Fé
Compra]]</f>
        <v>160.30128326099265</v>
      </c>
      <c r="AP97" s="7"/>
    </row>
    <row r="98" spans="1:42" x14ac:dyDescent="0.25">
      <c r="A98" s="3">
        <v>46119</v>
      </c>
      <c r="B98" s="3" t="s">
        <v>42</v>
      </c>
      <c r="C98" t="s">
        <v>43</v>
      </c>
      <c r="D98" s="3">
        <v>46030</v>
      </c>
      <c r="E98" s="3">
        <v>46058</v>
      </c>
      <c r="F98" s="3">
        <v>45905</v>
      </c>
      <c r="G98" s="3">
        <v>48462</v>
      </c>
      <c r="H98" s="4">
        <v>7.54</v>
      </c>
      <c r="I98" s="4">
        <f>K98*12/T98*100</f>
        <v>9.2983230898470683</v>
      </c>
      <c r="J98" s="4">
        <v>12</v>
      </c>
      <c r="K98" s="4">
        <f>P98*H98/100/12</f>
        <v>75.651333333333341</v>
      </c>
      <c r="L98" s="4">
        <f>K98-V98</f>
        <v>65.561333333333337</v>
      </c>
      <c r="M98">
        <f>IF(E98="", 0, IF(A98&gt;E98,INT((A98-E98)/30),0))</f>
        <v>2</v>
      </c>
      <c r="N98" s="5"/>
      <c r="O98" s="4">
        <f>K98*M98+L98+IF(A98&gt;E98,N98,0)</f>
        <v>216.86400000000003</v>
      </c>
      <c r="P98" s="4">
        <v>12040</v>
      </c>
      <c r="Q98" s="24">
        <v>80.686402000000001</v>
      </c>
      <c r="R98" s="24">
        <v>81.089890372093024</v>
      </c>
      <c r="S98" s="4">
        <f>P98*Q98/100</f>
        <v>9714.6428008000003</v>
      </c>
      <c r="T98" s="4">
        <f>P98*R98/100</f>
        <v>9763.2228008000002</v>
      </c>
      <c r="U98" s="4">
        <f>T98+V98</f>
        <v>9773.3128008000003</v>
      </c>
      <c r="V98" s="4">
        <v>10.09</v>
      </c>
      <c r="W98" s="4">
        <v>43.72</v>
      </c>
      <c r="X98" s="4">
        <v>4.8600000000000003</v>
      </c>
      <c r="Y98" s="4">
        <f>W98+X98</f>
        <v>48.58</v>
      </c>
      <c r="Z98" s="6"/>
      <c r="AA98" s="24">
        <v>93.335567310000002</v>
      </c>
      <c r="AC98" s="5">
        <v>5.0441215323645974</v>
      </c>
      <c r="AD98" s="4">
        <f>AA98*P98/100</f>
        <v>11237.602304124001</v>
      </c>
      <c r="AE98" s="4">
        <v>112.3748480845443</v>
      </c>
      <c r="AF98" s="4">
        <v>5.6166974900924709</v>
      </c>
      <c r="AG98" s="4">
        <f>AD98-AE98-AF98</f>
        <v>11119.610758549365</v>
      </c>
      <c r="AH98" s="4">
        <f>AD98-S98</f>
        <v>1522.9595033240003</v>
      </c>
      <c r="AI98" s="4">
        <f>AG98-T98</f>
        <v>1356.3879577493644</v>
      </c>
      <c r="AJ98" s="4">
        <f>AI98+O98+AC98</f>
        <v>1578.2960792817291</v>
      </c>
      <c r="AK98">
        <f>A98-D98</f>
        <v>89</v>
      </c>
      <c r="AL98" s="18">
        <f>AJ98/T98</f>
        <v>0.16165728381742997</v>
      </c>
      <c r="AM98" s="18">
        <f>AJ98/T98*365/AK98</f>
        <v>0.66297650104901051</v>
      </c>
      <c r="AN98" s="18">
        <f>POWER((1+AL98),(365/AK98))-1</f>
        <v>0.84881307080287072</v>
      </c>
      <c r="AO98" s="21">
        <f>TitulosVendidos[[#This Row],[Comisión Santa Fe
Venta]]+TitulosVendidos[[#This Row],[Comisión Santa Fé
Compra]]</f>
        <v>156.09484808454431</v>
      </c>
      <c r="AP98" s="7"/>
    </row>
    <row r="99" spans="1:42" x14ac:dyDescent="0.25">
      <c r="A99" s="3">
        <v>46119</v>
      </c>
      <c r="B99" s="3" t="s">
        <v>42</v>
      </c>
      <c r="C99" t="s">
        <v>43</v>
      </c>
      <c r="D99" s="3">
        <v>45888</v>
      </c>
      <c r="E99" s="3">
        <v>45894</v>
      </c>
      <c r="F99" s="3">
        <v>45498</v>
      </c>
      <c r="G99" s="3">
        <v>48785</v>
      </c>
      <c r="H99" s="4">
        <v>6.21</v>
      </c>
      <c r="I99" s="4">
        <f>K99*12/T99*100</f>
        <v>7.433750425188677</v>
      </c>
      <c r="J99" s="4">
        <v>12.25</v>
      </c>
      <c r="K99" s="4">
        <f>P99*H99/100/12</f>
        <v>65.396474999999995</v>
      </c>
      <c r="L99" s="4">
        <f>K99-V99</f>
        <v>13.078340699267038</v>
      </c>
      <c r="M99">
        <f>IF(E99="", 0, IF(A99&gt;E99,INT((A99-E99)/30),0))</f>
        <v>7</v>
      </c>
      <c r="N99" s="5"/>
      <c r="O99" s="4">
        <f>K99*M99+L99+IF(A99&gt;E99,N99,0)</f>
        <v>470.85366569926697</v>
      </c>
      <c r="P99" s="4">
        <v>12637</v>
      </c>
      <c r="Q99" s="24">
        <v>83.246360999999993</v>
      </c>
      <c r="R99" s="24">
        <v>83.537913500000002</v>
      </c>
      <c r="S99" s="4">
        <f>P99*Q99/100</f>
        <v>10519.842639569999</v>
      </c>
      <c r="T99" s="4">
        <f>P99*R99/100</f>
        <v>10556.686128994999</v>
      </c>
      <c r="U99" s="4">
        <f>T99+V99</f>
        <v>10609.004263295732</v>
      </c>
      <c r="V99" s="4">
        <v>52.318134300732957</v>
      </c>
      <c r="W99" s="4">
        <v>31.585483082845929</v>
      </c>
      <c r="X99" s="4">
        <v>5.2580099207818174</v>
      </c>
      <c r="Y99" s="4">
        <f>W99+X99</f>
        <v>36.843493003627749</v>
      </c>
      <c r="Z99" s="6"/>
      <c r="AA99" s="24">
        <v>86.089360769999999</v>
      </c>
      <c r="AB99" s="24">
        <v>85.392399999999995</v>
      </c>
      <c r="AC99" s="5">
        <v>26.16</v>
      </c>
      <c r="AD99" s="4">
        <f>AA99*P99/100</f>
        <v>10879.112520504899</v>
      </c>
      <c r="AE99" s="4">
        <v>108.79</v>
      </c>
      <c r="AF99" s="4">
        <v>54.4</v>
      </c>
      <c r="AG99" s="4">
        <f>AD99-AE99-AF99</f>
        <v>10715.922520504899</v>
      </c>
      <c r="AH99" s="4">
        <f>AD99-S99</f>
        <v>359.26988093490036</v>
      </c>
      <c r="AI99" s="4">
        <f>AG99-T99</f>
        <v>159.23639150989948</v>
      </c>
      <c r="AJ99" s="4">
        <f>AI99+O99+AC99</f>
        <v>656.25005720916636</v>
      </c>
      <c r="AK99">
        <f>A99-D99</f>
        <v>231</v>
      </c>
      <c r="AL99" s="18">
        <f>AJ99/T99</f>
        <v>6.2164399811670976E-2</v>
      </c>
      <c r="AM99" s="18">
        <f>AJ99/T99*365/AK99</f>
        <v>9.8225133901558043E-2</v>
      </c>
      <c r="AN99" s="18">
        <f>POWER((1+AL99),(365/AK99))-1</f>
        <v>9.998108912264847E-2</v>
      </c>
      <c r="AO99" s="21">
        <f>TitulosVendidos[[#This Row],[Comisión Santa Fe
Venta]]+TitulosVendidos[[#This Row],[Comisión Santa Fé
Compra]]</f>
        <v>140.37548308284593</v>
      </c>
      <c r="AP99" s="7"/>
    </row>
    <row r="100" spans="1:42" x14ac:dyDescent="0.25">
      <c r="A100" s="3">
        <v>46120</v>
      </c>
      <c r="B100" s="3" t="s">
        <v>42</v>
      </c>
      <c r="C100" t="s">
        <v>44</v>
      </c>
      <c r="D100" s="3">
        <v>45816</v>
      </c>
      <c r="E100" s="3">
        <v>45785</v>
      </c>
      <c r="F100" s="3">
        <v>49072</v>
      </c>
      <c r="G100" s="3">
        <v>7.93</v>
      </c>
      <c r="H100" s="4">
        <v>9.8662276268283957</v>
      </c>
      <c r="I100" s="4">
        <f>K100*12/T100*100</f>
        <v>12.275214071171739</v>
      </c>
      <c r="J100" s="4">
        <v>86.569166666666661</v>
      </c>
      <c r="K100" s="4">
        <f>P100*H100/100/12</f>
        <v>88.302737260114142</v>
      </c>
      <c r="L100" s="4">
        <f>K100-V100</f>
        <v>69.372462450953833</v>
      </c>
      <c r="M100">
        <f>IF(E100="", 0, IF(A100&gt;E100,INT((A100-E100)/30),0))</f>
        <v>11</v>
      </c>
      <c r="N100" s="5"/>
      <c r="O100" s="4">
        <f>K100*M100+L100+IF(A100&gt;E100,N100,0)</f>
        <v>1040.7025723122094</v>
      </c>
      <c r="P100" s="4">
        <v>10740</v>
      </c>
      <c r="Q100" s="24">
        <v>80.094816420000001</v>
      </c>
      <c r="R100" s="24">
        <v>80.375198099389294</v>
      </c>
      <c r="S100" s="4">
        <f>P100*Q100/100</f>
        <v>8602.1832835080004</v>
      </c>
      <c r="T100" s="4">
        <f>P100*R100/100</f>
        <v>8632.2962758744106</v>
      </c>
      <c r="U100" s="4">
        <f>T100+V100</f>
        <v>8651.2265506835702</v>
      </c>
      <c r="V100" s="4">
        <v>18.930274809160309</v>
      </c>
      <c r="W100" s="4">
        <v>25.808793893129771</v>
      </c>
      <c r="X100" s="4">
        <v>4.304198473282443</v>
      </c>
      <c r="Y100" s="4">
        <f>W100+X100</f>
        <v>30.112992366412215</v>
      </c>
      <c r="Z100" s="6"/>
      <c r="AA100" s="24">
        <v>92.387381959999999</v>
      </c>
      <c r="AC100" s="5"/>
      <c r="AD100" s="4">
        <f>AA100*P100/100</f>
        <v>9922.4048225040005</v>
      </c>
      <c r="AE100" s="4">
        <v>99.22</v>
      </c>
      <c r="AF100" s="4">
        <v>4.96</v>
      </c>
      <c r="AG100" s="4">
        <f>AD100-AE100-AF100</f>
        <v>9818.2248225040021</v>
      </c>
      <c r="AH100" s="4">
        <f>AD100-S100</f>
        <v>1320.2215389960002</v>
      </c>
      <c r="AI100" s="4">
        <f>AG100-T100</f>
        <v>1185.9285466295914</v>
      </c>
      <c r="AJ100" s="4">
        <f>AI100+O100+AC100</f>
        <v>2226.6311189418011</v>
      </c>
      <c r="AK100">
        <f>A100-D100</f>
        <v>304</v>
      </c>
      <c r="AL100" s="18">
        <f>AJ100/T100</f>
        <v>0.25794192504314317</v>
      </c>
      <c r="AM100" s="18">
        <f>AJ100/T100*365/AK100</f>
        <v>0.30970000868666864</v>
      </c>
      <c r="AN100" s="18">
        <f>POWER((1+AL100),(365/AK100))-1</f>
        <v>0.31721987857591349</v>
      </c>
      <c r="AO100" s="21">
        <f>TitulosVendidos[[#This Row],[Comisión Santa Fe
Venta]]+TitulosVendidos[[#This Row],[Comisión Santa Fé
Compra]]</f>
        <v>125.02879389312977</v>
      </c>
      <c r="AP100" s="7"/>
    </row>
    <row r="101" spans="1:42" x14ac:dyDescent="0.25">
      <c r="A101" s="3">
        <v>46120</v>
      </c>
      <c r="B101" s="3" t="s">
        <v>42</v>
      </c>
      <c r="C101" t="s">
        <v>44</v>
      </c>
      <c r="D101" s="3">
        <v>45816</v>
      </c>
      <c r="E101" s="3">
        <v>45785</v>
      </c>
      <c r="F101" s="3">
        <v>49072</v>
      </c>
      <c r="G101" s="3">
        <v>7.93</v>
      </c>
      <c r="H101" s="4">
        <v>9.8662276268283957</v>
      </c>
      <c r="I101" s="4">
        <f>K101*12/T101*100</f>
        <v>12.275214071171741</v>
      </c>
      <c r="J101" s="4">
        <v>86.569166666666661</v>
      </c>
      <c r="K101" s="4">
        <f>P101*H101/100/12</f>
        <v>19.403580999429177</v>
      </c>
      <c r="L101" s="4">
        <f>K101-V101</f>
        <v>15.243855808589483</v>
      </c>
      <c r="M101">
        <f>IF(E101="", 0, IF(A101&gt;E101,INT((A101-E101)/30),0))</f>
        <v>11</v>
      </c>
      <c r="N101" s="5"/>
      <c r="O101" s="4">
        <f>K101*M101+L101+IF(A101&gt;E101,N101,0)</f>
        <v>228.68324680231044</v>
      </c>
      <c r="P101" s="4">
        <v>2360</v>
      </c>
      <c r="Q101" s="24">
        <v>80.094816420000001</v>
      </c>
      <c r="R101" s="24">
        <v>80.375198099389294</v>
      </c>
      <c r="S101" s="4">
        <f>P101*Q101/100</f>
        <v>1890.2376675119999</v>
      </c>
      <c r="T101" s="4">
        <f>P101*R101/100</f>
        <v>1896.8546751455872</v>
      </c>
      <c r="U101" s="4">
        <f>T101+V101</f>
        <v>1901.0144003364269</v>
      </c>
      <c r="V101" s="4">
        <v>4.1597251908396951</v>
      </c>
      <c r="W101" s="4">
        <v>5.6712061068702289</v>
      </c>
      <c r="X101" s="4">
        <v>0.94580152671755724</v>
      </c>
      <c r="Y101" s="4">
        <f>W101+X101</f>
        <v>6.6170076335877859</v>
      </c>
      <c r="Z101" s="6"/>
      <c r="AA101" s="24">
        <v>92.387381959999999</v>
      </c>
      <c r="AC101" s="5"/>
      <c r="AD101" s="4">
        <f>AA101*P101/100</f>
        <v>2180.3422142559998</v>
      </c>
      <c r="AE101" s="4">
        <v>21.8</v>
      </c>
      <c r="AF101" s="4">
        <v>4</v>
      </c>
      <c r="AG101" s="4">
        <f>AD101-AE101-AF101</f>
        <v>2154.5422142559996</v>
      </c>
      <c r="AH101" s="4">
        <f>AD101-S101</f>
        <v>290.10454674399989</v>
      </c>
      <c r="AI101" s="4">
        <f>AG101-T101</f>
        <v>257.68753911041244</v>
      </c>
      <c r="AJ101" s="4">
        <f>AI101+O101+AC101</f>
        <v>486.37078591272291</v>
      </c>
      <c r="AK101">
        <f>A101-D101</f>
        <v>304</v>
      </c>
      <c r="AL101" s="18">
        <f>AJ101/T101</f>
        <v>0.25640909252860555</v>
      </c>
      <c r="AM101" s="18">
        <f>AJ101/T101*365/AK101</f>
        <v>0.30785960122677969</v>
      </c>
      <c r="AN101" s="18">
        <f>POWER((1+AL101),(365/AK101))-1</f>
        <v>0.31529298133414652</v>
      </c>
      <c r="AO101" s="21">
        <f>TitulosVendidos[[#This Row],[Comisión Santa Fe
Venta]]+TitulosVendidos[[#This Row],[Comisión Santa Fé
Compra]]</f>
        <v>27.47120610687023</v>
      </c>
      <c r="AP101" s="7"/>
    </row>
    <row r="102" spans="1:42" x14ac:dyDescent="0.25">
      <c r="A102" s="3">
        <v>46120</v>
      </c>
      <c r="B102" s="3" t="s">
        <v>42</v>
      </c>
      <c r="C102" t="s">
        <v>43</v>
      </c>
      <c r="D102" s="3">
        <v>46057</v>
      </c>
      <c r="E102" s="3">
        <v>46059</v>
      </c>
      <c r="F102" s="3">
        <v>45875</v>
      </c>
      <c r="G102" s="3">
        <v>49162</v>
      </c>
      <c r="H102" s="4">
        <v>7.93</v>
      </c>
      <c r="I102" s="4">
        <f>K102*12/T102*100</f>
        <v>9.4099311865975057</v>
      </c>
      <c r="J102" s="4">
        <v>11.25</v>
      </c>
      <c r="K102" s="4">
        <f>P102*H102/100/12</f>
        <v>28.415833333333335</v>
      </c>
      <c r="L102" s="4">
        <f>K102-V102</f>
        <v>1.8958333333333357</v>
      </c>
      <c r="M102">
        <f>IF(E102="", 0, IF(A102&gt;E102,INT((A102-E102)/30),0))</f>
        <v>2</v>
      </c>
      <c r="N102" s="5"/>
      <c r="O102" s="4">
        <f>K102*M102+L102+IF(A102&gt;E102,N102,0)</f>
        <v>58.727500000000006</v>
      </c>
      <c r="P102" s="4">
        <v>4300</v>
      </c>
      <c r="Q102" s="24">
        <v>84.06242263</v>
      </c>
      <c r="R102" s="24">
        <v>84.272667278318039</v>
      </c>
      <c r="S102" s="4">
        <f>P102*Q102/100</f>
        <v>3614.6841730899996</v>
      </c>
      <c r="T102" s="4">
        <f>P102*R102/100</f>
        <v>3623.7246929676753</v>
      </c>
      <c r="U102" s="4">
        <f>T102+V102</f>
        <v>3650.2446929676753</v>
      </c>
      <c r="V102" s="4">
        <v>26.52</v>
      </c>
      <c r="W102" s="4">
        <v>7.23</v>
      </c>
      <c r="X102" s="4">
        <v>1.81</v>
      </c>
      <c r="Y102" s="4">
        <f>W102+X102</f>
        <v>9.0400000000000009</v>
      </c>
      <c r="Z102" s="6"/>
      <c r="AA102" s="24">
        <v>92.183405489999998</v>
      </c>
      <c r="AB102" s="24">
        <v>91.212599999999995</v>
      </c>
      <c r="AC102" s="5">
        <v>1.89</v>
      </c>
      <c r="AD102" s="4">
        <f>AA102*P102/100</f>
        <v>3963.8864360699999</v>
      </c>
      <c r="AE102" s="4">
        <v>39.64</v>
      </c>
      <c r="AF102" s="4">
        <v>4</v>
      </c>
      <c r="AG102" s="4">
        <f>AD102-AE102-AF102</f>
        <v>3920.2464360700001</v>
      </c>
      <c r="AH102" s="4">
        <f>AD102-S102</f>
        <v>349.20226298000034</v>
      </c>
      <c r="AI102" s="4">
        <f>AG102-T102</f>
        <v>296.52174310232476</v>
      </c>
      <c r="AJ102" s="4">
        <f>AI102+O102+AC102</f>
        <v>357.13924310232477</v>
      </c>
      <c r="AK102">
        <f>A102-D102</f>
        <v>63</v>
      </c>
      <c r="AL102" s="18">
        <f>AJ102/T102</f>
        <v>9.8555843327557818E-2</v>
      </c>
      <c r="AM102" s="18">
        <f>AJ102/T102*365/AK102</f>
        <v>0.57099813991362858</v>
      </c>
      <c r="AN102" s="18">
        <f>POWER((1+AL102),(365/AK102))-1</f>
        <v>0.72388866873014335</v>
      </c>
      <c r="AO102" s="21">
        <f>TitulosVendidos[[#This Row],[Comisión Santa Fe
Venta]]+TitulosVendidos[[#This Row],[Comisión Santa Fé
Compra]]</f>
        <v>46.870000000000005</v>
      </c>
      <c r="AP102" s="7"/>
    </row>
    <row r="103" spans="1:42" x14ac:dyDescent="0.25">
      <c r="A103" s="3">
        <v>46121</v>
      </c>
      <c r="B103" s="3" t="s">
        <v>42</v>
      </c>
      <c r="C103" t="s">
        <v>43</v>
      </c>
      <c r="D103" s="3">
        <v>45729</v>
      </c>
      <c r="E103" s="3">
        <v>45733</v>
      </c>
      <c r="F103" s="3">
        <v>45063</v>
      </c>
      <c r="G103" s="3">
        <v>47985</v>
      </c>
      <c r="H103" s="4">
        <v>5.93</v>
      </c>
      <c r="I103" s="4">
        <f>K103*12/T103*100</f>
        <v>7.4503161726522809</v>
      </c>
      <c r="J103" s="4">
        <v>11.25</v>
      </c>
      <c r="K103" s="4">
        <f>P103*H103/100/12</f>
        <v>59.300000000000004</v>
      </c>
      <c r="L103" s="4">
        <f>K103-V103</f>
        <v>7.9100000000000037</v>
      </c>
      <c r="M103">
        <f>IF(E103="", 0, IF(A103&gt;E103,INT((A103-E103)/30),0))</f>
        <v>12</v>
      </c>
      <c r="N103" s="5"/>
      <c r="O103" s="4">
        <f>K103*M103+L103+IF(A103&gt;E103,N103,0)</f>
        <v>719.51</v>
      </c>
      <c r="P103" s="4">
        <v>12000</v>
      </c>
      <c r="Q103" s="24">
        <v>79.304270860000003</v>
      </c>
      <c r="R103" s="24">
        <v>79.593937526666664</v>
      </c>
      <c r="S103" s="4">
        <f>P103*Q103/100</f>
        <v>9516.5125031999996</v>
      </c>
      <c r="T103" s="4">
        <f>P103*R103/100</f>
        <v>9551.2725031999998</v>
      </c>
      <c r="U103" s="4">
        <f>T103+V103</f>
        <v>9602.6625031999993</v>
      </c>
      <c r="V103" s="4">
        <v>51.39</v>
      </c>
      <c r="W103" s="4">
        <v>30</v>
      </c>
      <c r="X103" s="4">
        <v>4.76</v>
      </c>
      <c r="Y103" s="4">
        <f>W103+X103</f>
        <v>34.76</v>
      </c>
      <c r="Z103" s="6"/>
      <c r="AA103" s="24">
        <v>89.557850000000002</v>
      </c>
      <c r="AC103" s="5">
        <v>43.49</v>
      </c>
      <c r="AD103" s="4">
        <f>AA103*P103/100</f>
        <v>10746.941999999999</v>
      </c>
      <c r="AE103" s="4">
        <v>107.47</v>
      </c>
      <c r="AF103" s="4">
        <v>5.37</v>
      </c>
      <c r="AG103" s="4">
        <f>AD103-AE103-AF103</f>
        <v>10634.101999999999</v>
      </c>
      <c r="AH103" s="4">
        <f>AD103-S103</f>
        <v>1230.4294967999995</v>
      </c>
      <c r="AI103" s="4">
        <f>AG103-T103</f>
        <v>1082.8294967999991</v>
      </c>
      <c r="AJ103" s="4">
        <f>AI103+O103+AC103</f>
        <v>1845.8294967999991</v>
      </c>
      <c r="AK103">
        <f>A103-D103</f>
        <v>392</v>
      </c>
      <c r="AL103" s="18">
        <f>AJ103/T103</f>
        <v>0.19325482506980968</v>
      </c>
      <c r="AM103" s="18">
        <f>AJ103/T103*365/AK103</f>
        <v>0.17994390599612381</v>
      </c>
      <c r="AN103" s="18">
        <f>POWER((1+AL103),(365/AK103))-1</f>
        <v>0.17882138103046952</v>
      </c>
      <c r="AO103" s="21">
        <f>TitulosVendidos[[#This Row],[Comisión Santa Fe
Venta]]+TitulosVendidos[[#This Row],[Comisión Santa Fé
Compra]]</f>
        <v>137.47</v>
      </c>
      <c r="AP103" s="7"/>
    </row>
    <row r="104" spans="1:42" x14ac:dyDescent="0.25">
      <c r="A104" s="3">
        <v>46121</v>
      </c>
      <c r="B104" s="3" t="s">
        <v>42</v>
      </c>
      <c r="C104" t="s">
        <v>43</v>
      </c>
      <c r="D104" s="3">
        <v>45726</v>
      </c>
      <c r="E104" s="3">
        <v>45758</v>
      </c>
      <c r="F104" s="3">
        <v>45118</v>
      </c>
      <c r="G104" s="3">
        <v>48406</v>
      </c>
      <c r="H104" s="4">
        <v>6.21</v>
      </c>
      <c r="I104" s="4">
        <f>K104*12/T104*100</f>
        <v>7.8610262547473315</v>
      </c>
      <c r="J104" s="4">
        <v>11.25</v>
      </c>
      <c r="K104" s="4">
        <f>P104*H104/100/12</f>
        <v>31.878</v>
      </c>
      <c r="L104" s="4">
        <f>K104-V104</f>
        <v>31.878</v>
      </c>
      <c r="M104">
        <f>IF(E104="", 0, IF(A104&gt;E104,INT((A104-E104)/30),0))</f>
        <v>12</v>
      </c>
      <c r="N104" s="5"/>
      <c r="O104" s="4">
        <f>K104*M104+L104+IF(A104&gt;E104,N104,0)</f>
        <v>414.41399999999999</v>
      </c>
      <c r="P104" s="4">
        <v>6160</v>
      </c>
      <c r="Q104" s="24">
        <v>78.696182800000003</v>
      </c>
      <c r="R104" s="24">
        <v>78.997319163636362</v>
      </c>
      <c r="S104" s="4">
        <f>P104*Q104/100</f>
        <v>4847.6848604799998</v>
      </c>
      <c r="T104" s="4">
        <f>P104*R104/100</f>
        <v>4866.23486048</v>
      </c>
      <c r="U104" s="4">
        <f>T104+V104</f>
        <v>4866.23486048</v>
      </c>
      <c r="V104" s="4">
        <v>0</v>
      </c>
      <c r="W104" s="4">
        <v>14.55</v>
      </c>
      <c r="X104" s="4">
        <v>4</v>
      </c>
      <c r="Y104" s="4">
        <f>W104+X104</f>
        <v>18.55</v>
      </c>
      <c r="Z104" s="6"/>
      <c r="AA104" s="24">
        <v>89.340159999999997</v>
      </c>
      <c r="AC104" s="5">
        <v>29.754154195479408</v>
      </c>
      <c r="AD104" s="4">
        <f>AA104*P104/100</f>
        <v>5503.3538560000006</v>
      </c>
      <c r="AE104" s="4">
        <v>55.032469811126013</v>
      </c>
      <c r="AF104" s="4">
        <v>2.75289503560739</v>
      </c>
      <c r="AG104" s="4">
        <f>AD104-AE104-AF104</f>
        <v>5445.5684911532671</v>
      </c>
      <c r="AH104" s="4">
        <f>AD104-S104</f>
        <v>655.66899552000086</v>
      </c>
      <c r="AI104" s="4">
        <f>AG104-T104</f>
        <v>579.33363067326718</v>
      </c>
      <c r="AJ104" s="4">
        <f>AI104+O104+AC104</f>
        <v>1023.5017848687465</v>
      </c>
      <c r="AK104">
        <f>A104-D104</f>
        <v>395</v>
      </c>
      <c r="AL104" s="18">
        <f>AJ104/T104</f>
        <v>0.210327247700451</v>
      </c>
      <c r="AM104" s="18">
        <f>AJ104/T104*365/AK104</f>
        <v>0.19435302635611296</v>
      </c>
      <c r="AN104" s="18">
        <f>POWER((1+AL104),(365/AK104))-1</f>
        <v>0.19290647124430937</v>
      </c>
      <c r="AO104" s="21">
        <f>TitulosVendidos[[#This Row],[Comisión Santa Fe
Venta]]+TitulosVendidos[[#This Row],[Comisión Santa Fé
Compra]]</f>
        <v>69.582469811126018</v>
      </c>
      <c r="AP104" s="7"/>
    </row>
    <row r="105" spans="1:42" x14ac:dyDescent="0.25">
      <c r="A105" s="3">
        <v>46121</v>
      </c>
      <c r="B105" s="3" t="s">
        <v>42</v>
      </c>
      <c r="C105" t="s">
        <v>43</v>
      </c>
      <c r="D105" s="3">
        <v>46057</v>
      </c>
      <c r="E105" s="3">
        <v>46064</v>
      </c>
      <c r="F105" s="3">
        <v>45118</v>
      </c>
      <c r="G105" s="3">
        <v>48406</v>
      </c>
      <c r="H105" s="4">
        <v>6.21</v>
      </c>
      <c r="I105" s="4">
        <f>K105*12/T105*100</f>
        <v>7.5394021598707974</v>
      </c>
      <c r="J105" s="4">
        <v>11</v>
      </c>
      <c r="K105" s="4">
        <f>P105*H105/100/12</f>
        <v>18.262575000000002</v>
      </c>
      <c r="L105" s="4">
        <f>K105-V105</f>
        <v>4.2625750000000018</v>
      </c>
      <c r="M105">
        <f>IF(E105="", 0, IF(A105&gt;E105,INT((A105-E105)/30),0))</f>
        <v>1</v>
      </c>
      <c r="N105" s="5"/>
      <c r="O105" s="4">
        <f>K105*M105+L105+IF(A105&gt;E105,N105,0)</f>
        <v>22.525150000000004</v>
      </c>
      <c r="P105" s="4">
        <v>3529</v>
      </c>
      <c r="Q105" s="24">
        <v>82.007964950000002</v>
      </c>
      <c r="R105" s="24">
        <v>82.367273536001704</v>
      </c>
      <c r="S105" s="4">
        <f>P105*Q105/100</f>
        <v>2894.0610830855003</v>
      </c>
      <c r="T105" s="4">
        <f>P105*R105/100</f>
        <v>2906.7410830855001</v>
      </c>
      <c r="U105" s="4">
        <f>T105+V105</f>
        <v>2920.7410830855001</v>
      </c>
      <c r="V105" s="4">
        <v>14</v>
      </c>
      <c r="W105" s="4">
        <v>8.68</v>
      </c>
      <c r="X105" s="4">
        <v>4</v>
      </c>
      <c r="Y105" s="4">
        <f>W105+X105</f>
        <v>12.68</v>
      </c>
      <c r="Z105" s="6"/>
      <c r="AA105" s="24">
        <v>89.340159999999997</v>
      </c>
      <c r="AC105" s="5">
        <v>17.045845804520589</v>
      </c>
      <c r="AD105" s="4">
        <f>AA105*P105/100</f>
        <v>3152.8142463999998</v>
      </c>
      <c r="AE105" s="4">
        <v>31.527530188873978</v>
      </c>
      <c r="AF105" s="4">
        <v>1.5771049643926101</v>
      </c>
      <c r="AG105" s="4">
        <f>AD105-AE105-AF105</f>
        <v>3119.7096112467329</v>
      </c>
      <c r="AH105" s="4">
        <f>AD105-S105</f>
        <v>258.75316331449949</v>
      </c>
      <c r="AI105" s="4">
        <f>AG105-T105</f>
        <v>212.96852816123283</v>
      </c>
      <c r="AJ105" s="4">
        <f>AI105+O105+AC105</f>
        <v>252.5395239657534</v>
      </c>
      <c r="AK105">
        <f>A105-D105</f>
        <v>64</v>
      </c>
      <c r="AL105" s="18">
        <f>AJ105/T105</f>
        <v>8.6880639433383311E-2</v>
      </c>
      <c r="AM105" s="18">
        <f>AJ105/T105*365/AK105</f>
        <v>0.49549114676851419</v>
      </c>
      <c r="AN105" s="18">
        <f>POWER((1+AL105),(365/AK105))-1</f>
        <v>0.60823544266991703</v>
      </c>
      <c r="AO105" s="21">
        <f>TitulosVendidos[[#This Row],[Comisión Santa Fe
Venta]]+TitulosVendidos[[#This Row],[Comisión Santa Fé
Compra]]</f>
        <v>40.207530188873974</v>
      </c>
      <c r="AP105" s="7"/>
    </row>
    <row r="106" spans="1:42" x14ac:dyDescent="0.25">
      <c r="A106" s="3">
        <v>46121</v>
      </c>
      <c r="B106" s="3" t="s">
        <v>42</v>
      </c>
      <c r="C106" t="s">
        <v>43</v>
      </c>
      <c r="D106" s="3">
        <v>45590</v>
      </c>
      <c r="E106" s="3">
        <v>45614</v>
      </c>
      <c r="F106" s="3">
        <v>45217</v>
      </c>
      <c r="G106" s="3">
        <v>47409</v>
      </c>
      <c r="H106" s="4">
        <v>5.36</v>
      </c>
      <c r="I106" s="4">
        <f>K106*12/T106*100</f>
        <v>7.3038866053650038</v>
      </c>
      <c r="J106" s="4">
        <v>13</v>
      </c>
      <c r="K106" s="4">
        <f>P106*H106/100/12</f>
        <v>44.666666666666664</v>
      </c>
      <c r="L106" s="4">
        <f>K106-V106</f>
        <v>34.246666666666663</v>
      </c>
      <c r="M106">
        <f>IF(E106="", 0, IF(A106&gt;E106,INT((A106-E106)/30),0))</f>
        <v>16</v>
      </c>
      <c r="N106" s="5"/>
      <c r="O106" s="4">
        <f>K106*M106+L106+IF(A106&gt;E106,N106,0)</f>
        <v>748.9133333333333</v>
      </c>
      <c r="P106" s="4">
        <v>10000</v>
      </c>
      <c r="Q106" s="24">
        <v>73.126186189999999</v>
      </c>
      <c r="R106" s="24">
        <v>73.385586189999998</v>
      </c>
      <c r="S106" s="4">
        <f>P106*Q106/100</f>
        <v>7312.6186189999999</v>
      </c>
      <c r="T106" s="4">
        <f>P106*R106/100</f>
        <v>7338.5586190000004</v>
      </c>
      <c r="U106" s="4">
        <f>T106+V106</f>
        <v>7348.9786190000004</v>
      </c>
      <c r="V106" s="4">
        <v>10.42</v>
      </c>
      <c r="W106" s="4">
        <v>21.94</v>
      </c>
      <c r="X106" s="4">
        <v>4</v>
      </c>
      <c r="Y106" s="4">
        <f>W106+X106</f>
        <v>25.94</v>
      </c>
      <c r="Z106" s="6"/>
      <c r="AA106" s="24">
        <v>91.057169999999999</v>
      </c>
      <c r="AC106" s="5">
        <v>31.27</v>
      </c>
      <c r="AD106" s="4">
        <f>AA106*P106/100</f>
        <v>9105.7169999999987</v>
      </c>
      <c r="AE106" s="4">
        <v>91.06</v>
      </c>
      <c r="AF106" s="4">
        <v>4.55</v>
      </c>
      <c r="AG106" s="4">
        <f>AD106-AE106-AF106</f>
        <v>9010.107</v>
      </c>
      <c r="AH106" s="4">
        <f>AD106-S106</f>
        <v>1793.0983809999989</v>
      </c>
      <c r="AI106" s="4">
        <f>AG106-T106</f>
        <v>1671.5483809999996</v>
      </c>
      <c r="AJ106" s="4">
        <f>AI106+O106+AC106</f>
        <v>2451.731714333333</v>
      </c>
      <c r="AK106">
        <f>A106-D106</f>
        <v>531</v>
      </c>
      <c r="AL106" s="18">
        <f>AJ106/T106</f>
        <v>0.33408900052738449</v>
      </c>
      <c r="AM106" s="18">
        <f>AJ106/T106*365/AK106</f>
        <v>0.22964686476929441</v>
      </c>
      <c r="AN106" s="18">
        <f>POWER((1+AL106),(365/AK106))-1</f>
        <v>0.2191294369542347</v>
      </c>
      <c r="AO106" s="21">
        <f>TitulosVendidos[[#This Row],[Comisión Santa Fe
Venta]]+TitulosVendidos[[#This Row],[Comisión Santa Fé
Compra]]</f>
        <v>113</v>
      </c>
      <c r="AP106" s="7"/>
    </row>
    <row r="107" spans="1:42" x14ac:dyDescent="0.25">
      <c r="A107" s="3">
        <v>46121</v>
      </c>
      <c r="B107" s="3" t="s">
        <v>42</v>
      </c>
      <c r="C107" t="s">
        <v>43</v>
      </c>
      <c r="D107" s="3">
        <v>45615</v>
      </c>
      <c r="E107" s="3">
        <v>45638</v>
      </c>
      <c r="F107" s="3">
        <v>45455</v>
      </c>
      <c r="G107" s="3">
        <v>47281</v>
      </c>
      <c r="H107" s="4">
        <v>5.07</v>
      </c>
      <c r="I107" s="4">
        <f>K107*12/T107*100</f>
        <v>6.8319580053597289</v>
      </c>
      <c r="J107" s="4">
        <v>13</v>
      </c>
      <c r="K107" s="4">
        <f>P107*H107/100/12</f>
        <v>34.222500000000004</v>
      </c>
      <c r="L107" s="4">
        <f>K107-V107</f>
        <v>26.232500000000002</v>
      </c>
      <c r="M107">
        <f>IF(E107="", 0, IF(A107&gt;E107,INT((A107-E107)/30),0))</f>
        <v>16</v>
      </c>
      <c r="N107" s="5"/>
      <c r="O107" s="4">
        <f>K107*M107+L107+IF(A107&gt;E107,N107,0)</f>
        <v>573.79250000000002</v>
      </c>
      <c r="P107" s="4">
        <v>8100</v>
      </c>
      <c r="Q107" s="24">
        <v>73.938699999999997</v>
      </c>
      <c r="R107" s="24">
        <v>74.210058024691349</v>
      </c>
      <c r="S107" s="4">
        <f>P107*Q107/100</f>
        <v>5989.0347000000002</v>
      </c>
      <c r="T107" s="4">
        <f>P107*R107/100</f>
        <v>6011.0146999999997</v>
      </c>
      <c r="U107" s="4">
        <f>T107+V107</f>
        <v>6019.0046999999995</v>
      </c>
      <c r="V107" s="4">
        <v>7.99</v>
      </c>
      <c r="W107" s="4">
        <v>17.98</v>
      </c>
      <c r="X107" s="4">
        <v>4</v>
      </c>
      <c r="Y107" s="4">
        <f>W107+X107</f>
        <v>21.98</v>
      </c>
      <c r="Z107" s="6"/>
      <c r="AA107" s="24">
        <v>91.151719999999997</v>
      </c>
      <c r="AC107" s="5">
        <v>30.8</v>
      </c>
      <c r="AD107" s="4">
        <f>AA107*P107/100</f>
        <v>7383.2893199999999</v>
      </c>
      <c r="AE107" s="4">
        <v>73.83</v>
      </c>
      <c r="AF107" s="4">
        <v>4</v>
      </c>
      <c r="AG107" s="4">
        <f>AD107-AE107-AF107</f>
        <v>7305.4593199999999</v>
      </c>
      <c r="AH107" s="4">
        <f>AD107-S107</f>
        <v>1394.2546199999997</v>
      </c>
      <c r="AI107" s="4">
        <f>AG107-T107</f>
        <v>1294.4446200000002</v>
      </c>
      <c r="AJ107" s="4">
        <f>AI107+O107+AC107</f>
        <v>1899.0371200000002</v>
      </c>
      <c r="AK107">
        <f>A107-D107</f>
        <v>506</v>
      </c>
      <c r="AL107" s="18">
        <f>AJ107/T107</f>
        <v>0.31592621458736414</v>
      </c>
      <c r="AM107" s="18">
        <f>AJ107/T107*365/AK107</f>
        <v>0.22789143937626069</v>
      </c>
      <c r="AN107" s="18">
        <f>POWER((1+AL107),(365/AK107))-1</f>
        <v>0.21900907817313398</v>
      </c>
      <c r="AO107" s="21">
        <f>TitulosVendidos[[#This Row],[Comisión Santa Fe
Venta]]+TitulosVendidos[[#This Row],[Comisión Santa Fé
Compra]]</f>
        <v>91.81</v>
      </c>
      <c r="AP107" s="7"/>
    </row>
    <row r="108" spans="1:42" x14ac:dyDescent="0.25">
      <c r="A108" s="3">
        <v>46121</v>
      </c>
      <c r="B108" s="3" t="s">
        <v>42</v>
      </c>
      <c r="C108" t="s">
        <v>43</v>
      </c>
      <c r="D108" s="3">
        <v>45587</v>
      </c>
      <c r="E108" s="3">
        <v>45608</v>
      </c>
      <c r="F108" s="3">
        <v>45455</v>
      </c>
      <c r="G108" s="3">
        <v>47646</v>
      </c>
      <c r="H108" s="4">
        <v>5.36</v>
      </c>
      <c r="I108" s="4">
        <f>K108*12/T108*100</f>
        <v>7.6568367166648414</v>
      </c>
      <c r="J108" s="4">
        <v>13.25</v>
      </c>
      <c r="K108" s="4">
        <f>P108*H108/100/12</f>
        <v>30.998666666666669</v>
      </c>
      <c r="L108" s="4">
        <f>K108-V108</f>
        <v>20.668666666666667</v>
      </c>
      <c r="M108">
        <f>IF(E108="", 0, IF(A108&gt;E108,INT((A108-E108)/30),0))</f>
        <v>17</v>
      </c>
      <c r="N108" s="5"/>
      <c r="O108" s="4">
        <f>K108*M108+L108+IF(A108&gt;E108,N108,0)</f>
        <v>547.64600000000007</v>
      </c>
      <c r="P108" s="4">
        <v>6940</v>
      </c>
      <c r="Q108" s="24">
        <v>69.740839129999998</v>
      </c>
      <c r="R108" s="24">
        <v>70.002798784178665</v>
      </c>
      <c r="S108" s="4">
        <f>P108*Q108/100</f>
        <v>4840.0142356219994</v>
      </c>
      <c r="T108" s="4">
        <f>P108*R108/100</f>
        <v>4858.1942356219988</v>
      </c>
      <c r="U108" s="4">
        <f>T108+V108</f>
        <v>4868.5242356219987</v>
      </c>
      <c r="V108" s="4">
        <v>10.33</v>
      </c>
      <c r="W108" s="4">
        <v>14.18</v>
      </c>
      <c r="X108" s="4">
        <v>4</v>
      </c>
      <c r="Y108" s="4">
        <f>W108+X108</f>
        <v>18.18</v>
      </c>
      <c r="Z108" s="6"/>
      <c r="AA108" s="24">
        <v>89.245310000000003</v>
      </c>
      <c r="AC108" s="5">
        <v>27.898661338661341</v>
      </c>
      <c r="AD108" s="4">
        <f>AA108*P108/100</f>
        <v>6193.6245140000001</v>
      </c>
      <c r="AE108" s="4">
        <v>61.93308691308691</v>
      </c>
      <c r="AF108" s="4">
        <v>3.0990809190809192</v>
      </c>
      <c r="AG108" s="4">
        <f>AD108-AE108-AF108</f>
        <v>6128.5923461678321</v>
      </c>
      <c r="AH108" s="4">
        <f>AD108-S108</f>
        <v>1353.6102783780007</v>
      </c>
      <c r="AI108" s="4">
        <f>AG108-T108</f>
        <v>1270.3981105458333</v>
      </c>
      <c r="AJ108" s="4">
        <f>AI108+O108+AC108</f>
        <v>1845.942771884495</v>
      </c>
      <c r="AK108">
        <f>A108-D108</f>
        <v>534</v>
      </c>
      <c r="AL108" s="18">
        <f>AJ108/T108</f>
        <v>0.37996479398649596</v>
      </c>
      <c r="AM108" s="18">
        <f>AJ108/T108*365/AK108</f>
        <v>0.25971376367990828</v>
      </c>
      <c r="AN108" s="18">
        <f>POWER((1+AL108),(365/AK108))-1</f>
        <v>0.24624280434490431</v>
      </c>
      <c r="AO108" s="21">
        <f>TitulosVendidos[[#This Row],[Comisión Santa Fe
Venta]]+TitulosVendidos[[#This Row],[Comisión Santa Fé
Compra]]</f>
        <v>76.113086913086903</v>
      </c>
      <c r="AP108" s="7"/>
    </row>
    <row r="109" spans="1:42" x14ac:dyDescent="0.25">
      <c r="A109" s="3">
        <v>46121</v>
      </c>
      <c r="B109" s="3" t="s">
        <v>42</v>
      </c>
      <c r="C109" t="s">
        <v>43</v>
      </c>
      <c r="D109" s="3">
        <v>45590</v>
      </c>
      <c r="E109" s="3">
        <v>45608</v>
      </c>
      <c r="F109" s="3">
        <v>45455</v>
      </c>
      <c r="G109" s="3">
        <v>47646</v>
      </c>
      <c r="H109" s="4">
        <v>5.36</v>
      </c>
      <c r="I109" s="4">
        <f>K109*12/T109*100</f>
        <v>7.6321760849195632</v>
      </c>
      <c r="J109" s="4">
        <v>13.25</v>
      </c>
      <c r="K109" s="4">
        <f>P109*H109/100/12</f>
        <v>13.712666666666669</v>
      </c>
      <c r="L109" s="4">
        <f>K109-V109</f>
        <v>7.7726666666666686</v>
      </c>
      <c r="M109">
        <f>IF(E109="", 0, IF(A109&gt;E109,INT((A109-E109)/30),0))</f>
        <v>17</v>
      </c>
      <c r="N109" s="5"/>
      <c r="O109" s="4">
        <f>K109*M109+L109+IF(A109&gt;E109,N109,0)</f>
        <v>240.88800000000006</v>
      </c>
      <c r="P109" s="4">
        <v>3070</v>
      </c>
      <c r="Q109" s="24">
        <v>69.772961589999994</v>
      </c>
      <c r="R109" s="24">
        <v>70.228987648631929</v>
      </c>
      <c r="S109" s="4">
        <f>P109*Q109/100</f>
        <v>2142.029920813</v>
      </c>
      <c r="T109" s="4">
        <f>P109*R109/100</f>
        <v>2156.0299208130004</v>
      </c>
      <c r="U109" s="4">
        <f>T109+V109</f>
        <v>2161.9699208130005</v>
      </c>
      <c r="V109" s="4">
        <v>5.94</v>
      </c>
      <c r="W109" s="4">
        <v>10</v>
      </c>
      <c r="X109" s="4">
        <v>4</v>
      </c>
      <c r="Y109" s="4">
        <f>W109+X109</f>
        <v>14</v>
      </c>
      <c r="Z109" s="6"/>
      <c r="AA109" s="24">
        <v>89.245310000000003</v>
      </c>
      <c r="AC109" s="5">
        <v>12.341338661338661</v>
      </c>
      <c r="AD109" s="4">
        <f>AA109*P109/100</f>
        <v>2739.831017</v>
      </c>
      <c r="AE109" s="4">
        <v>27.396913086913081</v>
      </c>
      <c r="AF109" s="4">
        <v>1.370919080919081</v>
      </c>
      <c r="AG109" s="4">
        <f>AD109-AE109-AF109</f>
        <v>2711.0631848321677</v>
      </c>
      <c r="AH109" s="4">
        <f>AD109-S109</f>
        <v>597.80109618699998</v>
      </c>
      <c r="AI109" s="4">
        <f>AG109-T109</f>
        <v>555.03326401916729</v>
      </c>
      <c r="AJ109" s="4">
        <f>AI109+O109+AC109</f>
        <v>808.26260268050601</v>
      </c>
      <c r="AK109">
        <f>A109-D109</f>
        <v>531</v>
      </c>
      <c r="AL109" s="18">
        <f>AJ109/T109</f>
        <v>0.37488468730328406</v>
      </c>
      <c r="AM109" s="18">
        <f>AJ109/T109*365/AK109</f>
        <v>0.25768909767551545</v>
      </c>
      <c r="AN109" s="18">
        <f>POWER((1+AL109),(365/AK109))-1</f>
        <v>0.24463437049247494</v>
      </c>
      <c r="AO109" s="21">
        <f>TitulosVendidos[[#This Row],[Comisión Santa Fe
Venta]]+TitulosVendidos[[#This Row],[Comisión Santa Fé
Compra]]</f>
        <v>37.396913086913081</v>
      </c>
      <c r="AP109" s="7"/>
    </row>
    <row r="110" spans="1:42" x14ac:dyDescent="0.25">
      <c r="A110" s="3">
        <v>46121</v>
      </c>
      <c r="B110" s="3" t="s">
        <v>42</v>
      </c>
      <c r="C110" t="s">
        <v>43</v>
      </c>
      <c r="D110" s="3">
        <v>45798</v>
      </c>
      <c r="E110" s="3">
        <v>45804</v>
      </c>
      <c r="F110" s="3">
        <v>45470</v>
      </c>
      <c r="G110" s="3">
        <v>48392</v>
      </c>
      <c r="H110" s="4">
        <v>5.93</v>
      </c>
      <c r="I110" s="4">
        <f>K110*12/T110*100</f>
        <v>7.6105252051048673</v>
      </c>
      <c r="J110" s="4">
        <v>11</v>
      </c>
      <c r="K110" s="4">
        <f>P110*H110/100/12</f>
        <v>40.768750000000004</v>
      </c>
      <c r="L110" s="4">
        <f>K110-V110</f>
        <v>8.1487500000000068</v>
      </c>
      <c r="M110">
        <f>IF(E110="", 0, IF(A110&gt;E110,INT((A110-E110)/30),0))</f>
        <v>10</v>
      </c>
      <c r="N110" s="5"/>
      <c r="O110" s="4">
        <f>K110*M110+L110+IF(A110&gt;E110,N110,0)</f>
        <v>415.83625000000006</v>
      </c>
      <c r="P110" s="4">
        <v>8250</v>
      </c>
      <c r="Q110" s="24">
        <v>77.636952399999998</v>
      </c>
      <c r="R110" s="24">
        <v>77.918406945454549</v>
      </c>
      <c r="S110" s="4">
        <f>P110*Q110/100</f>
        <v>6405.048573</v>
      </c>
      <c r="T110" s="4">
        <f>P110*R110/100</f>
        <v>6428.2685730000003</v>
      </c>
      <c r="U110" s="4">
        <f>T110+V110</f>
        <v>6460.8885730000002</v>
      </c>
      <c r="V110" s="4">
        <v>32.619999999999997</v>
      </c>
      <c r="W110" s="4">
        <v>19.22</v>
      </c>
      <c r="X110" s="4">
        <v>4</v>
      </c>
      <c r="Y110" s="4">
        <f>W110+X110</f>
        <v>23.22</v>
      </c>
      <c r="Z110" s="6"/>
      <c r="AA110" s="24">
        <v>87.792270000000002</v>
      </c>
      <c r="AC110" s="5">
        <v>16.309999999999999</v>
      </c>
      <c r="AD110" s="4">
        <f>AA110*P110/100</f>
        <v>7242.8622750000004</v>
      </c>
      <c r="AE110" s="4">
        <v>72.430000000000007</v>
      </c>
      <c r="AF110" s="4">
        <v>4</v>
      </c>
      <c r="AG110" s="4">
        <f>AD110-AE110-AF110</f>
        <v>7166.4322750000001</v>
      </c>
      <c r="AH110" s="4">
        <f>AD110-S110</f>
        <v>837.81370200000038</v>
      </c>
      <c r="AI110" s="4">
        <f>AG110-T110</f>
        <v>738.16370199999983</v>
      </c>
      <c r="AJ110" s="4">
        <f>AI110+O110+AC110</f>
        <v>1170.3099519999998</v>
      </c>
      <c r="AK110">
        <f>A110-D110</f>
        <v>323</v>
      </c>
      <c r="AL110" s="18">
        <f>AJ110/T110</f>
        <v>0.18205679160879076</v>
      </c>
      <c r="AM110" s="18">
        <f>AJ110/T110*365/AK110</f>
        <v>0.20572981095111029</v>
      </c>
      <c r="AN110" s="18">
        <f>POWER((1+AL110),(365/AK110))-1</f>
        <v>0.20804629023955301</v>
      </c>
      <c r="AO110" s="21">
        <f>TitulosVendidos[[#This Row],[Comisión Santa Fe
Venta]]+TitulosVendidos[[#This Row],[Comisión Santa Fé
Compra]]</f>
        <v>91.65</v>
      </c>
      <c r="AP110" s="7"/>
    </row>
    <row r="111" spans="1:42" x14ac:dyDescent="0.25">
      <c r="A111" s="3">
        <v>46121</v>
      </c>
      <c r="B111" s="3" t="s">
        <v>42</v>
      </c>
      <c r="C111" t="s">
        <v>43</v>
      </c>
      <c r="D111" s="3">
        <v>46083</v>
      </c>
      <c r="E111" s="3">
        <v>46106</v>
      </c>
      <c r="F111" s="3">
        <v>45498</v>
      </c>
      <c r="G111" s="3">
        <v>48420</v>
      </c>
      <c r="H111" s="4">
        <v>5.93</v>
      </c>
      <c r="I111" s="4">
        <f>K111*12/T111*100</f>
        <v>7.3514831415049997</v>
      </c>
      <c r="J111" s="4">
        <v>10.75</v>
      </c>
      <c r="K111" s="4">
        <f>P111*H111/100/12</f>
        <v>111.68166666666667</v>
      </c>
      <c r="L111" s="4">
        <f>K111-V111</f>
        <v>85.62166666666667</v>
      </c>
      <c r="M111">
        <f>IF(E111="", 0, IF(A111&gt;E111,INT((A111-E111)/30),0))</f>
        <v>0</v>
      </c>
      <c r="N111" s="5"/>
      <c r="O111" s="4">
        <f>K111*M111+L111+IF(A111&gt;E111,N111,0)</f>
        <v>85.62166666666667</v>
      </c>
      <c r="P111" s="4">
        <v>22600</v>
      </c>
      <c r="Q111" s="24">
        <v>80.422711899999996</v>
      </c>
      <c r="R111" s="24">
        <v>80.663995085840696</v>
      </c>
      <c r="S111" s="4">
        <f>P111*Q111/100</f>
        <v>18175.532889399998</v>
      </c>
      <c r="T111" s="4">
        <f>P111*R111/100</f>
        <v>18230.062889399996</v>
      </c>
      <c r="U111" s="4">
        <f>T111+V111</f>
        <v>18256.122889399998</v>
      </c>
      <c r="V111" s="4">
        <v>26.06</v>
      </c>
      <c r="W111" s="4">
        <v>45.44</v>
      </c>
      <c r="X111" s="4">
        <v>9.09</v>
      </c>
      <c r="Y111" s="4">
        <f>W111+X111</f>
        <v>54.53</v>
      </c>
      <c r="Z111" s="6"/>
      <c r="AA111" s="24">
        <v>87.164420000000007</v>
      </c>
      <c r="AC111" s="5">
        <v>52.120441537203597</v>
      </c>
      <c r="AD111" s="4">
        <f>AA111*P111/100</f>
        <v>19699.158920000002</v>
      </c>
      <c r="AE111" s="4">
        <v>196.98773507767791</v>
      </c>
      <c r="AF111" s="4">
        <v>9.8493867538838913</v>
      </c>
      <c r="AG111" s="4">
        <f>AD111-AE111-AF111</f>
        <v>19492.321798168439</v>
      </c>
      <c r="AH111" s="4">
        <f>AD111-S111</f>
        <v>1523.626030600004</v>
      </c>
      <c r="AI111" s="4">
        <f>AG111-T111</f>
        <v>1262.2589087684428</v>
      </c>
      <c r="AJ111" s="4">
        <f>AI111+O111+AC111</f>
        <v>1400.001016972313</v>
      </c>
      <c r="AK111">
        <f>A111-D111</f>
        <v>38</v>
      </c>
      <c r="AL111" s="18">
        <f>AJ111/T111</f>
        <v>7.6796280159096647E-2</v>
      </c>
      <c r="AM111" s="18">
        <f>AJ111/T111*365/AK111</f>
        <v>0.73764848047553355</v>
      </c>
      <c r="AN111" s="18">
        <f>POWER((1+AL111),(365/AK111))-1</f>
        <v>1.0354065662333873</v>
      </c>
      <c r="AO111" s="21">
        <f>TitulosVendidos[[#This Row],[Comisión Santa Fe
Venta]]+TitulosVendidos[[#This Row],[Comisión Santa Fé
Compra]]</f>
        <v>242.42773507767791</v>
      </c>
      <c r="AP111" s="7"/>
    </row>
    <row r="112" spans="1:42" x14ac:dyDescent="0.25">
      <c r="A112" s="3">
        <v>46121</v>
      </c>
      <c r="B112" s="3" t="s">
        <v>42</v>
      </c>
      <c r="C112" t="s">
        <v>43</v>
      </c>
      <c r="D112" s="3">
        <v>45827</v>
      </c>
      <c r="E112" s="3">
        <v>45833</v>
      </c>
      <c r="F112" s="3">
        <v>45498</v>
      </c>
      <c r="G112" s="3">
        <v>48420</v>
      </c>
      <c r="H112" s="4">
        <v>5.93</v>
      </c>
      <c r="I112" s="4">
        <f>K112*12/T112*100</f>
        <v>7.3834546907154213</v>
      </c>
      <c r="J112" s="4">
        <v>10.5</v>
      </c>
      <c r="K112" s="4">
        <f>P112*H112/100/12</f>
        <v>9.1914999999999996</v>
      </c>
      <c r="L112" s="4">
        <f>K112-V112</f>
        <v>1.8414999999999999</v>
      </c>
      <c r="M112">
        <f>IF(E112="", 0, IF(A112&gt;E112,INT((A112-E112)/30),0))</f>
        <v>9</v>
      </c>
      <c r="N112" s="5"/>
      <c r="O112" s="4">
        <f>K112*M112+L112+IF(A112&gt;E112,N112,0)</f>
        <v>84.564999999999998</v>
      </c>
      <c r="P112" s="4">
        <v>1860</v>
      </c>
      <c r="Q112" s="24">
        <v>79.562018809999998</v>
      </c>
      <c r="R112" s="24">
        <v>80.314706982043006</v>
      </c>
      <c r="S112" s="4">
        <f>P112*Q112/100</f>
        <v>1479.8535498659999</v>
      </c>
      <c r="T112" s="4">
        <f>P112*R112/100</f>
        <v>1493.8535498659999</v>
      </c>
      <c r="U112" s="4">
        <f>T112+V112</f>
        <v>1501.2035498659998</v>
      </c>
      <c r="V112" s="4">
        <v>7.35</v>
      </c>
      <c r="W112" s="4">
        <v>10</v>
      </c>
      <c r="X112" s="4">
        <v>4</v>
      </c>
      <c r="Y112" s="4">
        <f>W112+X112</f>
        <v>14</v>
      </c>
      <c r="Z112" s="6"/>
      <c r="AA112" s="24">
        <v>87.164420000000007</v>
      </c>
      <c r="AC112" s="5">
        <v>4.2895584627964016</v>
      </c>
      <c r="AD112" s="4">
        <f>AA112*P112/100</f>
        <v>1621.258212</v>
      </c>
      <c r="AE112" s="4">
        <v>16.212264922322159</v>
      </c>
      <c r="AF112" s="4">
        <v>0.81061324611610786</v>
      </c>
      <c r="AG112" s="4">
        <f>AD112-AE112-AF112</f>
        <v>1604.2353338315615</v>
      </c>
      <c r="AH112" s="4">
        <f>AD112-S112</f>
        <v>141.40466213400009</v>
      </c>
      <c r="AI112" s="4">
        <f>AG112-T112</f>
        <v>110.38178396556168</v>
      </c>
      <c r="AJ112" s="4">
        <f>AI112+O112+AC112</f>
        <v>199.23634242835809</v>
      </c>
      <c r="AK112">
        <f>A112-D112</f>
        <v>294</v>
      </c>
      <c r="AL112" s="18">
        <f>AJ112/T112</f>
        <v>0.13337073265731422</v>
      </c>
      <c r="AM112" s="18">
        <f>AJ112/T112*365/AK112</f>
        <v>0.16557931095210779</v>
      </c>
      <c r="AN112" s="18">
        <f>POWER((1+AL112),(365/AK112))-1</f>
        <v>0.16816084446088686</v>
      </c>
      <c r="AO112" s="21">
        <f>TitulosVendidos[[#This Row],[Comisión Santa Fe
Venta]]+TitulosVendidos[[#This Row],[Comisión Santa Fé
Compra]]</f>
        <v>26.212264922322159</v>
      </c>
      <c r="AP112" s="7"/>
    </row>
    <row r="113" spans="1:42" x14ac:dyDescent="0.25">
      <c r="A113" s="3">
        <v>46121</v>
      </c>
      <c r="B113" s="3" t="s">
        <v>42</v>
      </c>
      <c r="C113" t="s">
        <v>44</v>
      </c>
      <c r="D113" s="3">
        <v>45649</v>
      </c>
      <c r="E113" s="3">
        <v>45660</v>
      </c>
      <c r="F113" s="3">
        <v>45110</v>
      </c>
      <c r="G113" s="3">
        <v>47302</v>
      </c>
      <c r="H113" s="4">
        <v>5.36</v>
      </c>
      <c r="I113" s="4">
        <f>K113*12/T113*100</f>
        <v>7.1167314757507292</v>
      </c>
      <c r="J113" s="4">
        <v>13</v>
      </c>
      <c r="K113" s="4">
        <f>P113*H113/100/12</f>
        <v>43.371333333333332</v>
      </c>
      <c r="L113" s="4">
        <f>K113-V113</f>
        <v>14.461333333333332</v>
      </c>
      <c r="M113">
        <f>IF(E113="", 0, IF(A113&gt;E113,INT((A113-E113)/30),0))</f>
        <v>15</v>
      </c>
      <c r="N113" s="5"/>
      <c r="O113" s="4">
        <f>K113*M113+L113+IF(A113&gt;E113,N113,0)</f>
        <v>665.03133333333324</v>
      </c>
      <c r="P113" s="4">
        <v>9710</v>
      </c>
      <c r="Q113" s="24">
        <v>75.049149999999997</v>
      </c>
      <c r="R113" s="24">
        <v>75.315473377960856</v>
      </c>
      <c r="S113" s="4">
        <f>P113*Q113/100</f>
        <v>7287.272465</v>
      </c>
      <c r="T113" s="4">
        <f>P113*R113/100</f>
        <v>7313.1324649999988</v>
      </c>
      <c r="U113" s="4">
        <f>T113+V113</f>
        <v>7342.0424649999986</v>
      </c>
      <c r="V113" s="4">
        <v>28.91</v>
      </c>
      <c r="W113" s="4">
        <v>21.86</v>
      </c>
      <c r="X113" s="4">
        <v>4</v>
      </c>
      <c r="Y113" s="4">
        <f>W113+X113</f>
        <v>25.86</v>
      </c>
      <c r="Z113" s="6"/>
      <c r="AA113" s="24">
        <v>91.757549999999995</v>
      </c>
      <c r="AC113" s="5">
        <v>8.67</v>
      </c>
      <c r="AD113" s="4">
        <f>AA113*P113/100</f>
        <v>8909.6581049999986</v>
      </c>
      <c r="AE113" s="4">
        <v>89.1</v>
      </c>
      <c r="AF113" s="4">
        <v>4.45</v>
      </c>
      <c r="AG113" s="4">
        <f>AD113-AE113-AF113</f>
        <v>8816.1081049999975</v>
      </c>
      <c r="AH113" s="4">
        <f>AD113-S113</f>
        <v>1622.3856399999986</v>
      </c>
      <c r="AI113" s="4">
        <f>AG113-T113</f>
        <v>1502.9756399999987</v>
      </c>
      <c r="AJ113" s="4">
        <f>AI113+O113+AC113</f>
        <v>2176.6769733333322</v>
      </c>
      <c r="AK113">
        <f>A113-D113</f>
        <v>472</v>
      </c>
      <c r="AL113" s="18">
        <f>AJ113/T113</f>
        <v>0.29763948400370355</v>
      </c>
      <c r="AM113" s="18">
        <f>AJ113/T113*365/AK113</f>
        <v>0.23016612640116907</v>
      </c>
      <c r="AN113" s="18">
        <f>POWER((1+AL113),(365/AK113))-1</f>
        <v>0.22321445179995569</v>
      </c>
      <c r="AO113" s="21">
        <f>TitulosVendidos[[#This Row],[Comisión Santa Fe
Venta]]+TitulosVendidos[[#This Row],[Comisión Santa Fé
Compra]]</f>
        <v>110.96</v>
      </c>
      <c r="AP113" s="7"/>
    </row>
    <row r="114" spans="1:42" x14ac:dyDescent="0.25">
      <c r="A114" s="3">
        <v>46121</v>
      </c>
      <c r="B114" s="3" t="s">
        <v>42</v>
      </c>
      <c r="C114" t="s">
        <v>44</v>
      </c>
      <c r="D114" s="3">
        <v>45707</v>
      </c>
      <c r="E114" s="3">
        <v>45720</v>
      </c>
      <c r="F114" s="3">
        <v>45630</v>
      </c>
      <c r="G114" s="3">
        <v>48186</v>
      </c>
      <c r="H114" s="4">
        <v>5.64</v>
      </c>
      <c r="I114" s="4">
        <f>K114*12/T114*100</f>
        <v>7.4222859786356219</v>
      </c>
      <c r="J114" s="4">
        <v>11</v>
      </c>
      <c r="K114" s="4">
        <f>P114*H114/100/12</f>
        <v>31.160999999999998</v>
      </c>
      <c r="L114" s="4">
        <f>K114-V114</f>
        <v>15.580999999999998</v>
      </c>
      <c r="M114">
        <f>IF(E114="", 0, IF(A114&gt;E114,INT((A114-E114)/30),0))</f>
        <v>13</v>
      </c>
      <c r="N114" s="5"/>
      <c r="O114" s="4">
        <f>K114*M114+L114+IF(A114&gt;E114,N114,0)</f>
        <v>420.67399999999998</v>
      </c>
      <c r="P114" s="4">
        <v>6630</v>
      </c>
      <c r="Q114" s="24">
        <v>75.775455690000001</v>
      </c>
      <c r="R114" s="24">
        <v>75.987371225444946</v>
      </c>
      <c r="S114" s="4">
        <f>P114*Q114/100</f>
        <v>5023.9127122469999</v>
      </c>
      <c r="T114" s="4">
        <f>P114*R114/100</f>
        <v>5037.9627122470001</v>
      </c>
      <c r="U114" s="4">
        <f>T114+V114</f>
        <v>5053.5427122470001</v>
      </c>
      <c r="V114" s="4">
        <v>15.58</v>
      </c>
      <c r="W114" s="4">
        <v>10.050000000000001</v>
      </c>
      <c r="X114" s="4">
        <v>4</v>
      </c>
      <c r="Y114" s="4">
        <f>W114+X114</f>
        <v>14.05</v>
      </c>
      <c r="Z114" s="6"/>
      <c r="AA114" s="24">
        <v>86.210440000000006</v>
      </c>
      <c r="AC114" s="5">
        <v>5.195955555555555</v>
      </c>
      <c r="AD114" s="4">
        <f>AA114*P114/100</f>
        <v>5715.7521720000004</v>
      </c>
      <c r="AE114" s="4">
        <v>57.15551111111111</v>
      </c>
      <c r="AF114" s="4">
        <v>2.8582666666666672</v>
      </c>
      <c r="AG114" s="4">
        <f>AD114-AE114-AF114</f>
        <v>5655.7383942222223</v>
      </c>
      <c r="AH114" s="4">
        <f>AD114-S114</f>
        <v>691.83945975300048</v>
      </c>
      <c r="AI114" s="4">
        <f>AG114-T114</f>
        <v>617.77568197522214</v>
      </c>
      <c r="AJ114" s="4">
        <f>AI114+O114+AC114</f>
        <v>1043.6456375307778</v>
      </c>
      <c r="AK114">
        <f>A114-D114</f>
        <v>414</v>
      </c>
      <c r="AL114" s="18">
        <f>AJ114/T114</f>
        <v>0.20715628462150676</v>
      </c>
      <c r="AM114" s="18">
        <f>AJ114/T114*365/AK114</f>
        <v>0.18263778716630424</v>
      </c>
      <c r="AN114" s="18">
        <f>POWER((1+AL114),(365/AK114))-1</f>
        <v>0.18055487055467756</v>
      </c>
      <c r="AO114" s="21">
        <f>TitulosVendidos[[#This Row],[Comisión Santa Fe
Venta]]+TitulosVendidos[[#This Row],[Comisión Santa Fé
Compra]]</f>
        <v>67.205511111111107</v>
      </c>
      <c r="AP114" s="7"/>
    </row>
    <row r="115" spans="1:42" x14ac:dyDescent="0.25">
      <c r="A115" s="3">
        <v>46121</v>
      </c>
      <c r="B115" s="3" t="s">
        <v>42</v>
      </c>
      <c r="C115" t="s">
        <v>44</v>
      </c>
      <c r="D115" s="3">
        <v>45708</v>
      </c>
      <c r="E115" s="3">
        <v>45720</v>
      </c>
      <c r="F115" s="3">
        <v>45630</v>
      </c>
      <c r="G115" s="3">
        <v>48186</v>
      </c>
      <c r="H115" s="4">
        <v>5.64</v>
      </c>
      <c r="I115" s="4">
        <f>K115*12/T115*100</f>
        <v>7.6039315656211848</v>
      </c>
      <c r="J115" s="4">
        <v>11.5</v>
      </c>
      <c r="K115" s="4">
        <f>P115*H115/100/12</f>
        <v>32.288999999999994</v>
      </c>
      <c r="L115" s="4">
        <f>K115-V115</f>
        <v>15.068999999999996</v>
      </c>
      <c r="M115">
        <f>IF(E115="", 0, IF(A115&gt;E115,INT((A115-E115)/30),0))</f>
        <v>13</v>
      </c>
      <c r="N115" s="5"/>
      <c r="O115" s="4">
        <f>K115*M115+L115+IF(A115&gt;E115,N115,0)</f>
        <v>434.82599999999996</v>
      </c>
      <c r="P115" s="4">
        <v>6870</v>
      </c>
      <c r="Q115" s="24">
        <v>73.892243559999997</v>
      </c>
      <c r="R115" s="24">
        <v>74.172156223755451</v>
      </c>
      <c r="S115" s="4">
        <f>P115*Q115/100</f>
        <v>5076.3971325719995</v>
      </c>
      <c r="T115" s="4">
        <f>P115*R115/100</f>
        <v>5095.6271325719999</v>
      </c>
      <c r="U115" s="4">
        <f>T115+V115</f>
        <v>5112.8471325720002</v>
      </c>
      <c r="V115" s="4">
        <v>17.22</v>
      </c>
      <c r="W115" s="4">
        <v>15.23</v>
      </c>
      <c r="X115" s="4">
        <v>4</v>
      </c>
      <c r="Y115" s="4">
        <f>W115+X115</f>
        <v>19.23</v>
      </c>
      <c r="Z115" s="6"/>
      <c r="AA115" s="24">
        <v>86.210440000000006</v>
      </c>
      <c r="AC115" s="5">
        <v>5.3840444444444451</v>
      </c>
      <c r="AD115" s="4">
        <f>AA115*P115/100</f>
        <v>5922.657228</v>
      </c>
      <c r="AE115" s="4">
        <v>59.224488888888892</v>
      </c>
      <c r="AF115" s="4">
        <v>2.961733333333334</v>
      </c>
      <c r="AG115" s="4">
        <f>AD115-AE115-AF115</f>
        <v>5860.4710057777775</v>
      </c>
      <c r="AH115" s="4">
        <f>AD115-S115</f>
        <v>846.26009542800057</v>
      </c>
      <c r="AI115" s="4">
        <f>AG115-T115</f>
        <v>764.84387320577753</v>
      </c>
      <c r="AJ115" s="4">
        <f>AI115+O115+AC115</f>
        <v>1205.053917650222</v>
      </c>
      <c r="AK115">
        <f>A115-D115</f>
        <v>413</v>
      </c>
      <c r="AL115" s="18">
        <f>AJ115/T115</f>
        <v>0.23648785248577936</v>
      </c>
      <c r="AM115" s="18">
        <f>AJ115/T115*365/AK115</f>
        <v>0.20900258149469603</v>
      </c>
      <c r="AN115" s="18">
        <f>POWER((1+AL115),(365/AK115))-1</f>
        <v>0.2063554617256329</v>
      </c>
      <c r="AO115" s="21">
        <f>TitulosVendidos[[#This Row],[Comisión Santa Fe
Venta]]+TitulosVendidos[[#This Row],[Comisión Santa Fé
Compra]]</f>
        <v>74.454488888888889</v>
      </c>
      <c r="AP115" s="7"/>
    </row>
    <row r="116" spans="1:42" x14ac:dyDescent="0.25">
      <c r="A116" s="3">
        <v>46126</v>
      </c>
      <c r="B116" s="3" t="s">
        <v>42</v>
      </c>
      <c r="C116" t="s">
        <v>43</v>
      </c>
      <c r="D116" s="3">
        <v>46078</v>
      </c>
      <c r="E116" s="3">
        <v>46092</v>
      </c>
      <c r="F116" s="3">
        <v>45118</v>
      </c>
      <c r="G116" s="3">
        <v>48771</v>
      </c>
      <c r="H116" s="4">
        <v>6.5</v>
      </c>
      <c r="I116" s="4">
        <f>K116*12/T116*100</f>
        <v>7.9820037861132036</v>
      </c>
      <c r="J116" s="4">
        <v>11.25</v>
      </c>
      <c r="K116" s="4">
        <f>P116*H116/100/12</f>
        <v>140.5625</v>
      </c>
      <c r="L116" s="4">
        <f>K116-V116</f>
        <v>74.962500000000006</v>
      </c>
      <c r="M116">
        <f>IF(E116="", 0, IF(A116&gt;E116,INT((A116-E116)/30),0))</f>
        <v>1</v>
      </c>
      <c r="N116" s="5"/>
      <c r="O116" s="4">
        <f>K116*M116+L116+IF(A116&gt;E116,N116,0)</f>
        <v>215.52500000000001</v>
      </c>
      <c r="P116" s="4">
        <v>25950</v>
      </c>
      <c r="Q116" s="24">
        <v>81.189640850000004</v>
      </c>
      <c r="R116" s="24">
        <v>81.433186129383444</v>
      </c>
      <c r="S116" s="4">
        <f>P116*Q116/100</f>
        <v>21068.711800575002</v>
      </c>
      <c r="T116" s="4">
        <f>P116*R116/100</f>
        <v>21131.911800575006</v>
      </c>
      <c r="U116" s="4">
        <f>T116+V116</f>
        <v>21197.511800575005</v>
      </c>
      <c r="V116" s="4">
        <v>65.599999999999994</v>
      </c>
      <c r="W116" s="4">
        <v>52.67</v>
      </c>
      <c r="X116" s="4">
        <v>10.53</v>
      </c>
      <c r="Y116" s="4">
        <f>W116+X116</f>
        <v>63.2</v>
      </c>
      <c r="Z116" s="6"/>
      <c r="AA116" s="24">
        <v>88.388559999999998</v>
      </c>
      <c r="AC116" s="5">
        <v>14.06</v>
      </c>
      <c r="AD116" s="4">
        <f>AA116*P116/100</f>
        <v>22936.831319999998</v>
      </c>
      <c r="AE116" s="4">
        <v>229.37</v>
      </c>
      <c r="AF116" s="4">
        <v>11.47</v>
      </c>
      <c r="AG116" s="4">
        <f>AD116-AE116-AF116</f>
        <v>22695.991319999997</v>
      </c>
      <c r="AH116" s="4">
        <f>AD116-S116</f>
        <v>1868.1195194249958</v>
      </c>
      <c r="AI116" s="4">
        <f>AG116-T116</f>
        <v>1564.0795194249913</v>
      </c>
      <c r="AJ116" s="4">
        <f>AI116+O116+AC116</f>
        <v>1793.6645194249913</v>
      </c>
      <c r="AK116">
        <f>A116-D116</f>
        <v>48</v>
      </c>
      <c r="AL116" s="18">
        <f>AJ116/T116</f>
        <v>8.4879424841068335E-2</v>
      </c>
      <c r="AM116" s="18">
        <f>AJ116/T116*365/AK116</f>
        <v>0.64543729306229047</v>
      </c>
      <c r="AN116" s="18">
        <f>POWER((1+AL116),(365/AK116))-1</f>
        <v>0.85800387506468745</v>
      </c>
      <c r="AO116" s="21">
        <f>TitulosVendidos[[#This Row],[Comisión Santa Fe
Venta]]+TitulosVendidos[[#This Row],[Comisión Santa Fé
Compra]]</f>
        <v>282.04000000000002</v>
      </c>
      <c r="AP116" s="7"/>
    </row>
    <row r="117" spans="1:42" x14ac:dyDescent="0.25">
      <c r="A117" s="3">
        <v>46127</v>
      </c>
      <c r="B117" s="3" t="s">
        <v>42</v>
      </c>
      <c r="C117" t="s">
        <v>43</v>
      </c>
      <c r="D117" s="3">
        <v>45819</v>
      </c>
      <c r="E117" s="3">
        <v>45823</v>
      </c>
      <c r="F117" s="3">
        <v>45488</v>
      </c>
      <c r="G117" s="3">
        <v>46583</v>
      </c>
      <c r="H117" s="4">
        <v>4.3</v>
      </c>
      <c r="I117" s="4">
        <f>K117*12/T117*100</f>
        <v>4.640367533815235</v>
      </c>
      <c r="J117" s="4">
        <v>9</v>
      </c>
      <c r="K117" s="4">
        <f>P117*H117/100/12</f>
        <v>12.541666666666666</v>
      </c>
      <c r="L117" s="4">
        <f>K117-V117</f>
        <v>1.6716666666666669</v>
      </c>
      <c r="M117">
        <f>IF(E117="", 0, IF(A117&gt;E117,INT((A117-E117)/30),0))</f>
        <v>10</v>
      </c>
      <c r="N117" s="5"/>
      <c r="O117" s="4">
        <f>K117*M117+L117+IF(A117&gt;E117,N117,0)</f>
        <v>127.08833333333332</v>
      </c>
      <c r="P117" s="4">
        <v>3500</v>
      </c>
      <c r="Q117" s="24">
        <v>92.050788089999998</v>
      </c>
      <c r="R117" s="24">
        <v>92.665073804285711</v>
      </c>
      <c r="S117" s="4">
        <f>P117*Q117/100</f>
        <v>3221.7775831499998</v>
      </c>
      <c r="T117" s="4">
        <f>P117*R117/100</f>
        <v>3243.2775831499998</v>
      </c>
      <c r="U117" s="4">
        <f>T117+V117</f>
        <v>3254.1475831499997</v>
      </c>
      <c r="V117" s="4">
        <v>10.87</v>
      </c>
      <c r="W117" s="4">
        <v>17.5</v>
      </c>
      <c r="X117" s="4">
        <v>4</v>
      </c>
      <c r="Y117" s="4">
        <f>W117+X117</f>
        <v>21.5</v>
      </c>
      <c r="Z117" s="6"/>
      <c r="AA117" s="24">
        <v>95.997330000000005</v>
      </c>
      <c r="AC117" s="5">
        <v>0</v>
      </c>
      <c r="AD117" s="4">
        <f>AA117*P117/100</f>
        <v>3359.9065500000002</v>
      </c>
      <c r="AE117" s="4">
        <v>33.6</v>
      </c>
      <c r="AF117" s="4">
        <v>4</v>
      </c>
      <c r="AG117" s="4">
        <f>AD117-AE117-AF117</f>
        <v>3322.3065500000002</v>
      </c>
      <c r="AH117" s="4">
        <f>AD117-S117</f>
        <v>138.12896685000032</v>
      </c>
      <c r="AI117" s="4">
        <f>AG117-T117</f>
        <v>79.028966850000415</v>
      </c>
      <c r="AJ117" s="4">
        <f>AI117+O117+AC117</f>
        <v>206.11730018333373</v>
      </c>
      <c r="AK117">
        <f>A117-D117</f>
        <v>308</v>
      </c>
      <c r="AL117" s="18">
        <f>AJ117/T117</f>
        <v>6.3552161324145567E-2</v>
      </c>
      <c r="AM117" s="18">
        <f>AJ117/T117*365/AK117</f>
        <v>7.5313437932834848E-2</v>
      </c>
      <c r="AN117" s="18">
        <f>POWER((1+AL117),(365/AK117))-1</f>
        <v>7.5748896006265776E-2</v>
      </c>
      <c r="AO117" s="21">
        <f>TitulosVendidos[[#This Row],[Comisión Santa Fe
Venta]]+TitulosVendidos[[#This Row],[Comisión Santa Fé
Compra]]</f>
        <v>51.1</v>
      </c>
      <c r="AP117" s="7"/>
    </row>
    <row r="118" spans="1:42" x14ac:dyDescent="0.25">
      <c r="A118" s="3">
        <v>46132</v>
      </c>
      <c r="B118" s="3" t="s">
        <v>42</v>
      </c>
      <c r="C118" t="s">
        <v>43</v>
      </c>
      <c r="D118" s="3">
        <v>45877</v>
      </c>
      <c r="E118" s="3">
        <v>45906</v>
      </c>
      <c r="F118" s="3">
        <v>45875</v>
      </c>
      <c r="G118" s="3">
        <v>48797</v>
      </c>
      <c r="H118" s="4">
        <v>7.72</v>
      </c>
      <c r="I118" s="4">
        <f>K118*12/T118*100</f>
        <v>8.569430193227074</v>
      </c>
      <c r="J118" s="4">
        <v>9.75</v>
      </c>
      <c r="K118" s="4">
        <f>P118*H118/100/12</f>
        <v>141.70703333333333</v>
      </c>
      <c r="L118" s="4">
        <f>K118-V118</f>
        <v>132.25703333333334</v>
      </c>
      <c r="M118">
        <f>IF(E118="", 0, IF(A118&gt;E118,INT((A118-E118)/30),0))</f>
        <v>7</v>
      </c>
      <c r="N118" s="5"/>
      <c r="O118" s="4">
        <f>K118*M118+L118+IF(A118&gt;E118,N118,0)</f>
        <v>1124.2062666666666</v>
      </c>
      <c r="P118" s="4">
        <v>22027</v>
      </c>
      <c r="Q118" s="24">
        <v>89.768970300000007</v>
      </c>
      <c r="R118" s="24">
        <v>90.087670077545752</v>
      </c>
      <c r="S118" s="4">
        <f>P118*Q118/100</f>
        <v>19773.411087981003</v>
      </c>
      <c r="T118" s="4">
        <f>P118*R118/100</f>
        <v>19843.611087981004</v>
      </c>
      <c r="U118" s="4">
        <f>T118+V118</f>
        <v>19853.061087981005</v>
      </c>
      <c r="V118" s="4">
        <v>9.4499999999999993</v>
      </c>
      <c r="W118" s="4">
        <v>60.31</v>
      </c>
      <c r="X118" s="4">
        <v>9.89</v>
      </c>
      <c r="Y118" s="4">
        <f>W118+X118</f>
        <v>70.2</v>
      </c>
      <c r="Z118" s="6"/>
      <c r="AA118" s="24">
        <v>94.813910859999993</v>
      </c>
      <c r="AB118" s="24">
        <v>94.614099999999993</v>
      </c>
      <c r="AC118" s="5">
        <v>70.849999999999994</v>
      </c>
      <c r="AD118" s="4">
        <f>AA118*P118/100</f>
        <v>20884.660145132199</v>
      </c>
      <c r="AE118" s="4">
        <v>104.42</v>
      </c>
      <c r="AF118" s="4">
        <v>10.44</v>
      </c>
      <c r="AG118" s="4">
        <f>AD118-AE118-AF118</f>
        <v>20769.800145132202</v>
      </c>
      <c r="AH118" s="4">
        <f>AD118-S118</f>
        <v>1111.2490571511953</v>
      </c>
      <c r="AI118" s="4">
        <f>AG118-T118</f>
        <v>926.18905715119763</v>
      </c>
      <c r="AJ118" s="4">
        <f>AI118+O118+AC118</f>
        <v>2121.2453238178641</v>
      </c>
      <c r="AK118">
        <f>A118-D118</f>
        <v>255</v>
      </c>
      <c r="AL118" s="18">
        <f>AJ118/T118</f>
        <v>0.10689815046328299</v>
      </c>
      <c r="AM118" s="18">
        <f>AJ118/T118*365/AK118</f>
        <v>0.15301107811411097</v>
      </c>
      <c r="AN118" s="18">
        <f>POWER((1+AL118),(365/AK118))-1</f>
        <v>0.15647033299840141</v>
      </c>
      <c r="AO118" s="21">
        <f>TitulosVendidos[[#This Row],[Comisión Santa Fe
Venta]]+TitulosVendidos[[#This Row],[Comisión Santa Fé
Compra]]</f>
        <v>164.73000000000002</v>
      </c>
      <c r="AP118" s="7"/>
    </row>
    <row r="119" spans="1:42" x14ac:dyDescent="0.25">
      <c r="A119" s="3">
        <v>46132</v>
      </c>
      <c r="B119" s="3" t="s">
        <v>42</v>
      </c>
      <c r="C119" t="s">
        <v>44</v>
      </c>
      <c r="D119" s="3">
        <v>46122</v>
      </c>
      <c r="E119" s="3">
        <v>46130</v>
      </c>
      <c r="F119" s="3">
        <v>45614</v>
      </c>
      <c r="G119" s="3">
        <v>48901</v>
      </c>
      <c r="H119" s="4">
        <v>6.21</v>
      </c>
      <c r="I119" s="4">
        <f>K119*12/T119*100</f>
        <v>7.2688995726817129</v>
      </c>
      <c r="J119" s="4">
        <v>9.4499999999999993</v>
      </c>
      <c r="K119" s="4">
        <f>P119*H119/100/12</f>
        <v>441.94241250000005</v>
      </c>
      <c r="L119" s="4">
        <f>K119-V119</f>
        <v>73.652412500000025</v>
      </c>
      <c r="M119">
        <f>IF(E119="", 0, IF(A119&gt;E119,INT((A119-E119)/30),0))</f>
        <v>0</v>
      </c>
      <c r="N119" s="5"/>
      <c r="O119" s="4">
        <f>K119*M119+L119+IF(A119&gt;E119,N119,0)</f>
        <v>73.652412500000025</v>
      </c>
      <c r="P119" s="4">
        <v>85399.5</v>
      </c>
      <c r="Q119" s="24">
        <v>85.134499579999996</v>
      </c>
      <c r="R119" s="24">
        <v>85.432463853795511</v>
      </c>
      <c r="S119" s="4">
        <f>P119*Q119/100</f>
        <v>72704.43696882209</v>
      </c>
      <c r="T119" s="4">
        <f>P119*R119/100</f>
        <v>72958.896968822097</v>
      </c>
      <c r="U119" s="4">
        <f>T119+V119</f>
        <v>73327.18696882209</v>
      </c>
      <c r="V119" s="4">
        <v>368.29</v>
      </c>
      <c r="W119" s="4">
        <v>218.11</v>
      </c>
      <c r="X119" s="4">
        <v>36.35</v>
      </c>
      <c r="Y119" s="4">
        <f>W119+X119</f>
        <v>254.46</v>
      </c>
      <c r="Z119" s="6"/>
      <c r="AA119" s="24">
        <v>87.929015640000003</v>
      </c>
      <c r="AB119" s="24">
        <v>87.497200000000007</v>
      </c>
      <c r="AC119" s="5">
        <v>44.19388041349584</v>
      </c>
      <c r="AD119" s="4">
        <f>AA119*P119/100</f>
        <v>75090.939711481798</v>
      </c>
      <c r="AE119" s="4">
        <v>375.45324635374283</v>
      </c>
      <c r="AF119" s="4">
        <v>37.542269934810022</v>
      </c>
      <c r="AG119" s="4">
        <f>AD119-AE119-AF119</f>
        <v>74677.944195193239</v>
      </c>
      <c r="AH119" s="4">
        <f>AD119-S119</f>
        <v>2386.502742659708</v>
      </c>
      <c r="AI119" s="4">
        <f>AG119-T119</f>
        <v>1719.0472263711417</v>
      </c>
      <c r="AJ119" s="4">
        <f>AI119+O119+AC119</f>
        <v>1836.8935192846377</v>
      </c>
      <c r="AK119">
        <f>A119-D119</f>
        <v>10</v>
      </c>
      <c r="AL119" s="18">
        <f>AJ119/T119</f>
        <v>2.5177101019901754E-2</v>
      </c>
      <c r="AM119" s="18">
        <f>AJ119/T119*365/AK119</f>
        <v>0.91896418722641404</v>
      </c>
      <c r="AN119" s="18">
        <f>POWER((1+AL119),(365/AK119))-1</f>
        <v>1.4783334514639295</v>
      </c>
      <c r="AO119" s="21">
        <f>TitulosVendidos[[#This Row],[Comisión Santa Fe
Venta]]+TitulosVendidos[[#This Row],[Comisión Santa Fé
Compra]]</f>
        <v>593.5632463537429</v>
      </c>
      <c r="AP119" s="7"/>
    </row>
    <row r="120" spans="1:42" x14ac:dyDescent="0.25">
      <c r="A120" s="3">
        <v>46132</v>
      </c>
      <c r="B120" s="3" t="s">
        <v>42</v>
      </c>
      <c r="C120" t="s">
        <v>44</v>
      </c>
      <c r="D120" s="3">
        <v>46084</v>
      </c>
      <c r="E120" s="3">
        <v>46099</v>
      </c>
      <c r="F120" s="3">
        <v>45614</v>
      </c>
      <c r="G120" s="3">
        <v>48901</v>
      </c>
      <c r="H120" s="4">
        <v>6.21</v>
      </c>
      <c r="I120" s="4">
        <f>K120*12/T120*100</f>
        <v>7.7770988687746216</v>
      </c>
      <c r="J120" s="4">
        <v>10.75</v>
      </c>
      <c r="K120" s="4">
        <f>P120*H120/100/12</f>
        <v>96.513750000000002</v>
      </c>
      <c r="L120" s="4">
        <f>K120-V120</f>
        <v>48.253750000000004</v>
      </c>
      <c r="M120">
        <f>IF(E120="", 0, IF(A120&gt;E120,INT((A120-E120)/30),0))</f>
        <v>1</v>
      </c>
      <c r="N120" s="5"/>
      <c r="O120" s="4">
        <f>K120*M120+L120+IF(A120&gt;E120,N120,0)</f>
        <v>144.76750000000001</v>
      </c>
      <c r="P120" s="4">
        <v>18650</v>
      </c>
      <c r="Q120" s="24">
        <v>79.654331119999995</v>
      </c>
      <c r="R120" s="24">
        <v>79.849827098552268</v>
      </c>
      <c r="S120" s="4">
        <f>P120*Q120/100</f>
        <v>14855.532753879997</v>
      </c>
      <c r="T120" s="4">
        <f>P120*R120/100</f>
        <v>14891.992753879998</v>
      </c>
      <c r="U120" s="4">
        <f>T120+V120</f>
        <v>14940.252753879999</v>
      </c>
      <c r="V120" s="4">
        <v>48.26</v>
      </c>
      <c r="W120" s="4">
        <v>29.03</v>
      </c>
      <c r="X120" s="4">
        <v>7.43</v>
      </c>
      <c r="Y120" s="4">
        <f>W120+X120</f>
        <v>36.46</v>
      </c>
      <c r="Z120" s="6"/>
      <c r="AA120" s="24">
        <v>87.929015640000003</v>
      </c>
      <c r="AB120" s="24">
        <v>87.497200000000007</v>
      </c>
      <c r="AC120" s="5">
        <v>9.651296198592469</v>
      </c>
      <c r="AD120" s="4">
        <f>AA120*P120/100</f>
        <v>16398.761416860001</v>
      </c>
      <c r="AE120" s="4">
        <v>81.993489944288953</v>
      </c>
      <c r="AF120" s="4">
        <v>8.1986818925661957</v>
      </c>
      <c r="AG120" s="4">
        <f>AD120-AE120-AF120</f>
        <v>16308.569245023145</v>
      </c>
      <c r="AH120" s="4">
        <f>AD120-S120</f>
        <v>1543.2286629800037</v>
      </c>
      <c r="AI120" s="4">
        <f>AG120-T120</f>
        <v>1416.576491143147</v>
      </c>
      <c r="AJ120" s="4">
        <f>AI120+O120+AC120</f>
        <v>1570.9952873417394</v>
      </c>
      <c r="AK120">
        <f>A120-D120</f>
        <v>48</v>
      </c>
      <c r="AL120" s="18">
        <f>AJ120/T120</f>
        <v>0.10549261695903177</v>
      </c>
      <c r="AM120" s="18">
        <f>AJ120/T120*365/AK120</f>
        <v>0.80218344145930409</v>
      </c>
      <c r="AN120" s="18">
        <f>POWER((1+AL120),(365/AK120))-1</f>
        <v>1.1439068701879052</v>
      </c>
      <c r="AO120" s="21">
        <f>TitulosVendidos[[#This Row],[Comisión Santa Fe
Venta]]+TitulosVendidos[[#This Row],[Comisión Santa Fé
Compra]]</f>
        <v>111.02348994428895</v>
      </c>
      <c r="AP120" s="7"/>
    </row>
    <row r="121" spans="1:42" x14ac:dyDescent="0.25">
      <c r="A121" s="3">
        <v>46132</v>
      </c>
      <c r="B121" s="3" t="s">
        <v>42</v>
      </c>
      <c r="C121" t="s">
        <v>44</v>
      </c>
      <c r="D121" s="3">
        <v>46083</v>
      </c>
      <c r="E121" s="3">
        <v>46099</v>
      </c>
      <c r="F121" s="3">
        <v>45614</v>
      </c>
      <c r="G121" s="3">
        <v>48901</v>
      </c>
      <c r="H121" s="4">
        <v>6.21</v>
      </c>
      <c r="I121" s="4">
        <f>K121*12/T121*100</f>
        <v>7.7723687092540921</v>
      </c>
      <c r="J121" s="4">
        <v>10.75</v>
      </c>
      <c r="K121" s="4">
        <f>P121*H121/100/12</f>
        <v>40.248562499999998</v>
      </c>
      <c r="L121" s="4">
        <f>K121-V121</f>
        <v>21.468562499999997</v>
      </c>
      <c r="M121">
        <f>IF(E121="", 0, IF(A121&gt;E121,INT((A121-E121)/30),0))</f>
        <v>1</v>
      </c>
      <c r="N121" s="5"/>
      <c r="O121" s="4">
        <f>K121*M121+L121+IF(A121&gt;E121,N121,0)</f>
        <v>61.717124999999996</v>
      </c>
      <c r="P121" s="4">
        <v>7777.5</v>
      </c>
      <c r="Q121" s="24">
        <v>79.647827969999994</v>
      </c>
      <c r="R121" s="24">
        <v>79.898422634095141</v>
      </c>
      <c r="S121" s="4">
        <f>P121*Q121/100</f>
        <v>6194.6098203667498</v>
      </c>
      <c r="T121" s="4">
        <f>P121*R121/100</f>
        <v>6214.0998203667496</v>
      </c>
      <c r="U121" s="4">
        <f>T121+V121</f>
        <v>6232.8798203667493</v>
      </c>
      <c r="V121" s="4">
        <v>18.78</v>
      </c>
      <c r="W121" s="4">
        <v>15.49</v>
      </c>
      <c r="X121" s="4">
        <v>4</v>
      </c>
      <c r="Y121" s="4">
        <f>W121+X121</f>
        <v>19.490000000000002</v>
      </c>
      <c r="Z121" s="6"/>
      <c r="AA121" s="24">
        <v>87.929015640000003</v>
      </c>
      <c r="AB121" s="24">
        <v>87.497200000000007</v>
      </c>
      <c r="AC121" s="5">
        <v>4.0248233879116846</v>
      </c>
      <c r="AD121" s="4">
        <f>AA121*P121/100</f>
        <v>6838.679191401</v>
      </c>
      <c r="AE121" s="4">
        <v>34.19326370196822</v>
      </c>
      <c r="AF121" s="4">
        <v>3.4190481726237851</v>
      </c>
      <c r="AG121" s="4">
        <f>AD121-AE121-AF121</f>
        <v>6801.0668795264082</v>
      </c>
      <c r="AH121" s="4">
        <f>AD121-S121</f>
        <v>644.06937103425025</v>
      </c>
      <c r="AI121" s="4">
        <f>AG121-T121</f>
        <v>586.96705915965867</v>
      </c>
      <c r="AJ121" s="4">
        <f>AI121+O121+AC121</f>
        <v>652.70900754757042</v>
      </c>
      <c r="AK121">
        <f>A121-D121</f>
        <v>49</v>
      </c>
      <c r="AL121" s="18">
        <f>AJ121/T121</f>
        <v>0.10503677546477652</v>
      </c>
      <c r="AM121" s="18">
        <f>AJ121/T121*365/AK121</f>
        <v>0.78241679682945775</v>
      </c>
      <c r="AN121" s="18">
        <f>POWER((1+AL121),(365/AK121))-1</f>
        <v>1.1043229314406111</v>
      </c>
      <c r="AO121" s="21">
        <f>TitulosVendidos[[#This Row],[Comisión Santa Fe
Venta]]+TitulosVendidos[[#This Row],[Comisión Santa Fé
Compra]]</f>
        <v>49.683263701968222</v>
      </c>
      <c r="AP121" s="7"/>
    </row>
    <row r="122" spans="1:42" x14ac:dyDescent="0.25">
      <c r="A122" s="3">
        <v>46132</v>
      </c>
      <c r="B122" s="3" t="s">
        <v>42</v>
      </c>
      <c r="C122" t="s">
        <v>43</v>
      </c>
      <c r="D122" s="3">
        <v>45784</v>
      </c>
      <c r="E122" s="3">
        <v>45795</v>
      </c>
      <c r="F122" s="3">
        <v>45614</v>
      </c>
      <c r="G122" s="3">
        <v>48901</v>
      </c>
      <c r="H122" s="4">
        <v>6.21</v>
      </c>
      <c r="I122" s="4">
        <f>K122*12/T122*100</f>
        <v>8.134763338031771</v>
      </c>
      <c r="J122" s="4">
        <v>11.25</v>
      </c>
      <c r="K122" s="4">
        <f>P122*H122/100/12</f>
        <v>29.756249999999998</v>
      </c>
      <c r="L122" s="4">
        <f>K122-V122</f>
        <v>10.906249999999996</v>
      </c>
      <c r="M122">
        <f>IF(E122="", 0, IF(A122&gt;E122,INT((A122-E122)/30),0))</f>
        <v>11</v>
      </c>
      <c r="N122" s="5"/>
      <c r="O122" s="4">
        <f>K122*M122+L122+IF(A122&gt;E122,N122,0)</f>
        <v>338.22499999999997</v>
      </c>
      <c r="P122" s="4">
        <v>5750</v>
      </c>
      <c r="Q122" s="24">
        <v>75.747732720000002</v>
      </c>
      <c r="R122" s="24">
        <v>76.339037067826084</v>
      </c>
      <c r="S122" s="4">
        <f>P122*Q122/100</f>
        <v>4355.4946313999999</v>
      </c>
      <c r="T122" s="4">
        <f>P122*R122/100</f>
        <v>4389.4946313999999</v>
      </c>
      <c r="U122" s="4">
        <f>T122+V122</f>
        <v>4408.3446314000003</v>
      </c>
      <c r="V122" s="4">
        <v>18.850000000000001</v>
      </c>
      <c r="W122" s="4">
        <v>30</v>
      </c>
      <c r="X122" s="4">
        <v>4</v>
      </c>
      <c r="Y122" s="4">
        <f>W122+X122</f>
        <v>34</v>
      </c>
      <c r="Z122" s="6"/>
      <c r="AA122" s="24">
        <v>87.929015640000003</v>
      </c>
      <c r="AB122" s="24">
        <v>87.497200000000007</v>
      </c>
      <c r="AC122" s="5">
        <v>2.975750827379295</v>
      </c>
      <c r="AD122" s="4">
        <f>AA122*P122/100</f>
        <v>5055.9183993000006</v>
      </c>
      <c r="AE122" s="4">
        <v>25.279298506077762</v>
      </c>
      <c r="AF122" s="4">
        <v>2.5282855463796361</v>
      </c>
      <c r="AG122" s="4">
        <f>AD122-AE122-AF122</f>
        <v>5028.1108152475435</v>
      </c>
      <c r="AH122" s="4">
        <f>AD122-S122</f>
        <v>700.42376790000071</v>
      </c>
      <c r="AI122" s="4">
        <f>AG122-T122</f>
        <v>638.61618384754365</v>
      </c>
      <c r="AJ122" s="4">
        <f>AI122+O122+AC122</f>
        <v>979.81693467492289</v>
      </c>
      <c r="AK122">
        <f>A122-D122</f>
        <v>348</v>
      </c>
      <c r="AL122" s="18">
        <f>AJ122/T122</f>
        <v>0.22321862012675861</v>
      </c>
      <c r="AM122" s="18">
        <f>AJ122/T122*365/AK122</f>
        <v>0.23412297800651408</v>
      </c>
      <c r="AN122" s="18">
        <f>POWER((1+AL122),(365/AK122))-1</f>
        <v>0.23531782511904109</v>
      </c>
      <c r="AO122" s="21">
        <f>TitulosVendidos[[#This Row],[Comisión Santa Fe
Venta]]+TitulosVendidos[[#This Row],[Comisión Santa Fé
Compra]]</f>
        <v>55.279298506077765</v>
      </c>
      <c r="AP122" s="7"/>
    </row>
    <row r="123" spans="1:42" x14ac:dyDescent="0.25">
      <c r="A123" s="3">
        <v>46132</v>
      </c>
      <c r="B123" s="3" t="s">
        <v>42</v>
      </c>
      <c r="C123" t="s">
        <v>43</v>
      </c>
      <c r="D123" s="3">
        <v>46084</v>
      </c>
      <c r="E123" s="3">
        <v>46099</v>
      </c>
      <c r="F123" s="3">
        <v>45614</v>
      </c>
      <c r="G123" s="3">
        <v>48901</v>
      </c>
      <c r="H123" s="4">
        <v>6.21</v>
      </c>
      <c r="I123" s="4">
        <f>K123*12/T123*100</f>
        <v>7.7728646023083838</v>
      </c>
      <c r="J123" s="4">
        <v>10.75</v>
      </c>
      <c r="K123" s="4">
        <f>P123*H123/100/12</f>
        <v>146.11612500000001</v>
      </c>
      <c r="L123" s="4">
        <f>K123-V123</f>
        <v>73.056125000000009</v>
      </c>
      <c r="M123">
        <f>IF(E123="", 0, IF(A123&gt;E123,INT((A123-E123)/30),0))</f>
        <v>1</v>
      </c>
      <c r="N123" s="5"/>
      <c r="O123" s="4">
        <f>K123*M123+L123+IF(A123&gt;E123,N123,0)</f>
        <v>219.17225000000002</v>
      </c>
      <c r="P123" s="4">
        <v>28235</v>
      </c>
      <c r="Q123" s="24">
        <v>79.654331119999995</v>
      </c>
      <c r="R123" s="24">
        <v>79.893325276189117</v>
      </c>
      <c r="S123" s="4">
        <f>P123*Q123/100</f>
        <v>22490.400391731997</v>
      </c>
      <c r="T123" s="4">
        <f>P123*R123/100</f>
        <v>22557.880391731996</v>
      </c>
      <c r="U123" s="4">
        <f>T123+V123</f>
        <v>22630.940391731998</v>
      </c>
      <c r="V123" s="4">
        <v>73.06</v>
      </c>
      <c r="W123" s="4">
        <v>56.23</v>
      </c>
      <c r="X123" s="4">
        <v>11.25</v>
      </c>
      <c r="Y123" s="4">
        <f>W123+X123</f>
        <v>67.47999999999999</v>
      </c>
      <c r="Z123" s="6"/>
      <c r="AA123" s="24">
        <v>87.929015640000003</v>
      </c>
      <c r="AB123" s="24">
        <v>87.497200000000007</v>
      </c>
      <c r="AC123" s="5">
        <v>14.612230367139899</v>
      </c>
      <c r="AD123" s="4">
        <f>AA123*P123/100</f>
        <v>24826.757565954002</v>
      </c>
      <c r="AE123" s="4">
        <v>124.1323466641923</v>
      </c>
      <c r="AF123" s="4">
        <v>12.41498128730939</v>
      </c>
      <c r="AG123" s="4">
        <f>AD123-AE123-AF123</f>
        <v>24690.210238002499</v>
      </c>
      <c r="AH123" s="4">
        <f>AD123-S123</f>
        <v>2336.3571742220047</v>
      </c>
      <c r="AI123" s="4">
        <f>AG123-T123</f>
        <v>2132.3298462705025</v>
      </c>
      <c r="AJ123" s="4">
        <f>AI123+O123+AC123</f>
        <v>2366.1143266376425</v>
      </c>
      <c r="AK123">
        <f>A123-D123</f>
        <v>48</v>
      </c>
      <c r="AL123" s="18">
        <f>AJ123/T123</f>
        <v>0.10489080913403903</v>
      </c>
      <c r="AM123" s="18">
        <f>AJ123/T123*365/AK123</f>
        <v>0.79760719445675521</v>
      </c>
      <c r="AN123" s="18">
        <f>POWER((1+AL123),(365/AK123))-1</f>
        <v>1.1350479877795374</v>
      </c>
      <c r="AO123" s="21">
        <f>TitulosVendidos[[#This Row],[Comisión Santa Fe
Venta]]+TitulosVendidos[[#This Row],[Comisión Santa Fé
Compra]]</f>
        <v>180.3623466641923</v>
      </c>
      <c r="AP123" s="7"/>
    </row>
    <row r="124" spans="1:42" x14ac:dyDescent="0.25">
      <c r="A124" s="3">
        <v>46132</v>
      </c>
      <c r="B124" s="3" t="s">
        <v>42</v>
      </c>
      <c r="C124" t="s">
        <v>43</v>
      </c>
      <c r="D124" s="3">
        <v>46122</v>
      </c>
      <c r="E124" s="3">
        <v>46130</v>
      </c>
      <c r="F124" s="3">
        <v>45614</v>
      </c>
      <c r="G124" s="3">
        <v>48901</v>
      </c>
      <c r="H124" s="4">
        <v>6.21</v>
      </c>
      <c r="I124" s="4">
        <f>K124*12/T124*100</f>
        <v>7.2953080592769792</v>
      </c>
      <c r="J124" s="4">
        <v>9.5</v>
      </c>
      <c r="K124" s="4">
        <f>P124*H124/100/12</f>
        <v>235.86356250000003</v>
      </c>
      <c r="L124" s="4">
        <f>K124-V124</f>
        <v>62.89356250000003</v>
      </c>
      <c r="M124">
        <f>IF(E124="", 0, IF(A124&gt;E124,INT((A124-E124)/30),0))</f>
        <v>0</v>
      </c>
      <c r="N124" s="5"/>
      <c r="O124" s="4">
        <f>K124*M124+L124+IF(A124&gt;E124,N124,0)</f>
        <v>62.89356250000003</v>
      </c>
      <c r="P124" s="4">
        <v>45577.5</v>
      </c>
      <c r="Q124" s="24">
        <v>84.910906789999999</v>
      </c>
      <c r="R124" s="24">
        <v>85.123204524627823</v>
      </c>
      <c r="S124" s="4">
        <f>P124*Q124/100</f>
        <v>38700.268542212245</v>
      </c>
      <c r="T124" s="4">
        <f>P124*R124/100</f>
        <v>38797.028542212247</v>
      </c>
      <c r="U124" s="4">
        <f>T124+V124</f>
        <v>38969.998542212248</v>
      </c>
      <c r="V124" s="4">
        <v>172.97</v>
      </c>
      <c r="W124" s="4">
        <v>77.41</v>
      </c>
      <c r="X124" s="4">
        <v>19.350000000000001</v>
      </c>
      <c r="Y124" s="4">
        <f>W124+X124</f>
        <v>96.759999999999991</v>
      </c>
      <c r="Z124" s="6"/>
      <c r="AA124" s="24">
        <v>87.929015640000003</v>
      </c>
      <c r="AB124" s="24">
        <v>87.497200000000007</v>
      </c>
      <c r="AC124" s="5">
        <v>23.587353623457361</v>
      </c>
      <c r="AD124" s="4">
        <f>AA124*P124/100</f>
        <v>40075.847103321001</v>
      </c>
      <c r="AE124" s="4">
        <v>200.37690915839289</v>
      </c>
      <c r="AF124" s="4">
        <v>20.04051034610745</v>
      </c>
      <c r="AG124" s="4">
        <f>AD124-AE124-AF124</f>
        <v>39855.429683816496</v>
      </c>
      <c r="AH124" s="4">
        <f>AD124-S124</f>
        <v>1375.5785611087558</v>
      </c>
      <c r="AI124" s="4">
        <f>AG124-T124</f>
        <v>1058.4011416042486</v>
      </c>
      <c r="AJ124" s="4">
        <f>AI124+O124+AC124</f>
        <v>1144.8820577277058</v>
      </c>
      <c r="AK124">
        <f>A124-D124</f>
        <v>10</v>
      </c>
      <c r="AL124" s="18">
        <f>AJ124/T124</f>
        <v>2.9509529485796632E-2</v>
      </c>
      <c r="AM124" s="18">
        <f>AJ124/T124*365/AK124</f>
        <v>1.0770978262315771</v>
      </c>
      <c r="AN124" s="18">
        <f>POWER((1+AL124),(365/AK124))-1</f>
        <v>1.8907367228665244</v>
      </c>
      <c r="AO124" s="21">
        <f>TitulosVendidos[[#This Row],[Comisión Santa Fe
Venta]]+TitulosVendidos[[#This Row],[Comisión Santa Fé
Compra]]</f>
        <v>277.78690915839286</v>
      </c>
      <c r="AP124" s="7"/>
    </row>
    <row r="125" spans="1:42" x14ac:dyDescent="0.25">
      <c r="A125" s="3">
        <v>46132</v>
      </c>
      <c r="B125" s="3" t="s">
        <v>42</v>
      </c>
      <c r="C125" t="s">
        <v>43</v>
      </c>
      <c r="D125" s="3">
        <v>46037</v>
      </c>
      <c r="E125" s="3">
        <v>46040</v>
      </c>
      <c r="F125" s="3">
        <v>45614</v>
      </c>
      <c r="G125" s="3">
        <v>48901</v>
      </c>
      <c r="H125" s="4">
        <v>6.21</v>
      </c>
      <c r="I125" s="4">
        <f>K125*12/T125*100</f>
        <v>7.8298775121437219</v>
      </c>
      <c r="J125" s="4">
        <v>11</v>
      </c>
      <c r="K125" s="4">
        <f>P125*H125/100/12</f>
        <v>6.5463750000000003</v>
      </c>
      <c r="L125" s="4">
        <f>K125-V125</f>
        <v>0.6563750000000006</v>
      </c>
      <c r="M125">
        <f>IF(E125="", 0, IF(A125&gt;E125,INT((A125-E125)/30),0))</f>
        <v>3</v>
      </c>
      <c r="N125" s="5"/>
      <c r="O125" s="4">
        <f>K125*M125+L125+IF(A125&gt;E125,N125,0)</f>
        <v>20.295500000000001</v>
      </c>
      <c r="P125" s="4">
        <v>1265</v>
      </c>
      <c r="Q125" s="24">
        <v>78.362968929999994</v>
      </c>
      <c r="R125" s="24">
        <v>79.311585530790509</v>
      </c>
      <c r="S125" s="4">
        <f>P125*Q125/100</f>
        <v>991.29155696449993</v>
      </c>
      <c r="T125" s="4">
        <f>P125*R125/100</f>
        <v>1003.2915569644999</v>
      </c>
      <c r="U125" s="4">
        <f>T125+V125</f>
        <v>1009.1815569644999</v>
      </c>
      <c r="V125" s="4">
        <v>5.89</v>
      </c>
      <c r="W125" s="4">
        <v>8</v>
      </c>
      <c r="X125" s="4">
        <v>4</v>
      </c>
      <c r="Y125" s="4">
        <f>W125+X125</f>
        <v>12</v>
      </c>
      <c r="Z125" s="6"/>
      <c r="AA125" s="24">
        <v>87.929015640000003</v>
      </c>
      <c r="AB125" s="24">
        <v>87.497200000000007</v>
      </c>
      <c r="AC125" s="5">
        <v>0.65466518202344492</v>
      </c>
      <c r="AD125" s="4">
        <f>AA125*P125/100</f>
        <v>1112.3020478460001</v>
      </c>
      <c r="AE125" s="4">
        <v>5.5614456713371068</v>
      </c>
      <c r="AF125" s="4">
        <v>0.55622282020351987</v>
      </c>
      <c r="AG125" s="4">
        <f>AD125-AE125-AF125</f>
        <v>1106.1843793544592</v>
      </c>
      <c r="AH125" s="4">
        <f>AD125-S125</f>
        <v>121.01049088150012</v>
      </c>
      <c r="AI125" s="4">
        <f>AG125-T125</f>
        <v>102.89282238995929</v>
      </c>
      <c r="AJ125" s="4">
        <f>AI125+O125+AC125</f>
        <v>123.84298757198275</v>
      </c>
      <c r="AK125">
        <f>A125-D125</f>
        <v>95</v>
      </c>
      <c r="AL125" s="18">
        <f>AJ125/T125</f>
        <v>0.12343668867968433</v>
      </c>
      <c r="AM125" s="18">
        <f>AJ125/T125*365/AK125</f>
        <v>0.47425675124299765</v>
      </c>
      <c r="AN125" s="18">
        <f>POWER((1+AL125),(365/AK125))-1</f>
        <v>0.56391466724163508</v>
      </c>
      <c r="AO125" s="21">
        <f>TitulosVendidos[[#This Row],[Comisión Santa Fe
Venta]]+TitulosVendidos[[#This Row],[Comisión Santa Fé
Compra]]</f>
        <v>13.561445671337108</v>
      </c>
      <c r="AP125" s="7"/>
    </row>
    <row r="126" spans="1:42" x14ac:dyDescent="0.25">
      <c r="A126" s="3">
        <v>46132</v>
      </c>
      <c r="B126" s="3" t="s">
        <v>42</v>
      </c>
      <c r="C126" t="s">
        <v>43</v>
      </c>
      <c r="D126" s="3">
        <v>46121</v>
      </c>
      <c r="E126" s="3">
        <v>46147</v>
      </c>
      <c r="F126" s="3">
        <v>45905</v>
      </c>
      <c r="G126" s="3">
        <v>48827</v>
      </c>
      <c r="H126" s="4">
        <v>7.72</v>
      </c>
      <c r="I126" s="4">
        <f>K126*12/T126*100</f>
        <v>8.6164285030133954</v>
      </c>
      <c r="J126" s="4">
        <v>10</v>
      </c>
      <c r="K126" s="4">
        <f>P126*H126/100/12</f>
        <v>341.60999999999996</v>
      </c>
      <c r="L126" s="4">
        <f>K126-V126</f>
        <v>307.44999999999993</v>
      </c>
      <c r="M126">
        <f>IF(E126="", 0, IF(A126&gt;E126,INT((A126-E126)/30),0))</f>
        <v>0</v>
      </c>
      <c r="N126" s="5"/>
      <c r="O126" s="4">
        <f>K126*M126+L126+IF(A126&gt;E126,N126,0)</f>
        <v>307.44999999999993</v>
      </c>
      <c r="P126" s="4">
        <v>53100</v>
      </c>
      <c r="Q126" s="24">
        <v>89.283800999999997</v>
      </c>
      <c r="R126" s="24">
        <v>89.596286875706198</v>
      </c>
      <c r="S126" s="4">
        <f>P126*Q126/100</f>
        <v>47409.698330999992</v>
      </c>
      <c r="T126" s="4">
        <f>P126*R126/100</f>
        <v>47575.628330999993</v>
      </c>
      <c r="U126" s="4">
        <f>T126+V126</f>
        <v>47609.788330999996</v>
      </c>
      <c r="V126" s="4">
        <v>34.159999999999997</v>
      </c>
      <c r="W126" s="4">
        <v>142.22999999999999</v>
      </c>
      <c r="X126" s="4">
        <v>23.7</v>
      </c>
      <c r="Y126" s="4">
        <f>W126+X126</f>
        <v>165.92999999999998</v>
      </c>
      <c r="Z126" s="6"/>
      <c r="AA126" s="24">
        <v>94.764032549999996</v>
      </c>
      <c r="AB126" s="24">
        <v>94.585899999999995</v>
      </c>
      <c r="AC126" s="5">
        <v>182.19</v>
      </c>
      <c r="AD126" s="4">
        <f>AA126*P126/100</f>
        <v>50319.701284050003</v>
      </c>
      <c r="AE126" s="4">
        <v>251.6</v>
      </c>
      <c r="AF126" s="4">
        <v>25.16</v>
      </c>
      <c r="AG126" s="4">
        <f>AD126-AE126-AF126</f>
        <v>50042.941284050001</v>
      </c>
      <c r="AH126" s="4">
        <f>AD126-S126</f>
        <v>2910.0029530500105</v>
      </c>
      <c r="AI126" s="4">
        <f>AG126-T126</f>
        <v>2467.3129530500082</v>
      </c>
      <c r="AJ126" s="4">
        <f>AI126+O126+AC126</f>
        <v>2956.9529530500081</v>
      </c>
      <c r="AK126">
        <f>A126-D126</f>
        <v>11</v>
      </c>
      <c r="AL126" s="18">
        <f>AJ126/T126</f>
        <v>6.2152683144350095E-2</v>
      </c>
      <c r="AM126" s="18">
        <f>AJ126/T126*365/AK126</f>
        <v>2.0623390316079804</v>
      </c>
      <c r="AN126" s="18">
        <f>POWER((1+AL126),(365/AK126))-1</f>
        <v>6.3948714927210935</v>
      </c>
      <c r="AO126" s="21">
        <f>TitulosVendidos[[#This Row],[Comisión Santa Fe
Venta]]+TitulosVendidos[[#This Row],[Comisión Santa Fé
Compra]]</f>
        <v>393.83</v>
      </c>
      <c r="AP126" s="7"/>
    </row>
    <row r="127" spans="1:42" x14ac:dyDescent="0.25">
      <c r="A127" s="3">
        <v>46147</v>
      </c>
      <c r="B127" s="3" t="s">
        <v>47</v>
      </c>
      <c r="C127" t="s">
        <v>43</v>
      </c>
      <c r="D127" s="3">
        <v>46127</v>
      </c>
      <c r="E127" s="3"/>
      <c r="F127" s="3"/>
      <c r="G127" s="3"/>
      <c r="I127" s="4">
        <f>K127*12/T127*100</f>
        <v>0</v>
      </c>
      <c r="K127" s="4">
        <f>P127*H127/100/12</f>
        <v>0</v>
      </c>
      <c r="L127" s="4">
        <f>K127-V127</f>
        <v>0</v>
      </c>
      <c r="M127">
        <f>IF(E127="", 0, IF(A127&gt;E127,INT((A127-E127)/30),0))</f>
        <v>0</v>
      </c>
      <c r="N127" s="5"/>
      <c r="O127" s="4">
        <f>K127*M127+L127+IF(A127&gt;E127,N127,0)</f>
        <v>0</v>
      </c>
      <c r="P127" s="4">
        <v>39002.030000000013</v>
      </c>
      <c r="S127" s="4">
        <f>P127*Q127/100</f>
        <v>0</v>
      </c>
      <c r="T127" s="4">
        <v>37658.860782480609</v>
      </c>
      <c r="U127" s="4">
        <f>T127+V127</f>
        <v>37658.860782480609</v>
      </c>
      <c r="W127" s="4">
        <v>144.01</v>
      </c>
      <c r="X127" s="4">
        <v>6.4056499999999987</v>
      </c>
      <c r="Y127" s="4">
        <f>W127+X127</f>
        <v>150.41565</v>
      </c>
      <c r="Z127" s="6" t="s">
        <v>48</v>
      </c>
      <c r="AA127" s="24">
        <v>98.15</v>
      </c>
      <c r="AB127" s="24">
        <v>98.002200000000002</v>
      </c>
      <c r="AC127" s="5">
        <v>0</v>
      </c>
      <c r="AD127" s="4">
        <f>AA127*P127/100</f>
        <v>38280.492445000011</v>
      </c>
      <c r="AE127" s="4">
        <v>50.002516999999997</v>
      </c>
      <c r="AF127" s="4">
        <v>7.66</v>
      </c>
      <c r="AG127" s="4">
        <f>AD127-AE127-AF127</f>
        <v>38222.829928000006</v>
      </c>
      <c r="AH127" s="4">
        <f>AD127-S127</f>
        <v>38280.492445000011</v>
      </c>
      <c r="AI127" s="4">
        <f>AG127-T127</f>
        <v>563.96914551939699</v>
      </c>
      <c r="AJ127" s="4">
        <f>AI127+O127+AC127</f>
        <v>563.96914551939699</v>
      </c>
      <c r="AK127">
        <f>A127-D127</f>
        <v>20</v>
      </c>
      <c r="AL127" s="18">
        <f>AJ127/T127</f>
        <v>1.4975735691446161E-2</v>
      </c>
      <c r="AM127" s="18">
        <f>AJ127/T127*365/AK127</f>
        <v>0.27330717636889246</v>
      </c>
      <c r="AN127" s="18">
        <f>POWER((1+AL127),(365/AK127))-1</f>
        <v>0.31164345057583898</v>
      </c>
      <c r="AO127" s="21">
        <f>TitulosVendidos[[#This Row],[Comisión Santa Fe
Venta]]+TitulosVendidos[[#This Row],[Comisión Santa Fé
Compra]]</f>
        <v>194.012517</v>
      </c>
      <c r="AP127" s="7">
        <v>3668365</v>
      </c>
    </row>
    <row r="128" spans="1:42" x14ac:dyDescent="0.25">
      <c r="A128" s="3">
        <v>46150</v>
      </c>
      <c r="B128" s="3" t="s">
        <v>49</v>
      </c>
      <c r="C128" t="s">
        <v>43</v>
      </c>
      <c r="D128" s="3">
        <v>46093</v>
      </c>
      <c r="E128" s="3"/>
      <c r="F128" s="3"/>
      <c r="G128" s="3"/>
      <c r="I128" s="4">
        <f>K128*12/T128*100</f>
        <v>0</v>
      </c>
      <c r="K128" s="4">
        <f>P128*H128/100/12</f>
        <v>0</v>
      </c>
      <c r="L128" s="4">
        <f>K128-V128</f>
        <v>0</v>
      </c>
      <c r="M128">
        <f>IF(E128="", 0, IF(A128&gt;E128,INT((A128-E128)/30),0))</f>
        <v>0</v>
      </c>
      <c r="N128" s="5"/>
      <c r="O128" s="4">
        <f>K128*M128+L128+IF(A128&gt;E128,N128,0)</f>
        <v>0</v>
      </c>
      <c r="S128" s="4">
        <f>P128*Q128/100</f>
        <v>0</v>
      </c>
      <c r="T128" s="4">
        <v>6210</v>
      </c>
      <c r="U128" s="4">
        <f>T128+V128</f>
        <v>6210</v>
      </c>
      <c r="Y128" s="4">
        <f>W128+X128</f>
        <v>0</v>
      </c>
      <c r="Z128" s="6"/>
      <c r="AC128" s="5"/>
      <c r="AD128" s="4">
        <f>AA128*P128/100</f>
        <v>0</v>
      </c>
      <c r="AG128" s="4">
        <f>AD128-AE128-AF128</f>
        <v>0</v>
      </c>
      <c r="AH128" s="4">
        <f>AD128-S128</f>
        <v>0</v>
      </c>
      <c r="AI128" s="4">
        <v>261.04000000000002</v>
      </c>
      <c r="AJ128" s="4">
        <f>AI128+O128+AC128</f>
        <v>261.04000000000002</v>
      </c>
      <c r="AK128">
        <f>A128-D128</f>
        <v>57</v>
      </c>
      <c r="AL128" s="18">
        <f>AJ128/T128</f>
        <v>4.2035426731078906E-2</v>
      </c>
      <c r="AM128" s="18">
        <f>AJ128/T128*365/AK128</f>
        <v>0.26917422380427719</v>
      </c>
      <c r="AN128" s="18">
        <f>POWER((1+AL128),(365/AK128))-1</f>
        <v>0.30169921940260847</v>
      </c>
      <c r="AO128" s="21">
        <f>TitulosVendidos[[#This Row],[Comisión Santa Fe
Venta]]+TitulosVendidos[[#This Row],[Comisión Santa Fé
Compra]]</f>
        <v>0</v>
      </c>
      <c r="AP128" s="8" t="s">
        <v>50</v>
      </c>
    </row>
    <row r="129" spans="1:42" x14ac:dyDescent="0.25">
      <c r="A129" s="3">
        <v>46154</v>
      </c>
      <c r="B129" s="3" t="s">
        <v>42</v>
      </c>
      <c r="C129" t="s">
        <v>44</v>
      </c>
      <c r="D129" s="3">
        <v>46125</v>
      </c>
      <c r="E129" s="3">
        <v>46154</v>
      </c>
      <c r="F129" s="3">
        <v>45455</v>
      </c>
      <c r="G129" s="3">
        <v>47281</v>
      </c>
      <c r="H129" s="4">
        <v>5.07</v>
      </c>
      <c r="I129" s="4">
        <f>K129*12/T129*100</f>
        <v>5.580983706169464</v>
      </c>
      <c r="J129" s="4">
        <v>8.6999999999999993</v>
      </c>
      <c r="K129" s="4">
        <f>P129*H129/100/12</f>
        <v>67.600000000000009</v>
      </c>
      <c r="L129" s="4">
        <f>K129-V129</f>
        <v>65.350000000000009</v>
      </c>
      <c r="M129">
        <f>IF(E129="", 0, IF(A129&gt;E129,INT((A129-E129)/30),0))</f>
        <v>0</v>
      </c>
      <c r="N129" s="5"/>
      <c r="O129" s="4">
        <f>K129*M129+L129+IF(A129&gt;E129,N129,0)</f>
        <v>65.350000000000009</v>
      </c>
      <c r="P129" s="4">
        <v>16000</v>
      </c>
      <c r="Q129" s="24">
        <v>90.694040220000005</v>
      </c>
      <c r="R129" s="24">
        <v>90.844200000000001</v>
      </c>
      <c r="S129" s="4">
        <f>P129*Q129/100</f>
        <v>14511.046435200002</v>
      </c>
      <c r="T129" s="4">
        <f>P129*R129/100</f>
        <v>14535.072</v>
      </c>
      <c r="U129" s="4">
        <f>T129+V129</f>
        <v>14537.322</v>
      </c>
      <c r="V129" s="4">
        <v>2.25</v>
      </c>
      <c r="W129" s="4">
        <v>14.51</v>
      </c>
      <c r="X129" s="4">
        <v>7.26</v>
      </c>
      <c r="Y129" s="4">
        <f>W129+X129</f>
        <v>21.77</v>
      </c>
      <c r="Z129" s="6">
        <v>365442</v>
      </c>
      <c r="AA129" s="24">
        <v>91.996437999999998</v>
      </c>
      <c r="AB129" s="24">
        <v>91.766437499999995</v>
      </c>
      <c r="AC129" s="5"/>
      <c r="AD129" s="4">
        <f>AA129*P129/100</f>
        <v>14719.430079999998</v>
      </c>
      <c r="AE129" s="4">
        <v>29.44</v>
      </c>
      <c r="AF129" s="4">
        <v>7.3599999999999959</v>
      </c>
      <c r="AG129" s="4">
        <f>AD129-AE129-AF129</f>
        <v>14682.630079999997</v>
      </c>
      <c r="AH129" s="4">
        <f>AD129-S129</f>
        <v>208.38364479999655</v>
      </c>
      <c r="AI129" s="4">
        <f>AG129-T129</f>
        <v>147.55807999999706</v>
      </c>
      <c r="AJ129" s="4">
        <f>AI129+O129+AC129</f>
        <v>212.90807999999708</v>
      </c>
      <c r="AK129">
        <f>A129-D129</f>
        <v>29</v>
      </c>
      <c r="AL129" s="18">
        <f>AJ129/T129</f>
        <v>1.4647886161141623E-2</v>
      </c>
      <c r="AM129" s="18">
        <f>AJ129/T129*365/AK129</f>
        <v>0.18436132582126527</v>
      </c>
      <c r="AN129" s="18">
        <f>POWER((1+AL129),(365/AK129))-1</f>
        <v>0.20084336768250433</v>
      </c>
      <c r="AO129" s="21">
        <f>TitulosVendidos[[#This Row],[Comisión Santa Fe
Venta]]+TitulosVendidos[[#This Row],[Comisión Santa Fé
Compra]]</f>
        <v>43.95</v>
      </c>
      <c r="AP129" s="7" t="s">
        <v>51</v>
      </c>
    </row>
    <row r="130" spans="1:42" x14ac:dyDescent="0.25">
      <c r="A130" s="3">
        <v>46156</v>
      </c>
      <c r="B130" s="3" t="s">
        <v>52</v>
      </c>
      <c r="C130" t="s">
        <v>43</v>
      </c>
      <c r="D130" s="3">
        <v>46139</v>
      </c>
      <c r="E130" s="3"/>
      <c r="F130" s="3">
        <v>46136</v>
      </c>
      <c r="G130" s="3">
        <v>46486</v>
      </c>
      <c r="I130" s="4">
        <f>K130*12/T130*100</f>
        <v>0</v>
      </c>
      <c r="J130" s="4">
        <v>9.0142344199999993</v>
      </c>
      <c r="K130" s="4">
        <f>P130*H130/100/12</f>
        <v>0</v>
      </c>
      <c r="L130" s="4">
        <f>K130-V130</f>
        <v>0</v>
      </c>
      <c r="M130">
        <f>IF(E130="", 0, IF(A130&gt;E130,INT((A130-E130)/30),0))</f>
        <v>0</v>
      </c>
      <c r="N130" s="5">
        <v>2108.7465933333328</v>
      </c>
      <c r="O130" s="4">
        <f>K130*M130+L130+IF(A130&gt;E130,N130,0)</f>
        <v>2108.7465933333328</v>
      </c>
      <c r="P130" s="4">
        <v>26900</v>
      </c>
      <c r="Q130" s="24">
        <v>92.017483319999997</v>
      </c>
      <c r="R130" s="24">
        <v>92.160799999999995</v>
      </c>
      <c r="S130" s="4">
        <f>P130*Q130/100</f>
        <v>24752.703013080001</v>
      </c>
      <c r="T130" s="4">
        <f>P130*R130/100</f>
        <v>24791.2552</v>
      </c>
      <c r="U130" s="4">
        <f>T130+V130</f>
        <v>24791.2552</v>
      </c>
      <c r="W130" s="4">
        <v>23.858506666666671</v>
      </c>
      <c r="X130" s="4">
        <v>14.69280510666667</v>
      </c>
      <c r="Y130" s="4">
        <f>W130+X130</f>
        <v>38.551311773333339</v>
      </c>
      <c r="Z130" s="6">
        <v>366433</v>
      </c>
      <c r="AA130" s="24">
        <v>92.574734809999995</v>
      </c>
      <c r="AB130" s="24">
        <v>92.4285</v>
      </c>
      <c r="AC130" s="5"/>
      <c r="AD130" s="4">
        <f>AA130*P130/100</f>
        <v>24902.603663889997</v>
      </c>
      <c r="AE130" s="4">
        <v>22.83</v>
      </c>
      <c r="AF130" s="4">
        <v>16.5</v>
      </c>
      <c r="AG130" s="4">
        <f>AD130-AE130-AF130</f>
        <v>24863.273663889995</v>
      </c>
      <c r="AH130" s="4">
        <f>AD130-S130</f>
        <v>149.90065080999557</v>
      </c>
      <c r="AI130" s="4">
        <f>AG130-T130</f>
        <v>72.018463889995473</v>
      </c>
      <c r="AJ130" s="4">
        <f>AI130+O130+AC130</f>
        <v>2180.7650572233283</v>
      </c>
      <c r="AK130">
        <f>A130-D130</f>
        <v>17</v>
      </c>
      <c r="AL130" s="18">
        <f>AJ130/T130</f>
        <v>8.7965092514691562E-2</v>
      </c>
      <c r="AM130" s="18">
        <f>AJ130/T130*365/AK130</f>
        <v>1.8886622804624953</v>
      </c>
      <c r="AN130" s="18">
        <f>POWER((1+AL130),(365/AK130))-1</f>
        <v>5.1114569252754549</v>
      </c>
      <c r="AO130" s="21">
        <f>TitulosVendidos[[#This Row],[Comisión Santa Fe
Venta]]+TitulosVendidos[[#This Row],[Comisión Santa Fé
Compra]]</f>
        <v>46.688506666666669</v>
      </c>
      <c r="AP130" s="7">
        <v>367383</v>
      </c>
    </row>
    <row r="131" spans="1:42" x14ac:dyDescent="0.25">
      <c r="A131" s="3">
        <v>46161</v>
      </c>
      <c r="B131" s="3" t="s">
        <v>47</v>
      </c>
      <c r="C131" t="s">
        <v>45</v>
      </c>
      <c r="D131" s="3">
        <v>46148</v>
      </c>
      <c r="E131" s="3"/>
      <c r="F131" s="3"/>
      <c r="G131" s="3"/>
      <c r="I131" s="4">
        <f>K131*12/T131*100</f>
        <v>0</v>
      </c>
      <c r="K131" s="4">
        <f>P131*H131/100/12</f>
        <v>0</v>
      </c>
      <c r="L131" s="4">
        <f>K131-V131</f>
        <v>0</v>
      </c>
      <c r="M131">
        <f>IF(E131="", 0, IF(A131&gt;E131,INT((A131-E131)/30),0))</f>
        <v>0</v>
      </c>
      <c r="N131" s="5"/>
      <c r="O131" s="4">
        <f>K131*M131+L131+IF(A131&gt;E131,N131,0)</f>
        <v>0</v>
      </c>
      <c r="P131" s="4">
        <v>33341.44000000001</v>
      </c>
      <c r="S131" s="4">
        <f>P131*Q131/100</f>
        <v>0</v>
      </c>
      <c r="T131" s="4">
        <v>32350.706353394278</v>
      </c>
      <c r="U131" s="4">
        <f>T131+V131</f>
        <v>32350.706353394278</v>
      </c>
      <c r="W131" s="4">
        <v>96.560000000000016</v>
      </c>
      <c r="X131" s="4">
        <v>6.4099999999999984</v>
      </c>
      <c r="Y131" s="4">
        <f>W131+X131</f>
        <v>102.97000000000001</v>
      </c>
      <c r="Z131" s="6" t="s">
        <v>53</v>
      </c>
      <c r="AA131" s="24">
        <v>97.75</v>
      </c>
      <c r="AB131" s="24">
        <v>97.632800000000003</v>
      </c>
      <c r="AC131" s="5">
        <v>0</v>
      </c>
      <c r="AD131" s="4">
        <f>AA131*P131/100</f>
        <v>32591.257600000008</v>
      </c>
      <c r="AE131" s="4">
        <v>32.56</v>
      </c>
      <c r="AF131" s="4">
        <v>6.52</v>
      </c>
      <c r="AG131" s="4">
        <f>AD131-AE131-AF131</f>
        <v>32552.177600000006</v>
      </c>
      <c r="AH131" s="4">
        <f>AD131-S131</f>
        <v>32591.257600000008</v>
      </c>
      <c r="AI131" s="4">
        <f>AG131-T131</f>
        <v>201.47124660572808</v>
      </c>
      <c r="AJ131" s="4">
        <f>AI131+O131+AC131</f>
        <v>201.47124660572808</v>
      </c>
      <c r="AK131">
        <f>A131-D131</f>
        <v>13</v>
      </c>
      <c r="AL131" s="18">
        <f>AJ131/T131</f>
        <v>6.2277232652940039E-3</v>
      </c>
      <c r="AM131" s="18">
        <f>AJ131/T131*365/AK131</f>
        <v>0.17485530706402397</v>
      </c>
      <c r="AN131" s="18">
        <f>POWER((1+AL131),(365/AK131))-1</f>
        <v>0.1904282089928564</v>
      </c>
      <c r="AO131" s="21">
        <f>TitulosVendidos[[#This Row],[Comisión Santa Fe
Venta]]+TitulosVendidos[[#This Row],[Comisión Santa Fé
Compra]]</f>
        <v>129.12</v>
      </c>
      <c r="AP131" s="7">
        <v>3676471</v>
      </c>
    </row>
    <row r="132" spans="1:42" x14ac:dyDescent="0.25">
      <c r="A132" s="3">
        <v>46161</v>
      </c>
      <c r="B132" s="3" t="s">
        <v>52</v>
      </c>
      <c r="C132" t="s">
        <v>43</v>
      </c>
      <c r="D132" s="3">
        <v>46139</v>
      </c>
      <c r="E132" s="3"/>
      <c r="F132" s="3">
        <v>46136</v>
      </c>
      <c r="G132" s="3">
        <v>46486</v>
      </c>
      <c r="I132" s="4">
        <f>K132*12/T132*100</f>
        <v>0</v>
      </c>
      <c r="K132" s="4">
        <f>P132*H132/100/12</f>
        <v>0</v>
      </c>
      <c r="L132" s="4">
        <f>K132-V132</f>
        <v>0</v>
      </c>
      <c r="M132">
        <f>IF(E132="", 0, IF(A132&gt;E132,INT((A132-E132)/30),0))</f>
        <v>0</v>
      </c>
      <c r="N132" s="5">
        <v>839.97099433333324</v>
      </c>
      <c r="O132" s="4">
        <f>K132*M132+L132+IF(A132&gt;E132,N132,0)</f>
        <v>839.97099433333324</v>
      </c>
      <c r="P132" s="4">
        <v>10715</v>
      </c>
      <c r="Q132" s="24">
        <v>92.017483319999997</v>
      </c>
      <c r="R132" s="24">
        <v>92.160799999999995</v>
      </c>
      <c r="S132" s="4">
        <f>P132*Q132/100</f>
        <v>9859.6733377379987</v>
      </c>
      <c r="T132" s="4">
        <f>P132*R132/100</f>
        <v>9875.0297199999986</v>
      </c>
      <c r="U132" s="4">
        <f>T132+V132</f>
        <v>9875.0297199999986</v>
      </c>
      <c r="W132" s="4">
        <v>9.556932361476342</v>
      </c>
      <c r="X132" s="4">
        <v>5.8854540464994543</v>
      </c>
      <c r="Y132" s="4">
        <f>W132+X132</f>
        <v>15.442386407975796</v>
      </c>
      <c r="Z132" s="6">
        <v>366433</v>
      </c>
      <c r="AA132" s="24">
        <v>92.679002409999995</v>
      </c>
      <c r="AB132" s="24">
        <v>92.558000000000007</v>
      </c>
      <c r="AC132" s="5"/>
      <c r="AD132" s="4">
        <f>AA132*P132/100</f>
        <v>9930.5551082314996</v>
      </c>
      <c r="AE132" s="4">
        <v>8.9700000000000006</v>
      </c>
      <c r="AF132" s="4">
        <v>4</v>
      </c>
      <c r="AG132" s="4">
        <f>AD132-AE132-AF132</f>
        <v>9917.5851082315003</v>
      </c>
      <c r="AH132" s="4">
        <f>AD132-S132</f>
        <v>70.881770493500881</v>
      </c>
      <c r="AI132" s="4">
        <f>AG132-T132</f>
        <v>42.555388231501638</v>
      </c>
      <c r="AJ132" s="4">
        <f>AI132+O132+AC132</f>
        <v>882.52638256483488</v>
      </c>
      <c r="AK132">
        <f>A132-D132</f>
        <v>22</v>
      </c>
      <c r="AL132" s="18">
        <f>AJ132/T132</f>
        <v>8.9369491291499126E-2</v>
      </c>
      <c r="AM132" s="18">
        <f>AJ132/T132*365/AK132</f>
        <v>1.4827211055180536</v>
      </c>
      <c r="AN132" s="18">
        <f>POWER((1+AL132),(365/AK132))-1</f>
        <v>3.1378095894696951</v>
      </c>
      <c r="AO132" s="21">
        <f>TitulosVendidos[[#This Row],[Comisión Santa Fe
Venta]]+TitulosVendidos[[#This Row],[Comisión Santa Fé
Compra]]</f>
        <v>18.526932361476341</v>
      </c>
      <c r="AP132" s="7">
        <v>367634</v>
      </c>
    </row>
    <row r="133" spans="1:42" x14ac:dyDescent="0.25">
      <c r="A133" s="3">
        <v>46161</v>
      </c>
      <c r="B133" s="3" t="s">
        <v>52</v>
      </c>
      <c r="C133" t="s">
        <v>43</v>
      </c>
      <c r="D133" s="3">
        <v>46139</v>
      </c>
      <c r="E133" s="3"/>
      <c r="F133" s="3">
        <v>46136</v>
      </c>
      <c r="G133" s="3">
        <v>46486</v>
      </c>
      <c r="I133" s="4">
        <f>K133*12/T133*100</f>
        <v>0</v>
      </c>
      <c r="K133" s="4">
        <f>P133*H133/100/12</f>
        <v>0</v>
      </c>
      <c r="L133" s="4">
        <f>K133-V133</f>
        <v>0</v>
      </c>
      <c r="M133">
        <f>IF(E133="", 0, IF(A133&gt;E133,INT((A133-E133)/30),0))</f>
        <v>0</v>
      </c>
      <c r="N133" s="5">
        <v>3370.858866666666</v>
      </c>
      <c r="O133" s="4">
        <f>K133*M133+L133+IF(A133&gt;E133,N133,0)</f>
        <v>3370.858866666666</v>
      </c>
      <c r="P133" s="4">
        <v>43000</v>
      </c>
      <c r="Q133" s="24">
        <v>92.017483319999997</v>
      </c>
      <c r="R133" s="24">
        <v>92.160799999999995</v>
      </c>
      <c r="S133" s="4">
        <f>P133*Q133/100</f>
        <v>39567.517827600001</v>
      </c>
      <c r="T133" s="4">
        <f>P133*R133/100</f>
        <v>39629.144</v>
      </c>
      <c r="U133" s="4">
        <f>T133+V133</f>
        <v>39629.144</v>
      </c>
      <c r="W133" s="4">
        <v>38.352578481131417</v>
      </c>
      <c r="X133" s="4">
        <v>23.618702076969971</v>
      </c>
      <c r="Y133" s="4">
        <f>W133+X133</f>
        <v>61.971280558101384</v>
      </c>
      <c r="Z133" s="6">
        <v>366433</v>
      </c>
      <c r="AA133" s="24">
        <v>92.679002409999995</v>
      </c>
      <c r="AB133" s="24">
        <v>92.548500000000004</v>
      </c>
      <c r="AC133" s="5"/>
      <c r="AD133" s="4">
        <f>AA133*P133/100</f>
        <v>39851.971036299998</v>
      </c>
      <c r="AE133" s="4">
        <v>39.85</v>
      </c>
      <c r="AF133" s="4">
        <v>16.25</v>
      </c>
      <c r="AG133" s="4">
        <f>AD133-AE133-AF133</f>
        <v>39795.871036299999</v>
      </c>
      <c r="AH133" s="4">
        <f>AD133-S133</f>
        <v>284.45320869999705</v>
      </c>
      <c r="AI133" s="4">
        <f>AG133-T133</f>
        <v>166.72703629999887</v>
      </c>
      <c r="AJ133" s="4">
        <f>AI133+O133+AC133</f>
        <v>3537.5859029666649</v>
      </c>
      <c r="AK133">
        <f>A133-D133</f>
        <v>22</v>
      </c>
      <c r="AL133" s="18">
        <f>AJ133/T133</f>
        <v>8.926728023614805E-2</v>
      </c>
      <c r="AM133" s="18">
        <f>AJ133/T133*365/AK133</f>
        <v>1.4810253311906381</v>
      </c>
      <c r="AN133" s="18">
        <f>POWER((1+AL133),(365/AK133))-1</f>
        <v>3.1313731494173798</v>
      </c>
      <c r="AO133" s="21">
        <f>TitulosVendidos[[#This Row],[Comisión Santa Fe
Venta]]+TitulosVendidos[[#This Row],[Comisión Santa Fé
Compra]]</f>
        <v>78.202578481131411</v>
      </c>
      <c r="AP133" s="7">
        <v>367638</v>
      </c>
    </row>
    <row r="134" spans="1:42" x14ac:dyDescent="0.25">
      <c r="A134" s="3">
        <v>46162</v>
      </c>
      <c r="B134" s="3" t="s">
        <v>52</v>
      </c>
      <c r="C134" t="s">
        <v>43</v>
      </c>
      <c r="D134" s="3">
        <v>46139</v>
      </c>
      <c r="E134" s="3"/>
      <c r="F134" s="3">
        <v>46136</v>
      </c>
      <c r="G134" s="3">
        <v>46486</v>
      </c>
      <c r="I134" s="4">
        <f>K134*12/T134*100</f>
        <v>0</v>
      </c>
      <c r="K134" s="4">
        <f>P134*H134/100/12</f>
        <v>0</v>
      </c>
      <c r="L134" s="4">
        <f>K134-V134</f>
        <v>0</v>
      </c>
      <c r="M134">
        <f>IF(E134="", 0, IF(A134&gt;E134,INT((A134-E134)/30),0))</f>
        <v>0</v>
      </c>
      <c r="N134" s="5">
        <v>1998.6871499999979</v>
      </c>
      <c r="O134" s="4">
        <f>K134*M134+L134+IF(A134&gt;E134,N134,0)</f>
        <v>1998.6871499999979</v>
      </c>
      <c r="P134" s="4">
        <v>26850</v>
      </c>
      <c r="Q134" s="24">
        <v>92.017483319999997</v>
      </c>
      <c r="R134" s="24">
        <v>92.160799999999995</v>
      </c>
      <c r="S134" s="4">
        <f>P134*Q134/100</f>
        <v>24706.694271419998</v>
      </c>
      <c r="T134" s="4">
        <f>P134*R134/100</f>
        <v>24745.174800000001</v>
      </c>
      <c r="U134" s="4">
        <f>T134+V134</f>
        <v>24745.174800000001</v>
      </c>
      <c r="V134" s="4">
        <v>0</v>
      </c>
      <c r="W134" s="4">
        <v>23.814160000000001</v>
      </c>
      <c r="X134" s="4">
        <v>14.66549506</v>
      </c>
      <c r="Y134" s="4">
        <f>W134+X134</f>
        <v>38.479655059999999</v>
      </c>
      <c r="Z134" s="6">
        <v>366433</v>
      </c>
      <c r="AA134" s="24">
        <v>92.699884130000001</v>
      </c>
      <c r="AB134" s="24">
        <v>92.556100000000001</v>
      </c>
      <c r="AC134" s="5"/>
      <c r="AD134" s="4">
        <f>AA134*P134/100</f>
        <v>24889.918888905002</v>
      </c>
      <c r="AE134" s="4">
        <v>22.4</v>
      </c>
      <c r="AF134" s="4">
        <v>16.2</v>
      </c>
      <c r="AG134" s="4">
        <f>AD134-AE134-AF134</f>
        <v>24851.318888905</v>
      </c>
      <c r="AH134" s="4">
        <f>AD134-S134</f>
        <v>183.22461748500427</v>
      </c>
      <c r="AI134" s="4">
        <f>AG134-T134</f>
        <v>106.14408890499908</v>
      </c>
      <c r="AJ134" s="4">
        <f>AI134+O134+AC134</f>
        <v>2104.831238904997</v>
      </c>
      <c r="AK134">
        <f>A134-D134</f>
        <v>23</v>
      </c>
      <c r="AL134" s="18">
        <f>AJ134/T134</f>
        <v>8.5060269564351462E-2</v>
      </c>
      <c r="AM134" s="18">
        <f>AJ134/T134*365/AK134</f>
        <v>1.34986949526036</v>
      </c>
      <c r="AN134" s="18">
        <f>POWER((1+AL134),(365/AK134))-1</f>
        <v>2.6528965269322189</v>
      </c>
      <c r="AO134" s="21">
        <f>TitulosVendidos[[#This Row],[Comisión Santa Fe
Venta]]+TitulosVendidos[[#This Row],[Comisión Santa Fé
Compra]]</f>
        <v>46.21416</v>
      </c>
      <c r="AP134" s="7">
        <v>367684</v>
      </c>
    </row>
    <row r="135" spans="1:42" x14ac:dyDescent="0.25">
      <c r="A135" s="3">
        <v>46169</v>
      </c>
      <c r="B135" s="3" t="s">
        <v>47</v>
      </c>
      <c r="C135" t="s">
        <v>45</v>
      </c>
      <c r="D135" s="3">
        <v>46161</v>
      </c>
      <c r="E135" s="3"/>
      <c r="F135" s="3"/>
      <c r="G135" s="3"/>
      <c r="I135" s="4">
        <f>K135*12/T135*100</f>
        <v>0</v>
      </c>
      <c r="K135" s="4">
        <f>P135*H135/100/12</f>
        <v>0</v>
      </c>
      <c r="L135" s="4">
        <f>K135-V135</f>
        <v>0</v>
      </c>
      <c r="M135">
        <f>IF(E135="", 0, IF(A135&gt;E135,INT((A135-E135)/30),0))</f>
        <v>0</v>
      </c>
      <c r="N135" s="5"/>
      <c r="O135" s="4">
        <f>K135*M135+L135+IF(A135&gt;E135,N135,0)</f>
        <v>0</v>
      </c>
      <c r="P135" s="4">
        <v>28905.75</v>
      </c>
      <c r="S135" s="4">
        <f>P135*Q135/100</f>
        <v>0</v>
      </c>
      <c r="T135" s="4">
        <v>28047.469443193499</v>
      </c>
      <c r="U135" s="4">
        <f>T135+V135</f>
        <v>28047.469443193499</v>
      </c>
      <c r="W135" s="4">
        <v>67.11999999999999</v>
      </c>
      <c r="X135" s="4">
        <v>5.29</v>
      </c>
      <c r="Y135" s="4">
        <f>W135+X135</f>
        <v>72.41</v>
      </c>
      <c r="Z135" s="6" t="s">
        <v>54</v>
      </c>
      <c r="AA135" s="24">
        <v>98</v>
      </c>
      <c r="AB135" s="24">
        <v>97.882400000000004</v>
      </c>
      <c r="AC135" s="5">
        <v>0</v>
      </c>
      <c r="AD135" s="4">
        <f>AA135*P135/100</f>
        <v>28327.634999999998</v>
      </c>
      <c r="AE135" s="4">
        <v>28.33</v>
      </c>
      <c r="AF135" s="4">
        <v>5.6700000000000017</v>
      </c>
      <c r="AG135" s="4">
        <f>AD135-AE135-AF135</f>
        <v>28293.634999999998</v>
      </c>
      <c r="AH135" s="4">
        <f>AD135-S135</f>
        <v>28327.634999999998</v>
      </c>
      <c r="AI135" s="4">
        <f>AG135-T135</f>
        <v>246.16555680649981</v>
      </c>
      <c r="AJ135" s="4">
        <f>AI135+O135+AC135</f>
        <v>246.16555680649981</v>
      </c>
      <c r="AK135">
        <f>A135-D135</f>
        <v>8</v>
      </c>
      <c r="AL135" s="19">
        <f>AJ135/T135</f>
        <v>8.7767474818031665E-3</v>
      </c>
      <c r="AM135" s="19">
        <f>AJ135/T135*365/AK135</f>
        <v>0.4004391038572695</v>
      </c>
      <c r="AN135" s="19">
        <f>POWER((1+AL135),(365/AK135))-1</f>
        <v>0.48987472957564826</v>
      </c>
      <c r="AO135" s="22">
        <f>TitulosVendidos[[#This Row],[Comisión Santa Fe
Venta]]+TitulosVendidos[[#This Row],[Comisión Santa Fé
Compra]]</f>
        <v>95.449999999999989</v>
      </c>
      <c r="AP135" s="7">
        <v>368144</v>
      </c>
    </row>
    <row r="136" spans="1:42" x14ac:dyDescent="0.25">
      <c r="A136" s="3">
        <v>46174</v>
      </c>
      <c r="B136" s="3" t="s">
        <v>47</v>
      </c>
      <c r="C136" t="s">
        <v>45</v>
      </c>
      <c r="D136" s="3">
        <v>46169</v>
      </c>
      <c r="E136" s="3"/>
      <c r="F136" s="3"/>
      <c r="G136" s="3"/>
      <c r="I136" s="4">
        <f>K136*12/T136*100</f>
        <v>0</v>
      </c>
      <c r="K136" s="4">
        <f>P136*H136/100/12</f>
        <v>0</v>
      </c>
      <c r="L136" s="12">
        <f>K136-V136</f>
        <v>0</v>
      </c>
      <c r="M136">
        <f>IF(E136="", 0, IF(A136&gt;E136,INT((A136-E136)/30),0))</f>
        <v>0</v>
      </c>
      <c r="N136" s="5"/>
      <c r="O136" s="4">
        <f>K136*M136+L136+IF(A136&gt;E136,N136,0)</f>
        <v>0</v>
      </c>
      <c r="P136" s="4">
        <v>40942.449999999997</v>
      </c>
      <c r="S136" s="4">
        <f>P136*Q136/100</f>
        <v>0</v>
      </c>
      <c r="T136" s="4">
        <v>39823</v>
      </c>
      <c r="U136" s="4">
        <f>T136+V136</f>
        <v>39823</v>
      </c>
      <c r="W136" s="4">
        <v>80.48</v>
      </c>
      <c r="X136" s="4">
        <v>7.88</v>
      </c>
      <c r="Y136" s="4">
        <f>W136+X136</f>
        <v>88.36</v>
      </c>
      <c r="Z136" s="6"/>
      <c r="AA136" s="24">
        <v>98</v>
      </c>
      <c r="AB136" s="24">
        <v>97.882400000000004</v>
      </c>
      <c r="AC136" s="5"/>
      <c r="AD136" s="4">
        <f>AA136*P136/100</f>
        <v>40123.600999999995</v>
      </c>
      <c r="AE136" s="4">
        <v>40.119999999999997</v>
      </c>
      <c r="AF136" s="4">
        <v>8.02</v>
      </c>
      <c r="AG136" s="4">
        <f>AD136-AE136-AF136</f>
        <v>40075.460999999996</v>
      </c>
      <c r="AH136" s="4">
        <f>AD136-S136</f>
        <v>40123.600999999995</v>
      </c>
      <c r="AI136" s="4">
        <f>AG136-T136</f>
        <v>252.46099999999569</v>
      </c>
      <c r="AJ136" s="4">
        <f>AI136+O136+AC136</f>
        <v>252.46099999999569</v>
      </c>
      <c r="AK136">
        <f>A136-D136</f>
        <v>5</v>
      </c>
      <c r="AL136" s="19">
        <f>AJ136/T136</f>
        <v>6.3395776310171429E-3</v>
      </c>
      <c r="AM136" s="19">
        <f>AJ136/T136*365/AK136</f>
        <v>0.46278916706425138</v>
      </c>
      <c r="AN136" s="19">
        <f>POWER((1+AL136),(365/AK136))-1</f>
        <v>0.58617965713401099</v>
      </c>
      <c r="AO136" s="22">
        <f>TitulosVendidos[[#This Row],[Comisión Santa Fe
Venta]]+TitulosVendidos[[#This Row],[Comisión Santa Fé
Compra]]</f>
        <v>120.6</v>
      </c>
      <c r="AP136" s="9">
        <v>3683381</v>
      </c>
    </row>
    <row r="137" spans="1:42" x14ac:dyDescent="0.25">
      <c r="A137" s="3">
        <v>46178</v>
      </c>
      <c r="B137" s="3" t="s">
        <v>47</v>
      </c>
      <c r="C137" t="s">
        <v>45</v>
      </c>
      <c r="D137" s="3">
        <v>46174</v>
      </c>
      <c r="E137" s="3"/>
      <c r="F137" s="3"/>
      <c r="G137" s="3"/>
      <c r="I137" s="4">
        <f>K137*12/T137*100</f>
        <v>0</v>
      </c>
      <c r="K137" s="4">
        <f>P137*H137/100/12</f>
        <v>0</v>
      </c>
      <c r="L137" s="4">
        <f>K137-V137</f>
        <v>0</v>
      </c>
      <c r="M137">
        <f>IF(E137="", 0, IF(A137&gt;E137,INT((A137-E137)/30),0))</f>
        <v>0</v>
      </c>
      <c r="N137" s="5"/>
      <c r="O137" s="4">
        <f>K137*M137+L137+IF(A137&gt;E137,N137,0)</f>
        <v>0</v>
      </c>
      <c r="P137" s="4">
        <v>39319.870000000003</v>
      </c>
      <c r="S137" s="4">
        <f>P137*Q137/100</f>
        <v>0</v>
      </c>
      <c r="T137" s="4">
        <v>38309.783640044647</v>
      </c>
      <c r="U137" s="4">
        <f>T137+V137</f>
        <v>38309.783640044647</v>
      </c>
      <c r="W137" s="4">
        <v>60.709999999999987</v>
      </c>
      <c r="X137" s="4">
        <v>7.61</v>
      </c>
      <c r="Y137" s="4">
        <f>W137+X137</f>
        <v>68.319999999999993</v>
      </c>
      <c r="Z137" s="6" t="s">
        <v>55</v>
      </c>
      <c r="AA137" s="24">
        <v>98.06</v>
      </c>
      <c r="AB137" s="24">
        <v>97.942400000000006</v>
      </c>
      <c r="AC137" s="5"/>
      <c r="AD137" s="4">
        <f>AA137*P137/100</f>
        <v>38557.064522000001</v>
      </c>
      <c r="AE137" s="4">
        <v>38.53</v>
      </c>
      <c r="AF137" s="4">
        <v>7.71</v>
      </c>
      <c r="AG137" s="4">
        <f>AD137-AE137-AF137</f>
        <v>38510.824522000003</v>
      </c>
      <c r="AH137" s="4">
        <f>AD137-S137</f>
        <v>38557.064522000001</v>
      </c>
      <c r="AI137" s="4">
        <f>AG137-T137</f>
        <v>201.04088195535587</v>
      </c>
      <c r="AJ137" s="4">
        <f>AI137+O137+AC137</f>
        <v>201.04088195535587</v>
      </c>
      <c r="AK137">
        <f>A137-D137</f>
        <v>4</v>
      </c>
      <c r="AL137" s="19">
        <f>AJ137/T137</f>
        <v>5.2477686599412387E-3</v>
      </c>
      <c r="AM137" s="19">
        <f>AJ137/T137*365/AK137</f>
        <v>0.47885889021963801</v>
      </c>
      <c r="AN137" s="19">
        <f>POWER((1+AL137),(365/AK137))-1</f>
        <v>0.61221143466960615</v>
      </c>
      <c r="AO137" s="22">
        <f>TitulosVendidos[[#This Row],[Comisión Santa Fe
Venta]]+TitulosVendidos[[#This Row],[Comisión Santa Fé
Compra]]</f>
        <v>99.239999999999981</v>
      </c>
      <c r="AP137" s="9">
        <v>3686693</v>
      </c>
    </row>
    <row r="138" spans="1:42" x14ac:dyDescent="0.25">
      <c r="A138" s="3">
        <v>46181</v>
      </c>
      <c r="B138" s="3" t="s">
        <v>47</v>
      </c>
      <c r="C138" t="s">
        <v>45</v>
      </c>
      <c r="D138" s="3">
        <v>46178</v>
      </c>
      <c r="E138" s="3"/>
      <c r="F138" s="3"/>
      <c r="G138" s="3"/>
      <c r="I138" s="4">
        <f>K138*12/T138*100</f>
        <v>0</v>
      </c>
      <c r="K138" s="4">
        <f>P138*H138/100/12</f>
        <v>0</v>
      </c>
      <c r="L138" s="4">
        <f>K138-V138</f>
        <v>0</v>
      </c>
      <c r="M138">
        <f>IF(E138="", 0, IF(A138&gt;E138,INT((A138-E138)/30),0))</f>
        <v>0</v>
      </c>
      <c r="N138" s="5"/>
      <c r="O138" s="4">
        <f>K138*M138+L138+IF(A138&gt;E138,N138,0)</f>
        <v>0</v>
      </c>
      <c r="P138" s="4">
        <v>44276.13</v>
      </c>
      <c r="S138" s="4">
        <f>P138*Q138/100</f>
        <v>0</v>
      </c>
      <c r="T138" s="4">
        <v>43143.142647064851</v>
      </c>
      <c r="U138" s="4">
        <f>T138+V138</f>
        <v>43143.142647064851</v>
      </c>
      <c r="W138" s="4">
        <v>65.240000000000009</v>
      </c>
      <c r="X138" s="4">
        <v>8.6000000000000014</v>
      </c>
      <c r="Y138" s="4">
        <f>W138+X138</f>
        <v>73.84</v>
      </c>
      <c r="Z138" s="6" t="s">
        <v>56</v>
      </c>
      <c r="AA138" s="24">
        <v>98.11</v>
      </c>
      <c r="AB138" s="24">
        <v>97.99225903</v>
      </c>
      <c r="AC138" s="5"/>
      <c r="AD138" s="4">
        <f>AA138*P138/100</f>
        <v>43439.311142999999</v>
      </c>
      <c r="AE138" s="4">
        <v>43.44</v>
      </c>
      <c r="AF138" s="4">
        <v>8.6999999999999993</v>
      </c>
      <c r="AG138" s="4">
        <f>AD138-AE138-AF138</f>
        <v>43387.171143</v>
      </c>
      <c r="AH138" s="4">
        <f>AD138-S138</f>
        <v>43439.311142999999</v>
      </c>
      <c r="AI138" s="4">
        <f>AG138-T138</f>
        <v>244.02849593514838</v>
      </c>
      <c r="AJ138" s="4">
        <f>AI138+O138+AC138</f>
        <v>244.02849593514838</v>
      </c>
      <c r="AK138">
        <f>A138-D138</f>
        <v>3</v>
      </c>
      <c r="AL138" s="19">
        <f>AJ138/T138</f>
        <v>5.6562522097993321E-3</v>
      </c>
      <c r="AM138" s="19">
        <f>AJ138/T138*365/AK138</f>
        <v>0.68817735219225196</v>
      </c>
      <c r="AN138" s="19">
        <f>POWER((1+AL138),(365/AK138))-1</f>
        <v>0.98623007600986479</v>
      </c>
      <c r="AO138" s="22">
        <f>TitulosVendidos[[#This Row],[Comisión Santa Fe
Venta]]+TitulosVendidos[[#This Row],[Comisión Santa Fé
Compra]]</f>
        <v>108.68</v>
      </c>
      <c r="AP138" s="9" t="s">
        <v>57</v>
      </c>
    </row>
    <row r="139" spans="1:42" x14ac:dyDescent="0.25">
      <c r="A139" s="3">
        <v>46188</v>
      </c>
      <c r="B139" s="3" t="s">
        <v>47</v>
      </c>
      <c r="C139" t="s">
        <v>45</v>
      </c>
      <c r="D139" s="3">
        <v>46181</v>
      </c>
      <c r="E139" s="3"/>
      <c r="F139" s="3"/>
      <c r="G139" s="3"/>
      <c r="I139" s="4">
        <f>K139*12/T139*100</f>
        <v>0</v>
      </c>
      <c r="K139" s="4">
        <f>P139*H139/100/12</f>
        <v>0</v>
      </c>
      <c r="L139" s="4">
        <f>K139-V139</f>
        <v>0</v>
      </c>
      <c r="M139">
        <f>IF(E139="", 0, IF(A139&gt;E139,INT((A139-E139)/30),0))</f>
        <v>0</v>
      </c>
      <c r="N139" s="5"/>
      <c r="O139" s="4">
        <f>K139*M139+L139+IF(A139&gt;E139,N139,0)</f>
        <v>0</v>
      </c>
      <c r="P139" s="4">
        <v>47859.5</v>
      </c>
      <c r="S139" s="4">
        <f>P139*Q139/100</f>
        <v>0</v>
      </c>
      <c r="T139" s="4">
        <v>46573.815929674318</v>
      </c>
      <c r="U139" s="4">
        <f>T139+V139</f>
        <v>46573.815929674318</v>
      </c>
      <c r="W139" s="4">
        <v>50.510000000000012</v>
      </c>
      <c r="X139" s="4">
        <v>9.09</v>
      </c>
      <c r="Y139" s="4">
        <f>W139+X139</f>
        <v>59.600000000000009</v>
      </c>
      <c r="Z139" s="6" t="s">
        <v>58</v>
      </c>
      <c r="AA139" s="24">
        <v>98.03</v>
      </c>
      <c r="AB139" s="24">
        <v>97.911799999999999</v>
      </c>
      <c r="AC139" s="5"/>
      <c r="AD139" s="4">
        <f>AA139*P139/100</f>
        <v>46916.667849999998</v>
      </c>
      <c r="AE139" s="4">
        <v>47.18</v>
      </c>
      <c r="AF139" s="4">
        <v>9.3800000000000008</v>
      </c>
      <c r="AG139" s="4">
        <f>AD139-AE139-AF139</f>
        <v>46860.10785</v>
      </c>
      <c r="AH139" s="4">
        <f>AD139-S139</f>
        <v>46916.667849999998</v>
      </c>
      <c r="AI139" s="4">
        <f>AG139-T139</f>
        <v>286.29192032568244</v>
      </c>
      <c r="AJ139" s="4">
        <f>AI139+O139+AC139</f>
        <v>286.29192032568244</v>
      </c>
      <c r="AK139">
        <f>A139-D139</f>
        <v>7</v>
      </c>
      <c r="AL139" s="19">
        <f>AJ139/T139</f>
        <v>6.147057410068749E-3</v>
      </c>
      <c r="AM139" s="19">
        <f>AJ139/T139*365/AK139</f>
        <v>0.32052513638215618</v>
      </c>
      <c r="AN139" s="19">
        <f>POWER((1+AL139),(365/AK139))-1</f>
        <v>0.37649995348454945</v>
      </c>
      <c r="AO139" s="22">
        <f>TitulosVendidos[[#This Row],[Comisión Santa Fe
Venta]]+TitulosVendidos[[#This Row],[Comisión Santa Fé
Compra]]</f>
        <v>97.690000000000012</v>
      </c>
      <c r="AP139" s="9">
        <v>3692061</v>
      </c>
    </row>
    <row r="140" spans="1:42" x14ac:dyDescent="0.25">
      <c r="A140" s="3">
        <v>46190</v>
      </c>
      <c r="B140" s="3" t="s">
        <v>42</v>
      </c>
      <c r="C140" t="s">
        <v>43</v>
      </c>
      <c r="D140" s="3">
        <v>46161</v>
      </c>
      <c r="E140" s="3">
        <v>46180</v>
      </c>
      <c r="F140" s="3">
        <v>46149</v>
      </c>
      <c r="G140" s="3">
        <v>47975</v>
      </c>
      <c r="H140" s="4">
        <v>7.13</v>
      </c>
      <c r="I140" s="4">
        <f>K140*12/T140*100</f>
        <v>7.7551757368504628</v>
      </c>
      <c r="J140" s="4">
        <v>9.7885091800000001</v>
      </c>
      <c r="K140" s="4">
        <f>P140*H140/100/12</f>
        <v>77.999229166666666</v>
      </c>
      <c r="L140" s="4">
        <f>K140-V140</f>
        <v>46.799229166666663</v>
      </c>
      <c r="M140">
        <f>IF(E140="", 0, IF(A140&gt;E140,INT((A140-E140)/30),0))</f>
        <v>0</v>
      </c>
      <c r="N140" s="5"/>
      <c r="O140" s="4">
        <f>K140*M140+L140+IF(A140&gt;E140,N140,0)</f>
        <v>46.799229166666663</v>
      </c>
      <c r="P140" s="4">
        <v>13127.5</v>
      </c>
      <c r="Q140" s="24">
        <v>91.472271640000002</v>
      </c>
      <c r="R140" s="24">
        <v>91.938599999999994</v>
      </c>
      <c r="S140" s="4">
        <f>P140*Q140/100</f>
        <v>12008.022459541</v>
      </c>
      <c r="T140" s="4">
        <f>P140*R140/100</f>
        <v>12069.239715</v>
      </c>
      <c r="U140" s="4">
        <f>T140+V140</f>
        <v>12100.439715</v>
      </c>
      <c r="V140" s="4">
        <v>31.2</v>
      </c>
      <c r="W140" s="4">
        <v>24.02</v>
      </c>
      <c r="X140" s="4">
        <v>6</v>
      </c>
      <c r="Y140" s="4">
        <f>W140+X140</f>
        <v>30.02</v>
      </c>
      <c r="Z140" s="6">
        <v>367635</v>
      </c>
      <c r="AA140" s="24">
        <v>93.481277000000006</v>
      </c>
      <c r="AB140" s="24">
        <v>93.558864979999996</v>
      </c>
      <c r="AC140" s="5">
        <v>28.6</v>
      </c>
      <c r="AD140" s="4">
        <f>AA140*P140/100</f>
        <v>12271.754638175</v>
      </c>
      <c r="AE140" s="4">
        <v>12.27</v>
      </c>
      <c r="AF140" s="4">
        <v>6.14</v>
      </c>
      <c r="AG140" s="4">
        <f>AD140-AE140-AF140</f>
        <v>12253.344638175</v>
      </c>
      <c r="AH140" s="4">
        <f>AD140-S140</f>
        <v>263.73217863399987</v>
      </c>
      <c r="AI140" s="4">
        <f>AG140-T140</f>
        <v>184.10492317500029</v>
      </c>
      <c r="AJ140" s="4">
        <f>AI140+O140+AC140</f>
        <v>259.50415234166695</v>
      </c>
      <c r="AK140">
        <f>A140-D140</f>
        <v>29</v>
      </c>
      <c r="AL140" s="19">
        <f>AJ140/T140</f>
        <v>2.1501284129699379E-2</v>
      </c>
      <c r="AM140" s="19">
        <f>AJ140/T140*365/AK140</f>
        <v>0.27061961059794049</v>
      </c>
      <c r="AN140" s="19">
        <f>POWER((1+AL140),(365/AK140))-1</f>
        <v>0.30702206653297504</v>
      </c>
      <c r="AO140" s="22">
        <f>TitulosVendidos[[#This Row],[Comisión Santa Fe
Venta]]+TitulosVendidos[[#This Row],[Comisión Santa Fé
Compra]]</f>
        <v>36.29</v>
      </c>
      <c r="AP140" s="9" t="s">
        <v>59</v>
      </c>
    </row>
    <row r="141" spans="1:42" x14ac:dyDescent="0.25">
      <c r="A141" s="3">
        <v>46192</v>
      </c>
      <c r="B141" s="3" t="s">
        <v>47</v>
      </c>
      <c r="C141" t="s">
        <v>45</v>
      </c>
      <c r="D141" s="3">
        <v>46188</v>
      </c>
      <c r="E141" s="3"/>
      <c r="F141" s="3"/>
      <c r="G141" s="3"/>
      <c r="I141" s="4">
        <f>K141*12/T141*100</f>
        <v>0</v>
      </c>
      <c r="K141" s="4">
        <f>P141*H141/100/12</f>
        <v>0</v>
      </c>
      <c r="L141" s="4">
        <f>K141-V141</f>
        <v>0</v>
      </c>
      <c r="M141">
        <f>IF(E141="", 0, IF(A141&gt;E141,INT((A141-E141)/30),0))</f>
        <v>0</v>
      </c>
      <c r="N141" s="5"/>
      <c r="O141" s="4">
        <f>K141*M141+L141+IF(A141&gt;E141,N141,0)</f>
        <v>0</v>
      </c>
      <c r="P141" s="4">
        <v>27867.41</v>
      </c>
      <c r="S141" s="4">
        <f>P141*Q141/100</f>
        <v>0</v>
      </c>
      <c r="T141" s="4">
        <v>27131.186767521409</v>
      </c>
      <c r="U141" s="4">
        <f>T141+V141</f>
        <v>27131.186767521409</v>
      </c>
      <c r="W141" s="4">
        <v>30.64</v>
      </c>
      <c r="X141" s="4">
        <v>5.4400000000000013</v>
      </c>
      <c r="Y141" s="4">
        <f>W141+X141</f>
        <v>36.08</v>
      </c>
      <c r="Z141" s="6" t="s">
        <v>60</v>
      </c>
      <c r="AA141" s="24">
        <v>98</v>
      </c>
      <c r="AB141" s="24">
        <v>97.881399999999999</v>
      </c>
      <c r="AC141" s="5"/>
      <c r="AD141" s="4">
        <f>AA141*P141/100</f>
        <v>27310.061800000003</v>
      </c>
      <c r="AE141" s="4">
        <v>27.6</v>
      </c>
      <c r="AF141" s="4">
        <v>5.46</v>
      </c>
      <c r="AG141" s="4">
        <f>AD141-AE141-AF141</f>
        <v>27277.001800000005</v>
      </c>
      <c r="AH141" s="4">
        <f>AD141-S141</f>
        <v>27310.061800000003</v>
      </c>
      <c r="AI141" s="4">
        <f>AG141-T141</f>
        <v>145.81503247859655</v>
      </c>
      <c r="AJ141" s="4">
        <f>AI141+O141+AC141</f>
        <v>145.81503247859655</v>
      </c>
      <c r="AK141">
        <f>A141-D141</f>
        <v>4</v>
      </c>
      <c r="AL141" s="19">
        <f>AJ141/T141</f>
        <v>5.3744435777188671E-3</v>
      </c>
      <c r="AM141" s="19">
        <f>AJ141/T141*365/AK141</f>
        <v>0.49041797646684665</v>
      </c>
      <c r="AN141" s="19">
        <f>POWER((1+AL141),(365/AK141))-1</f>
        <v>0.63085565286369127</v>
      </c>
      <c r="AO141" s="22">
        <f>TitulosVendidos[[#This Row],[Comisión Santa Fe
Venta]]+TitulosVendidos[[#This Row],[Comisión Santa Fé
Compra]]</f>
        <v>58.24</v>
      </c>
      <c r="AP141" s="9">
        <v>3692061</v>
      </c>
    </row>
    <row r="142" spans="1:42" x14ac:dyDescent="0.25">
      <c r="A142" s="3">
        <v>46198</v>
      </c>
      <c r="B142" s="3" t="s">
        <v>42</v>
      </c>
      <c r="C142" t="s">
        <v>43</v>
      </c>
      <c r="D142" s="3">
        <v>46169</v>
      </c>
      <c r="E142" s="3">
        <v>46181</v>
      </c>
      <c r="F142" s="3">
        <v>45999</v>
      </c>
      <c r="G142" s="3">
        <v>47095</v>
      </c>
      <c r="H142" s="4">
        <v>6.31</v>
      </c>
      <c r="I142" s="4">
        <f>K142*12/T142*100</f>
        <v>6.5923253332158094</v>
      </c>
      <c r="J142" s="4">
        <v>8.5</v>
      </c>
      <c r="K142" s="4">
        <f>P142*H142/100/12</f>
        <v>139.60875000000001</v>
      </c>
      <c r="L142" s="4">
        <f>K142-V142</f>
        <v>51.188750000000013</v>
      </c>
      <c r="M142">
        <f>IF(E142="", 0, IF(A142&gt;E142,INT((A142-E142)/30),0))</f>
        <v>0</v>
      </c>
      <c r="N142" s="5"/>
      <c r="O142" s="4">
        <f>K142*M142+L142+IF(A142&gt;E142,N142,0)</f>
        <v>51.188750000000013</v>
      </c>
      <c r="P142" s="4">
        <v>26550</v>
      </c>
      <c r="Q142" s="24">
        <v>95.478678939999995</v>
      </c>
      <c r="R142" s="24">
        <v>96.050399999999996</v>
      </c>
      <c r="S142" s="4">
        <f>P142*Q142/100</f>
        <v>25349.589258570002</v>
      </c>
      <c r="T142" s="4">
        <v>25412.959999999999</v>
      </c>
      <c r="U142" s="4">
        <f>T142+V142</f>
        <v>25501.379999999997</v>
      </c>
      <c r="V142" s="4">
        <v>88.42</v>
      </c>
      <c r="W142" s="4">
        <v>50.7</v>
      </c>
      <c r="X142" s="4">
        <v>12.67</v>
      </c>
      <c r="Y142" s="4">
        <f>W142+X142</f>
        <v>63.370000000000005</v>
      </c>
      <c r="Z142" s="6">
        <v>368093</v>
      </c>
      <c r="AA142" s="24">
        <v>96.600321620000003</v>
      </c>
      <c r="AB142" s="24">
        <v>96.753399999999999</v>
      </c>
      <c r="AC142" s="5"/>
      <c r="AD142" s="4">
        <f>AA142*P142/100</f>
        <v>25647.385390110001</v>
      </c>
      <c r="AE142" s="4">
        <v>25.65</v>
      </c>
      <c r="AF142" s="4">
        <v>12.82</v>
      </c>
      <c r="AG142" s="4">
        <f>AD142-AE142-AF142</f>
        <v>25608.91539011</v>
      </c>
      <c r="AH142" s="4">
        <f>AD142-S142</f>
        <v>297.7961315399989</v>
      </c>
      <c r="AI142" s="4">
        <f>AG142-T142</f>
        <v>195.95539011000074</v>
      </c>
      <c r="AJ142" s="4">
        <f>AI142+O142+AC142</f>
        <v>247.14414011000076</v>
      </c>
      <c r="AK142">
        <f>A142-D142</f>
        <v>29</v>
      </c>
      <c r="AL142" s="19">
        <f>AJ142/T142</f>
        <v>9.7251221467314613E-3</v>
      </c>
      <c r="AM142" s="19">
        <f>AJ142/T142*365/AK142</f>
        <v>0.12240239943299942</v>
      </c>
      <c r="AN142" s="19">
        <f>POWER((1+AL142),(365/AK142))-1</f>
        <v>0.1295406449910228</v>
      </c>
      <c r="AO142" s="22">
        <f>TitulosVendidos[[#This Row],[Comisión Santa Fe
Venta]]+TitulosVendidos[[#This Row],[Comisión Santa Fé
Compra]]</f>
        <v>76.349999999999994</v>
      </c>
      <c r="AP142" s="9">
        <v>369780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Orellana</dc:creator>
  <cp:lastModifiedBy>Jhon Orellana</cp:lastModifiedBy>
  <dcterms:created xsi:type="dcterms:W3CDTF">2026-07-01T11:29:58Z</dcterms:created>
  <dcterms:modified xsi:type="dcterms:W3CDTF">2026-07-01T11:37:06Z</dcterms:modified>
</cp:coreProperties>
</file>